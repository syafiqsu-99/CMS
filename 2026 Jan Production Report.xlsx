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afiq_suhaimi\VSC projects\CMS\"/>
    </mc:Choice>
  </mc:AlternateContent>
  <xr:revisionPtr revIDLastSave="0" documentId="13_ncr:1_{4442D290-5345-45B7-9BF7-CB9DF2AE8335}" xr6:coauthVersionLast="47" xr6:coauthVersionMax="47" xr10:uidLastSave="{00000000-0000-0000-0000-000000000000}"/>
  <bookViews>
    <workbookView xWindow="-110" yWindow="-110" windowWidth="19420" windowHeight="10420" xr2:uid="{F059CBCB-BB17-4E37-BDB9-5498B1BEDD7D}"/>
  </bookViews>
  <sheets>
    <sheet name="J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002" i="1" l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N1019" i="1"/>
  <c r="AN1020" i="1"/>
  <c r="AN1021" i="1"/>
  <c r="AN1023" i="1"/>
  <c r="AN1024" i="1"/>
  <c r="AN1025" i="1"/>
  <c r="AN1026" i="1"/>
  <c r="AN1027" i="1"/>
  <c r="AN1029" i="1"/>
  <c r="AN1031" i="1"/>
  <c r="AN1033" i="1"/>
  <c r="AN1035" i="1"/>
  <c r="AN1036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7" i="1"/>
  <c r="AN1018" i="1"/>
  <c r="AI965" i="1" l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964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1000" i="1"/>
  <c r="AN1001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66" i="1"/>
  <c r="AN965" i="1"/>
  <c r="AI929" i="1" l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30" i="1"/>
  <c r="AN929" i="1"/>
  <c r="AI858" i="1" l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N910" i="1"/>
  <c r="AN911" i="1"/>
  <c r="AN912" i="1"/>
  <c r="AN913" i="1"/>
  <c r="AN914" i="1"/>
  <c r="AN915" i="1"/>
  <c r="AN916" i="1"/>
  <c r="AN917" i="1"/>
  <c r="AN919" i="1"/>
  <c r="AN920" i="1"/>
  <c r="AN921" i="1"/>
  <c r="AN922" i="1"/>
  <c r="AN923" i="1"/>
  <c r="AN924" i="1"/>
  <c r="AN925" i="1"/>
  <c r="AN926" i="1"/>
  <c r="AN927" i="1"/>
  <c r="AN928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893" i="1"/>
  <c r="AN892" i="1"/>
  <c r="AN875" i="1" l="1"/>
  <c r="AN876" i="1"/>
  <c r="AN877" i="1"/>
  <c r="AN878" i="1"/>
  <c r="AN879" i="1"/>
  <c r="AN880" i="1"/>
  <c r="AN881" i="1"/>
  <c r="AN882" i="1"/>
  <c r="AN883" i="1"/>
  <c r="AN885" i="1"/>
  <c r="AN886" i="1"/>
  <c r="AN887" i="1"/>
  <c r="AN888" i="1"/>
  <c r="AN889" i="1"/>
  <c r="AN890" i="1"/>
  <c r="AN891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59" i="1"/>
  <c r="AN858" i="1"/>
  <c r="AI849" i="1" l="1"/>
  <c r="AI850" i="1" l="1"/>
  <c r="AN850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51" i="1"/>
  <c r="AI852" i="1"/>
  <c r="AI853" i="1"/>
  <c r="AI854" i="1"/>
  <c r="AI855" i="1"/>
  <c r="AI856" i="1"/>
  <c r="AI857" i="1"/>
  <c r="AN841" i="1"/>
  <c r="AN842" i="1"/>
  <c r="AN843" i="1"/>
  <c r="AN844" i="1"/>
  <c r="AN845" i="1"/>
  <c r="AN846" i="1"/>
  <c r="AN847" i="1"/>
  <c r="AN848" i="1"/>
  <c r="AN851" i="1"/>
  <c r="AN852" i="1"/>
  <c r="AN853" i="1"/>
  <c r="AN854" i="1"/>
  <c r="AN855" i="1"/>
  <c r="AN856" i="1"/>
  <c r="AN857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23" i="1"/>
  <c r="AN822" i="1"/>
  <c r="AI789" i="1" l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N806" i="1"/>
  <c r="AN808" i="1"/>
  <c r="AN811" i="1"/>
  <c r="AN813" i="1"/>
  <c r="AN816" i="1"/>
  <c r="AN818" i="1"/>
  <c r="AN820" i="1"/>
  <c r="AN821" i="1"/>
  <c r="AN789" i="1"/>
  <c r="AN791" i="1"/>
  <c r="AN793" i="1"/>
  <c r="AN794" i="1"/>
  <c r="AN795" i="1"/>
  <c r="AN796" i="1"/>
  <c r="AN797" i="1"/>
  <c r="AN800" i="1"/>
  <c r="AN802" i="1"/>
  <c r="AN803" i="1"/>
  <c r="AN804" i="1"/>
  <c r="AN805" i="1"/>
  <c r="AI756" i="1" l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N773" i="1"/>
  <c r="AN775" i="1"/>
  <c r="AN778" i="1"/>
  <c r="AN780" i="1"/>
  <c r="AN783" i="1"/>
  <c r="AN785" i="1"/>
  <c r="AN787" i="1"/>
  <c r="AN788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57" i="1"/>
  <c r="AN756" i="1"/>
  <c r="AI722" i="1" l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I686" i="1" l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20" i="1"/>
  <c r="AN721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2" i="1"/>
  <c r="AN703" i="1"/>
  <c r="AN704" i="1"/>
  <c r="AN687" i="1"/>
  <c r="AN686" i="1"/>
  <c r="AI653" i="1" l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51" i="1"/>
  <c r="AI652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4" i="1"/>
  <c r="AN685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I617" i="1" l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16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I585" i="1" l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584" i="1"/>
  <c r="AI582" i="1"/>
  <c r="AI583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583" i="1"/>
  <c r="AN582" i="1"/>
  <c r="AI581" i="1"/>
  <c r="AI580" i="1"/>
  <c r="AI579" i="1"/>
  <c r="AI578" i="1"/>
  <c r="AI577" i="1"/>
  <c r="AI576" i="1"/>
  <c r="AI575" i="1"/>
  <c r="AI574" i="1"/>
  <c r="AI573" i="1"/>
  <c r="AI572" i="1"/>
  <c r="AI571" i="1"/>
  <c r="AI570" i="1"/>
  <c r="AI569" i="1"/>
  <c r="AI568" i="1"/>
  <c r="AI567" i="1"/>
  <c r="AI566" i="1"/>
  <c r="AI565" i="1"/>
  <c r="AI564" i="1"/>
  <c r="AI563" i="1"/>
  <c r="AI562" i="1"/>
  <c r="AI561" i="1"/>
  <c r="AI560" i="1"/>
  <c r="AI559" i="1"/>
  <c r="AI558" i="1"/>
  <c r="AI557" i="1"/>
  <c r="AI556" i="1"/>
  <c r="AI555" i="1"/>
  <c r="AI554" i="1"/>
  <c r="AI553" i="1"/>
  <c r="AI552" i="1"/>
  <c r="AI551" i="1"/>
  <c r="AI550" i="1"/>
  <c r="AI536" i="1" l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34" i="1"/>
  <c r="AI535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17" i="1"/>
  <c r="AI518" i="1"/>
  <c r="AI519" i="1"/>
  <c r="AI520" i="1"/>
  <c r="AN518" i="1"/>
  <c r="AN519" i="1"/>
  <c r="AN520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17" i="1"/>
  <c r="AI448" i="1" l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N499" i="1"/>
  <c r="AN500" i="1"/>
  <c r="AN501" i="1"/>
  <c r="AN502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483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82" i="1"/>
  <c r="AN481" i="1"/>
  <c r="AN465" i="1" l="1"/>
  <c r="AN466" i="1"/>
  <c r="AN467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50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49" i="1"/>
  <c r="AN448" i="1"/>
  <c r="AI427" i="1" l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378" i="1"/>
  <c r="AI379" i="1"/>
  <c r="AN431" i="1"/>
  <c r="AN432" i="1"/>
  <c r="AN433" i="1"/>
  <c r="AN434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17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16" i="1"/>
  <c r="AN415" i="1"/>
  <c r="AN398" i="1" l="1"/>
  <c r="AN399" i="1"/>
  <c r="AN400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378" i="1"/>
  <c r="AN379" i="1"/>
  <c r="AN380" i="1"/>
  <c r="AN381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I3" i="1" l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5" i="1"/>
  <c r="AN56" i="1"/>
  <c r="AN60" i="1"/>
  <c r="AN62" i="1"/>
  <c r="AN63" i="1"/>
  <c r="AN64" i="1"/>
  <c r="AN66" i="1"/>
  <c r="AN67" i="1"/>
  <c r="AN68" i="1"/>
  <c r="AN69" i="1"/>
  <c r="AN70" i="1"/>
  <c r="AN71" i="1"/>
  <c r="AN72" i="1"/>
  <c r="AN76" i="1"/>
  <c r="AN78" i="1"/>
  <c r="AN79" i="1"/>
  <c r="AN80" i="1"/>
  <c r="AN81" i="1"/>
  <c r="AN83" i="1"/>
  <c r="AN84" i="1"/>
  <c r="AN85" i="1"/>
  <c r="AN86" i="1"/>
  <c r="AN87" i="1"/>
  <c r="AN88" i="1"/>
  <c r="AN90" i="1"/>
  <c r="AN91" i="1"/>
  <c r="AN95" i="1"/>
  <c r="AN97" i="1"/>
  <c r="AN98" i="1"/>
  <c r="AN99" i="1"/>
  <c r="AN101" i="1"/>
  <c r="AN102" i="1"/>
  <c r="AN103" i="1"/>
  <c r="AN104" i="1"/>
  <c r="AN106" i="1"/>
  <c r="AN107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3" i="1"/>
  <c r="AN164" i="1"/>
  <c r="AN165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1" i="1"/>
  <c r="AN182" i="1"/>
  <c r="AN183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8" i="1"/>
  <c r="AN199" i="1"/>
  <c r="AN200" i="1"/>
  <c r="AN202" i="1"/>
  <c r="AN203" i="1"/>
  <c r="AN204" i="1"/>
  <c r="AN205" i="1"/>
  <c r="AN206" i="1"/>
  <c r="AN207" i="1"/>
  <c r="AN208" i="1"/>
  <c r="AN209" i="1"/>
  <c r="AN210" i="1"/>
  <c r="AN211" i="1"/>
  <c r="AN212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5" i="1"/>
  <c r="AN296" i="1"/>
  <c r="AN299" i="1"/>
  <c r="AN300" i="1"/>
  <c r="AN302" i="1"/>
  <c r="AN303" i="1"/>
  <c r="AN304" i="1"/>
  <c r="AN305" i="1"/>
  <c r="AN307" i="1"/>
  <c r="AN308" i="1"/>
  <c r="AN309" i="1"/>
  <c r="AN310" i="1"/>
  <c r="AN312" i="1"/>
  <c r="AN313" i="1"/>
  <c r="AN316" i="1"/>
  <c r="AN317" i="1"/>
  <c r="AN319" i="1"/>
  <c r="AN320" i="1"/>
  <c r="AN321" i="1"/>
  <c r="AN323" i="1"/>
  <c r="AN324" i="1"/>
  <c r="AN325" i="1"/>
  <c r="AN326" i="1"/>
  <c r="AN328" i="1"/>
  <c r="AN329" i="1"/>
  <c r="AN332" i="1"/>
  <c r="AN333" i="1"/>
  <c r="AN335" i="1"/>
  <c r="AN336" i="1"/>
  <c r="AN337" i="1"/>
  <c r="AN339" i="1"/>
  <c r="AN340" i="1"/>
  <c r="AN341" i="1"/>
  <c r="AN342" i="1"/>
  <c r="AN343" i="1"/>
  <c r="AN344" i="1"/>
  <c r="AN345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2" i="1"/>
</calcChain>
</file>

<file path=xl/sharedStrings.xml><?xml version="1.0" encoding="utf-8"?>
<sst xmlns="http://schemas.openxmlformats.org/spreadsheetml/2006/main" count="3764" uniqueCount="638">
  <si>
    <t>production_date</t>
  </si>
  <si>
    <t>shift</t>
  </si>
  <si>
    <t>id_machine</t>
  </si>
  <si>
    <t>packer</t>
  </si>
  <si>
    <t>material</t>
  </si>
  <si>
    <t>id_type</t>
  </si>
  <si>
    <t>mould</t>
  </si>
  <si>
    <t>type</t>
  </si>
  <si>
    <t>jo_no</t>
  </si>
  <si>
    <t>qty_perct</t>
  </si>
  <si>
    <t>gross_weight</t>
  </si>
  <si>
    <t>part_weight</t>
  </si>
  <si>
    <t>shot</t>
  </si>
  <si>
    <t>qty_order</t>
  </si>
  <si>
    <t>wip_opening</t>
  </si>
  <si>
    <t>wip_closing</t>
  </si>
  <si>
    <t>finish_good</t>
  </si>
  <si>
    <t>qty_accum</t>
  </si>
  <si>
    <t>reject_startup</t>
  </si>
  <si>
    <t>reject_prod</t>
  </si>
  <si>
    <t>act_ct</t>
  </si>
  <si>
    <t>production_running</t>
  </si>
  <si>
    <t>sap_ct</t>
  </si>
  <si>
    <t xml:space="preserve"> change_full_set </t>
  </si>
  <si>
    <t xml:space="preserve"> change_half_set </t>
  </si>
  <si>
    <t xml:space="preserve"> change_parts </t>
  </si>
  <si>
    <t xml:space="preserve"> maintenance_dt </t>
  </si>
  <si>
    <t xml:space="preserve"> technician_dt </t>
  </si>
  <si>
    <t>production_dt</t>
  </si>
  <si>
    <t>remark</t>
  </si>
  <si>
    <t>reject_purging</t>
  </si>
  <si>
    <t>reject_preform</t>
  </si>
  <si>
    <t>reject_total_pcs</t>
  </si>
  <si>
    <t>NA</t>
  </si>
  <si>
    <t>PET</t>
  </si>
  <si>
    <t>BC28-0375-K-R-CL</t>
  </si>
  <si>
    <t>BC28-0200-M-R-BR</t>
  </si>
  <si>
    <t>BC28-0250-Z-S-CL</t>
  </si>
  <si>
    <t>BX38-0150-R-R-AM</t>
  </si>
  <si>
    <t>Under tech.Hot runner problem.</t>
  </si>
  <si>
    <t>SHAHID</t>
  </si>
  <si>
    <t>rPET</t>
  </si>
  <si>
    <t>JJ63-0400-SH-S-CL-rPET</t>
  </si>
  <si>
    <t>KALAMUDIN</t>
  </si>
  <si>
    <t>JJ63-0400-SH-S-WH</t>
  </si>
  <si>
    <t>BX38-1500-H-R-CL-LW(GREEN) (ASEM)</t>
  </si>
  <si>
    <t>PPSB520Y</t>
  </si>
  <si>
    <t>BC28-0056-D-APH-LEB-604001</t>
  </si>
  <si>
    <t>BX38-1000-RN-R-CL-rPET 0.2</t>
  </si>
  <si>
    <t>BC28-0090-D-APH-5180-3538-PP-6 NOTCHES</t>
  </si>
  <si>
    <t xml:space="preserve">BC28-0750-K4-R-CL (55g)  </t>
  </si>
  <si>
    <t>Run well.L.test.</t>
  </si>
  <si>
    <t>BC28-0170-D-APH-5180-3539-PP-6 NOTCHES</t>
  </si>
  <si>
    <t>JALALUDIN</t>
  </si>
  <si>
    <t>MOGANA</t>
  </si>
  <si>
    <t>Gate off center</t>
  </si>
  <si>
    <t>HABIRAMI</t>
  </si>
  <si>
    <t>Lumphy.L.test.</t>
  </si>
  <si>
    <t>VICKY</t>
  </si>
  <si>
    <t>BHOLA</t>
  </si>
  <si>
    <t>HASMUDIN</t>
  </si>
  <si>
    <t>DIPAK</t>
  </si>
  <si>
    <t>PREMA</t>
  </si>
  <si>
    <t>SUMATHI/DIPAK/HAUWIYA</t>
  </si>
  <si>
    <t>SHAHID/PREMA/PUNES</t>
  </si>
  <si>
    <t>PUNES</t>
  </si>
  <si>
    <t>KAIMULAH</t>
  </si>
  <si>
    <t>SUMATHI</t>
  </si>
  <si>
    <t>HAUWIAY</t>
  </si>
  <si>
    <t>SHESHNATH</t>
  </si>
  <si>
    <t>BC28-0265-SCC-A-Q-CL</t>
  </si>
  <si>
    <t>BB38-0060-R-R-CL</t>
  </si>
  <si>
    <t>JJ63-0240-R-R-CL</t>
  </si>
  <si>
    <t>Change mould.</t>
  </si>
  <si>
    <t>Under tech startup start 4pm.</t>
  </si>
  <si>
    <t>Gate off center.</t>
  </si>
  <si>
    <t>hot runner no stanbdy</t>
  </si>
  <si>
    <t>Stop 11.10am C/oder.</t>
  </si>
  <si>
    <t xml:space="preserve">Change mould </t>
  </si>
  <si>
    <t>Discolour.</t>
  </si>
  <si>
    <t>Start 9am.Lumphy gate off center.</t>
  </si>
  <si>
    <t>Under tech stop 1pm adjust white mark &amp;  wvay start 6pm.</t>
  </si>
  <si>
    <t>Run well.L.test.Wavy 20ctn on hold qc.</t>
  </si>
  <si>
    <t>start 9am back dot &amp; base soft lupmhy.</t>
  </si>
  <si>
    <t>RAIS</t>
  </si>
  <si>
    <t>RAIS/HASMUDIN/VICKY</t>
  </si>
  <si>
    <t>HABIRAMI/MOGANA/BINOD</t>
  </si>
  <si>
    <t>KAVITHAH</t>
  </si>
  <si>
    <t>BINOD</t>
  </si>
  <si>
    <t>CHANDAN</t>
  </si>
  <si>
    <t>Run well.L.test</t>
  </si>
  <si>
    <t>Discolour</t>
  </si>
  <si>
    <t xml:space="preserve"> Start time 12.30am quality issue flashing,white mark</t>
  </si>
  <si>
    <t>Run well</t>
  </si>
  <si>
    <t>Lumphy.L.test</t>
  </si>
  <si>
    <t>Black dot,vawy.L.test</t>
  </si>
  <si>
    <t>Run well.L.test,qc on hold</t>
  </si>
  <si>
    <t>C/order.L.test</t>
  </si>
  <si>
    <t>Base soff.L.test</t>
  </si>
  <si>
    <t>Stop 12.30am,upper mold screw loose,start time 1.45am,body scratches</t>
  </si>
  <si>
    <t>Blookage.L.test</t>
  </si>
  <si>
    <t>HAUWIYA</t>
  </si>
  <si>
    <t>C/order.</t>
  </si>
  <si>
    <t>Drooling.</t>
  </si>
  <si>
    <t>HAUWIYA/PREMA/SHAHID</t>
  </si>
  <si>
    <t>JJ63-0155-TH-R-CL</t>
  </si>
  <si>
    <t>Start 12.30pm</t>
  </si>
  <si>
    <t>SUMATHI/KALAMUDIN/PUNES</t>
  </si>
  <si>
    <t>OSHI</t>
  </si>
  <si>
    <t>Lumphy gate off center.</t>
  </si>
  <si>
    <t>THURGA</t>
  </si>
  <si>
    <t>Under tech adjust white mark.</t>
  </si>
  <si>
    <t>RAM</t>
  </si>
  <si>
    <t>Run well.L.test.Wavy 60ctnctn on hold qc.</t>
  </si>
  <si>
    <t>Back dot &amp; base soft lupmhy.</t>
  </si>
  <si>
    <t>JIWAN</t>
  </si>
  <si>
    <t>NO SCHEDULE</t>
  </si>
  <si>
    <t>NIPU</t>
  </si>
  <si>
    <t>Drooling</t>
  </si>
  <si>
    <t>BINOD/CHANDAN</t>
  </si>
  <si>
    <t>NIPU/JIYALAL</t>
  </si>
  <si>
    <t>Silver  streak.L.test</t>
  </si>
  <si>
    <t>Run well.L.test.wavy 120ctn,qc on hold</t>
  </si>
  <si>
    <t>JIYALAL</t>
  </si>
  <si>
    <t>NIRAJAN</t>
  </si>
  <si>
    <t>Wvay</t>
  </si>
  <si>
    <t>Under tech adjust height problem.</t>
  </si>
  <si>
    <t>SUMATHI/SHAHID</t>
  </si>
  <si>
    <t>Under tech cycle alarm.</t>
  </si>
  <si>
    <t>NITESH</t>
  </si>
  <si>
    <t>Run well.L.test.8plt hold qc wvay</t>
  </si>
  <si>
    <t>THURGA/OSHI</t>
  </si>
  <si>
    <t>ASNULLAH</t>
  </si>
  <si>
    <t>Black dot</t>
  </si>
  <si>
    <t>HAS</t>
  </si>
  <si>
    <t>Selver streak</t>
  </si>
  <si>
    <t>HAS/KYAW SWAR</t>
  </si>
  <si>
    <t>JALALUDIN/ASNULLAH</t>
  </si>
  <si>
    <t>Base white mark.L.test</t>
  </si>
  <si>
    <t>NIKHIL</t>
  </si>
  <si>
    <t>KYAW SWAR</t>
  </si>
  <si>
    <t>WIYAH</t>
  </si>
  <si>
    <t>Screw blow core loose.</t>
  </si>
  <si>
    <t>ZAM</t>
  </si>
  <si>
    <t>KALAMODIN/FARAH/PUVENS</t>
  </si>
  <si>
    <t>Flasning.</t>
  </si>
  <si>
    <t>SUMATHI/SHAHID/WIYAH</t>
  </si>
  <si>
    <t>Discolour.C j/o</t>
  </si>
  <si>
    <t>Ciscolour.</t>
  </si>
  <si>
    <t>KAIMULLAH</t>
  </si>
  <si>
    <t>PUVENES</t>
  </si>
  <si>
    <t>Lumphy,body soft.</t>
  </si>
  <si>
    <t>FARAH</t>
  </si>
  <si>
    <t>JJ63-0850-RH-R-CL</t>
  </si>
  <si>
    <t>Under tech mould change.start 5.50am</t>
  </si>
  <si>
    <t>Stop 1.15am C/order.</t>
  </si>
  <si>
    <t>BC28-0355-SCC-A-Q-CL</t>
  </si>
  <si>
    <t>Startup start 5am</t>
  </si>
  <si>
    <t>Drooling.L.test</t>
  </si>
  <si>
    <t>Stop 2.30am C/order.</t>
  </si>
  <si>
    <t>JJ63-0550-S-Q-CL</t>
  </si>
  <si>
    <t>Under tech mould change.</t>
  </si>
  <si>
    <t>BINOD/NIKHIL</t>
  </si>
  <si>
    <t>White mark.L.test.</t>
  </si>
  <si>
    <t>Base soft.L.test.</t>
  </si>
  <si>
    <t>VICKY/NIRAJAN</t>
  </si>
  <si>
    <t>Body line mark.L.test.</t>
  </si>
  <si>
    <t>ASMULAH</t>
  </si>
  <si>
    <t>White mark.</t>
  </si>
  <si>
    <t>Blockage &amp; drooling.L.test.</t>
  </si>
  <si>
    <t>WIYAH/FARAH</t>
  </si>
  <si>
    <t>Start 4.30pm.</t>
  </si>
  <si>
    <t>Gate off center.Stop 4.30pm.C/order.</t>
  </si>
  <si>
    <t>SUMATHI/KALAMUDIN</t>
  </si>
  <si>
    <t>RAM/PUNESWARY</t>
  </si>
  <si>
    <t>Gate off center &amp; base cloudy.L.test.</t>
  </si>
  <si>
    <t>Body gap.L.test.Qc on hold 36ctn.</t>
  </si>
  <si>
    <t>FARAHANA</t>
  </si>
  <si>
    <t>Black dot.L.test.</t>
  </si>
  <si>
    <t>Body flow mark.L.test.</t>
  </si>
  <si>
    <t>Topup sorting reject.</t>
  </si>
  <si>
    <t>KALAI</t>
  </si>
  <si>
    <t>ASMULAH/MOGANA</t>
  </si>
  <si>
    <t>Tech adjust drooling.L.test</t>
  </si>
  <si>
    <t>VICKY/RAIS</t>
  </si>
  <si>
    <t>Under tech adjust stop 10.50pm enject pressure problem</t>
  </si>
  <si>
    <t>Under tech adjust gate off center white mark.</t>
  </si>
  <si>
    <t>KALAI/HABIRAMI</t>
  </si>
  <si>
    <t>Base soft &amp; lupmhy.L.test.</t>
  </si>
  <si>
    <t>JX63-1000-E-R-CL</t>
  </si>
  <si>
    <t>Under tech Start up</t>
  </si>
  <si>
    <t>gate off center.</t>
  </si>
  <si>
    <t>DIPAK/SUMATHI</t>
  </si>
  <si>
    <t>Drooling.L.test.</t>
  </si>
  <si>
    <t>Injection preasure problem.Restart 3.30pm.Flashing at lip area.</t>
  </si>
  <si>
    <t>Often under tech adjustment.Body deform &amp; thread deform.Stop 5.15pm.</t>
  </si>
  <si>
    <t>FARAH/PREMA</t>
  </si>
  <si>
    <t>Drooling &amp; oily mark.L.test.</t>
  </si>
  <si>
    <t>Body flow mark.L.test.Separate packing.</t>
  </si>
  <si>
    <t>Under tech quality issue lip flashing thickness problem.start 3.20am</t>
  </si>
  <si>
    <t>White mark</t>
  </si>
  <si>
    <t>NIRAJAN/HABIRAMI</t>
  </si>
  <si>
    <t>drooling.L.test.</t>
  </si>
  <si>
    <t>RAIS/MOGANA</t>
  </si>
  <si>
    <t>Tech adjsut stop 12.50am water mark start 2am</t>
  </si>
  <si>
    <t>Tech adjust gate off center white mark.Stop 6.am C/order.</t>
  </si>
  <si>
    <t>VICKY/BHOLA</t>
  </si>
  <si>
    <t>White mark neck line mark.L.test.</t>
  </si>
  <si>
    <t>IRSAD</t>
  </si>
  <si>
    <t>ASMULAH/NIKHIL</t>
  </si>
  <si>
    <t>Base deform &amp; gate off.Mc stop under supplier test air filter.</t>
  </si>
  <si>
    <t>Soft at neck &amp; drooling.</t>
  </si>
  <si>
    <t>Drooling &amp; water mark.L.test.</t>
  </si>
  <si>
    <t>FARAH/SUMATHI</t>
  </si>
  <si>
    <t>Run well.</t>
  </si>
  <si>
    <t>RAM/PUNES</t>
  </si>
  <si>
    <t>JJ63-0350-NH-R-CL</t>
  </si>
  <si>
    <t>Start 4pm.Base bulging.</t>
  </si>
  <si>
    <t>Start 8am.gate off center.</t>
  </si>
  <si>
    <t>WIYAH/KALAMUDIN</t>
  </si>
  <si>
    <t>Shining  under tech adjust.L.test.Qc on hold 36ctn.</t>
  </si>
  <si>
    <t>JIWAN/SHESHNATH</t>
  </si>
  <si>
    <t>Flow mark under tech adjust..L.test.</t>
  </si>
  <si>
    <t>Gate off center water mark bubble.</t>
  </si>
  <si>
    <t>VICKY/BHOLA/HABIRAMI</t>
  </si>
  <si>
    <t>MOGANA/NIPU</t>
  </si>
  <si>
    <t>Base deform drooling.</t>
  </si>
  <si>
    <t>Lumphy.</t>
  </si>
  <si>
    <t>JALALUDIN/NIRAJAN</t>
  </si>
  <si>
    <t>White mark drooling line mark.L.test.</t>
  </si>
  <si>
    <t>Base soft black dot.L.test.</t>
  </si>
  <si>
    <t>WIYAH/SHAHID</t>
  </si>
  <si>
    <t>Stop 9.15am.C/order.</t>
  </si>
  <si>
    <t>JG63-0175-R-R-AM</t>
  </si>
  <si>
    <t>Start 4.30pm.Run well.</t>
  </si>
  <si>
    <t>FARAH/SUMATHI/DIPAK</t>
  </si>
  <si>
    <t>Neck &amp; base deform.</t>
  </si>
  <si>
    <t>Gate off center.L.test.</t>
  </si>
  <si>
    <t>RAM/PUINES</t>
  </si>
  <si>
    <t>Shining mark under tech adjust..L.test.</t>
  </si>
  <si>
    <t>Gate off center &amp; soft.L.test.</t>
  </si>
  <si>
    <t>Line mark.L.test.</t>
  </si>
  <si>
    <t>HABIRAMI/MOGNA</t>
  </si>
  <si>
    <t>Base soft.</t>
  </si>
  <si>
    <t>ASMULAH/CHANDAN/IRSAD</t>
  </si>
  <si>
    <t>Stop 8.20pm C/order.</t>
  </si>
  <si>
    <t>JJ63-0350-EH-R-CL</t>
  </si>
  <si>
    <t>Start 12am stop 2.30am under tech quality issue white mark.</t>
  </si>
  <si>
    <t>C/oder.</t>
  </si>
  <si>
    <t>BINOD/NIPU</t>
  </si>
  <si>
    <t>Tech adjustment base soft lupmhy.L.test.</t>
  </si>
  <si>
    <t>Under tech adjust flow mark line mark.L.test.</t>
  </si>
  <si>
    <t>Soft at neck &amp; drooling,lumpy.</t>
  </si>
  <si>
    <t>Drooling.L.test.Stop 4.00pm c/order.</t>
  </si>
  <si>
    <t>ZAM/WIYAH</t>
  </si>
  <si>
    <t>White mark,drooling.L.test.</t>
  </si>
  <si>
    <t>Stop 9.00am hc go to labelling.</t>
  </si>
  <si>
    <t>KALAMUDIN/FARAH</t>
  </si>
  <si>
    <t>Gate off center,lumphy &amp; soft.L.test.</t>
  </si>
  <si>
    <t>DIPAK/PUNES</t>
  </si>
  <si>
    <t>Line mark.L.test.Line mark 9ctn.</t>
  </si>
  <si>
    <t>KAIMULLAH/DILIP</t>
  </si>
  <si>
    <t>Body soft droolong.</t>
  </si>
  <si>
    <t>Tech adjust bubble silver streak Drooling.L.test.</t>
  </si>
  <si>
    <t>IRSAD/NIKHIL</t>
  </si>
  <si>
    <t>NIPU/JALALUDIN</t>
  </si>
  <si>
    <t>JIYA</t>
  </si>
  <si>
    <t>KALAMODIN/JIWAN</t>
  </si>
  <si>
    <t>White mark,silver mark.L.test.</t>
  </si>
  <si>
    <t>SHIVA</t>
  </si>
  <si>
    <t>Run well..L.test.</t>
  </si>
  <si>
    <t>SHAHID/ZAM</t>
  </si>
  <si>
    <t>Line mark.L.test.Line mark 15ctn.</t>
  </si>
  <si>
    <t>KAIMULLAH/NITESH</t>
  </si>
  <si>
    <t>JALALUDIN/NIPU</t>
  </si>
  <si>
    <t>NIKHIL/CHANDAN</t>
  </si>
  <si>
    <t>Tech adjust base defrom,bubble,stop 9.pm charging problem</t>
  </si>
  <si>
    <t>Body  dented &amp; neck discolour.L,test.</t>
  </si>
  <si>
    <t>KALAMODN</t>
  </si>
  <si>
    <t>BX38-0250-SM-R-WH</t>
  </si>
  <si>
    <t>Colour not match with qc sample.</t>
  </si>
  <si>
    <t>SUMATHI/WIYAH</t>
  </si>
  <si>
    <t>Silver mark,drooling.L.test.Stop 1.00pm quality issue.</t>
  </si>
  <si>
    <t>Drooling,white mark.</t>
  </si>
  <si>
    <t>PUVES</t>
  </si>
  <si>
    <t>DROLLINGl.L.test.</t>
  </si>
  <si>
    <t>Run well..L.test.C j/o.</t>
  </si>
  <si>
    <t>RAM/KALAMODIN</t>
  </si>
  <si>
    <t>KAIMULLAH/OSHI</t>
  </si>
  <si>
    <t>KAVITHA</t>
  </si>
  <si>
    <t>Under tech hot runner problem yellow colour.</t>
  </si>
  <si>
    <t>HABIRAMI/JALALUDIN</t>
  </si>
  <si>
    <t>Under tech tech adjustment quality issue silver streak.</t>
  </si>
  <si>
    <t>MOGANA/ASMULAH</t>
  </si>
  <si>
    <t>Base soft gate off center.L.test.</t>
  </si>
  <si>
    <t>CHANDAN/NIPU</t>
  </si>
  <si>
    <t>shift_output</t>
  </si>
  <si>
    <t>inward</t>
  </si>
  <si>
    <t>qty_balance</t>
  </si>
  <si>
    <t>material_used</t>
  </si>
  <si>
    <t>runner</t>
  </si>
  <si>
    <t>reject_startup_per</t>
  </si>
  <si>
    <t>reject_prod_per</t>
  </si>
  <si>
    <t>PUVES/FARAH</t>
  </si>
  <si>
    <t>WIYAH/SHAHID/SUMATHI</t>
  </si>
  <si>
    <t>WIYAH/SUMATHI</t>
  </si>
  <si>
    <t>SHESHNATH/OSHI</t>
  </si>
  <si>
    <t>LALALUDIN/HABIRAMI</t>
  </si>
  <si>
    <t>BHOLA/RAIS</t>
  </si>
  <si>
    <t>MOGANA/HABIRAMI</t>
  </si>
  <si>
    <t>Inward only.</t>
  </si>
  <si>
    <t>Change mould.Testing colour.</t>
  </si>
  <si>
    <t>Discolour,yellowish.</t>
  </si>
  <si>
    <t>Silver mark,drooling,white mark,thread damageL.test.</t>
  </si>
  <si>
    <t>Gate off center.Stop 9.40am.C/order.</t>
  </si>
  <si>
    <t>BC28-0750-GS-R-CL</t>
  </si>
  <si>
    <t>Change mould</t>
  </si>
  <si>
    <t>Stop 9.30am pump bearing change,material liking .L.test.</t>
  </si>
  <si>
    <t>Run well.L.test.Stop 10.30am</t>
  </si>
  <si>
    <t>Run well.L.test.Cj/o.</t>
  </si>
  <si>
    <t>BC28-0200-SB-R-CL</t>
  </si>
  <si>
    <t>Under tech quality issue drooling &amp; dented.start 1am</t>
  </si>
  <si>
    <t>Yellowish.</t>
  </si>
  <si>
    <t>Tech adjust drooling Silver streak.</t>
  </si>
  <si>
    <t>Material leaking.start 8.30pmL.test.</t>
  </si>
  <si>
    <t>Under tech quality issue base lupmhy gate off center.</t>
  </si>
  <si>
    <t>Base soft lupmhy.L.test.</t>
  </si>
  <si>
    <t>Under tech stop 10.20pm flashing and burr and neck line mark.start 12.am</t>
  </si>
  <si>
    <t>PUNES/FARAH</t>
  </si>
  <si>
    <t>BINOD/MOGANA</t>
  </si>
  <si>
    <t>BHOAL</t>
  </si>
  <si>
    <t>CHANDAN/HABIRAMI</t>
  </si>
  <si>
    <t>BHOLA/HASMUDIN</t>
  </si>
  <si>
    <t>RAIS/NIRAJAN</t>
  </si>
  <si>
    <t>yellowish.</t>
  </si>
  <si>
    <t>Silver streak &amp; thread deform.L.test.</t>
  </si>
  <si>
    <t>Start 12.45pm.L.test.</t>
  </si>
  <si>
    <t>Nozzle barrel material leaking.</t>
  </si>
  <si>
    <t>Under tech adjustment.start 6.30pm.</t>
  </si>
  <si>
    <t>Gate off center...L.test.</t>
  </si>
  <si>
    <t>Stop 5am C/order.</t>
  </si>
  <si>
    <t>BC28-0375-K-R-Tinted Brown</t>
  </si>
  <si>
    <t>Tech change mould.</t>
  </si>
  <si>
    <t>Under mntc teibar mould broken.stop 3.30am</t>
  </si>
  <si>
    <t>Under tech quality issue adjustment lumphy gate off center.</t>
  </si>
  <si>
    <t>FARAH/KALAMUDIN</t>
  </si>
  <si>
    <t>SUMATHI/WIYAH/SHAHID</t>
  </si>
  <si>
    <t>OSHI/KAIMULLAH</t>
  </si>
  <si>
    <t>KALAI/IRSAD</t>
  </si>
  <si>
    <t>JALALUDIN/RAIS</t>
  </si>
  <si>
    <t>HABIRAMI/NIRAJAN</t>
  </si>
  <si>
    <t>Start 4pm.base dented qc on hold 3tray(1104pcs)</t>
  </si>
  <si>
    <t>Restart 11am.Run well.</t>
  </si>
  <si>
    <t>Discolour &amp; hole sometimes.</t>
  </si>
  <si>
    <t>JJ63-0300-R-R-CL</t>
  </si>
  <si>
    <t>Start 10.30am.Discolour.</t>
  </si>
  <si>
    <t>Silver streak.L.test.</t>
  </si>
  <si>
    <t>Hot runner material leaking.</t>
  </si>
  <si>
    <t>Base lumpy &amp; dented.</t>
  </si>
  <si>
    <t>base lumpy..L.test.</t>
  </si>
  <si>
    <t>Gate off center &amp; lumpy..L.test.</t>
  </si>
  <si>
    <t>Prefrom stuck.L.test.</t>
  </si>
  <si>
    <t>Black dot dirty.L.test.</t>
  </si>
  <si>
    <t>Creak discolour.L.test.</t>
  </si>
  <si>
    <t>Lupmhy gate off centerl.L.test.</t>
  </si>
  <si>
    <t>PUNESWARY/WIYAH</t>
  </si>
  <si>
    <t>SHAHID/KALAMUDIN</t>
  </si>
  <si>
    <t>SUMATHI/JIWAN</t>
  </si>
  <si>
    <t>JIWAN/SUMATHI</t>
  </si>
  <si>
    <t>ASMULAH/KAVITHA</t>
  </si>
  <si>
    <t>Bottle dirty.L.test.</t>
  </si>
  <si>
    <t>Water mark.</t>
  </si>
  <si>
    <t>Restart 9am.Discolour &amp; crack sometimes.L.test.</t>
  </si>
  <si>
    <t>Stop 10am.c/order.</t>
  </si>
  <si>
    <t>JJ63-0500-RH-R-CL</t>
  </si>
  <si>
    <t>Start 5pm.Thread deform &amp; silver streak.Stop 6.30pm.Quality issue.</t>
  </si>
  <si>
    <t>Stop 11.30am.C/order.</t>
  </si>
  <si>
    <t>BX38-1000-GH-R-CL(GREEN) (ASEM)</t>
  </si>
  <si>
    <t>Under tech.change mould.</t>
  </si>
  <si>
    <t>Dirty black dot.L.test.</t>
  </si>
  <si>
    <t>Stop 3am C/order.</t>
  </si>
  <si>
    <t>Tech change mould</t>
  </si>
  <si>
    <t>Creak.L.test.</t>
  </si>
  <si>
    <t>Under tech hot runner problem.</t>
  </si>
  <si>
    <t>Under tech quality issue thickness problem.start 1.30am.tech adjust shot moulding.</t>
  </si>
  <si>
    <t>THURGA/KALAMUDIN</t>
  </si>
  <si>
    <t>KAIMULLAH/LL</t>
  </si>
  <si>
    <t>Waiting master batch.</t>
  </si>
  <si>
    <t>discolour &amp; hole sometimes.</t>
  </si>
  <si>
    <t>Hot runner problem..</t>
  </si>
  <si>
    <t>Run well..L.test.Stop 1.50pm.lower mould turn table alarm.Under mntc.</t>
  </si>
  <si>
    <t>HABIRAMI/MOGANA</t>
  </si>
  <si>
    <t>HASMUDIN/KAVITHA</t>
  </si>
  <si>
    <t>SHAHID/WIYAH</t>
  </si>
  <si>
    <t>Under mntc stop 9am blow core screw broken 4.30pm under tech hot runner material leaking.</t>
  </si>
  <si>
    <t>BX38-0500-S-S-CL-LW</t>
  </si>
  <si>
    <t>Under mntc.</t>
  </si>
  <si>
    <t>Stop 12.20am C/order.</t>
  </si>
  <si>
    <t>Tec change mould.</t>
  </si>
  <si>
    <t>Under mntc stop 11.40am tiebar damgae.</t>
  </si>
  <si>
    <t>JJ63-0190-E-Q-CL-LW</t>
  </si>
  <si>
    <t>Stop 4.20pm C/order.</t>
  </si>
  <si>
    <t>Hot runner problem.start 10.40am</t>
  </si>
  <si>
    <t>Lupmhy.</t>
  </si>
  <si>
    <t>Under tech quality issue tech adjustment body gap oss.29ctn onhold qc</t>
  </si>
  <si>
    <t>Base soft lupmhy black dot.L.test.</t>
  </si>
  <si>
    <t>Run well.l.test.</t>
  </si>
  <si>
    <t>Under tech.Hot runner mtrl leaking.</t>
  </si>
  <si>
    <t>Start 2.30am.Run well.</t>
  </si>
  <si>
    <t>Start 3am.Drooling &amp; discolour.</t>
  </si>
  <si>
    <t>Start 1am.Base deform &amp;  lip burr.</t>
  </si>
  <si>
    <t>Thread deform.</t>
  </si>
  <si>
    <t>Body gap cav 2..Separatte packing.L.test.</t>
  </si>
  <si>
    <t>Gate off center &amp; oily mark.l.test.Stop 2.30am base mould screw broken.</t>
  </si>
  <si>
    <t>MOGANA/KAVITHA</t>
  </si>
  <si>
    <t>IRSAD/HABIRAMI</t>
  </si>
  <si>
    <t>HABIRAMI/AIN SYELIZA</t>
  </si>
  <si>
    <t>HABIRAMI/IRSAD</t>
  </si>
  <si>
    <t>ZAM/KALAMUDIN</t>
  </si>
  <si>
    <t>PUNES/SHAHID</t>
  </si>
  <si>
    <t>Under tech.Hot runner mtrl leaking.start 4pm</t>
  </si>
  <si>
    <t>Tech adjsut base deform burr drooling.</t>
  </si>
  <si>
    <t>Under mntc base mould screw broken.startr 12.40pm.</t>
  </si>
  <si>
    <t>Drooling &amp; black dot.</t>
  </si>
  <si>
    <t>Base deform &amp; soft.</t>
  </si>
  <si>
    <t>Body gap cav 20.Separatte packing.L.test.Under tech adjustment.</t>
  </si>
  <si>
    <t>Gate off center &amp; lumpy.L.tyest.</t>
  </si>
  <si>
    <t>KAVITHA/HABIRAMI</t>
  </si>
  <si>
    <t>IRSAD/MOGANA</t>
  </si>
  <si>
    <t>ASMULAH/HAS</t>
  </si>
  <si>
    <t>WIYAH/ZAM</t>
  </si>
  <si>
    <t>FARAH/SUMATHI/KALMUDIN</t>
  </si>
  <si>
    <t>WIYAH/PUNES</t>
  </si>
  <si>
    <t>Under mntc stop 2.40pm chiller change.start 4.30pm.</t>
  </si>
  <si>
    <t>Material finish hot material loading already inform tech 9.40am start 11am tech adjust gate off center.</t>
  </si>
  <si>
    <t>Under mntc stop 9.20am lower mould moving up bottle hight out spec.start 11am.black dot base soft L.test.</t>
  </si>
  <si>
    <t xml:space="preserve">Stop 9.20am </t>
  </si>
  <si>
    <t>Sample</t>
  </si>
  <si>
    <t>C170D New logo cavity number test.</t>
  </si>
  <si>
    <t>2time Blockage</t>
  </si>
  <si>
    <t>Blockage.Stop 9.30pm-3am.Under tech.</t>
  </si>
  <si>
    <t>Blockage.Gate off center.Change nomex paper.</t>
  </si>
  <si>
    <t>Lip screw broken.</t>
  </si>
  <si>
    <t>Under tech.Injection unconsistent cant control.</t>
  </si>
  <si>
    <t>BX38-1000-RH-R-CL(GREEN) (ASEM)</t>
  </si>
  <si>
    <t>Start 9.45pm.Run well.</t>
  </si>
  <si>
    <t>Blockage.L.test.</t>
  </si>
  <si>
    <t>MOGANA/BHOLA</t>
  </si>
  <si>
    <t>RAIS/HABIRAMI/KAVITHA</t>
  </si>
  <si>
    <t>BHOLA/MOGANA</t>
  </si>
  <si>
    <t>NIKHIL/NIRAJAN</t>
  </si>
  <si>
    <t>ZAM/SUMATHI</t>
  </si>
  <si>
    <t>SHAHID/FARAH</t>
  </si>
  <si>
    <t>ZAM/PUNES</t>
  </si>
  <si>
    <t>SUMATHI/ZAM</t>
  </si>
  <si>
    <t>OSHI/JIWAN</t>
  </si>
  <si>
    <t>Tech adjust burr.</t>
  </si>
  <si>
    <t>C/order</t>
  </si>
  <si>
    <t>JJ63-0650-HD-CL</t>
  </si>
  <si>
    <t>Under tech quality issue base line mark.</t>
  </si>
  <si>
    <t>Black dot base soft lumphy.L.test.</t>
  </si>
  <si>
    <t>Blockage.</t>
  </si>
  <si>
    <t>Start 9.40pm.Run well.</t>
  </si>
  <si>
    <t>Testing block.</t>
  </si>
  <si>
    <t>Base lumpy &amp; soft.L.test.</t>
  </si>
  <si>
    <t>JALALUDIN/KAVITHA</t>
  </si>
  <si>
    <t>RAIS/MOGNANA</t>
  </si>
  <si>
    <t>HABIRAAMI</t>
  </si>
  <si>
    <t>HASMUDIN/NIPU</t>
  </si>
  <si>
    <t>PUNES/KALAMUDIN</t>
  </si>
  <si>
    <t>Run well.L.test.Dirty.</t>
  </si>
  <si>
    <t>Under mntc stop 8.30am barrel leaking.start 6.20pm</t>
  </si>
  <si>
    <t>Under mntc stop 9am hot runner screw broken.</t>
  </si>
  <si>
    <t>Tech change base mould start 6.30pm qc byoff 6.50pm.</t>
  </si>
  <si>
    <t>Base deform &amp; drooling.</t>
  </si>
  <si>
    <t>Restart 8.30pm.White mark.</t>
  </si>
  <si>
    <t>Base deform</t>
  </si>
  <si>
    <t>Stop 9.30pm.C/order.</t>
  </si>
  <si>
    <t xml:space="preserve">BX38-0750-R-WH </t>
  </si>
  <si>
    <t>Start 4am.Gate off center.</t>
  </si>
  <si>
    <t>Base lumpy.L.test.</t>
  </si>
  <si>
    <t>Under the.Dome heighft/Thcikness.</t>
  </si>
  <si>
    <t>IRSAD/ASMULAH</t>
  </si>
  <si>
    <t>SUMATHI/SHAHID/RAM</t>
  </si>
  <si>
    <t>White mark hole.</t>
  </si>
  <si>
    <t>Under mntc stop 7am  blow mould slow down</t>
  </si>
  <si>
    <t xml:space="preserve">Stop 12.pm </t>
  </si>
  <si>
    <t>JJ63-0200-R-R-CL</t>
  </si>
  <si>
    <t>Under tech startup Start 3.30pm</t>
  </si>
  <si>
    <t>Under tech stop 12pm change normal paper.start 1.30pm stop run stop quality issuse tech adjust silver streak .</t>
  </si>
  <si>
    <t>SAMPLE</t>
  </si>
  <si>
    <t>Sample run 5ctn.</t>
  </si>
  <si>
    <t>Line mark &amp; drooling.</t>
  </si>
  <si>
    <t>JALALUDIN/HBOLA/BINOD</t>
  </si>
  <si>
    <t>KYWAR</t>
  </si>
  <si>
    <t>HASMUDIN/ASMULAH</t>
  </si>
  <si>
    <t>SUMATHI/DIN/DIPAK</t>
  </si>
  <si>
    <t>KAIMULLAH/RAM</t>
  </si>
  <si>
    <t>SHESHNATH/NITESH</t>
  </si>
  <si>
    <t>Droolling whate mark.</t>
  </si>
  <si>
    <t>Under mntc  blow mould slow down</t>
  </si>
  <si>
    <t>Under tech adjust burr.</t>
  </si>
  <si>
    <t>Under tech quality issuse tech adjust silver streak .</t>
  </si>
  <si>
    <t>Oily.L.test.</t>
  </si>
  <si>
    <t>Black dot.L.test.C j/o.</t>
  </si>
  <si>
    <t>NIPU/JALALUDIN/VICKY</t>
  </si>
  <si>
    <t>KAVITHA/RAIS</t>
  </si>
  <si>
    <t>MOGANA/RAIS</t>
  </si>
  <si>
    <t>IRSAD/NIRAJAN</t>
  </si>
  <si>
    <t>SUMATHI/LL</t>
  </si>
  <si>
    <t>SHAHID/PUNES</t>
  </si>
  <si>
    <t>KALAMUDIN/SUMATHI</t>
  </si>
  <si>
    <t>Oily mark.Dirty.L.test.</t>
  </si>
  <si>
    <t>Waiting for colour.</t>
  </si>
  <si>
    <t>Drooling white mark.</t>
  </si>
  <si>
    <t>Under tech stop 10.50am leaking.start 11.40am C/oder.2.30pm</t>
  </si>
  <si>
    <t>BW38-0280-LS-R-RED</t>
  </si>
  <si>
    <t>Under tech stop 10.50am leaking.start 11.40am</t>
  </si>
  <si>
    <t>Neck area burr.</t>
  </si>
  <si>
    <t>Start 9.50am under tech adjust drooling silver streak.C/order 2pm</t>
  </si>
  <si>
    <t>JJ63-0750-HX-H-CL-LW</t>
  </si>
  <si>
    <t>Under tech quality issue base deform.</t>
  </si>
  <si>
    <t>Sample only inward.</t>
  </si>
  <si>
    <t>Sample run.</t>
  </si>
  <si>
    <t>Start 9.40am Oliy mark body scratches.</t>
  </si>
  <si>
    <t>Start 9.30am Base soft &amp; lupmhy.L.test.</t>
  </si>
  <si>
    <t>Waiting masterbatch.</t>
  </si>
  <si>
    <t>Start 10.30pm.Flashing at lip area &amp; silver streak.</t>
  </si>
  <si>
    <t>Restart 9.30pm.Run well.</t>
  </si>
  <si>
    <t>Start 8.30pm.White mark.</t>
  </si>
  <si>
    <t>Stop 10.30pm.C/order.</t>
  </si>
  <si>
    <t>BX38-2000-RH-R-CL (WHITE) (ASEM)</t>
  </si>
  <si>
    <t>Under tech.Quality issue.Neck dented.</t>
  </si>
  <si>
    <t>Base soft &amp; lumy.L.test.</t>
  </si>
  <si>
    <t>KAVITHA/MOGANA</t>
  </si>
  <si>
    <t>HABIRAMI/RAIS</t>
  </si>
  <si>
    <t>PUNES/SUMATHI</t>
  </si>
  <si>
    <t>ZAM/SHAHID</t>
  </si>
  <si>
    <t>DIPAK/FARAH</t>
  </si>
  <si>
    <t>Dirty.L.test.</t>
  </si>
  <si>
    <t>Silver streak.</t>
  </si>
  <si>
    <t>Stop 12.20pm.C/order.</t>
  </si>
  <si>
    <t>BB38-0090-R-R-CL</t>
  </si>
  <si>
    <t>Tech quality issue shot moulding Start 3.30pm.</t>
  </si>
  <si>
    <t>Tech adjust drooling silver streak.</t>
  </si>
  <si>
    <t>Only inward.mould 2.</t>
  </si>
  <si>
    <t>Under tech quality issue neck dented.start 9.40am.tech adjust lumphy and gate off center base soft.</t>
  </si>
  <si>
    <t>White mark &amp; deform.Mc stop 11.30pm.Hr nozzle #1 temprature down.</t>
  </si>
  <si>
    <t>Inward.</t>
  </si>
  <si>
    <t>Gate off center &amp; white mark.</t>
  </si>
  <si>
    <t>White mark.Change nomex paper.Often bottle stuck.</t>
  </si>
  <si>
    <t>Gate point dirty &amp; gate off.L.test.</t>
  </si>
  <si>
    <t>JALALUDIN/VICKY</t>
  </si>
  <si>
    <t>IRRSAD</t>
  </si>
  <si>
    <t>FARAH/PUNES</t>
  </si>
  <si>
    <t>JIWAN/NITESH</t>
  </si>
  <si>
    <t>Mtaerial loading 5pm 2.8%</t>
  </si>
  <si>
    <t>Under tech Hr nozzle #1 temprature down start 11.20am</t>
  </si>
  <si>
    <t>JJ63-0250-R-R-CL</t>
  </si>
  <si>
    <t>Only inward.mould 3.</t>
  </si>
  <si>
    <t>Mc sometime bottle stuck lip.Lumphy and gate off center.</t>
  </si>
  <si>
    <t>Run well.L.test.old ctn qc onhold sorting body gap  reject 54kg.</t>
  </si>
  <si>
    <t>Body gap qc onhold 22ctn.</t>
  </si>
  <si>
    <t>Colour not match with qc sample.Already mixed 2.3%/25/1.9%/1.7%/1.5%/1%.</t>
  </si>
  <si>
    <t>White mark &amp; gate off.Change nomex paper.</t>
  </si>
  <si>
    <t>Base rounded.</t>
  </si>
  <si>
    <t>Lip screw broken.Shot moulding &amp; base bulging.</t>
  </si>
  <si>
    <t>Strech tip broken.Thread deform &amp; gate off center.</t>
  </si>
  <si>
    <t>BX38-2000-RH-R-CL(GREEN) (ASEM)</t>
  </si>
  <si>
    <t>Parting line thick.</t>
  </si>
  <si>
    <t>Gate point dirty &amp; gate off center.L.test.</t>
  </si>
  <si>
    <t>Run sample.</t>
  </si>
  <si>
    <t>Cav 4 separate packing.L.test.</t>
  </si>
  <si>
    <t>BHOLA/HAS/NIRAJAN</t>
  </si>
  <si>
    <t>KALAMUDIN/NITESH</t>
  </si>
  <si>
    <t>RAM/FARAH</t>
  </si>
  <si>
    <t>Dirty Run well.L.test.</t>
  </si>
  <si>
    <t>Under tech startup material loading time 9am.under tech quality isssue flow mark silver streak.</t>
  </si>
  <si>
    <t>Body soft.</t>
  </si>
  <si>
    <t>Under tech adjust gate off center.</t>
  </si>
  <si>
    <t xml:space="preserve">Under mntc stop 11.10am chiller change.start 12pm </t>
  </si>
  <si>
    <t>Only inward mould4</t>
  </si>
  <si>
    <t>Tech start 1pm.</t>
  </si>
  <si>
    <t>Base soft black dot lumphy.</t>
  </si>
  <si>
    <t>Under tech startup.</t>
  </si>
  <si>
    <t>Run well.L.test.body gap 8ctn.</t>
  </si>
  <si>
    <t>Under tech.Quality issue base deform.</t>
  </si>
  <si>
    <t>BC28-0150-A1-Q-CL</t>
  </si>
  <si>
    <t>Under tech start up.</t>
  </si>
  <si>
    <t>Stop 2.30am.C/order.</t>
  </si>
  <si>
    <t>JJ63-0750-R-R-CL-LW</t>
  </si>
  <si>
    <t>Start 4.30am.Weight out spec.On hold 4ctn.</t>
  </si>
  <si>
    <t>Gate off center &amp; drooling.L.test.</t>
  </si>
  <si>
    <t>Under tech run sample.</t>
  </si>
  <si>
    <t>Separate cav 4 body gap.L.test.</t>
  </si>
  <si>
    <t>NIPU/RAIS</t>
  </si>
  <si>
    <t>MOGANA/KAVITHA/HABIRAMI</t>
  </si>
  <si>
    <t>HAS/NIRAJAN</t>
  </si>
  <si>
    <t>FARAH/OSHI</t>
  </si>
  <si>
    <t>THURGA/DIPAK</t>
  </si>
  <si>
    <t>NITESH/JIWAN</t>
  </si>
  <si>
    <t>Under tech heater porblem start 4pm.</t>
  </si>
  <si>
    <t>Under tech.Quality issue base deform.Start 9.45am colour light.start 2pm</t>
  </si>
  <si>
    <t>White mark droolling.</t>
  </si>
  <si>
    <t>Lip test.</t>
  </si>
  <si>
    <t>BX38-0100-C-R-AM</t>
  </si>
  <si>
    <t>Neck dented.</t>
  </si>
  <si>
    <t>Seperate cav 4 body gap.L.test.Under mntc stop 10.30am chiller change.start 12pm.</t>
  </si>
  <si>
    <t>Discolour.L.test.</t>
  </si>
  <si>
    <t>Base dented &amp; silver streak.</t>
  </si>
  <si>
    <t>Under tech.Quality issue .Body deform.</t>
  </si>
  <si>
    <t>Start 4.15am.Drooling &amp; shot moulding.</t>
  </si>
  <si>
    <t>Gate off center &amp; thread deform.</t>
  </si>
  <si>
    <t>Gate off center &amp; body scratches.</t>
  </si>
  <si>
    <t>cav #20 seoarate packing.Thickness Out spec cav 22.Qc on hold .L.test.Stop 4am.</t>
  </si>
  <si>
    <t xml:space="preserve">Separate cav 4 body gap.L.test.  Body gap oss cavity4 saro to ask  Scrap 24ctn </t>
  </si>
  <si>
    <t>VICKY/DILIP</t>
  </si>
  <si>
    <t>NIKHIL/JAJALUDIN</t>
  </si>
  <si>
    <t>RAIS/BINOD</t>
  </si>
  <si>
    <t>MOGANA/VICKY/DILIP</t>
  </si>
  <si>
    <t>NIKHIL/BHOLA</t>
  </si>
  <si>
    <t>HAS/NIPU</t>
  </si>
  <si>
    <t>THURGA/SUMATHI</t>
  </si>
  <si>
    <t>FARAH/KAALAMUDIN</t>
  </si>
  <si>
    <t>Tech adjust line mark base dented &amp; silver streak.</t>
  </si>
  <si>
    <t>Under tech.quality issue .Body deform.start 10.40am.Drooling.</t>
  </si>
  <si>
    <t>Under mntc paipe broken stop 11.40am start 12.40pm</t>
  </si>
  <si>
    <t>Under tech quality issue Thickness Out spec.start 4.25pm.body gap 6ctn scrap.</t>
  </si>
  <si>
    <t>Base soft lumphy.L.test.</t>
  </si>
  <si>
    <t>base dented &amp; silver streak.</t>
  </si>
  <si>
    <t>white mark.</t>
  </si>
  <si>
    <t>Stop 11.45pm.C/order.</t>
  </si>
  <si>
    <t>BX38-0100-C-R-CL</t>
  </si>
  <si>
    <t>Under tech.Quality issue.Cav #3 dented &amp; cav 4 line mark.</t>
  </si>
  <si>
    <t>Restart 4.15am.Run well.</t>
  </si>
  <si>
    <t>Gate off center &amp; thread deform.Stop 4am.C/order.</t>
  </si>
  <si>
    <t>JJ63-0400-RH-R-CL</t>
  </si>
  <si>
    <t>Mould no standby.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</si>
</sst>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"/>
      <name val="Gill Sans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8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14" fontId="0" fillId="33" borderId="0" xfId="0" applyNumberFormat="1" applyFill="1"/>
    <xf numFmtId="0" fontId="0" fillId="33" borderId="0" xfId="0" applyFill="1"/>
    <xf numFmtId="3" fontId="0" fillId="33" borderId="0" xfId="0" applyNumberFormat="1" applyFill="1"/>
    <xf numFmtId="0" fontId="0" fillId="0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2" xr:uid="{60DFE278-50BF-446C-AAC6-5FBFE6359473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9" formatCode="d/m/yyyy"/>
    </dxf>
  </dxfs>
  <tableStyles count="1" defaultTableStyle="TableStyleMedium2" defaultPivotStyle="PivotStyleLight16">
    <tableStyle name="Invisible" pivot="0" table="0" count="0" xr9:uid="{9F2B6540-F4A2-4013-9276-FF4DB6B801A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A3AED7-4AB3-4FB9-B711-0C8E1B741B13}" name="Table1" displayName="Table1" ref="A1:AN1036" totalsRowShown="0">
  <autoFilter ref="A1:AN1036" xr:uid="{CDA3AED7-4AB3-4FB9-B711-0C8E1B741B13}"/>
  <tableColumns count="40">
    <tableColumn id="1" xr3:uid="{8202B7C4-1663-4A34-93B9-A3E9ED9EFF6B}" name="production_date" dataDxfId="7"/>
    <tableColumn id="2" xr3:uid="{32BC71A9-9E63-47CF-9BFC-1E19C274A425}" name="shift"/>
    <tableColumn id="3" xr3:uid="{7367ACB5-247D-4B46-8CC2-C5EB654E2E59}" name="id_machine"/>
    <tableColumn id="4" xr3:uid="{F83E28B3-8DA7-4680-90B8-3386B1DD1897}" name="packer"/>
    <tableColumn id="5" xr3:uid="{0FA7FA98-F967-4632-855E-34DAE6C1F52F}" name="material"/>
    <tableColumn id="6" xr3:uid="{DA014BA5-4AA8-422C-AD36-73DAAE5D38E2}" name="id_type"/>
    <tableColumn id="7" xr3:uid="{97515693-29B4-4F74-9B17-447793712FE8}" name="mould"/>
    <tableColumn id="8" xr3:uid="{051C9E00-77D9-487C-AC4B-5A2189C6FADE}" name="type"/>
    <tableColumn id="9" xr3:uid="{6C64FBEB-7DB0-48F6-97F0-1D7F50A865AD}" name="jo_no"/>
    <tableColumn id="10" xr3:uid="{B6456A8F-61E6-430C-9909-3DC38530011C}" name="qty_perct"/>
    <tableColumn id="11" xr3:uid="{EF715F0F-BC19-45BB-83A4-9DE03BC901F4}" name="gross_weight"/>
    <tableColumn id="12" xr3:uid="{E7C84F8B-8DFD-4A04-824A-069DFC83E2D6}" name="part_weight"/>
    <tableColumn id="13" xr3:uid="{57375876-F68B-4678-910A-B88CD8DCA68B}" name="shot"/>
    <tableColumn id="14" xr3:uid="{A64C30D4-808A-4428-8666-D7A745917E53}" name="qty_order" dataDxfId="6"/>
    <tableColumn id="15" xr3:uid="{0F723D98-A912-4E0D-A77C-799642150137}" name="wip_opening" dataDxfId="5"/>
    <tableColumn id="16" xr3:uid="{8B199F98-9D21-48FC-8D96-0B0C6D8A1B19}" name="wip_closing" dataDxfId="4"/>
    <tableColumn id="17" xr3:uid="{9703AAB1-F2F8-46C4-9ACB-4FFE2F371E21}" name="shift_output" dataDxfId="3"/>
    <tableColumn id="18" xr3:uid="{B46B1F1C-6D1B-4972-9347-C574C8437ED7}" name="finish_good" dataDxfId="2"/>
    <tableColumn id="19" xr3:uid="{494EC1A7-7B27-4BD7-B509-CC943651F084}" name="inward"/>
    <tableColumn id="20" xr3:uid="{F6D5F05D-C643-4EE2-B5FF-DE6D35533D1D}" name="qty_accum" dataDxfId="1"/>
    <tableColumn id="21" xr3:uid="{7FB20902-4B95-457E-A244-2DF8E67D7FAC}" name="qty_balance" dataDxfId="0"/>
    <tableColumn id="22" xr3:uid="{4EB6CA3B-5A55-42CF-B1E2-B719109C1AD0}" name="material_used"/>
    <tableColumn id="23" xr3:uid="{7668C38F-61C3-4533-BA04-BE86F09B2EA3}" name="runner"/>
    <tableColumn id="24" xr3:uid="{2F855D58-0773-4AB5-A5C6-02D8495BD3A4}" name="reject_startup"/>
    <tableColumn id="25" xr3:uid="{9BAF5E82-C7F6-457C-8319-8540799896C9}" name="reject_startup_per"/>
    <tableColumn id="26" xr3:uid="{D65D130E-3D3F-44B7-83F5-EE31C80ACAA6}" name="reject_prod"/>
    <tableColumn id="27" xr3:uid="{426F1231-6DC6-4665-A2B9-25023675638D}" name="reject_prod_per"/>
    <tableColumn id="28" xr3:uid="{D9FCDF8D-FCBF-4010-9FF7-CF607B738F5A}" name="act_ct"/>
    <tableColumn id="29" xr3:uid="{4C4BA4C2-F5D7-40C6-94E7-982F3252CDFD}" name="production_running"/>
    <tableColumn id="30" xr3:uid="{DB5A4D0B-5172-4B5B-857B-2E5C512ABECF}" name="sap_ct"/>
    <tableColumn id="31" xr3:uid="{4BFEDC10-7489-4D36-8BBC-5CF7641FE919}" name=" change_full_set "/>
    <tableColumn id="32" xr3:uid="{694E9F54-056D-4D12-9263-4142890E668C}" name=" change_half_set "/>
    <tableColumn id="33" xr3:uid="{A95206B8-5FED-4DC2-A2AF-D4360C85707B}" name=" change_parts "/>
    <tableColumn id="34" xr3:uid="{DDE221C5-70FD-4EE9-8A38-101CF92EF875}" name=" maintenance_dt "/>
    <tableColumn id="35" xr3:uid="{59A0817C-8B07-4E85-8576-71D343EA6DA3}" name=" technician_dt ">
      <calculatedColumnFormula>12 - Table1[[#This Row],[production_running]] - Table1[[#This Row],[ change_full_set ]] - Table1[[#This Row],[ change_half_set ]] - Table1[[#This Row],[ change_parts ]] - Table1[[#This Row],[ maintenance_dt ]] - Table1[[#This Row],[production_dt]]</calculatedColumnFormula>
    </tableColumn>
    <tableColumn id="36" xr3:uid="{4D4BE8D3-154D-466A-9729-11B5185BE0D6}" name="production_dt"/>
    <tableColumn id="37" xr3:uid="{98DA190E-D82D-499C-A8C4-CDA729DF9666}" name="remark"/>
    <tableColumn id="38" xr3:uid="{2925B96A-31A1-47D7-B3B4-993FE84A0236}" name="reject_purging"/>
    <tableColumn id="39" xr3:uid="{5D6B59BE-8A4D-4FFF-991D-5915D71576E7}" name="reject_preform"/>
    <tableColumn id="40" xr3:uid="{5C275CAE-F9CE-4810-A950-3D6655787BE5}" name="reject_total_pcs">
      <calculatedColumnFormula>INT(Table1[[#This Row],[reject_prod]]/Table1[[#This Row],[part_weight]] * 1000)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C433B-6826-4D3D-BFE5-3518FDA6F944}">
  <dimension ref="A1:AN1036"/>
  <sheetViews>
    <sheetView tabSelected="1" topLeftCell="A1017" zoomScaleNormal="100" workbookViewId="0">
      <selection activeCell="K1034" sqref="K1034"/>
    </sheetView>
  </sheetViews>
  <sheetFormatPr defaultRowHeight="14.5"/>
  <cols>
    <col min="1" max="1" width="16.90625" customWidth="1"/>
    <col min="3" max="3" width="12.453125" customWidth="1"/>
    <col min="5" max="5" width="9.81640625" customWidth="1"/>
    <col min="6" max="6" width="9.08984375" customWidth="1"/>
    <col min="10" max="10" width="10.90625" customWidth="1"/>
    <col min="11" max="11" width="13.81640625" customWidth="1"/>
    <col min="12" max="12" width="13" customWidth="1"/>
    <col min="14" max="14" width="11.1796875" customWidth="1"/>
    <col min="15" max="15" width="13.54296875" customWidth="1"/>
    <col min="16" max="16" width="12.453125" customWidth="1"/>
    <col min="17" max="17" width="12.54296875" customWidth="1"/>
    <col min="18" max="18" width="11.90625" customWidth="1"/>
    <col min="19" max="19" width="14.81640625" customWidth="1"/>
    <col min="20" max="20" width="12.6328125" customWidth="1"/>
    <col min="22" max="22" width="19.54296875" customWidth="1"/>
    <col min="24" max="24" width="16.81640625" customWidth="1"/>
    <col min="25" max="25" width="17.36328125" customWidth="1"/>
    <col min="26" max="26" width="15" customWidth="1"/>
    <col min="27" max="27" width="17.453125" customWidth="1"/>
    <col min="28" max="28" width="15.08984375" customWidth="1"/>
    <col min="29" max="29" width="14.90625" customWidth="1"/>
    <col min="30" max="30" width="8.90625" customWidth="1"/>
    <col min="31" max="31" width="14.90625" customWidth="1"/>
    <col min="32" max="32" width="15.54296875" customWidth="1"/>
    <col min="33" max="33" width="16.36328125" customWidth="1"/>
    <col min="35" max="35" width="9.453125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296</v>
      </c>
      <c r="R1" t="s">
        <v>16</v>
      </c>
      <c r="S1" t="s">
        <v>297</v>
      </c>
      <c r="T1" t="s">
        <v>17</v>
      </c>
      <c r="U1" t="s">
        <v>298</v>
      </c>
      <c r="V1" t="s">
        <v>299</v>
      </c>
      <c r="W1" t="s">
        <v>300</v>
      </c>
      <c r="X1" t="s">
        <v>18</v>
      </c>
      <c r="Y1" t="s">
        <v>301</v>
      </c>
      <c r="Z1" t="s">
        <v>19</v>
      </c>
      <c r="AA1" t="s">
        <v>302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</row>
    <row r="2" spans="1:40">
      <c r="A2" s="1">
        <v>46024</v>
      </c>
      <c r="B2">
        <v>1</v>
      </c>
      <c r="C2">
        <v>1</v>
      </c>
      <c r="D2" t="s">
        <v>61</v>
      </c>
      <c r="E2" t="s">
        <v>34</v>
      </c>
      <c r="F2">
        <v>347623</v>
      </c>
      <c r="G2">
        <v>0</v>
      </c>
      <c r="H2" t="s">
        <v>35</v>
      </c>
      <c r="I2">
        <v>10682194</v>
      </c>
      <c r="J2">
        <v>4</v>
      </c>
      <c r="K2">
        <v>35.6</v>
      </c>
      <c r="L2">
        <v>35.6</v>
      </c>
      <c r="M2">
        <v>1650</v>
      </c>
      <c r="N2" s="2">
        <v>40480</v>
      </c>
      <c r="O2">
        <v>1140</v>
      </c>
      <c r="P2">
        <v>368</v>
      </c>
      <c r="R2" s="2">
        <v>7360</v>
      </c>
      <c r="T2" s="2">
        <v>29808</v>
      </c>
      <c r="X2">
        <v>2</v>
      </c>
      <c r="Z2">
        <v>3.2</v>
      </c>
      <c r="AB2">
        <v>26.4</v>
      </c>
      <c r="AC2">
        <v>12</v>
      </c>
      <c r="AD2">
        <v>27</v>
      </c>
      <c r="AI2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2" t="s">
        <v>51</v>
      </c>
      <c r="AL2">
        <v>3.6</v>
      </c>
      <c r="AM2">
        <v>3</v>
      </c>
      <c r="AN2">
        <f>INT(Table1[[#This Row],[reject_prod]]/Table1[[#This Row],[part_weight]] * 1000)</f>
        <v>89</v>
      </c>
    </row>
    <row r="3" spans="1:40">
      <c r="A3" s="1">
        <v>46024</v>
      </c>
      <c r="B3">
        <v>1</v>
      </c>
      <c r="C3">
        <v>2</v>
      </c>
      <c r="D3" t="s">
        <v>33</v>
      </c>
      <c r="E3" t="s">
        <v>34</v>
      </c>
      <c r="F3">
        <v>416201</v>
      </c>
      <c r="G3">
        <v>0</v>
      </c>
      <c r="H3" t="s">
        <v>36</v>
      </c>
      <c r="I3">
        <v>10681779</v>
      </c>
      <c r="J3">
        <v>4</v>
      </c>
      <c r="K3">
        <v>20</v>
      </c>
      <c r="L3">
        <v>30</v>
      </c>
      <c r="M3">
        <v>0</v>
      </c>
      <c r="N3" s="2">
        <v>50400</v>
      </c>
      <c r="O3" s="2">
        <v>2940</v>
      </c>
      <c r="P3" s="2">
        <v>2940</v>
      </c>
      <c r="R3">
        <v>0</v>
      </c>
      <c r="T3" s="2">
        <v>13020</v>
      </c>
      <c r="X3">
        <v>0</v>
      </c>
      <c r="Z3">
        <v>0</v>
      </c>
      <c r="AB3">
        <v>0</v>
      </c>
      <c r="AC3">
        <v>0</v>
      </c>
      <c r="AD3">
        <v>38.64</v>
      </c>
      <c r="AI3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3" t="s">
        <v>73</v>
      </c>
      <c r="AL3">
        <v>4.7</v>
      </c>
      <c r="AM3">
        <v>2.5</v>
      </c>
      <c r="AN3">
        <f>INT(Table1[[#This Row],[reject_prod]]/Table1[[#This Row],[part_weight]] * 1000)</f>
        <v>0</v>
      </c>
    </row>
    <row r="4" spans="1:40">
      <c r="A4" s="1">
        <v>46024</v>
      </c>
      <c r="B4">
        <v>1</v>
      </c>
      <c r="C4">
        <v>2</v>
      </c>
      <c r="D4" t="s">
        <v>43</v>
      </c>
      <c r="E4" t="s">
        <v>34</v>
      </c>
      <c r="F4">
        <v>423213</v>
      </c>
      <c r="G4">
        <v>0</v>
      </c>
      <c r="H4" t="s">
        <v>70</v>
      </c>
      <c r="I4">
        <v>10682754</v>
      </c>
      <c r="J4">
        <v>4</v>
      </c>
      <c r="K4">
        <v>23</v>
      </c>
      <c r="L4">
        <v>23</v>
      </c>
      <c r="M4">
        <v>286</v>
      </c>
      <c r="N4" s="2">
        <v>47244</v>
      </c>
      <c r="O4">
        <v>0</v>
      </c>
      <c r="P4" s="2">
        <v>1143</v>
      </c>
      <c r="R4">
        <v>0</v>
      </c>
      <c r="T4" s="2">
        <v>1143</v>
      </c>
      <c r="X4">
        <v>6</v>
      </c>
      <c r="Z4">
        <v>0.3</v>
      </c>
      <c r="AB4">
        <v>22.4</v>
      </c>
      <c r="AC4">
        <v>1.779555556</v>
      </c>
      <c r="AD4">
        <v>22.5</v>
      </c>
      <c r="AF4">
        <v>3.5</v>
      </c>
      <c r="AI4">
        <f>12 - Table1[[#This Row],[production_running]] - Table1[[#This Row],[ change_full_set ]] - Table1[[#This Row],[ change_half_set ]] - Table1[[#This Row],[ change_parts ]] - Table1[[#This Row],[ maintenance_dt ]] - Table1[[#This Row],[production_dt]]</f>
        <v>6.720444444</v>
      </c>
      <c r="AK4" t="s">
        <v>74</v>
      </c>
      <c r="AN4">
        <f>INT(Table1[[#This Row],[reject_prod]]/Table1[[#This Row],[part_weight]] * 1000)</f>
        <v>13</v>
      </c>
    </row>
    <row r="5" spans="1:40">
      <c r="A5" s="1">
        <v>46024</v>
      </c>
      <c r="B5">
        <v>1</v>
      </c>
      <c r="C5">
        <v>3</v>
      </c>
      <c r="D5" t="s">
        <v>62</v>
      </c>
      <c r="E5" t="s">
        <v>34</v>
      </c>
      <c r="F5">
        <v>442034</v>
      </c>
      <c r="G5">
        <v>0</v>
      </c>
      <c r="H5" t="s">
        <v>37</v>
      </c>
      <c r="I5">
        <v>10681182</v>
      </c>
      <c r="J5">
        <v>4</v>
      </c>
      <c r="K5">
        <v>23</v>
      </c>
      <c r="L5">
        <v>23</v>
      </c>
      <c r="M5">
        <v>1632</v>
      </c>
      <c r="N5" s="2">
        <v>139776</v>
      </c>
      <c r="O5">
        <v>768</v>
      </c>
      <c r="P5">
        <v>2688</v>
      </c>
      <c r="R5" s="2">
        <v>4608</v>
      </c>
      <c r="T5" s="2">
        <v>94848</v>
      </c>
      <c r="X5">
        <v>0</v>
      </c>
      <c r="Z5">
        <v>4.3</v>
      </c>
      <c r="AB5">
        <v>25.9</v>
      </c>
      <c r="AC5">
        <v>11.74133333</v>
      </c>
      <c r="AD5">
        <v>22</v>
      </c>
      <c r="AI5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0.25866667000000021</v>
      </c>
      <c r="AK5" t="s">
        <v>75</v>
      </c>
      <c r="AN5">
        <f>INT(Table1[[#This Row],[reject_prod]]/Table1[[#This Row],[part_weight]] * 1000)</f>
        <v>186</v>
      </c>
    </row>
    <row r="6" spans="1:40">
      <c r="A6" s="1">
        <v>46024</v>
      </c>
      <c r="B6">
        <v>1</v>
      </c>
      <c r="C6">
        <v>4</v>
      </c>
      <c r="D6" t="s">
        <v>33</v>
      </c>
      <c r="E6" t="s">
        <v>34</v>
      </c>
      <c r="F6">
        <v>322383</v>
      </c>
      <c r="G6">
        <v>0</v>
      </c>
      <c r="H6" t="s">
        <v>71</v>
      </c>
      <c r="I6">
        <v>10682756</v>
      </c>
      <c r="J6">
        <v>4</v>
      </c>
      <c r="K6">
        <v>12.5</v>
      </c>
      <c r="L6">
        <v>12.5</v>
      </c>
      <c r="M6">
        <v>0</v>
      </c>
      <c r="N6" s="2">
        <v>66000</v>
      </c>
      <c r="O6">
        <v>0</v>
      </c>
      <c r="P6">
        <v>0</v>
      </c>
      <c r="R6">
        <v>0</v>
      </c>
      <c r="T6">
        <v>0</v>
      </c>
      <c r="X6">
        <v>0</v>
      </c>
      <c r="Z6">
        <v>0</v>
      </c>
      <c r="AB6">
        <v>0</v>
      </c>
      <c r="AC6">
        <v>0</v>
      </c>
      <c r="AD6">
        <v>17.920000000000002</v>
      </c>
      <c r="AI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6" t="s">
        <v>76</v>
      </c>
      <c r="AL6">
        <v>3</v>
      </c>
      <c r="AM6">
        <v>2</v>
      </c>
      <c r="AN6">
        <f>INT(Table1[[#This Row],[reject_prod]]/Table1[[#This Row],[part_weight]] * 1000)</f>
        <v>0</v>
      </c>
    </row>
    <row r="7" spans="1:40">
      <c r="A7" s="1">
        <v>46024</v>
      </c>
      <c r="B7">
        <v>1</v>
      </c>
      <c r="C7">
        <v>5</v>
      </c>
      <c r="D7" t="s">
        <v>33</v>
      </c>
      <c r="E7" t="s">
        <v>34</v>
      </c>
      <c r="F7">
        <v>611949</v>
      </c>
      <c r="G7">
        <v>0</v>
      </c>
      <c r="H7" t="s">
        <v>38</v>
      </c>
      <c r="I7">
        <v>10680235</v>
      </c>
      <c r="J7">
        <v>4</v>
      </c>
      <c r="K7">
        <v>20</v>
      </c>
      <c r="L7">
        <v>20</v>
      </c>
      <c r="M7">
        <v>0</v>
      </c>
      <c r="N7" s="2">
        <v>83600</v>
      </c>
      <c r="O7">
        <v>0</v>
      </c>
      <c r="P7">
        <v>0</v>
      </c>
      <c r="R7">
        <v>0</v>
      </c>
      <c r="T7">
        <v>0</v>
      </c>
      <c r="X7">
        <v>0</v>
      </c>
      <c r="Z7">
        <v>0</v>
      </c>
      <c r="AB7">
        <v>0</v>
      </c>
      <c r="AC7">
        <v>0</v>
      </c>
      <c r="AD7">
        <v>21.64</v>
      </c>
      <c r="AI7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7" t="s">
        <v>39</v>
      </c>
      <c r="AN7">
        <f>INT(Table1[[#This Row],[reject_prod]]/Table1[[#This Row],[part_weight]] * 1000)</f>
        <v>0</v>
      </c>
    </row>
    <row r="8" spans="1:40">
      <c r="A8" s="1">
        <v>46024</v>
      </c>
      <c r="B8">
        <v>1</v>
      </c>
      <c r="C8">
        <v>6</v>
      </c>
      <c r="D8" t="s">
        <v>63</v>
      </c>
      <c r="E8" t="s">
        <v>41</v>
      </c>
      <c r="F8">
        <v>620994</v>
      </c>
      <c r="G8">
        <v>0</v>
      </c>
      <c r="H8" t="s">
        <v>42</v>
      </c>
      <c r="I8">
        <v>10681844</v>
      </c>
      <c r="J8">
        <v>4</v>
      </c>
      <c r="K8">
        <v>32.74</v>
      </c>
      <c r="L8">
        <v>33</v>
      </c>
      <c r="M8">
        <v>890</v>
      </c>
      <c r="N8" s="2">
        <v>11776</v>
      </c>
      <c r="O8">
        <v>2048</v>
      </c>
      <c r="P8">
        <v>0</v>
      </c>
      <c r="R8" s="2">
        <v>5632</v>
      </c>
      <c r="T8" s="2">
        <v>11776</v>
      </c>
      <c r="X8">
        <v>0</v>
      </c>
      <c r="Z8">
        <v>1.2</v>
      </c>
      <c r="AB8">
        <v>22.22</v>
      </c>
      <c r="AC8">
        <v>5.4932777780000004</v>
      </c>
      <c r="AD8">
        <v>22</v>
      </c>
      <c r="AI8">
        <f>12 - Table1[[#This Row],[production_running]] - Table1[[#This Row],[ change_full_set ]] - Table1[[#This Row],[ change_half_set ]] - Table1[[#This Row],[ change_parts ]] - Table1[[#This Row],[ maintenance_dt ]] - Table1[[#This Row],[production_dt]]</f>
        <v>6.5067222219999996</v>
      </c>
      <c r="AK8" t="s">
        <v>77</v>
      </c>
      <c r="AL8">
        <v>2.5</v>
      </c>
      <c r="AM8">
        <v>4.5</v>
      </c>
      <c r="AN8">
        <f>INT(Table1[[#This Row],[reject_prod]]/Table1[[#This Row],[part_weight]] * 1000)</f>
        <v>36</v>
      </c>
    </row>
    <row r="9" spans="1:40">
      <c r="A9" s="1">
        <v>46024</v>
      </c>
      <c r="B9">
        <v>1</v>
      </c>
      <c r="C9">
        <v>6</v>
      </c>
      <c r="D9" t="s">
        <v>33</v>
      </c>
      <c r="E9" t="s">
        <v>34</v>
      </c>
      <c r="F9">
        <v>322419</v>
      </c>
      <c r="G9">
        <v>0</v>
      </c>
      <c r="H9" t="s">
        <v>72</v>
      </c>
      <c r="I9">
        <v>10678687</v>
      </c>
      <c r="J9">
        <v>4</v>
      </c>
      <c r="K9">
        <v>24.18</v>
      </c>
      <c r="L9">
        <v>24.8</v>
      </c>
      <c r="M9">
        <v>0</v>
      </c>
      <c r="N9" s="2">
        <v>7200</v>
      </c>
      <c r="O9">
        <v>0</v>
      </c>
      <c r="P9">
        <v>0</v>
      </c>
      <c r="R9">
        <v>0</v>
      </c>
      <c r="T9">
        <v>0</v>
      </c>
      <c r="X9">
        <v>0</v>
      </c>
      <c r="Z9">
        <v>0</v>
      </c>
      <c r="AB9">
        <v>0</v>
      </c>
      <c r="AC9">
        <v>0</v>
      </c>
      <c r="AD9">
        <v>22</v>
      </c>
      <c r="AE9">
        <v>5.5</v>
      </c>
      <c r="AI9">
        <f>12 - Table1[[#This Row],[production_running]] - Table1[[#This Row],[ change_full_set ]] - Table1[[#This Row],[ change_half_set ]] - Table1[[#This Row],[ change_parts ]] - Table1[[#This Row],[ maintenance_dt ]] - Table1[[#This Row],[production_dt]]</f>
        <v>6.5</v>
      </c>
      <c r="AK9" t="s">
        <v>78</v>
      </c>
      <c r="AN9">
        <f>INT(Table1[[#This Row],[reject_prod]]/Table1[[#This Row],[part_weight]] * 1000)</f>
        <v>0</v>
      </c>
    </row>
    <row r="10" spans="1:40">
      <c r="A10" s="1">
        <v>46024</v>
      </c>
      <c r="B10">
        <v>1</v>
      </c>
      <c r="C10">
        <v>7</v>
      </c>
      <c r="D10" t="s">
        <v>64</v>
      </c>
      <c r="E10" t="s">
        <v>34</v>
      </c>
      <c r="F10">
        <v>324165</v>
      </c>
      <c r="G10">
        <v>0</v>
      </c>
      <c r="H10" t="s">
        <v>44</v>
      </c>
      <c r="I10">
        <v>10680238</v>
      </c>
      <c r="J10">
        <v>4</v>
      </c>
      <c r="K10">
        <v>32.56</v>
      </c>
      <c r="L10">
        <v>33</v>
      </c>
      <c r="M10">
        <v>1924</v>
      </c>
      <c r="N10" s="2">
        <v>104192</v>
      </c>
      <c r="O10" s="2">
        <v>1184</v>
      </c>
      <c r="P10">
        <v>1776</v>
      </c>
      <c r="R10" s="2">
        <v>7104</v>
      </c>
      <c r="T10" s="2">
        <v>65712</v>
      </c>
      <c r="X10">
        <v>0</v>
      </c>
      <c r="Z10">
        <v>8.8000000000000007</v>
      </c>
      <c r="AB10">
        <v>22.5</v>
      </c>
      <c r="AC10">
        <v>12</v>
      </c>
      <c r="AD10">
        <v>22</v>
      </c>
      <c r="AI10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10" t="s">
        <v>79</v>
      </c>
      <c r="AN10">
        <f>INT(Table1[[#This Row],[reject_prod]]/Table1[[#This Row],[part_weight]] * 1000)</f>
        <v>266</v>
      </c>
    </row>
    <row r="11" spans="1:40">
      <c r="A11" s="1">
        <v>46024</v>
      </c>
      <c r="B11">
        <v>1</v>
      </c>
      <c r="C11">
        <v>8</v>
      </c>
      <c r="D11" t="s">
        <v>43</v>
      </c>
      <c r="E11" t="s">
        <v>34</v>
      </c>
      <c r="F11">
        <v>323102</v>
      </c>
      <c r="G11">
        <v>0</v>
      </c>
      <c r="H11" t="s">
        <v>45</v>
      </c>
      <c r="I11">
        <v>10682922</v>
      </c>
      <c r="J11">
        <v>4</v>
      </c>
      <c r="K11">
        <v>56.9</v>
      </c>
      <c r="L11">
        <v>56.9</v>
      </c>
      <c r="M11" s="2">
        <v>1170</v>
      </c>
      <c r="N11" s="2">
        <v>38400</v>
      </c>
      <c r="O11">
        <v>0</v>
      </c>
      <c r="P11">
        <v>192</v>
      </c>
      <c r="R11" s="2">
        <v>4480</v>
      </c>
      <c r="T11" s="2">
        <v>11392</v>
      </c>
      <c r="X11">
        <v>5.6</v>
      </c>
      <c r="Z11">
        <v>7.8</v>
      </c>
      <c r="AB11">
        <v>27.74</v>
      </c>
      <c r="AC11">
        <v>9.0154999999999994</v>
      </c>
      <c r="AD11">
        <v>26</v>
      </c>
      <c r="AI11">
        <f>12 - Table1[[#This Row],[production_running]] - Table1[[#This Row],[ change_full_set ]] - Table1[[#This Row],[ change_half_set ]] - Table1[[#This Row],[ change_parts ]] - Table1[[#This Row],[ maintenance_dt ]] - Table1[[#This Row],[production_dt]]</f>
        <v>2.9845000000000006</v>
      </c>
      <c r="AK11" t="s">
        <v>80</v>
      </c>
      <c r="AL11">
        <v>5</v>
      </c>
      <c r="AM11">
        <v>6.5</v>
      </c>
      <c r="AN11">
        <f>INT(Table1[[#This Row],[reject_prod]]/Table1[[#This Row],[part_weight]] * 1000)</f>
        <v>137</v>
      </c>
    </row>
    <row r="12" spans="1:40">
      <c r="A12" s="1">
        <v>46024</v>
      </c>
      <c r="B12">
        <v>1</v>
      </c>
      <c r="C12">
        <v>9</v>
      </c>
      <c r="D12" t="s">
        <v>65</v>
      </c>
      <c r="E12" t="s">
        <v>46</v>
      </c>
      <c r="F12">
        <v>586276</v>
      </c>
      <c r="G12">
        <v>0</v>
      </c>
      <c r="H12" t="s">
        <v>47</v>
      </c>
      <c r="I12">
        <v>10682923</v>
      </c>
      <c r="J12">
        <v>6</v>
      </c>
      <c r="K12">
        <v>12.3</v>
      </c>
      <c r="L12">
        <v>12.3</v>
      </c>
      <c r="M12" s="2">
        <v>1620</v>
      </c>
      <c r="N12" s="2">
        <v>162000</v>
      </c>
      <c r="O12" s="2">
        <v>6480</v>
      </c>
      <c r="P12">
        <v>0</v>
      </c>
      <c r="R12" s="2">
        <v>16200</v>
      </c>
      <c r="T12" s="2">
        <v>24300</v>
      </c>
      <c r="X12">
        <v>0</v>
      </c>
      <c r="Z12">
        <v>1.2</v>
      </c>
      <c r="AB12">
        <v>25.5</v>
      </c>
      <c r="AC12">
        <v>11.475</v>
      </c>
      <c r="AD12">
        <v>26</v>
      </c>
      <c r="AI12">
        <f>12 - Table1[[#This Row],[production_running]] - Table1[[#This Row],[ change_full_set ]] - Table1[[#This Row],[ change_half_set ]] - Table1[[#This Row],[ change_parts ]] - Table1[[#This Row],[ maintenance_dt ]] - Table1[[#This Row],[production_dt]]</f>
        <v>0.52500000000000036</v>
      </c>
      <c r="AK12" t="s">
        <v>57</v>
      </c>
      <c r="AN12">
        <f>INT(Table1[[#This Row],[reject_prod]]/Table1[[#This Row],[part_weight]] * 1000)</f>
        <v>97</v>
      </c>
    </row>
    <row r="13" spans="1:40">
      <c r="A13" s="1">
        <v>46024</v>
      </c>
      <c r="B13">
        <v>1</v>
      </c>
      <c r="C13">
        <v>10</v>
      </c>
      <c r="D13" t="s">
        <v>40</v>
      </c>
      <c r="E13" t="s">
        <v>41</v>
      </c>
      <c r="F13">
        <v>593537</v>
      </c>
      <c r="G13">
        <v>0</v>
      </c>
      <c r="H13" t="s">
        <v>48</v>
      </c>
      <c r="I13">
        <v>10680019</v>
      </c>
      <c r="J13">
        <v>4</v>
      </c>
      <c r="K13">
        <v>56.5</v>
      </c>
      <c r="L13">
        <v>56.8</v>
      </c>
      <c r="M13">
        <v>640</v>
      </c>
      <c r="N13" s="2">
        <v>69000</v>
      </c>
      <c r="O13">
        <v>165</v>
      </c>
      <c r="P13">
        <v>230</v>
      </c>
      <c r="R13" s="2">
        <v>2300</v>
      </c>
      <c r="T13" s="2">
        <v>53130</v>
      </c>
      <c r="X13">
        <v>10</v>
      </c>
      <c r="Z13">
        <v>6.3</v>
      </c>
      <c r="AB13">
        <v>31.7</v>
      </c>
      <c r="AC13">
        <v>5.6355555559999999</v>
      </c>
      <c r="AD13">
        <v>28.5</v>
      </c>
      <c r="AI13">
        <f>12 - Table1[[#This Row],[production_running]] - Table1[[#This Row],[ change_full_set ]] - Table1[[#This Row],[ change_half_set ]] - Table1[[#This Row],[ change_parts ]] - Table1[[#This Row],[ maintenance_dt ]] - Table1[[#This Row],[production_dt]]</f>
        <v>6.3644444440000001</v>
      </c>
      <c r="AK13" t="s">
        <v>81</v>
      </c>
      <c r="AL13">
        <v>8</v>
      </c>
      <c r="AM13">
        <v>11</v>
      </c>
      <c r="AN13">
        <f>INT(Table1[[#This Row],[reject_prod]]/Table1[[#This Row],[part_weight]] * 1000)</f>
        <v>110</v>
      </c>
    </row>
    <row r="14" spans="1:40">
      <c r="A14" s="1">
        <v>46024</v>
      </c>
      <c r="B14">
        <v>1</v>
      </c>
      <c r="C14">
        <v>11</v>
      </c>
      <c r="D14" t="s">
        <v>66</v>
      </c>
      <c r="E14" t="s">
        <v>46</v>
      </c>
      <c r="F14">
        <v>552181</v>
      </c>
      <c r="G14">
        <v>1</v>
      </c>
      <c r="H14" t="s">
        <v>49</v>
      </c>
      <c r="I14">
        <v>10679363</v>
      </c>
      <c r="J14">
        <v>6</v>
      </c>
      <c r="K14">
        <v>18.8</v>
      </c>
      <c r="L14">
        <v>18.8</v>
      </c>
      <c r="M14" s="2">
        <v>1450</v>
      </c>
      <c r="N14" s="2">
        <v>108000</v>
      </c>
      <c r="O14" s="2">
        <v>2700</v>
      </c>
      <c r="P14" s="2">
        <v>5940</v>
      </c>
      <c r="R14" s="2">
        <v>5400</v>
      </c>
      <c r="T14" s="2">
        <v>38340</v>
      </c>
      <c r="X14">
        <v>0</v>
      </c>
      <c r="Z14">
        <v>4.3</v>
      </c>
      <c r="AB14">
        <v>27.7</v>
      </c>
      <c r="AC14">
        <v>11.15694444</v>
      </c>
      <c r="AD14">
        <v>27</v>
      </c>
      <c r="AI14">
        <f>12 - Table1[[#This Row],[production_running]] - Table1[[#This Row],[ change_full_set ]] - Table1[[#This Row],[ change_half_set ]] - Table1[[#This Row],[ change_parts ]] - Table1[[#This Row],[ maintenance_dt ]] - Table1[[#This Row],[production_dt]]</f>
        <v>0.84305555999999982</v>
      </c>
      <c r="AK14" t="s">
        <v>82</v>
      </c>
      <c r="AN14">
        <f>INT(Table1[[#This Row],[reject_prod]]/Table1[[#This Row],[part_weight]] * 1000)</f>
        <v>228</v>
      </c>
    </row>
    <row r="15" spans="1:40">
      <c r="A15" s="1">
        <v>46024</v>
      </c>
      <c r="B15">
        <v>1</v>
      </c>
      <c r="C15">
        <v>12</v>
      </c>
      <c r="D15" t="s">
        <v>67</v>
      </c>
      <c r="E15" t="s">
        <v>34</v>
      </c>
      <c r="F15">
        <v>620599</v>
      </c>
      <c r="G15">
        <v>0</v>
      </c>
      <c r="H15" t="s">
        <v>50</v>
      </c>
      <c r="I15">
        <v>10682336</v>
      </c>
      <c r="J15">
        <v>4</v>
      </c>
      <c r="K15">
        <v>55</v>
      </c>
      <c r="L15">
        <v>55</v>
      </c>
      <c r="M15" s="2">
        <v>1190</v>
      </c>
      <c r="N15" s="2">
        <v>72000</v>
      </c>
      <c r="O15">
        <v>225</v>
      </c>
      <c r="P15" s="2">
        <v>1350</v>
      </c>
      <c r="R15" s="2">
        <v>3600</v>
      </c>
      <c r="T15" s="2">
        <v>66150</v>
      </c>
      <c r="X15">
        <v>0</v>
      </c>
      <c r="Z15">
        <v>4.5999999999999996</v>
      </c>
      <c r="AB15">
        <v>28</v>
      </c>
      <c r="AC15">
        <v>9.2555555559999991</v>
      </c>
      <c r="AD15">
        <v>28</v>
      </c>
      <c r="AI15">
        <f>12 - Table1[[#This Row],[production_running]] - Table1[[#This Row],[ change_full_set ]] - Table1[[#This Row],[ change_half_set ]] - Table1[[#This Row],[ change_parts ]] - Table1[[#This Row],[ maintenance_dt ]] - Table1[[#This Row],[production_dt]]</f>
        <v>2.7444444440000009</v>
      </c>
      <c r="AK15" t="s">
        <v>83</v>
      </c>
      <c r="AN15">
        <f>INT(Table1[[#This Row],[reject_prod]]/Table1[[#This Row],[part_weight]] * 1000)</f>
        <v>83</v>
      </c>
    </row>
    <row r="16" spans="1:40">
      <c r="A16" s="1">
        <v>46024</v>
      </c>
      <c r="B16">
        <v>1</v>
      </c>
      <c r="C16">
        <v>13</v>
      </c>
      <c r="D16" t="s">
        <v>66</v>
      </c>
      <c r="E16" t="s">
        <v>46</v>
      </c>
      <c r="F16">
        <v>586276</v>
      </c>
      <c r="G16">
        <v>0</v>
      </c>
      <c r="H16" t="s">
        <v>47</v>
      </c>
      <c r="I16">
        <v>10682335</v>
      </c>
      <c r="J16">
        <v>6</v>
      </c>
      <c r="K16">
        <v>12.3</v>
      </c>
      <c r="L16">
        <v>12.3</v>
      </c>
      <c r="M16" s="2">
        <v>1680</v>
      </c>
      <c r="N16" s="2">
        <v>162000</v>
      </c>
      <c r="O16" s="2">
        <v>4860</v>
      </c>
      <c r="P16" s="2">
        <v>6885</v>
      </c>
      <c r="R16" s="2">
        <v>8100</v>
      </c>
      <c r="T16" s="2">
        <v>128385</v>
      </c>
      <c r="X16">
        <v>0</v>
      </c>
      <c r="Z16">
        <v>1.2</v>
      </c>
      <c r="AB16">
        <v>26</v>
      </c>
      <c r="AC16">
        <v>12</v>
      </c>
      <c r="AD16">
        <v>26</v>
      </c>
      <c r="AI1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16" t="s">
        <v>51</v>
      </c>
      <c r="AN16">
        <f>INT(Table1[[#This Row],[reject_prod]]/Table1[[#This Row],[part_weight]] * 1000)</f>
        <v>97</v>
      </c>
    </row>
    <row r="17" spans="1:40">
      <c r="A17" s="1">
        <v>46024</v>
      </c>
      <c r="B17">
        <v>1</v>
      </c>
      <c r="C17">
        <v>14</v>
      </c>
      <c r="D17" t="s">
        <v>68</v>
      </c>
      <c r="E17" t="s">
        <v>46</v>
      </c>
      <c r="F17">
        <v>555979</v>
      </c>
      <c r="G17">
        <v>1</v>
      </c>
      <c r="H17" t="s">
        <v>52</v>
      </c>
      <c r="I17">
        <v>10682931</v>
      </c>
      <c r="J17">
        <v>6</v>
      </c>
      <c r="K17">
        <v>28</v>
      </c>
      <c r="L17">
        <v>28</v>
      </c>
      <c r="M17">
        <v>970</v>
      </c>
      <c r="N17" s="2">
        <v>100800</v>
      </c>
      <c r="O17" s="2">
        <v>3240</v>
      </c>
      <c r="P17" s="2">
        <v>1344</v>
      </c>
      <c r="R17" s="2">
        <v>6720</v>
      </c>
      <c r="T17" s="2">
        <v>38304</v>
      </c>
      <c r="X17">
        <v>0</v>
      </c>
      <c r="Z17">
        <v>0.5</v>
      </c>
      <c r="AB17">
        <v>43.3</v>
      </c>
      <c r="AC17">
        <v>11.66694444</v>
      </c>
      <c r="AD17">
        <v>42</v>
      </c>
      <c r="AI17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0.33305556000000003</v>
      </c>
      <c r="AK17" t="s">
        <v>51</v>
      </c>
      <c r="AN17">
        <f>INT(Table1[[#This Row],[reject_prod]]/Table1[[#This Row],[part_weight]] * 1000)</f>
        <v>17</v>
      </c>
    </row>
    <row r="18" spans="1:40">
      <c r="A18" s="1">
        <v>46024</v>
      </c>
      <c r="B18">
        <v>1</v>
      </c>
      <c r="C18">
        <v>15</v>
      </c>
      <c r="D18" t="s">
        <v>66</v>
      </c>
      <c r="E18" t="s">
        <v>46</v>
      </c>
      <c r="F18">
        <v>552181</v>
      </c>
      <c r="G18">
        <v>2</v>
      </c>
      <c r="H18" t="s">
        <v>49</v>
      </c>
      <c r="I18">
        <v>10682933</v>
      </c>
      <c r="J18">
        <v>6</v>
      </c>
      <c r="K18">
        <v>18.8</v>
      </c>
      <c r="L18">
        <v>18.8</v>
      </c>
      <c r="M18">
        <v>1400</v>
      </c>
      <c r="N18" s="2">
        <v>108000</v>
      </c>
      <c r="O18">
        <v>1620</v>
      </c>
      <c r="P18">
        <v>0</v>
      </c>
      <c r="R18" s="2">
        <v>10800</v>
      </c>
      <c r="T18" s="2">
        <v>37800</v>
      </c>
      <c r="X18">
        <v>0</v>
      </c>
      <c r="Z18">
        <v>1.2</v>
      </c>
      <c r="AB18">
        <v>31.1</v>
      </c>
      <c r="AC18">
        <v>12</v>
      </c>
      <c r="AD18">
        <v>27</v>
      </c>
      <c r="AI18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18" t="s">
        <v>51</v>
      </c>
      <c r="AN18">
        <f>INT(Table1[[#This Row],[reject_prod]]/Table1[[#This Row],[part_weight]] * 1000)</f>
        <v>63</v>
      </c>
    </row>
    <row r="19" spans="1:40">
      <c r="A19" s="1">
        <v>46024</v>
      </c>
      <c r="B19">
        <v>1</v>
      </c>
      <c r="C19">
        <v>16</v>
      </c>
      <c r="D19" t="s">
        <v>69</v>
      </c>
      <c r="E19" t="s">
        <v>46</v>
      </c>
      <c r="F19">
        <v>555979</v>
      </c>
      <c r="G19">
        <v>2</v>
      </c>
      <c r="H19" t="s">
        <v>52</v>
      </c>
      <c r="I19">
        <v>10682063</v>
      </c>
      <c r="J19">
        <v>6</v>
      </c>
      <c r="K19">
        <v>28</v>
      </c>
      <c r="L19">
        <v>28</v>
      </c>
      <c r="M19">
        <v>975</v>
      </c>
      <c r="N19" s="2">
        <v>100800</v>
      </c>
      <c r="O19">
        <v>672</v>
      </c>
      <c r="P19" s="2">
        <v>3024</v>
      </c>
      <c r="R19">
        <v>3360</v>
      </c>
      <c r="T19" s="2">
        <v>80304</v>
      </c>
      <c r="X19">
        <v>0</v>
      </c>
      <c r="Z19">
        <v>2.2999999999999998</v>
      </c>
      <c r="AB19">
        <v>44.3</v>
      </c>
      <c r="AC19">
        <v>11.99791667</v>
      </c>
      <c r="AD19">
        <v>42</v>
      </c>
      <c r="AI19">
        <f>12 - Table1[[#This Row],[production_running]] - Table1[[#This Row],[ change_full_set ]] - Table1[[#This Row],[ change_half_set ]] - Table1[[#This Row],[ change_parts ]] - Table1[[#This Row],[ maintenance_dt ]] - Table1[[#This Row],[production_dt]]</f>
        <v>2.0833299999996058E-3</v>
      </c>
      <c r="AK19" t="s">
        <v>51</v>
      </c>
      <c r="AN19">
        <f>INT(Table1[[#This Row],[reject_prod]]/Table1[[#This Row],[part_weight]] * 1000)</f>
        <v>82</v>
      </c>
    </row>
    <row r="20" spans="1:40">
      <c r="A20" s="1">
        <v>46024</v>
      </c>
      <c r="B20">
        <v>2</v>
      </c>
      <c r="C20">
        <v>1</v>
      </c>
      <c r="D20" t="s">
        <v>84</v>
      </c>
      <c r="E20" t="s">
        <v>34</v>
      </c>
      <c r="F20">
        <v>347623</v>
      </c>
      <c r="G20">
        <v>0</v>
      </c>
      <c r="H20" t="s">
        <v>35</v>
      </c>
      <c r="I20">
        <v>10682194</v>
      </c>
      <c r="J20">
        <v>4</v>
      </c>
      <c r="K20">
        <v>35.6</v>
      </c>
      <c r="L20">
        <v>35.6</v>
      </c>
      <c r="M20" s="2">
        <v>1589</v>
      </c>
      <c r="N20" s="2">
        <v>40480</v>
      </c>
      <c r="O20">
        <v>368</v>
      </c>
      <c r="P20">
        <v>1124</v>
      </c>
      <c r="R20" s="2">
        <v>5520</v>
      </c>
      <c r="T20" s="2">
        <v>36084</v>
      </c>
      <c r="Z20">
        <v>2</v>
      </c>
      <c r="AB20">
        <v>26.7</v>
      </c>
      <c r="AC20">
        <v>11.785083330000001</v>
      </c>
      <c r="AD20">
        <v>27</v>
      </c>
      <c r="AI20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0.21491666999999914</v>
      </c>
      <c r="AK20" t="s">
        <v>90</v>
      </c>
      <c r="AN20">
        <f>INT(Table1[[#This Row],[reject_prod]]/Table1[[#This Row],[part_weight]] * 1000)</f>
        <v>56</v>
      </c>
    </row>
    <row r="21" spans="1:40">
      <c r="A21" s="1">
        <v>46024</v>
      </c>
      <c r="B21">
        <v>2</v>
      </c>
      <c r="C21">
        <v>2</v>
      </c>
      <c r="D21" t="s">
        <v>54</v>
      </c>
      <c r="E21" t="s">
        <v>34</v>
      </c>
      <c r="F21">
        <v>423213</v>
      </c>
      <c r="G21">
        <v>0</v>
      </c>
      <c r="H21" t="s">
        <v>70</v>
      </c>
      <c r="I21">
        <v>10682754</v>
      </c>
      <c r="J21">
        <v>4</v>
      </c>
      <c r="K21">
        <v>30</v>
      </c>
      <c r="L21">
        <v>23</v>
      </c>
      <c r="M21">
        <v>1925</v>
      </c>
      <c r="N21" s="2">
        <v>47244</v>
      </c>
      <c r="O21">
        <v>1143</v>
      </c>
      <c r="R21" s="2">
        <v>9144</v>
      </c>
      <c r="T21" s="2">
        <v>9144</v>
      </c>
      <c r="X21">
        <v>0</v>
      </c>
      <c r="Z21">
        <v>4</v>
      </c>
      <c r="AB21">
        <v>22.4</v>
      </c>
      <c r="AC21">
        <v>11.97777778</v>
      </c>
      <c r="AD21">
        <v>22.5</v>
      </c>
      <c r="AI21">
        <f>12 - Table1[[#This Row],[production_running]] - Table1[[#This Row],[ change_full_set ]] - Table1[[#This Row],[ change_half_set ]] - Table1[[#This Row],[ change_parts ]] - Table1[[#This Row],[ maintenance_dt ]] - Table1[[#This Row],[production_dt]]</f>
        <v>2.2222219999999737E-2</v>
      </c>
      <c r="AK21" t="s">
        <v>91</v>
      </c>
      <c r="AN21">
        <f>INT(Table1[[#This Row],[reject_prod]]/Table1[[#This Row],[part_weight]] * 1000)</f>
        <v>173</v>
      </c>
    </row>
    <row r="22" spans="1:40">
      <c r="A22" s="1">
        <v>46024</v>
      </c>
      <c r="B22">
        <v>2</v>
      </c>
      <c r="C22">
        <v>3</v>
      </c>
      <c r="D22" t="s">
        <v>56</v>
      </c>
      <c r="E22" t="s">
        <v>34</v>
      </c>
      <c r="F22">
        <v>442034</v>
      </c>
      <c r="G22">
        <v>0</v>
      </c>
      <c r="H22" t="s">
        <v>37</v>
      </c>
      <c r="I22">
        <v>10681182</v>
      </c>
      <c r="J22">
        <v>4</v>
      </c>
      <c r="K22">
        <v>23</v>
      </c>
      <c r="L22">
        <v>23</v>
      </c>
      <c r="M22">
        <v>1658</v>
      </c>
      <c r="N22" s="2">
        <v>139776</v>
      </c>
      <c r="O22">
        <v>2688</v>
      </c>
      <c r="R22">
        <v>9216</v>
      </c>
      <c r="T22" s="2">
        <v>101376</v>
      </c>
      <c r="X22">
        <v>0</v>
      </c>
      <c r="Z22">
        <v>6</v>
      </c>
      <c r="AB22">
        <v>25.1</v>
      </c>
      <c r="AC22">
        <v>11.559944440000001</v>
      </c>
      <c r="AD22">
        <v>22</v>
      </c>
      <c r="AI22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0.44005555999999935</v>
      </c>
      <c r="AK22" t="s">
        <v>55</v>
      </c>
      <c r="AN22">
        <f>INT(Table1[[#This Row],[reject_prod]]/Table1[[#This Row],[part_weight]] * 1000)</f>
        <v>260</v>
      </c>
    </row>
    <row r="23" spans="1:40">
      <c r="A23" s="1">
        <v>46024</v>
      </c>
      <c r="B23">
        <v>2</v>
      </c>
      <c r="C23">
        <v>4</v>
      </c>
      <c r="D23" t="s">
        <v>33</v>
      </c>
      <c r="E23" t="s">
        <v>34</v>
      </c>
      <c r="F23">
        <v>322383</v>
      </c>
      <c r="G23">
        <v>0</v>
      </c>
      <c r="H23" t="s">
        <v>71</v>
      </c>
      <c r="I23">
        <v>10682756</v>
      </c>
      <c r="J23">
        <v>4</v>
      </c>
      <c r="K23">
        <v>12.5</v>
      </c>
      <c r="L23">
        <v>12.5</v>
      </c>
      <c r="M23">
        <v>0</v>
      </c>
      <c r="N23" s="2">
        <v>66000</v>
      </c>
      <c r="O23">
        <v>0</v>
      </c>
      <c r="P23">
        <v>0</v>
      </c>
      <c r="R23">
        <v>0</v>
      </c>
      <c r="T23">
        <v>0</v>
      </c>
      <c r="X23">
        <v>0</v>
      </c>
      <c r="AB23">
        <v>0</v>
      </c>
      <c r="AC23">
        <v>0</v>
      </c>
      <c r="AD23">
        <v>17.920000000000002</v>
      </c>
      <c r="AI23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23" t="s">
        <v>76</v>
      </c>
      <c r="AN23">
        <f>INT(Table1[[#This Row],[reject_prod]]/Table1[[#This Row],[part_weight]] * 1000)</f>
        <v>0</v>
      </c>
    </row>
    <row r="24" spans="1:40">
      <c r="A24" s="1">
        <v>46024</v>
      </c>
      <c r="B24">
        <v>2</v>
      </c>
      <c r="C24">
        <v>5</v>
      </c>
      <c r="D24" t="s">
        <v>33</v>
      </c>
      <c r="E24" t="s">
        <v>34</v>
      </c>
      <c r="F24">
        <v>611949</v>
      </c>
      <c r="G24">
        <v>0</v>
      </c>
      <c r="H24" t="s">
        <v>38</v>
      </c>
      <c r="I24">
        <v>10680235</v>
      </c>
      <c r="J24">
        <v>4</v>
      </c>
      <c r="K24">
        <v>20</v>
      </c>
      <c r="L24">
        <v>20</v>
      </c>
      <c r="M24">
        <v>0</v>
      </c>
      <c r="N24" s="2">
        <v>83600</v>
      </c>
      <c r="O24">
        <v>0</v>
      </c>
      <c r="P24">
        <v>0</v>
      </c>
      <c r="R24">
        <v>0</v>
      </c>
      <c r="T24" s="2">
        <v>6600</v>
      </c>
      <c r="X24">
        <v>0</v>
      </c>
      <c r="AB24">
        <v>0</v>
      </c>
      <c r="AC24">
        <v>0</v>
      </c>
      <c r="AD24">
        <v>21.64</v>
      </c>
      <c r="AI24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24" t="s">
        <v>39</v>
      </c>
      <c r="AN24">
        <f>INT(Table1[[#This Row],[reject_prod]]/Table1[[#This Row],[part_weight]] * 1000)</f>
        <v>0</v>
      </c>
    </row>
    <row r="25" spans="1:40">
      <c r="A25" s="1">
        <v>46024</v>
      </c>
      <c r="B25">
        <v>2</v>
      </c>
      <c r="C25">
        <v>6</v>
      </c>
      <c r="D25" t="s">
        <v>85</v>
      </c>
      <c r="E25" t="s">
        <v>34</v>
      </c>
      <c r="F25">
        <v>322419</v>
      </c>
      <c r="G25">
        <v>0</v>
      </c>
      <c r="H25" t="s">
        <v>72</v>
      </c>
      <c r="I25">
        <v>10678687</v>
      </c>
      <c r="J25">
        <v>4</v>
      </c>
      <c r="K25">
        <v>24.18</v>
      </c>
      <c r="L25">
        <v>24.8</v>
      </c>
      <c r="M25">
        <v>1180</v>
      </c>
      <c r="N25">
        <v>7200</v>
      </c>
      <c r="O25">
        <v>0</v>
      </c>
      <c r="P25">
        <v>230</v>
      </c>
      <c r="R25">
        <v>3600</v>
      </c>
      <c r="T25">
        <v>3830</v>
      </c>
      <c r="X25">
        <v>7</v>
      </c>
      <c r="Z25">
        <v>3</v>
      </c>
      <c r="AB25">
        <v>19.940000000000001</v>
      </c>
      <c r="AC25">
        <v>6.5358888889999998</v>
      </c>
      <c r="AD25">
        <v>18.2</v>
      </c>
      <c r="AI25">
        <f>12 - Table1[[#This Row],[production_running]] - Table1[[#This Row],[ change_full_set ]] - Table1[[#This Row],[ change_half_set ]] - Table1[[#This Row],[ change_parts ]] - Table1[[#This Row],[ maintenance_dt ]] - Table1[[#This Row],[production_dt]]</f>
        <v>5.4641111110000002</v>
      </c>
      <c r="AK25" t="s">
        <v>92</v>
      </c>
      <c r="AN25">
        <f>INT(Table1[[#This Row],[reject_prod]]/Table1[[#This Row],[part_weight]] * 1000)</f>
        <v>120</v>
      </c>
    </row>
    <row r="26" spans="1:40">
      <c r="A26" s="1">
        <v>46024</v>
      </c>
      <c r="B26">
        <v>2</v>
      </c>
      <c r="C26">
        <v>7</v>
      </c>
      <c r="D26" t="s">
        <v>86</v>
      </c>
      <c r="E26" t="s">
        <v>34</v>
      </c>
      <c r="F26">
        <v>324165</v>
      </c>
      <c r="G26">
        <v>0</v>
      </c>
      <c r="H26" t="s">
        <v>44</v>
      </c>
      <c r="I26">
        <v>10680238</v>
      </c>
      <c r="J26">
        <v>4</v>
      </c>
      <c r="K26">
        <v>32.56</v>
      </c>
      <c r="L26">
        <v>33</v>
      </c>
      <c r="M26" s="2">
        <v>1904</v>
      </c>
      <c r="N26" s="2">
        <v>104192</v>
      </c>
      <c r="O26" s="2">
        <v>1726</v>
      </c>
      <c r="P26" s="2">
        <v>2368</v>
      </c>
      <c r="R26" s="2">
        <v>7104</v>
      </c>
      <c r="T26" s="2">
        <v>73408</v>
      </c>
      <c r="X26">
        <v>0</v>
      </c>
      <c r="Z26">
        <v>2</v>
      </c>
      <c r="AB26">
        <v>22.5</v>
      </c>
      <c r="AC26">
        <v>11.9</v>
      </c>
      <c r="AD26">
        <v>22</v>
      </c>
      <c r="AI26">
        <f>12 - Table1[[#This Row],[production_running]] - Table1[[#This Row],[ change_full_set ]] - Table1[[#This Row],[ change_half_set ]] - Table1[[#This Row],[ change_parts ]] - Table1[[#This Row],[ maintenance_dt ]] - Table1[[#This Row],[production_dt]]</f>
        <v>9.9999999999999645E-2</v>
      </c>
      <c r="AK26" t="s">
        <v>93</v>
      </c>
      <c r="AN26">
        <f>INT(Table1[[#This Row],[reject_prod]]/Table1[[#This Row],[part_weight]] * 1000)</f>
        <v>60</v>
      </c>
    </row>
    <row r="27" spans="1:40">
      <c r="A27" s="1">
        <v>46024</v>
      </c>
      <c r="B27">
        <v>2</v>
      </c>
      <c r="C27">
        <v>8</v>
      </c>
      <c r="D27" t="s">
        <v>53</v>
      </c>
      <c r="E27" t="s">
        <v>34</v>
      </c>
      <c r="F27">
        <v>323102</v>
      </c>
      <c r="G27">
        <v>0</v>
      </c>
      <c r="H27" t="s">
        <v>45</v>
      </c>
      <c r="I27">
        <v>10682922</v>
      </c>
      <c r="J27">
        <v>4</v>
      </c>
      <c r="K27">
        <v>56.9</v>
      </c>
      <c r="L27">
        <v>56.9</v>
      </c>
      <c r="M27" s="2">
        <v>1545</v>
      </c>
      <c r="N27" s="2">
        <v>38400</v>
      </c>
      <c r="O27">
        <v>192</v>
      </c>
      <c r="P27">
        <v>50</v>
      </c>
      <c r="R27" s="2">
        <v>6080</v>
      </c>
      <c r="T27" s="2">
        <v>17330</v>
      </c>
      <c r="X27">
        <v>0</v>
      </c>
      <c r="Z27">
        <v>1</v>
      </c>
      <c r="AB27">
        <v>27.7</v>
      </c>
      <c r="AC27">
        <v>11.887916669999999</v>
      </c>
      <c r="AD27">
        <v>26</v>
      </c>
      <c r="AI27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0.11208333000000081</v>
      </c>
      <c r="AK27" t="s">
        <v>93</v>
      </c>
      <c r="AN27">
        <f>INT(Table1[[#This Row],[reject_prod]]/Table1[[#This Row],[part_weight]] * 1000)</f>
        <v>17</v>
      </c>
    </row>
    <row r="28" spans="1:40">
      <c r="A28" s="1">
        <v>46024</v>
      </c>
      <c r="B28">
        <v>2</v>
      </c>
      <c r="C28">
        <v>9</v>
      </c>
      <c r="D28" t="s">
        <v>87</v>
      </c>
      <c r="E28" t="s">
        <v>46</v>
      </c>
      <c r="F28">
        <v>586276</v>
      </c>
      <c r="G28">
        <v>0</v>
      </c>
      <c r="H28" t="s">
        <v>47</v>
      </c>
      <c r="I28">
        <v>10682923</v>
      </c>
      <c r="J28">
        <v>6</v>
      </c>
      <c r="K28">
        <v>12.3</v>
      </c>
      <c r="L28">
        <v>12.3</v>
      </c>
      <c r="M28" s="2">
        <v>1618</v>
      </c>
      <c r="N28" s="2">
        <v>162000</v>
      </c>
      <c r="O28">
        <v>0</v>
      </c>
      <c r="P28" s="2">
        <v>1215</v>
      </c>
      <c r="R28" s="2">
        <v>8100</v>
      </c>
      <c r="T28" s="2">
        <v>33615</v>
      </c>
      <c r="X28">
        <v>0</v>
      </c>
      <c r="Z28">
        <v>1</v>
      </c>
      <c r="AB28">
        <v>25.6</v>
      </c>
      <c r="AC28">
        <v>11.505777780000001</v>
      </c>
      <c r="AD28">
        <v>26</v>
      </c>
      <c r="AI28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0.49422221999999927</v>
      </c>
      <c r="AK28" t="s">
        <v>94</v>
      </c>
      <c r="AN28">
        <f>INT(Table1[[#This Row],[reject_prod]]/Table1[[#This Row],[part_weight]] * 1000)</f>
        <v>81</v>
      </c>
    </row>
    <row r="29" spans="1:40">
      <c r="A29" s="1">
        <v>46024</v>
      </c>
      <c r="B29">
        <v>2</v>
      </c>
      <c r="C29">
        <v>10</v>
      </c>
      <c r="D29" t="s">
        <v>88</v>
      </c>
      <c r="E29" t="s">
        <v>41</v>
      </c>
      <c r="F29">
        <v>593537</v>
      </c>
      <c r="G29">
        <v>0</v>
      </c>
      <c r="H29" t="s">
        <v>48</v>
      </c>
      <c r="I29">
        <v>10680019</v>
      </c>
      <c r="J29">
        <v>4</v>
      </c>
      <c r="K29">
        <v>56.5</v>
      </c>
      <c r="L29">
        <v>56.8</v>
      </c>
      <c r="M29">
        <v>1335</v>
      </c>
      <c r="N29">
        <v>69000</v>
      </c>
      <c r="O29">
        <v>230</v>
      </c>
      <c r="P29">
        <v>230</v>
      </c>
      <c r="R29">
        <v>5175</v>
      </c>
      <c r="T29">
        <v>58305</v>
      </c>
      <c r="X29">
        <v>0</v>
      </c>
      <c r="Z29">
        <v>5</v>
      </c>
      <c r="AB29">
        <v>31.7</v>
      </c>
      <c r="AC29">
        <v>11.755416670000001</v>
      </c>
      <c r="AD29">
        <v>28.5</v>
      </c>
      <c r="AI29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0.24458332999999932</v>
      </c>
      <c r="AK29" t="s">
        <v>95</v>
      </c>
      <c r="AN29">
        <f>INT(Table1[[#This Row],[reject_prod]]/Table1[[#This Row],[part_weight]] * 1000)</f>
        <v>88</v>
      </c>
    </row>
    <row r="30" spans="1:40">
      <c r="A30" s="1">
        <v>46024</v>
      </c>
      <c r="B30">
        <v>2</v>
      </c>
      <c r="C30">
        <v>11</v>
      </c>
      <c r="D30" t="s">
        <v>59</v>
      </c>
      <c r="E30" t="s">
        <v>46</v>
      </c>
      <c r="F30">
        <v>552181</v>
      </c>
      <c r="G30">
        <v>1</v>
      </c>
      <c r="H30" t="s">
        <v>49</v>
      </c>
      <c r="I30">
        <v>10679363</v>
      </c>
      <c r="J30">
        <v>6</v>
      </c>
      <c r="K30">
        <v>18.8</v>
      </c>
      <c r="L30">
        <v>18.8</v>
      </c>
      <c r="M30" s="2">
        <v>1539</v>
      </c>
      <c r="N30" s="2">
        <v>108000</v>
      </c>
      <c r="O30" s="2">
        <v>5940</v>
      </c>
      <c r="P30" s="2">
        <v>15930</v>
      </c>
      <c r="R30">
        <v>0</v>
      </c>
      <c r="T30" s="2">
        <v>48330</v>
      </c>
      <c r="X30">
        <v>0</v>
      </c>
      <c r="Z30">
        <v>1</v>
      </c>
      <c r="AB30">
        <v>27.87</v>
      </c>
      <c r="AC30">
        <v>11.914425</v>
      </c>
      <c r="AD30">
        <v>27</v>
      </c>
      <c r="AI30">
        <f>12 - Table1[[#This Row],[production_running]] - Table1[[#This Row],[ change_full_set ]] - Table1[[#This Row],[ change_half_set ]] - Table1[[#This Row],[ change_parts ]] - Table1[[#This Row],[ maintenance_dt ]] - Table1[[#This Row],[production_dt]]</f>
        <v>8.5575000000000401E-2</v>
      </c>
      <c r="AK30" t="s">
        <v>96</v>
      </c>
      <c r="AN30">
        <f>INT(Table1[[#This Row],[reject_prod]]/Table1[[#This Row],[part_weight]] * 1000)</f>
        <v>53</v>
      </c>
    </row>
    <row r="31" spans="1:40">
      <c r="A31" s="1">
        <v>46024</v>
      </c>
      <c r="B31">
        <v>2</v>
      </c>
      <c r="C31">
        <v>12</v>
      </c>
      <c r="D31" t="s">
        <v>60</v>
      </c>
      <c r="E31" t="s">
        <v>34</v>
      </c>
      <c r="F31">
        <v>620599</v>
      </c>
      <c r="G31">
        <v>0</v>
      </c>
      <c r="H31" t="s">
        <v>50</v>
      </c>
      <c r="I31">
        <v>10682336</v>
      </c>
      <c r="J31">
        <v>4</v>
      </c>
      <c r="K31">
        <v>55</v>
      </c>
      <c r="L31">
        <v>55</v>
      </c>
      <c r="M31">
        <v>1484</v>
      </c>
      <c r="N31" s="2">
        <v>72000</v>
      </c>
      <c r="O31" s="2">
        <v>1350</v>
      </c>
      <c r="R31" s="2">
        <v>7200</v>
      </c>
      <c r="T31" s="2">
        <v>72000</v>
      </c>
      <c r="X31">
        <v>0</v>
      </c>
      <c r="AB31">
        <v>28</v>
      </c>
      <c r="AC31">
        <v>11.542222219999999</v>
      </c>
      <c r="AD31">
        <v>28</v>
      </c>
      <c r="AI31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0.45777778000000069</v>
      </c>
      <c r="AK31" t="s">
        <v>97</v>
      </c>
      <c r="AN31">
        <f>INT(Table1[[#This Row],[reject_prod]]/Table1[[#This Row],[part_weight]] * 1000)</f>
        <v>0</v>
      </c>
    </row>
    <row r="32" spans="1:40">
      <c r="A32" s="1">
        <v>46024</v>
      </c>
      <c r="B32">
        <v>2</v>
      </c>
      <c r="C32">
        <v>12</v>
      </c>
      <c r="D32" t="s">
        <v>60</v>
      </c>
      <c r="E32" t="s">
        <v>34</v>
      </c>
      <c r="F32">
        <v>620599</v>
      </c>
      <c r="G32">
        <v>0</v>
      </c>
      <c r="H32" t="s">
        <v>50</v>
      </c>
      <c r="I32">
        <v>10682928</v>
      </c>
      <c r="J32">
        <v>4</v>
      </c>
      <c r="K32">
        <v>55</v>
      </c>
      <c r="L32">
        <v>55</v>
      </c>
      <c r="M32">
        <v>39</v>
      </c>
      <c r="N32" s="2">
        <v>72000</v>
      </c>
      <c r="P32">
        <v>100</v>
      </c>
      <c r="T32">
        <v>100</v>
      </c>
      <c r="X32">
        <v>0</v>
      </c>
      <c r="Z32">
        <v>4</v>
      </c>
      <c r="AB32">
        <v>28</v>
      </c>
      <c r="AC32">
        <v>0.30333333299999998</v>
      </c>
      <c r="AD32">
        <v>28</v>
      </c>
      <c r="AI32">
        <f>12 - Table1[[#This Row],[production_running]] - Table1[[#This Row],[ change_full_set ]] - Table1[[#This Row],[ change_half_set ]] - Table1[[#This Row],[ change_parts ]] - Table1[[#This Row],[ maintenance_dt ]] - Table1[[#This Row],[production_dt]]</f>
        <v>11.696666667000001</v>
      </c>
      <c r="AK32" t="s">
        <v>98</v>
      </c>
      <c r="AN32">
        <f>INT(Table1[[#This Row],[reject_prod]]/Table1[[#This Row],[part_weight]] * 1000)</f>
        <v>72</v>
      </c>
    </row>
    <row r="33" spans="1:40">
      <c r="A33" s="1">
        <v>46024</v>
      </c>
      <c r="B33">
        <v>2</v>
      </c>
      <c r="C33">
        <v>13</v>
      </c>
      <c r="D33" t="s">
        <v>59</v>
      </c>
      <c r="E33" t="s">
        <v>46</v>
      </c>
      <c r="F33">
        <v>586276</v>
      </c>
      <c r="G33">
        <v>0</v>
      </c>
      <c r="H33" t="s">
        <v>47</v>
      </c>
      <c r="I33">
        <v>10682335</v>
      </c>
      <c r="J33">
        <v>6</v>
      </c>
      <c r="K33">
        <v>12.3</v>
      </c>
      <c r="L33">
        <v>12.3</v>
      </c>
      <c r="M33">
        <v>1635</v>
      </c>
      <c r="N33" s="2">
        <v>162000</v>
      </c>
      <c r="O33" s="2">
        <v>6885</v>
      </c>
      <c r="P33">
        <v>405</v>
      </c>
      <c r="R33" s="2">
        <v>16200</v>
      </c>
      <c r="T33" s="2">
        <v>138105</v>
      </c>
      <c r="X33">
        <v>0</v>
      </c>
      <c r="Z33">
        <v>1</v>
      </c>
      <c r="AB33">
        <v>26.1</v>
      </c>
      <c r="AC33">
        <v>11.85375</v>
      </c>
      <c r="AD33">
        <v>26</v>
      </c>
      <c r="AI33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0.14625000000000021</v>
      </c>
      <c r="AK33" t="s">
        <v>90</v>
      </c>
      <c r="AN33">
        <f>INT(Table1[[#This Row],[reject_prod]]/Table1[[#This Row],[part_weight]] * 1000)</f>
        <v>81</v>
      </c>
    </row>
    <row r="34" spans="1:40">
      <c r="A34" s="1">
        <v>46024</v>
      </c>
      <c r="B34">
        <v>2</v>
      </c>
      <c r="C34">
        <v>14</v>
      </c>
      <c r="D34" t="s">
        <v>58</v>
      </c>
      <c r="E34" t="s">
        <v>46</v>
      </c>
      <c r="F34">
        <v>555979</v>
      </c>
      <c r="G34">
        <v>1</v>
      </c>
      <c r="H34" t="s">
        <v>52</v>
      </c>
      <c r="I34">
        <v>10682931</v>
      </c>
      <c r="J34">
        <v>6</v>
      </c>
      <c r="K34">
        <v>28</v>
      </c>
      <c r="L34">
        <v>28</v>
      </c>
      <c r="M34">
        <v>900</v>
      </c>
      <c r="N34" s="2">
        <v>100800</v>
      </c>
      <c r="O34" s="2">
        <v>1344</v>
      </c>
      <c r="P34" s="2">
        <v>3192</v>
      </c>
      <c r="R34" s="2">
        <v>3360</v>
      </c>
      <c r="T34" s="2">
        <v>43512</v>
      </c>
      <c r="X34">
        <v>0</v>
      </c>
      <c r="Z34">
        <v>2</v>
      </c>
      <c r="AB34">
        <v>43.2</v>
      </c>
      <c r="AC34">
        <v>10.8</v>
      </c>
      <c r="AD34">
        <v>42</v>
      </c>
      <c r="AI34">
        <f>12 - Table1[[#This Row],[production_running]] - Table1[[#This Row],[ change_full_set ]] - Table1[[#This Row],[ change_half_set ]] - Table1[[#This Row],[ change_parts ]] - Table1[[#This Row],[ maintenance_dt ]] - Table1[[#This Row],[production_dt]]</f>
        <v>1.1999999999999993</v>
      </c>
      <c r="AK34" t="s">
        <v>99</v>
      </c>
      <c r="AN34">
        <f>INT(Table1[[#This Row],[reject_prod]]/Table1[[#This Row],[part_weight]] * 1000)</f>
        <v>71</v>
      </c>
    </row>
    <row r="35" spans="1:40">
      <c r="A35" s="1">
        <v>46024</v>
      </c>
      <c r="B35">
        <v>2</v>
      </c>
      <c r="C35">
        <v>15</v>
      </c>
      <c r="D35" t="s">
        <v>59</v>
      </c>
      <c r="E35" t="s">
        <v>46</v>
      </c>
      <c r="F35">
        <v>552181</v>
      </c>
      <c r="G35">
        <v>2</v>
      </c>
      <c r="H35" t="s">
        <v>49</v>
      </c>
      <c r="I35">
        <v>10682933</v>
      </c>
      <c r="J35">
        <v>6</v>
      </c>
      <c r="K35">
        <v>18.8</v>
      </c>
      <c r="L35">
        <v>18.8</v>
      </c>
      <c r="M35">
        <v>1349</v>
      </c>
      <c r="N35" s="2">
        <v>108000</v>
      </c>
      <c r="O35">
        <v>0</v>
      </c>
      <c r="P35" s="2">
        <v>10530</v>
      </c>
      <c r="R35">
        <v>0</v>
      </c>
      <c r="T35" s="2">
        <v>48330</v>
      </c>
      <c r="X35">
        <v>0</v>
      </c>
      <c r="Z35">
        <v>1</v>
      </c>
      <c r="AB35">
        <v>31.27</v>
      </c>
      <c r="AC35">
        <v>11.717563889999999</v>
      </c>
      <c r="AD35">
        <v>27</v>
      </c>
      <c r="AI35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0.2824361100000008</v>
      </c>
      <c r="AK35" t="s">
        <v>90</v>
      </c>
      <c r="AN35">
        <f>INT(Table1[[#This Row],[reject_prod]]/Table1[[#This Row],[part_weight]] * 1000)</f>
        <v>53</v>
      </c>
    </row>
    <row r="36" spans="1:40">
      <c r="A36" s="1">
        <v>46024</v>
      </c>
      <c r="B36">
        <v>2</v>
      </c>
      <c r="C36">
        <v>16</v>
      </c>
      <c r="D36" t="s">
        <v>89</v>
      </c>
      <c r="E36" t="s">
        <v>46</v>
      </c>
      <c r="F36">
        <v>555979</v>
      </c>
      <c r="G36">
        <v>2</v>
      </c>
      <c r="H36" t="s">
        <v>52</v>
      </c>
      <c r="I36">
        <v>10682063</v>
      </c>
      <c r="J36">
        <v>6</v>
      </c>
      <c r="K36">
        <v>28</v>
      </c>
      <c r="L36">
        <v>28</v>
      </c>
      <c r="M36">
        <v>896</v>
      </c>
      <c r="N36" s="2">
        <v>100800</v>
      </c>
      <c r="O36" s="2">
        <v>3024</v>
      </c>
      <c r="P36" s="2">
        <v>1680</v>
      </c>
      <c r="R36" s="2">
        <v>6720</v>
      </c>
      <c r="T36" s="2">
        <v>85680</v>
      </c>
      <c r="X36">
        <v>0</v>
      </c>
      <c r="Z36">
        <v>1</v>
      </c>
      <c r="AB36">
        <v>44.3</v>
      </c>
      <c r="AC36">
        <v>11.02577778</v>
      </c>
      <c r="AD36">
        <v>42</v>
      </c>
      <c r="AI3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0.97422221999999969</v>
      </c>
      <c r="AK36" t="s">
        <v>100</v>
      </c>
      <c r="AN36">
        <f>INT(Table1[[#This Row],[reject_prod]]/Table1[[#This Row],[part_weight]] * 1000)</f>
        <v>35</v>
      </c>
    </row>
    <row r="37" spans="1:40">
      <c r="A37" s="1">
        <v>46025</v>
      </c>
      <c r="B37">
        <v>1</v>
      </c>
      <c r="C37">
        <v>1</v>
      </c>
      <c r="D37" t="s">
        <v>101</v>
      </c>
      <c r="E37" t="s">
        <v>34</v>
      </c>
      <c r="F37">
        <v>347623</v>
      </c>
      <c r="G37">
        <v>0</v>
      </c>
      <c r="H37" t="s">
        <v>35</v>
      </c>
      <c r="I37">
        <v>10682194</v>
      </c>
      <c r="J37">
        <v>4</v>
      </c>
      <c r="K37">
        <v>35.6</v>
      </c>
      <c r="L37">
        <v>35.6</v>
      </c>
      <c r="M37">
        <v>1130</v>
      </c>
      <c r="N37" s="2">
        <v>40480</v>
      </c>
      <c r="O37" s="2">
        <v>1124</v>
      </c>
      <c r="P37" s="2">
        <v>1840</v>
      </c>
      <c r="R37" s="2">
        <v>3680</v>
      </c>
      <c r="T37" s="2">
        <v>40480</v>
      </c>
      <c r="X37">
        <v>0</v>
      </c>
      <c r="Z37">
        <v>5.3</v>
      </c>
      <c r="AB37">
        <v>26.4</v>
      </c>
      <c r="AC37">
        <v>8.2866666670000004</v>
      </c>
      <c r="AD37">
        <v>27</v>
      </c>
      <c r="AI37">
        <f>12 - Table1[[#This Row],[production_running]] - Table1[[#This Row],[ change_full_set ]] - Table1[[#This Row],[ change_half_set ]] - Table1[[#This Row],[ change_parts ]] - Table1[[#This Row],[ maintenance_dt ]] - Table1[[#This Row],[production_dt]]</f>
        <v>3.7133333329999996</v>
      </c>
      <c r="AK37" t="s">
        <v>102</v>
      </c>
      <c r="AL37">
        <v>1</v>
      </c>
      <c r="AM37">
        <v>2.6</v>
      </c>
      <c r="AN37">
        <f>INT(Table1[[#This Row],[reject_prod]]/Table1[[#This Row],[part_weight]] * 1000)</f>
        <v>148</v>
      </c>
    </row>
    <row r="38" spans="1:40">
      <c r="A38" s="1">
        <v>46025</v>
      </c>
      <c r="B38">
        <v>1</v>
      </c>
      <c r="C38">
        <v>2</v>
      </c>
      <c r="D38" t="s">
        <v>43</v>
      </c>
      <c r="E38" t="s">
        <v>34</v>
      </c>
      <c r="F38">
        <v>423213</v>
      </c>
      <c r="G38">
        <v>0</v>
      </c>
      <c r="H38" t="s">
        <v>70</v>
      </c>
      <c r="I38">
        <v>10682754</v>
      </c>
      <c r="J38">
        <v>4</v>
      </c>
      <c r="K38">
        <v>23</v>
      </c>
      <c r="L38">
        <v>23</v>
      </c>
      <c r="M38">
        <v>1850</v>
      </c>
      <c r="N38" s="2">
        <v>47244</v>
      </c>
      <c r="O38">
        <v>0</v>
      </c>
      <c r="P38" s="2">
        <v>2667</v>
      </c>
      <c r="R38" s="2">
        <v>4572</v>
      </c>
      <c r="T38" s="2">
        <v>16383</v>
      </c>
      <c r="X38">
        <v>0</v>
      </c>
      <c r="Z38">
        <v>4.3</v>
      </c>
      <c r="AB38">
        <v>22.4</v>
      </c>
      <c r="AC38">
        <v>11.51111111</v>
      </c>
      <c r="AD38">
        <v>22.5</v>
      </c>
      <c r="AI38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0.48888889000000013</v>
      </c>
      <c r="AK38" t="s">
        <v>103</v>
      </c>
      <c r="AM38">
        <v>1</v>
      </c>
      <c r="AN38">
        <f>INT(Table1[[#This Row],[reject_prod]]/Table1[[#This Row],[part_weight]] * 1000)</f>
        <v>186</v>
      </c>
    </row>
    <row r="39" spans="1:40">
      <c r="A39" s="1">
        <v>46025</v>
      </c>
      <c r="B39">
        <v>1</v>
      </c>
      <c r="C39">
        <v>3</v>
      </c>
      <c r="D39" t="s">
        <v>67</v>
      </c>
      <c r="E39" t="s">
        <v>34</v>
      </c>
      <c r="F39">
        <v>442034</v>
      </c>
      <c r="G39">
        <v>0</v>
      </c>
      <c r="H39" t="s">
        <v>37</v>
      </c>
      <c r="I39">
        <v>10681182</v>
      </c>
      <c r="J39">
        <v>4</v>
      </c>
      <c r="K39">
        <v>23</v>
      </c>
      <c r="L39">
        <v>23</v>
      </c>
      <c r="M39">
        <v>1632</v>
      </c>
      <c r="N39" s="2">
        <v>139776</v>
      </c>
      <c r="O39">
        <v>0</v>
      </c>
      <c r="P39" s="2">
        <v>1920</v>
      </c>
      <c r="R39" s="2">
        <v>4608</v>
      </c>
      <c r="T39" s="2">
        <v>107904</v>
      </c>
      <c r="X39">
        <v>0</v>
      </c>
      <c r="Z39">
        <v>3.2</v>
      </c>
      <c r="AB39">
        <v>25.9</v>
      </c>
      <c r="AC39">
        <v>11.74133333</v>
      </c>
      <c r="AD39">
        <v>22</v>
      </c>
      <c r="AI39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0.25866667000000021</v>
      </c>
      <c r="AK39" t="s">
        <v>103</v>
      </c>
      <c r="AN39">
        <f>INT(Table1[[#This Row],[reject_prod]]/Table1[[#This Row],[part_weight]] * 1000)</f>
        <v>139</v>
      </c>
    </row>
    <row r="40" spans="1:40">
      <c r="A40" s="1">
        <v>46025</v>
      </c>
      <c r="B40">
        <v>1</v>
      </c>
      <c r="C40">
        <v>4</v>
      </c>
      <c r="D40" t="s">
        <v>33</v>
      </c>
      <c r="E40" t="s">
        <v>34</v>
      </c>
      <c r="F40">
        <v>322383</v>
      </c>
      <c r="G40">
        <v>0</v>
      </c>
      <c r="H40" t="s">
        <v>71</v>
      </c>
      <c r="I40">
        <v>10682756</v>
      </c>
      <c r="J40">
        <v>4</v>
      </c>
      <c r="K40">
        <v>12.5</v>
      </c>
      <c r="L40">
        <v>12.5</v>
      </c>
      <c r="M40">
        <v>0</v>
      </c>
      <c r="N40" s="2">
        <v>66000</v>
      </c>
      <c r="O40">
        <v>0</v>
      </c>
      <c r="P40">
        <v>0</v>
      </c>
      <c r="R40">
        <v>0</v>
      </c>
      <c r="T40">
        <v>0</v>
      </c>
      <c r="X40">
        <v>0</v>
      </c>
      <c r="Z40">
        <v>0</v>
      </c>
      <c r="AB40">
        <v>0</v>
      </c>
      <c r="AC40">
        <v>0</v>
      </c>
      <c r="AD40">
        <v>17.920000000000002</v>
      </c>
      <c r="AI40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40" t="s">
        <v>76</v>
      </c>
      <c r="AN40">
        <f>INT(Table1[[#This Row],[reject_prod]]/Table1[[#This Row],[part_weight]] * 1000)</f>
        <v>0</v>
      </c>
    </row>
    <row r="41" spans="1:40">
      <c r="A41" s="1">
        <v>46025</v>
      </c>
      <c r="B41">
        <v>1</v>
      </c>
      <c r="C41">
        <v>5</v>
      </c>
      <c r="D41" t="s">
        <v>33</v>
      </c>
      <c r="E41" t="s">
        <v>34</v>
      </c>
      <c r="F41">
        <v>611949</v>
      </c>
      <c r="G41">
        <v>0</v>
      </c>
      <c r="H41" t="s">
        <v>38</v>
      </c>
      <c r="I41">
        <v>10680235</v>
      </c>
      <c r="J41">
        <v>4</v>
      </c>
      <c r="K41">
        <v>20</v>
      </c>
      <c r="L41">
        <v>20</v>
      </c>
      <c r="M41">
        <v>0</v>
      </c>
      <c r="N41" s="2">
        <v>83600</v>
      </c>
      <c r="O41">
        <v>0</v>
      </c>
      <c r="P41">
        <v>0</v>
      </c>
      <c r="R41">
        <v>0</v>
      </c>
      <c r="T41">
        <v>0</v>
      </c>
      <c r="X41">
        <v>0</v>
      </c>
      <c r="Z41">
        <v>0</v>
      </c>
      <c r="AB41">
        <v>0</v>
      </c>
      <c r="AC41">
        <v>0</v>
      </c>
      <c r="AD41">
        <v>21.64</v>
      </c>
      <c r="AI41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41" t="s">
        <v>39</v>
      </c>
      <c r="AN41">
        <f>INT(Table1[[#This Row],[reject_prod]]/Table1[[#This Row],[part_weight]] * 1000)</f>
        <v>0</v>
      </c>
    </row>
    <row r="42" spans="1:40">
      <c r="A42" s="1">
        <v>46025</v>
      </c>
      <c r="B42">
        <v>1</v>
      </c>
      <c r="C42">
        <v>6</v>
      </c>
      <c r="D42" t="s">
        <v>104</v>
      </c>
      <c r="E42" t="s">
        <v>34</v>
      </c>
      <c r="F42">
        <v>322419</v>
      </c>
      <c r="G42">
        <v>0</v>
      </c>
      <c r="H42" t="s">
        <v>72</v>
      </c>
      <c r="I42">
        <v>10678687</v>
      </c>
      <c r="J42">
        <v>4</v>
      </c>
      <c r="K42">
        <v>24.18</v>
      </c>
      <c r="L42">
        <v>24.8</v>
      </c>
      <c r="M42">
        <v>845</v>
      </c>
      <c r="N42" s="2">
        <v>7200</v>
      </c>
      <c r="O42">
        <v>230</v>
      </c>
      <c r="P42">
        <v>0</v>
      </c>
      <c r="R42" s="2">
        <v>3600</v>
      </c>
      <c r="T42" s="2">
        <v>7200</v>
      </c>
      <c r="X42">
        <v>0</v>
      </c>
      <c r="Z42">
        <v>1</v>
      </c>
      <c r="AB42">
        <v>19.899999999999999</v>
      </c>
      <c r="AC42">
        <v>4.6709722219999996</v>
      </c>
      <c r="AD42">
        <v>22</v>
      </c>
      <c r="AI42">
        <f>12 - Table1[[#This Row],[production_running]] - Table1[[#This Row],[ change_full_set ]] - Table1[[#This Row],[ change_half_set ]] - Table1[[#This Row],[ change_parts ]] - Table1[[#This Row],[ maintenance_dt ]] - Table1[[#This Row],[production_dt]]</f>
        <v>7.3290277780000004</v>
      </c>
      <c r="AK42" t="s">
        <v>78</v>
      </c>
      <c r="AN42">
        <f>INT(Table1[[#This Row],[reject_prod]]/Table1[[#This Row],[part_weight]] * 1000)</f>
        <v>40</v>
      </c>
    </row>
    <row r="43" spans="1:40">
      <c r="A43" s="1">
        <v>46025</v>
      </c>
      <c r="B43">
        <v>1</v>
      </c>
      <c r="C43">
        <v>6</v>
      </c>
      <c r="D43" t="s">
        <v>104</v>
      </c>
      <c r="E43" t="s">
        <v>34</v>
      </c>
      <c r="F43">
        <v>579471</v>
      </c>
      <c r="G43">
        <v>0</v>
      </c>
      <c r="H43" t="s">
        <v>105</v>
      </c>
      <c r="I43">
        <v>10681843</v>
      </c>
      <c r="J43">
        <v>4</v>
      </c>
      <c r="K43">
        <v>24</v>
      </c>
      <c r="L43">
        <v>24</v>
      </c>
      <c r="M43">
        <v>760</v>
      </c>
      <c r="N43" s="2">
        <v>50400</v>
      </c>
      <c r="O43">
        <v>0</v>
      </c>
      <c r="P43" s="2">
        <v>3024</v>
      </c>
      <c r="R43">
        <v>0</v>
      </c>
      <c r="T43" s="2">
        <v>3024</v>
      </c>
      <c r="X43">
        <v>3</v>
      </c>
      <c r="Z43">
        <v>1.2</v>
      </c>
      <c r="AB43">
        <v>22.17</v>
      </c>
      <c r="AC43">
        <v>4.6803333330000001</v>
      </c>
      <c r="AD43">
        <v>22</v>
      </c>
      <c r="AG43">
        <v>1.5</v>
      </c>
      <c r="AI43">
        <f>12 - Table1[[#This Row],[production_running]] - Table1[[#This Row],[ change_full_set ]] - Table1[[#This Row],[ change_half_set ]] - Table1[[#This Row],[ change_parts ]] - Table1[[#This Row],[ maintenance_dt ]] - Table1[[#This Row],[production_dt]]</f>
        <v>5.8196666669999999</v>
      </c>
      <c r="AK43" t="s">
        <v>106</v>
      </c>
      <c r="AL43">
        <v>6</v>
      </c>
      <c r="AM43">
        <v>5</v>
      </c>
      <c r="AN43">
        <f>INT(Table1[[#This Row],[reject_prod]]/Table1[[#This Row],[part_weight]] * 1000)</f>
        <v>50</v>
      </c>
    </row>
    <row r="44" spans="1:40">
      <c r="A44" s="1">
        <v>46025</v>
      </c>
      <c r="B44">
        <v>1</v>
      </c>
      <c r="C44">
        <v>7</v>
      </c>
      <c r="D44" t="s">
        <v>107</v>
      </c>
      <c r="E44" t="s">
        <v>34</v>
      </c>
      <c r="F44">
        <v>324165</v>
      </c>
      <c r="G44">
        <v>0</v>
      </c>
      <c r="H44" t="s">
        <v>44</v>
      </c>
      <c r="I44">
        <v>10680238</v>
      </c>
      <c r="J44">
        <v>4</v>
      </c>
      <c r="K44">
        <v>32.56</v>
      </c>
      <c r="L44">
        <v>33</v>
      </c>
      <c r="M44">
        <v>1924</v>
      </c>
      <c r="N44" s="2">
        <v>104192</v>
      </c>
      <c r="O44" s="2">
        <v>2368</v>
      </c>
      <c r="P44" s="2">
        <v>2960</v>
      </c>
      <c r="R44" s="2">
        <v>7104</v>
      </c>
      <c r="T44" s="2">
        <v>81104</v>
      </c>
      <c r="X44">
        <v>0</v>
      </c>
      <c r="Z44">
        <v>4.2</v>
      </c>
      <c r="AB44">
        <v>22.5</v>
      </c>
      <c r="AC44">
        <v>12</v>
      </c>
      <c r="AD44">
        <v>22</v>
      </c>
      <c r="AI44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44" t="s">
        <v>79</v>
      </c>
      <c r="AN44">
        <f>INT(Table1[[#This Row],[reject_prod]]/Table1[[#This Row],[part_weight]] * 1000)</f>
        <v>127</v>
      </c>
    </row>
    <row r="45" spans="1:40">
      <c r="A45" s="1">
        <v>46025</v>
      </c>
      <c r="B45">
        <v>1</v>
      </c>
      <c r="C45">
        <v>8</v>
      </c>
      <c r="D45" t="s">
        <v>108</v>
      </c>
      <c r="E45" t="s">
        <v>34</v>
      </c>
      <c r="F45">
        <v>323102</v>
      </c>
      <c r="G45">
        <v>0</v>
      </c>
      <c r="H45" t="s">
        <v>45</v>
      </c>
      <c r="I45">
        <v>10682922</v>
      </c>
      <c r="J45">
        <v>4</v>
      </c>
      <c r="K45">
        <v>56.9</v>
      </c>
      <c r="L45">
        <v>56.9</v>
      </c>
      <c r="M45">
        <v>1430</v>
      </c>
      <c r="N45" s="2">
        <v>38400</v>
      </c>
      <c r="O45">
        <v>50</v>
      </c>
      <c r="P45">
        <v>0</v>
      </c>
      <c r="R45" s="2">
        <v>5760</v>
      </c>
      <c r="T45" s="2">
        <v>23040</v>
      </c>
      <c r="X45">
        <v>0</v>
      </c>
      <c r="Z45">
        <v>3.4</v>
      </c>
      <c r="AB45">
        <v>27.74</v>
      </c>
      <c r="AC45">
        <v>11.01894444</v>
      </c>
      <c r="AD45">
        <v>26</v>
      </c>
      <c r="AI45">
        <f>12 - Table1[[#This Row],[production_running]] - Table1[[#This Row],[ change_full_set ]] - Table1[[#This Row],[ change_half_set ]] - Table1[[#This Row],[ change_parts ]] - Table1[[#This Row],[ maintenance_dt ]] - Table1[[#This Row],[production_dt]]</f>
        <v>0.98105555999999972</v>
      </c>
      <c r="AK45" t="s">
        <v>109</v>
      </c>
      <c r="AL45">
        <v>1</v>
      </c>
      <c r="AM45">
        <v>2.5</v>
      </c>
      <c r="AN45">
        <f>INT(Table1[[#This Row],[reject_prod]]/Table1[[#This Row],[part_weight]] * 1000)</f>
        <v>59</v>
      </c>
    </row>
    <row r="46" spans="1:40">
      <c r="A46" s="1">
        <v>46025</v>
      </c>
      <c r="B46">
        <v>1</v>
      </c>
      <c r="C46">
        <v>9</v>
      </c>
      <c r="D46" t="s">
        <v>110</v>
      </c>
      <c r="E46" t="s">
        <v>46</v>
      </c>
      <c r="F46">
        <v>586276</v>
      </c>
      <c r="G46">
        <v>0</v>
      </c>
      <c r="H46" t="s">
        <v>47</v>
      </c>
      <c r="I46">
        <v>10682923</v>
      </c>
      <c r="J46">
        <v>6</v>
      </c>
      <c r="K46">
        <v>12.3</v>
      </c>
      <c r="L46">
        <v>12.3</v>
      </c>
      <c r="M46">
        <v>1688</v>
      </c>
      <c r="N46" s="2">
        <v>162000</v>
      </c>
      <c r="O46" s="2">
        <v>1215</v>
      </c>
      <c r="P46" s="2">
        <v>3240</v>
      </c>
      <c r="R46" s="2">
        <v>8100</v>
      </c>
      <c r="T46" s="2">
        <v>43740</v>
      </c>
      <c r="X46">
        <v>0</v>
      </c>
      <c r="Z46">
        <v>1.2</v>
      </c>
      <c r="AB46">
        <v>25.5</v>
      </c>
      <c r="AC46">
        <v>11.956666670000001</v>
      </c>
      <c r="AD46">
        <v>26</v>
      </c>
      <c r="AI46">
        <f>12 - Table1[[#This Row],[production_running]] - Table1[[#This Row],[ change_full_set ]] - Table1[[#This Row],[ change_half_set ]] - Table1[[#This Row],[ change_parts ]] - Table1[[#This Row],[ maintenance_dt ]] - Table1[[#This Row],[production_dt]]</f>
        <v>4.3333329999999393E-2</v>
      </c>
      <c r="AK46" t="s">
        <v>57</v>
      </c>
      <c r="AN46">
        <f>INT(Table1[[#This Row],[reject_prod]]/Table1[[#This Row],[part_weight]] * 1000)</f>
        <v>97</v>
      </c>
    </row>
    <row r="47" spans="1:40">
      <c r="A47" s="1">
        <v>46025</v>
      </c>
      <c r="B47">
        <v>1</v>
      </c>
      <c r="C47">
        <v>10</v>
      </c>
      <c r="D47" t="s">
        <v>65</v>
      </c>
      <c r="E47" t="s">
        <v>41</v>
      </c>
      <c r="F47">
        <v>593537</v>
      </c>
      <c r="G47">
        <v>0</v>
      </c>
      <c r="H47" t="s">
        <v>48</v>
      </c>
      <c r="I47">
        <v>10680019</v>
      </c>
      <c r="J47">
        <v>4</v>
      </c>
      <c r="K47">
        <v>56.5</v>
      </c>
      <c r="L47">
        <v>56.8</v>
      </c>
      <c r="M47">
        <v>1300</v>
      </c>
      <c r="N47" s="2">
        <v>69000</v>
      </c>
      <c r="O47">
        <v>230</v>
      </c>
      <c r="P47">
        <v>115</v>
      </c>
      <c r="R47" s="2">
        <v>5175</v>
      </c>
      <c r="T47" s="2">
        <v>63250</v>
      </c>
      <c r="X47">
        <v>0</v>
      </c>
      <c r="Z47">
        <v>6.5</v>
      </c>
      <c r="AB47">
        <v>31.7</v>
      </c>
      <c r="AC47">
        <v>11.44722222</v>
      </c>
      <c r="AD47">
        <v>28.5</v>
      </c>
      <c r="AI47">
        <f>12 - Table1[[#This Row],[production_running]] - Table1[[#This Row],[ change_full_set ]] - Table1[[#This Row],[ change_half_set ]] - Table1[[#This Row],[ change_parts ]] - Table1[[#This Row],[ maintenance_dt ]] - Table1[[#This Row],[production_dt]]</f>
        <v>0.55277777999999955</v>
      </c>
      <c r="AK47" t="s">
        <v>111</v>
      </c>
      <c r="AM47">
        <v>2.7</v>
      </c>
      <c r="AN47">
        <f>INT(Table1[[#This Row],[reject_prod]]/Table1[[#This Row],[part_weight]] * 1000)</f>
        <v>114</v>
      </c>
    </row>
    <row r="48" spans="1:40">
      <c r="A48" s="1">
        <v>46025</v>
      </c>
      <c r="B48">
        <v>1</v>
      </c>
      <c r="C48">
        <v>11</v>
      </c>
      <c r="D48" t="s">
        <v>112</v>
      </c>
      <c r="E48" t="s">
        <v>46</v>
      </c>
      <c r="F48">
        <v>552181</v>
      </c>
      <c r="G48">
        <v>1</v>
      </c>
      <c r="H48" t="s">
        <v>49</v>
      </c>
      <c r="I48">
        <v>10679363</v>
      </c>
      <c r="J48">
        <v>6</v>
      </c>
      <c r="K48">
        <v>18.8</v>
      </c>
      <c r="L48">
        <v>18.8</v>
      </c>
      <c r="M48">
        <v>1580</v>
      </c>
      <c r="N48" s="2">
        <v>108000</v>
      </c>
      <c r="O48" s="2">
        <v>15930</v>
      </c>
      <c r="P48" s="2">
        <v>25650</v>
      </c>
      <c r="R48">
        <v>0</v>
      </c>
      <c r="T48" s="2">
        <v>58050</v>
      </c>
      <c r="X48">
        <v>0</v>
      </c>
      <c r="Z48">
        <v>3.4</v>
      </c>
      <c r="AB48">
        <v>27.6</v>
      </c>
      <c r="AC48">
        <v>12</v>
      </c>
      <c r="AD48">
        <v>27</v>
      </c>
      <c r="AI48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48" t="s">
        <v>113</v>
      </c>
      <c r="AN48">
        <f>INT(Table1[[#This Row],[reject_prod]]/Table1[[#This Row],[part_weight]] * 1000)</f>
        <v>180</v>
      </c>
    </row>
    <row r="49" spans="1:40">
      <c r="A49" s="1">
        <v>46025</v>
      </c>
      <c r="B49">
        <v>1</v>
      </c>
      <c r="C49">
        <v>12</v>
      </c>
      <c r="D49" t="s">
        <v>40</v>
      </c>
      <c r="E49" t="s">
        <v>34</v>
      </c>
      <c r="F49">
        <v>620599</v>
      </c>
      <c r="G49">
        <v>0</v>
      </c>
      <c r="H49" t="s">
        <v>50</v>
      </c>
      <c r="I49">
        <v>10682928</v>
      </c>
      <c r="J49">
        <v>4</v>
      </c>
      <c r="K49">
        <v>55</v>
      </c>
      <c r="L49">
        <v>55</v>
      </c>
      <c r="M49">
        <v>1385</v>
      </c>
      <c r="N49" s="2">
        <v>72000</v>
      </c>
      <c r="O49">
        <v>100</v>
      </c>
      <c r="P49">
        <v>225</v>
      </c>
      <c r="R49" s="2">
        <v>5400</v>
      </c>
      <c r="T49" s="2">
        <v>5625</v>
      </c>
      <c r="X49">
        <v>0</v>
      </c>
      <c r="Z49">
        <v>7.8</v>
      </c>
      <c r="AB49">
        <v>28</v>
      </c>
      <c r="AC49">
        <v>10.77222222</v>
      </c>
      <c r="AD49">
        <v>28</v>
      </c>
      <c r="AI49">
        <f>12 - Table1[[#This Row],[production_running]] - Table1[[#This Row],[ change_full_set ]] - Table1[[#This Row],[ change_half_set ]] - Table1[[#This Row],[ change_parts ]] - Table1[[#This Row],[ maintenance_dt ]] - Table1[[#This Row],[production_dt]]</f>
        <v>1.2277777800000003</v>
      </c>
      <c r="AK49" t="s">
        <v>114</v>
      </c>
      <c r="AN49">
        <f>INT(Table1[[#This Row],[reject_prod]]/Table1[[#This Row],[part_weight]] * 1000)</f>
        <v>141</v>
      </c>
    </row>
    <row r="50" spans="1:40">
      <c r="A50" s="1">
        <v>46025</v>
      </c>
      <c r="B50">
        <v>1</v>
      </c>
      <c r="C50">
        <v>13</v>
      </c>
      <c r="D50" t="s">
        <v>112</v>
      </c>
      <c r="E50" t="s">
        <v>46</v>
      </c>
      <c r="F50">
        <v>586276</v>
      </c>
      <c r="G50">
        <v>0</v>
      </c>
      <c r="H50" t="s">
        <v>47</v>
      </c>
      <c r="I50">
        <v>10682335</v>
      </c>
      <c r="J50">
        <v>6</v>
      </c>
      <c r="K50">
        <v>12.3</v>
      </c>
      <c r="L50">
        <v>12.3</v>
      </c>
      <c r="M50">
        <v>1590</v>
      </c>
      <c r="N50" s="2">
        <v>162000</v>
      </c>
      <c r="O50">
        <v>405</v>
      </c>
      <c r="P50" s="2">
        <v>1620</v>
      </c>
      <c r="R50" s="2">
        <v>8100</v>
      </c>
      <c r="T50" s="2">
        <v>147420</v>
      </c>
      <c r="X50">
        <v>0</v>
      </c>
      <c r="Z50">
        <v>3.5</v>
      </c>
      <c r="AB50">
        <v>26</v>
      </c>
      <c r="AC50">
        <v>11.483333330000001</v>
      </c>
      <c r="AD50">
        <v>26</v>
      </c>
      <c r="AI50">
        <f>12 - Table1[[#This Row],[production_running]] - Table1[[#This Row],[ change_full_set ]] - Table1[[#This Row],[ change_half_set ]] - Table1[[#This Row],[ change_parts ]] - Table1[[#This Row],[ maintenance_dt ]] - Table1[[#This Row],[production_dt]]</f>
        <v>0.51666666999999933</v>
      </c>
      <c r="AK50" t="s">
        <v>51</v>
      </c>
      <c r="AM50">
        <v>2</v>
      </c>
      <c r="AN50">
        <f>INT(Table1[[#This Row],[reject_prod]]/Table1[[#This Row],[part_weight]] * 1000)</f>
        <v>284</v>
      </c>
    </row>
    <row r="51" spans="1:40">
      <c r="A51" s="1">
        <v>46025</v>
      </c>
      <c r="B51">
        <v>1</v>
      </c>
      <c r="C51">
        <v>14</v>
      </c>
      <c r="D51" t="s">
        <v>62</v>
      </c>
      <c r="E51" t="s">
        <v>46</v>
      </c>
      <c r="F51">
        <v>555979</v>
      </c>
      <c r="G51">
        <v>1</v>
      </c>
      <c r="H51" t="s">
        <v>52</v>
      </c>
      <c r="I51">
        <v>10682931</v>
      </c>
      <c r="J51">
        <v>6</v>
      </c>
      <c r="K51">
        <v>28</v>
      </c>
      <c r="L51">
        <v>28</v>
      </c>
      <c r="M51">
        <v>970</v>
      </c>
      <c r="N51" s="2">
        <v>100800</v>
      </c>
      <c r="O51" s="2">
        <v>3192</v>
      </c>
      <c r="P51" s="2">
        <v>2184</v>
      </c>
      <c r="R51" s="2">
        <v>6720</v>
      </c>
      <c r="T51" s="2">
        <v>49224</v>
      </c>
      <c r="X51">
        <v>0</v>
      </c>
      <c r="Z51">
        <v>4.5</v>
      </c>
      <c r="AB51">
        <v>43.3</v>
      </c>
      <c r="AC51">
        <v>11.66694444</v>
      </c>
      <c r="AD51">
        <v>42</v>
      </c>
      <c r="AI51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0.33305556000000003</v>
      </c>
      <c r="AK51" t="s">
        <v>51</v>
      </c>
      <c r="AN51">
        <f>INT(Table1[[#This Row],[reject_prod]]/Table1[[#This Row],[part_weight]] * 1000)</f>
        <v>160</v>
      </c>
    </row>
    <row r="52" spans="1:40">
      <c r="A52" s="1">
        <v>46025</v>
      </c>
      <c r="B52">
        <v>1</v>
      </c>
      <c r="C52">
        <v>15</v>
      </c>
      <c r="D52" t="s">
        <v>112</v>
      </c>
      <c r="E52" t="s">
        <v>46</v>
      </c>
      <c r="F52">
        <v>552181</v>
      </c>
      <c r="G52">
        <v>2</v>
      </c>
      <c r="H52" t="s">
        <v>49</v>
      </c>
      <c r="I52">
        <v>10682933</v>
      </c>
      <c r="J52">
        <v>6</v>
      </c>
      <c r="K52">
        <v>18.8</v>
      </c>
      <c r="L52">
        <v>18.8</v>
      </c>
      <c r="M52">
        <v>1345</v>
      </c>
      <c r="N52" s="2">
        <v>108000</v>
      </c>
      <c r="O52" s="2">
        <v>10530</v>
      </c>
      <c r="P52">
        <v>270</v>
      </c>
      <c r="R52" s="2">
        <v>16200</v>
      </c>
      <c r="T52" s="2">
        <v>54270</v>
      </c>
      <c r="X52">
        <v>0</v>
      </c>
      <c r="Z52">
        <v>6.5</v>
      </c>
      <c r="AB52">
        <v>31.1</v>
      </c>
      <c r="AC52">
        <v>11.619305560000001</v>
      </c>
      <c r="AD52">
        <v>27</v>
      </c>
      <c r="AI52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0.38069443999999919</v>
      </c>
      <c r="AK52" t="s">
        <v>51</v>
      </c>
      <c r="AM52">
        <v>1.5</v>
      </c>
      <c r="AN52">
        <f>INT(Table1[[#This Row],[reject_prod]]/Table1[[#This Row],[part_weight]] * 1000)</f>
        <v>345</v>
      </c>
    </row>
    <row r="53" spans="1:40">
      <c r="A53" s="1">
        <v>46025</v>
      </c>
      <c r="B53">
        <v>1</v>
      </c>
      <c r="C53">
        <v>16</v>
      </c>
      <c r="D53" t="s">
        <v>115</v>
      </c>
      <c r="E53" t="s">
        <v>46</v>
      </c>
      <c r="F53">
        <v>555979</v>
      </c>
      <c r="G53">
        <v>2</v>
      </c>
      <c r="H53" t="s">
        <v>52</v>
      </c>
      <c r="I53">
        <v>10682063</v>
      </c>
      <c r="J53">
        <v>6</v>
      </c>
      <c r="K53">
        <v>28</v>
      </c>
      <c r="L53">
        <v>28</v>
      </c>
      <c r="M53">
        <v>980</v>
      </c>
      <c r="N53" s="2">
        <v>100800</v>
      </c>
      <c r="O53" s="2">
        <v>1680</v>
      </c>
      <c r="P53">
        <v>840</v>
      </c>
      <c r="R53" s="2">
        <v>6720</v>
      </c>
      <c r="T53" s="2">
        <v>91560</v>
      </c>
      <c r="X53">
        <v>0</v>
      </c>
      <c r="Z53">
        <v>3.1</v>
      </c>
      <c r="AB53">
        <v>44.3</v>
      </c>
      <c r="AC53">
        <v>12</v>
      </c>
      <c r="AD53">
        <v>42</v>
      </c>
      <c r="AI53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53" t="s">
        <v>51</v>
      </c>
      <c r="AN53">
        <f>INT(Table1[[#This Row],[reject_prod]]/Table1[[#This Row],[part_weight]] * 1000)</f>
        <v>110</v>
      </c>
    </row>
    <row r="54" spans="1:40">
      <c r="A54" s="1">
        <v>46025</v>
      </c>
      <c r="B54">
        <v>2</v>
      </c>
      <c r="C54">
        <v>1</v>
      </c>
      <c r="F54">
        <v>123456</v>
      </c>
      <c r="G54">
        <v>0</v>
      </c>
      <c r="M54">
        <v>0</v>
      </c>
      <c r="N54">
        <v>0</v>
      </c>
      <c r="O54">
        <v>0</v>
      </c>
      <c r="P54">
        <v>0</v>
      </c>
      <c r="R54">
        <v>0</v>
      </c>
      <c r="T54">
        <v>0</v>
      </c>
      <c r="X54">
        <v>0</v>
      </c>
      <c r="Z54">
        <v>0</v>
      </c>
      <c r="AB54">
        <v>0</v>
      </c>
      <c r="AC54">
        <v>0</v>
      </c>
      <c r="AD54">
        <v>22.5</v>
      </c>
      <c r="AI54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4">
        <v>12</v>
      </c>
      <c r="AK54" t="s">
        <v>116</v>
      </c>
      <c r="AN54">
        <v>0</v>
      </c>
    </row>
    <row r="55" spans="1:40">
      <c r="A55" s="1">
        <v>46025</v>
      </c>
      <c r="B55">
        <v>2</v>
      </c>
      <c r="C55">
        <v>2</v>
      </c>
      <c r="D55" t="s">
        <v>88</v>
      </c>
      <c r="E55" t="s">
        <v>34</v>
      </c>
      <c r="F55">
        <v>423213</v>
      </c>
      <c r="G55">
        <v>0</v>
      </c>
      <c r="H55" t="s">
        <v>70</v>
      </c>
      <c r="I55">
        <v>10682754</v>
      </c>
      <c r="J55">
        <v>4</v>
      </c>
      <c r="K55">
        <v>30</v>
      </c>
      <c r="L55">
        <v>23</v>
      </c>
      <c r="M55">
        <v>1883</v>
      </c>
      <c r="N55" s="2">
        <v>47244</v>
      </c>
      <c r="O55" s="2">
        <v>2667</v>
      </c>
      <c r="P55">
        <v>762</v>
      </c>
      <c r="R55" s="2">
        <v>9144</v>
      </c>
      <c r="T55" s="2">
        <v>23622</v>
      </c>
      <c r="X55">
        <v>0</v>
      </c>
      <c r="Z55">
        <v>5</v>
      </c>
      <c r="AB55">
        <v>22.4</v>
      </c>
      <c r="AC55">
        <v>11.71644444</v>
      </c>
      <c r="AD55">
        <v>22.5</v>
      </c>
      <c r="AI55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0.28355555999999993</v>
      </c>
      <c r="AK55" t="s">
        <v>91</v>
      </c>
      <c r="AN55">
        <f>INT(Table1[[#This Row],[reject_prod]]/Table1[[#This Row],[part_weight]] * 1000)</f>
        <v>217</v>
      </c>
    </row>
    <row r="56" spans="1:40">
      <c r="A56" s="1">
        <v>46025</v>
      </c>
      <c r="B56">
        <v>2</v>
      </c>
      <c r="C56">
        <v>3</v>
      </c>
      <c r="D56" t="s">
        <v>117</v>
      </c>
      <c r="E56" t="s">
        <v>34</v>
      </c>
      <c r="F56">
        <v>442034</v>
      </c>
      <c r="G56">
        <v>0</v>
      </c>
      <c r="H56" t="s">
        <v>37</v>
      </c>
      <c r="I56">
        <v>10681182</v>
      </c>
      <c r="J56">
        <v>4</v>
      </c>
      <c r="K56">
        <v>23</v>
      </c>
      <c r="L56">
        <v>23</v>
      </c>
      <c r="M56">
        <v>1548</v>
      </c>
      <c r="N56" s="2">
        <v>139776</v>
      </c>
      <c r="O56" s="2">
        <v>1920</v>
      </c>
      <c r="P56" s="2">
        <v>3456</v>
      </c>
      <c r="R56" s="2">
        <v>4608</v>
      </c>
      <c r="T56" s="2">
        <v>114048</v>
      </c>
      <c r="X56">
        <v>0</v>
      </c>
      <c r="Z56">
        <v>4</v>
      </c>
      <c r="AB56">
        <v>25.9</v>
      </c>
      <c r="AC56">
        <v>11.137</v>
      </c>
      <c r="AD56">
        <v>22</v>
      </c>
      <c r="AI5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0.86299999999999955</v>
      </c>
      <c r="AK56" t="s">
        <v>118</v>
      </c>
      <c r="AN56">
        <f>INT(Table1[[#This Row],[reject_prod]]/Table1[[#This Row],[part_weight]] * 1000)</f>
        <v>173</v>
      </c>
    </row>
    <row r="57" spans="1:40">
      <c r="A57" s="1">
        <v>46025</v>
      </c>
      <c r="B57">
        <v>2</v>
      </c>
      <c r="C57">
        <v>4</v>
      </c>
      <c r="F57">
        <v>123456</v>
      </c>
      <c r="G57">
        <v>0</v>
      </c>
      <c r="M57">
        <v>0</v>
      </c>
      <c r="N57">
        <v>0</v>
      </c>
      <c r="O57">
        <v>0</v>
      </c>
      <c r="P57">
        <v>0</v>
      </c>
      <c r="R57">
        <v>0</v>
      </c>
      <c r="T57">
        <v>0</v>
      </c>
      <c r="X57">
        <v>0</v>
      </c>
      <c r="Z57">
        <v>0</v>
      </c>
      <c r="AB57">
        <v>0</v>
      </c>
      <c r="AC57">
        <v>0</v>
      </c>
      <c r="AD57">
        <v>22.5</v>
      </c>
      <c r="AI57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7">
        <v>12</v>
      </c>
      <c r="AK57" t="s">
        <v>116</v>
      </c>
      <c r="AN57">
        <v>0</v>
      </c>
    </row>
    <row r="58" spans="1:40">
      <c r="A58" s="1">
        <v>46025</v>
      </c>
      <c r="B58">
        <v>2</v>
      </c>
      <c r="C58">
        <v>5</v>
      </c>
      <c r="F58">
        <v>123456</v>
      </c>
      <c r="G58">
        <v>0</v>
      </c>
      <c r="M58">
        <v>0</v>
      </c>
      <c r="N58">
        <v>0</v>
      </c>
      <c r="O58">
        <v>0</v>
      </c>
      <c r="P58">
        <v>0</v>
      </c>
      <c r="R58">
        <v>0</v>
      </c>
      <c r="T58">
        <v>0</v>
      </c>
      <c r="X58">
        <v>0</v>
      </c>
      <c r="Z58">
        <v>0</v>
      </c>
      <c r="AB58">
        <v>0</v>
      </c>
      <c r="AC58">
        <v>0</v>
      </c>
      <c r="AD58">
        <v>22.5</v>
      </c>
      <c r="AI58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8">
        <v>12</v>
      </c>
      <c r="AK58" t="s">
        <v>116</v>
      </c>
      <c r="AN58">
        <v>0</v>
      </c>
    </row>
    <row r="59" spans="1:40">
      <c r="A59" s="1">
        <v>46025</v>
      </c>
      <c r="B59">
        <v>2</v>
      </c>
      <c r="C59">
        <v>6</v>
      </c>
      <c r="F59">
        <v>123456</v>
      </c>
      <c r="G59">
        <v>0</v>
      </c>
      <c r="M59">
        <v>0</v>
      </c>
      <c r="N59">
        <v>0</v>
      </c>
      <c r="O59">
        <v>0</v>
      </c>
      <c r="P59">
        <v>0</v>
      </c>
      <c r="R59">
        <v>0</v>
      </c>
      <c r="T59">
        <v>0</v>
      </c>
      <c r="X59">
        <v>0</v>
      </c>
      <c r="Z59">
        <v>0</v>
      </c>
      <c r="AB59">
        <v>0</v>
      </c>
      <c r="AC59">
        <v>0</v>
      </c>
      <c r="AD59">
        <v>22.5</v>
      </c>
      <c r="AI59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9">
        <v>12</v>
      </c>
      <c r="AK59" t="s">
        <v>116</v>
      </c>
      <c r="AN59">
        <v>0</v>
      </c>
    </row>
    <row r="60" spans="1:40">
      <c r="A60" s="1">
        <v>46025</v>
      </c>
      <c r="B60">
        <v>2</v>
      </c>
      <c r="C60">
        <v>7</v>
      </c>
      <c r="D60" t="s">
        <v>119</v>
      </c>
      <c r="E60" t="s">
        <v>34</v>
      </c>
      <c r="F60">
        <v>324165</v>
      </c>
      <c r="G60">
        <v>0</v>
      </c>
      <c r="H60" t="s">
        <v>44</v>
      </c>
      <c r="I60">
        <v>10680238</v>
      </c>
      <c r="J60">
        <v>4</v>
      </c>
      <c r="K60">
        <v>32.56</v>
      </c>
      <c r="L60">
        <v>33</v>
      </c>
      <c r="M60">
        <v>1902</v>
      </c>
      <c r="N60" s="2">
        <v>104192</v>
      </c>
      <c r="O60" s="2">
        <v>2960</v>
      </c>
      <c r="P60">
        <v>0</v>
      </c>
      <c r="R60" s="2">
        <v>10656</v>
      </c>
      <c r="T60" s="2">
        <v>88800</v>
      </c>
      <c r="X60">
        <v>0</v>
      </c>
      <c r="Z60">
        <v>3</v>
      </c>
      <c r="AB60">
        <v>22.5</v>
      </c>
      <c r="AC60">
        <v>11.887499999999999</v>
      </c>
      <c r="AD60">
        <v>22</v>
      </c>
      <c r="AI60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0.11250000000000071</v>
      </c>
      <c r="AK60" t="s">
        <v>91</v>
      </c>
      <c r="AN60">
        <f>INT(Table1[[#This Row],[reject_prod]]/Table1[[#This Row],[part_weight]] * 1000)</f>
        <v>90</v>
      </c>
    </row>
    <row r="61" spans="1:40">
      <c r="A61" s="1">
        <v>46025</v>
      </c>
      <c r="B61">
        <v>2</v>
      </c>
      <c r="C61">
        <v>8</v>
      </c>
      <c r="F61">
        <v>123456</v>
      </c>
      <c r="G61">
        <v>0</v>
      </c>
      <c r="M61">
        <v>0</v>
      </c>
      <c r="N61">
        <v>0</v>
      </c>
      <c r="O61">
        <v>0</v>
      </c>
      <c r="P61">
        <v>0</v>
      </c>
      <c r="R61">
        <v>0</v>
      </c>
      <c r="T61">
        <v>0</v>
      </c>
      <c r="X61">
        <v>0</v>
      </c>
      <c r="Z61">
        <v>0</v>
      </c>
      <c r="AB61">
        <v>0</v>
      </c>
      <c r="AC61">
        <v>0</v>
      </c>
      <c r="AD61">
        <v>22.5</v>
      </c>
      <c r="AI61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61">
        <v>12</v>
      </c>
      <c r="AK61" t="s">
        <v>116</v>
      </c>
      <c r="AN61">
        <v>0</v>
      </c>
    </row>
    <row r="62" spans="1:40">
      <c r="A62" s="1">
        <v>46025</v>
      </c>
      <c r="B62">
        <v>2</v>
      </c>
      <c r="C62">
        <v>9</v>
      </c>
      <c r="D62" t="s">
        <v>120</v>
      </c>
      <c r="E62" t="s">
        <v>46</v>
      </c>
      <c r="F62">
        <v>586276</v>
      </c>
      <c r="G62">
        <v>0</v>
      </c>
      <c r="H62" t="s">
        <v>47</v>
      </c>
      <c r="I62">
        <v>10682923</v>
      </c>
      <c r="J62">
        <v>6</v>
      </c>
      <c r="K62">
        <v>12.3</v>
      </c>
      <c r="L62">
        <v>12.3</v>
      </c>
      <c r="M62">
        <v>1625</v>
      </c>
      <c r="N62" s="2">
        <v>162000</v>
      </c>
      <c r="O62" s="2">
        <v>3240</v>
      </c>
      <c r="P62" s="2">
        <v>4860</v>
      </c>
      <c r="R62" s="2">
        <v>8100</v>
      </c>
      <c r="T62" s="2">
        <v>53460</v>
      </c>
      <c r="X62">
        <v>0</v>
      </c>
      <c r="Z62">
        <v>1</v>
      </c>
      <c r="AB62">
        <v>25.6</v>
      </c>
      <c r="AC62">
        <v>11.55555556</v>
      </c>
      <c r="AD62">
        <v>26</v>
      </c>
      <c r="AI62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0.44444443999999983</v>
      </c>
      <c r="AK62" t="s">
        <v>90</v>
      </c>
      <c r="AN62">
        <f>INT(Table1[[#This Row],[reject_prod]]/Table1[[#This Row],[part_weight]] * 1000)</f>
        <v>81</v>
      </c>
    </row>
    <row r="63" spans="1:40">
      <c r="A63" s="1">
        <v>46025</v>
      </c>
      <c r="B63">
        <v>2</v>
      </c>
      <c r="C63">
        <v>10</v>
      </c>
      <c r="D63" t="s">
        <v>89</v>
      </c>
      <c r="E63" t="s">
        <v>41</v>
      </c>
      <c r="F63">
        <v>593537</v>
      </c>
      <c r="G63">
        <v>0</v>
      </c>
      <c r="H63" t="s">
        <v>48</v>
      </c>
      <c r="I63">
        <v>10680019</v>
      </c>
      <c r="J63">
        <v>4</v>
      </c>
      <c r="K63">
        <v>56.5</v>
      </c>
      <c r="L63">
        <v>56.8</v>
      </c>
      <c r="M63">
        <v>1322</v>
      </c>
      <c r="N63" s="2">
        <v>69000</v>
      </c>
      <c r="O63">
        <v>115</v>
      </c>
      <c r="P63">
        <v>115</v>
      </c>
      <c r="R63" s="2">
        <v>5175</v>
      </c>
      <c r="T63" s="2">
        <v>68540</v>
      </c>
      <c r="X63">
        <v>0</v>
      </c>
      <c r="Z63">
        <v>4</v>
      </c>
      <c r="AB63">
        <v>31.7</v>
      </c>
      <c r="AC63">
        <v>11.64094444</v>
      </c>
      <c r="AD63">
        <v>28.5</v>
      </c>
      <c r="AI63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0.35905555999999983</v>
      </c>
      <c r="AK63" t="s">
        <v>121</v>
      </c>
      <c r="AN63">
        <f>INT(Table1[[#This Row],[reject_prod]]/Table1[[#This Row],[part_weight]] * 1000)</f>
        <v>70</v>
      </c>
    </row>
    <row r="64" spans="1:40">
      <c r="A64" s="1">
        <v>46025</v>
      </c>
      <c r="B64">
        <v>2</v>
      </c>
      <c r="C64">
        <v>11</v>
      </c>
      <c r="D64" t="s">
        <v>59</v>
      </c>
      <c r="E64" t="s">
        <v>46</v>
      </c>
      <c r="F64">
        <v>552181</v>
      </c>
      <c r="G64">
        <v>1</v>
      </c>
      <c r="H64" t="s">
        <v>49</v>
      </c>
      <c r="I64">
        <v>10679363</v>
      </c>
      <c r="J64">
        <v>6</v>
      </c>
      <c r="K64">
        <v>18.8</v>
      </c>
      <c r="L64">
        <v>18.8</v>
      </c>
      <c r="M64">
        <v>1530</v>
      </c>
      <c r="N64" s="2">
        <v>108000</v>
      </c>
      <c r="O64" s="2">
        <v>25650</v>
      </c>
      <c r="P64" s="2">
        <v>34830</v>
      </c>
      <c r="R64">
        <v>0</v>
      </c>
      <c r="T64" s="2">
        <v>67230</v>
      </c>
      <c r="X64">
        <v>0</v>
      </c>
      <c r="Z64">
        <v>1</v>
      </c>
      <c r="AB64">
        <v>27.87</v>
      </c>
      <c r="AC64">
        <v>11.844749999999999</v>
      </c>
      <c r="AD64">
        <v>27</v>
      </c>
      <c r="AI64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0.15525000000000055</v>
      </c>
      <c r="AK64" t="s">
        <v>122</v>
      </c>
      <c r="AN64">
        <f>INT(Table1[[#This Row],[reject_prod]]/Table1[[#This Row],[part_weight]] * 1000)</f>
        <v>53</v>
      </c>
    </row>
    <row r="65" spans="1:40">
      <c r="A65" s="1">
        <v>46025</v>
      </c>
      <c r="B65">
        <v>2</v>
      </c>
      <c r="C65">
        <v>12</v>
      </c>
      <c r="F65">
        <v>123456</v>
      </c>
      <c r="G65">
        <v>0</v>
      </c>
      <c r="M65">
        <v>0</v>
      </c>
      <c r="N65">
        <v>0</v>
      </c>
      <c r="O65">
        <v>0</v>
      </c>
      <c r="P65">
        <v>0</v>
      </c>
      <c r="R65">
        <v>0</v>
      </c>
      <c r="T65">
        <v>0</v>
      </c>
      <c r="X65">
        <v>0</v>
      </c>
      <c r="Z65">
        <v>0</v>
      </c>
      <c r="AB65">
        <v>0</v>
      </c>
      <c r="AC65">
        <v>0</v>
      </c>
      <c r="AD65">
        <v>22.5</v>
      </c>
      <c r="AI65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65">
        <v>12</v>
      </c>
      <c r="AK65" t="s">
        <v>116</v>
      </c>
      <c r="AN65">
        <v>0</v>
      </c>
    </row>
    <row r="66" spans="1:40">
      <c r="A66" s="1">
        <v>46025</v>
      </c>
      <c r="B66">
        <v>2</v>
      </c>
      <c r="C66">
        <v>13</v>
      </c>
      <c r="D66" t="s">
        <v>59</v>
      </c>
      <c r="E66" t="s">
        <v>46</v>
      </c>
      <c r="F66">
        <v>586276</v>
      </c>
      <c r="G66">
        <v>0</v>
      </c>
      <c r="H66" t="s">
        <v>47</v>
      </c>
      <c r="I66">
        <v>10682335</v>
      </c>
      <c r="J66">
        <v>6</v>
      </c>
      <c r="K66">
        <v>12.3</v>
      </c>
      <c r="L66">
        <v>12.3</v>
      </c>
      <c r="M66">
        <v>1629</v>
      </c>
      <c r="N66" s="2">
        <v>162000</v>
      </c>
      <c r="O66" s="2">
        <v>1620</v>
      </c>
      <c r="P66" s="2">
        <v>2430</v>
      </c>
      <c r="R66" s="2">
        <v>8100</v>
      </c>
      <c r="T66" s="2">
        <v>156330</v>
      </c>
      <c r="X66">
        <v>0</v>
      </c>
      <c r="Z66">
        <v>1</v>
      </c>
      <c r="AB66">
        <v>26.1</v>
      </c>
      <c r="AC66">
        <v>11.81025</v>
      </c>
      <c r="AD66">
        <v>26</v>
      </c>
      <c r="AI6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0.18975000000000009</v>
      </c>
      <c r="AK66" t="s">
        <v>90</v>
      </c>
      <c r="AN66">
        <f>INT(Table1[[#This Row],[reject_prod]]/Table1[[#This Row],[part_weight]] * 1000)</f>
        <v>81</v>
      </c>
    </row>
    <row r="67" spans="1:40">
      <c r="A67" s="1">
        <v>46025</v>
      </c>
      <c r="B67">
        <v>2</v>
      </c>
      <c r="C67">
        <v>14</v>
      </c>
      <c r="D67" t="s">
        <v>123</v>
      </c>
      <c r="E67" t="s">
        <v>46</v>
      </c>
      <c r="F67">
        <v>555979</v>
      </c>
      <c r="G67">
        <v>1</v>
      </c>
      <c r="H67" t="s">
        <v>52</v>
      </c>
      <c r="I67">
        <v>10682931</v>
      </c>
      <c r="J67">
        <v>6</v>
      </c>
      <c r="K67">
        <v>28</v>
      </c>
      <c r="L67">
        <v>28</v>
      </c>
      <c r="M67">
        <v>983</v>
      </c>
      <c r="N67" s="2">
        <v>100800</v>
      </c>
      <c r="O67" s="2">
        <v>2184</v>
      </c>
      <c r="P67" s="2">
        <v>1344</v>
      </c>
      <c r="R67" s="2">
        <v>6720</v>
      </c>
      <c r="T67" s="2">
        <v>55104</v>
      </c>
      <c r="X67">
        <v>0</v>
      </c>
      <c r="Z67">
        <v>1</v>
      </c>
      <c r="AB67">
        <v>43.2</v>
      </c>
      <c r="AC67">
        <v>11.795999999999999</v>
      </c>
      <c r="AD67">
        <v>42</v>
      </c>
      <c r="AI67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0.20400000000000063</v>
      </c>
      <c r="AK67" t="s">
        <v>90</v>
      </c>
      <c r="AN67">
        <f>INT(Table1[[#This Row],[reject_prod]]/Table1[[#This Row],[part_weight]] * 1000)</f>
        <v>35</v>
      </c>
    </row>
    <row r="68" spans="1:40">
      <c r="A68" s="1">
        <v>46025</v>
      </c>
      <c r="B68">
        <v>2</v>
      </c>
      <c r="C68">
        <v>15</v>
      </c>
      <c r="D68" t="s">
        <v>59</v>
      </c>
      <c r="E68" t="s">
        <v>46</v>
      </c>
      <c r="F68">
        <v>552181</v>
      </c>
      <c r="G68">
        <v>2</v>
      </c>
      <c r="H68" t="s">
        <v>49</v>
      </c>
      <c r="I68">
        <v>10682933</v>
      </c>
      <c r="J68">
        <v>6</v>
      </c>
      <c r="K68">
        <v>18.8</v>
      </c>
      <c r="L68">
        <v>18.8</v>
      </c>
      <c r="M68">
        <v>1362</v>
      </c>
      <c r="N68" s="2">
        <v>108000</v>
      </c>
      <c r="O68">
        <v>270</v>
      </c>
      <c r="P68" s="2">
        <v>2700</v>
      </c>
      <c r="R68" s="2">
        <v>5400</v>
      </c>
      <c r="T68" s="2">
        <v>62100</v>
      </c>
      <c r="X68">
        <v>0</v>
      </c>
      <c r="Z68">
        <v>1</v>
      </c>
      <c r="AB68">
        <v>31.27</v>
      </c>
      <c r="AC68">
        <v>11.83048333</v>
      </c>
      <c r="AD68">
        <v>27</v>
      </c>
      <c r="AI68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0.16951667000000015</v>
      </c>
      <c r="AK68" t="s">
        <v>90</v>
      </c>
      <c r="AN68">
        <f>INT(Table1[[#This Row],[reject_prod]]/Table1[[#This Row],[part_weight]] * 1000)</f>
        <v>53</v>
      </c>
    </row>
    <row r="69" spans="1:40">
      <c r="A69" s="1">
        <v>46025</v>
      </c>
      <c r="B69">
        <v>2</v>
      </c>
      <c r="C69">
        <v>16</v>
      </c>
      <c r="D69" t="s">
        <v>124</v>
      </c>
      <c r="E69" t="s">
        <v>46</v>
      </c>
      <c r="F69">
        <v>555979</v>
      </c>
      <c r="G69">
        <v>2</v>
      </c>
      <c r="H69" t="s">
        <v>52</v>
      </c>
      <c r="I69">
        <v>10682063</v>
      </c>
      <c r="J69">
        <v>6</v>
      </c>
      <c r="K69">
        <v>28</v>
      </c>
      <c r="L69">
        <v>28</v>
      </c>
      <c r="M69">
        <v>968</v>
      </c>
      <c r="N69" s="2">
        <v>100800</v>
      </c>
      <c r="O69">
        <v>840</v>
      </c>
      <c r="P69">
        <v>0</v>
      </c>
      <c r="R69" s="2">
        <v>6720</v>
      </c>
      <c r="T69" s="2">
        <v>97440</v>
      </c>
      <c r="X69">
        <v>0</v>
      </c>
      <c r="AB69">
        <v>44.3</v>
      </c>
      <c r="AC69">
        <v>11.91177778</v>
      </c>
      <c r="AD69">
        <v>42</v>
      </c>
      <c r="AI69">
        <f>12 - Table1[[#This Row],[production_running]] - Table1[[#This Row],[ change_full_set ]] - Table1[[#This Row],[ change_half_set ]] - Table1[[#This Row],[ change_parts ]] - Table1[[#This Row],[ maintenance_dt ]] - Table1[[#This Row],[production_dt]]</f>
        <v>8.8222220000000462E-2</v>
      </c>
      <c r="AK69" t="s">
        <v>90</v>
      </c>
      <c r="AN69">
        <f>INT(Table1[[#This Row],[reject_prod]]/Table1[[#This Row],[part_weight]] * 1000)</f>
        <v>0</v>
      </c>
    </row>
    <row r="70" spans="1:40">
      <c r="A70" s="1">
        <v>46026</v>
      </c>
      <c r="B70">
        <v>1</v>
      </c>
      <c r="C70">
        <v>1</v>
      </c>
      <c r="D70" t="s">
        <v>33</v>
      </c>
      <c r="E70" t="s">
        <v>34</v>
      </c>
      <c r="F70">
        <v>347623</v>
      </c>
      <c r="G70">
        <v>0</v>
      </c>
      <c r="H70" t="s">
        <v>35</v>
      </c>
      <c r="I70">
        <v>10682194</v>
      </c>
      <c r="J70">
        <v>4</v>
      </c>
      <c r="K70">
        <v>35.6</v>
      </c>
      <c r="L70">
        <v>35.6</v>
      </c>
      <c r="M70">
        <v>0</v>
      </c>
      <c r="N70" s="2">
        <v>40480</v>
      </c>
      <c r="O70" s="2">
        <v>1840</v>
      </c>
      <c r="P70">
        <v>0</v>
      </c>
      <c r="R70" s="2">
        <v>1840</v>
      </c>
      <c r="T70" s="2">
        <v>40480</v>
      </c>
      <c r="Z70">
        <v>0</v>
      </c>
      <c r="AB70">
        <v>0</v>
      </c>
      <c r="AC70">
        <v>0</v>
      </c>
      <c r="AD70">
        <v>27</v>
      </c>
      <c r="AI70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70" t="s">
        <v>102</v>
      </c>
      <c r="AN70">
        <f>INT(Table1[[#This Row],[reject_prod]]/Table1[[#This Row],[part_weight]] * 1000)</f>
        <v>0</v>
      </c>
    </row>
    <row r="71" spans="1:40">
      <c r="A71" s="1">
        <v>46026</v>
      </c>
      <c r="B71">
        <v>1</v>
      </c>
      <c r="C71">
        <v>2</v>
      </c>
      <c r="D71" t="s">
        <v>67</v>
      </c>
      <c r="E71" t="s">
        <v>34</v>
      </c>
      <c r="F71">
        <v>423213</v>
      </c>
      <c r="G71">
        <v>0</v>
      </c>
      <c r="H71" t="s">
        <v>70</v>
      </c>
      <c r="I71">
        <v>10682754</v>
      </c>
      <c r="J71">
        <v>4</v>
      </c>
      <c r="K71">
        <v>23</v>
      </c>
      <c r="L71">
        <v>23</v>
      </c>
      <c r="M71">
        <v>1905</v>
      </c>
      <c r="N71" s="2">
        <v>47244</v>
      </c>
      <c r="O71">
        <v>762</v>
      </c>
      <c r="P71" s="2">
        <v>3810</v>
      </c>
      <c r="R71" s="2">
        <v>4572</v>
      </c>
      <c r="T71" s="2">
        <v>31242</v>
      </c>
      <c r="Z71">
        <v>3.4</v>
      </c>
      <c r="AB71">
        <v>22.4</v>
      </c>
      <c r="AC71">
        <v>11.85333333</v>
      </c>
      <c r="AD71">
        <v>22.5</v>
      </c>
      <c r="AI71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0.14666667000000011</v>
      </c>
      <c r="AK71" t="s">
        <v>125</v>
      </c>
      <c r="AN71">
        <f>INT(Table1[[#This Row],[reject_prod]]/Table1[[#This Row],[part_weight]] * 1000)</f>
        <v>147</v>
      </c>
    </row>
    <row r="72" spans="1:40">
      <c r="A72" s="1">
        <v>46026</v>
      </c>
      <c r="B72">
        <v>1</v>
      </c>
      <c r="C72">
        <v>3</v>
      </c>
      <c r="D72" t="s">
        <v>108</v>
      </c>
      <c r="E72" t="s">
        <v>34</v>
      </c>
      <c r="F72">
        <v>442034</v>
      </c>
      <c r="G72">
        <v>0</v>
      </c>
      <c r="H72" t="s">
        <v>37</v>
      </c>
      <c r="I72">
        <v>10681182</v>
      </c>
      <c r="J72">
        <v>4</v>
      </c>
      <c r="K72">
        <v>23</v>
      </c>
      <c r="L72">
        <v>23</v>
      </c>
      <c r="M72">
        <v>1632</v>
      </c>
      <c r="N72" s="2">
        <v>139776</v>
      </c>
      <c r="O72" s="2">
        <v>3456</v>
      </c>
      <c r="P72">
        <v>768</v>
      </c>
      <c r="R72" s="2">
        <v>9216</v>
      </c>
      <c r="T72" s="2">
        <v>120576</v>
      </c>
      <c r="Z72">
        <v>4.5</v>
      </c>
      <c r="AB72">
        <v>25.9</v>
      </c>
      <c r="AC72">
        <v>11.74133333</v>
      </c>
      <c r="AD72">
        <v>22</v>
      </c>
      <c r="AI72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0.25866667000000021</v>
      </c>
      <c r="AK72" t="s">
        <v>75</v>
      </c>
      <c r="AN72">
        <f>INT(Table1[[#This Row],[reject_prod]]/Table1[[#This Row],[part_weight]] * 1000)</f>
        <v>195</v>
      </c>
    </row>
    <row r="73" spans="1:40">
      <c r="A73" s="1">
        <v>46026</v>
      </c>
      <c r="B73">
        <v>1</v>
      </c>
      <c r="C73">
        <v>4</v>
      </c>
      <c r="F73">
        <v>123456</v>
      </c>
      <c r="G73">
        <v>0</v>
      </c>
      <c r="M73">
        <v>0</v>
      </c>
      <c r="N73">
        <v>0</v>
      </c>
      <c r="O73">
        <v>0</v>
      </c>
      <c r="P73">
        <v>0</v>
      </c>
      <c r="R73">
        <v>0</v>
      </c>
      <c r="T73">
        <v>0</v>
      </c>
      <c r="X73">
        <v>0</v>
      </c>
      <c r="Z73">
        <v>0</v>
      </c>
      <c r="AB73">
        <v>0</v>
      </c>
      <c r="AC73">
        <v>0</v>
      </c>
      <c r="AD73">
        <v>22.5</v>
      </c>
      <c r="AI73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73">
        <v>12</v>
      </c>
      <c r="AK73" t="s">
        <v>116</v>
      </c>
      <c r="AN73">
        <v>0</v>
      </c>
    </row>
    <row r="74" spans="1:40">
      <c r="A74" s="1">
        <v>46026</v>
      </c>
      <c r="B74">
        <v>1</v>
      </c>
      <c r="C74">
        <v>5</v>
      </c>
      <c r="F74">
        <v>123456</v>
      </c>
      <c r="G74">
        <v>0</v>
      </c>
      <c r="M74">
        <v>0</v>
      </c>
      <c r="N74">
        <v>0</v>
      </c>
      <c r="O74">
        <v>0</v>
      </c>
      <c r="P74">
        <v>0</v>
      </c>
      <c r="R74">
        <v>0</v>
      </c>
      <c r="T74">
        <v>0</v>
      </c>
      <c r="X74">
        <v>0</v>
      </c>
      <c r="Z74">
        <v>0</v>
      </c>
      <c r="AB74">
        <v>0</v>
      </c>
      <c r="AC74">
        <v>0</v>
      </c>
      <c r="AD74">
        <v>22.5</v>
      </c>
      <c r="AI74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74">
        <v>12</v>
      </c>
      <c r="AK74" t="s">
        <v>116</v>
      </c>
      <c r="AN74">
        <v>0</v>
      </c>
    </row>
    <row r="75" spans="1:40">
      <c r="A75" s="1">
        <v>46026</v>
      </c>
      <c r="B75">
        <v>1</v>
      </c>
      <c r="C75">
        <v>6</v>
      </c>
      <c r="F75">
        <v>123456</v>
      </c>
      <c r="G75">
        <v>0</v>
      </c>
      <c r="M75">
        <v>0</v>
      </c>
      <c r="N75">
        <v>0</v>
      </c>
      <c r="O75">
        <v>0</v>
      </c>
      <c r="P75">
        <v>0</v>
      </c>
      <c r="R75">
        <v>0</v>
      </c>
      <c r="T75">
        <v>0</v>
      </c>
      <c r="X75">
        <v>0</v>
      </c>
      <c r="Z75">
        <v>0</v>
      </c>
      <c r="AB75">
        <v>0</v>
      </c>
      <c r="AC75">
        <v>0</v>
      </c>
      <c r="AD75">
        <v>22.5</v>
      </c>
      <c r="AI75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75">
        <v>12</v>
      </c>
      <c r="AK75" t="s">
        <v>116</v>
      </c>
      <c r="AN75">
        <v>0</v>
      </c>
    </row>
    <row r="76" spans="1:40">
      <c r="A76" s="1">
        <v>46026</v>
      </c>
      <c r="B76">
        <v>1</v>
      </c>
      <c r="C76">
        <v>7</v>
      </c>
      <c r="D76" t="s">
        <v>40</v>
      </c>
      <c r="E76" t="s">
        <v>34</v>
      </c>
      <c r="F76">
        <v>324165</v>
      </c>
      <c r="G76">
        <v>0</v>
      </c>
      <c r="H76" t="s">
        <v>44</v>
      </c>
      <c r="I76">
        <v>10680238</v>
      </c>
      <c r="J76">
        <v>4</v>
      </c>
      <c r="K76">
        <v>32.56</v>
      </c>
      <c r="L76">
        <v>33</v>
      </c>
      <c r="M76">
        <v>1780</v>
      </c>
      <c r="N76" s="2">
        <v>104192</v>
      </c>
      <c r="O76">
        <v>0</v>
      </c>
      <c r="P76">
        <v>0</v>
      </c>
      <c r="R76" s="2">
        <v>7104</v>
      </c>
      <c r="T76" s="2">
        <v>95904</v>
      </c>
      <c r="Z76">
        <v>4.5999999999999996</v>
      </c>
      <c r="AB76">
        <v>22.5</v>
      </c>
      <c r="AC76">
        <v>11.125</v>
      </c>
      <c r="AD76">
        <v>22</v>
      </c>
      <c r="AI7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0.875</v>
      </c>
      <c r="AK76" t="s">
        <v>126</v>
      </c>
      <c r="AN76">
        <f>INT(Table1[[#This Row],[reject_prod]]/Table1[[#This Row],[part_weight]] * 1000)</f>
        <v>139</v>
      </c>
    </row>
    <row r="77" spans="1:40">
      <c r="A77" s="1">
        <v>46026</v>
      </c>
      <c r="B77">
        <v>1</v>
      </c>
      <c r="C77">
        <v>8</v>
      </c>
      <c r="F77">
        <v>123456</v>
      </c>
      <c r="G77">
        <v>0</v>
      </c>
      <c r="M77">
        <v>0</v>
      </c>
      <c r="N77">
        <v>0</v>
      </c>
      <c r="O77">
        <v>0</v>
      </c>
      <c r="P77">
        <v>0</v>
      </c>
      <c r="R77">
        <v>0</v>
      </c>
      <c r="T77">
        <v>0</v>
      </c>
      <c r="X77">
        <v>0</v>
      </c>
      <c r="Z77">
        <v>0</v>
      </c>
      <c r="AB77">
        <v>0</v>
      </c>
      <c r="AC77">
        <v>0</v>
      </c>
      <c r="AD77">
        <v>22.5</v>
      </c>
      <c r="AI77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77">
        <v>12</v>
      </c>
      <c r="AK77" t="s">
        <v>116</v>
      </c>
      <c r="AN77">
        <v>0</v>
      </c>
    </row>
    <row r="78" spans="1:40">
      <c r="A78" s="1">
        <v>46026</v>
      </c>
      <c r="B78">
        <v>1</v>
      </c>
      <c r="C78">
        <v>9</v>
      </c>
      <c r="D78" t="s">
        <v>110</v>
      </c>
      <c r="E78" t="s">
        <v>46</v>
      </c>
      <c r="F78">
        <v>586276</v>
      </c>
      <c r="G78">
        <v>0</v>
      </c>
      <c r="H78" t="s">
        <v>47</v>
      </c>
      <c r="I78">
        <v>10682923</v>
      </c>
      <c r="J78">
        <v>6</v>
      </c>
      <c r="K78">
        <v>12.3</v>
      </c>
      <c r="L78">
        <v>12.3</v>
      </c>
      <c r="M78">
        <v>1620</v>
      </c>
      <c r="N78" s="2">
        <v>162000</v>
      </c>
      <c r="O78" s="2">
        <v>4860</v>
      </c>
      <c r="P78" s="2">
        <v>6480</v>
      </c>
      <c r="R78" s="2">
        <v>8100</v>
      </c>
      <c r="T78" s="2">
        <v>63180</v>
      </c>
      <c r="Z78">
        <v>1.4</v>
      </c>
      <c r="AB78">
        <v>25.5</v>
      </c>
      <c r="AC78">
        <v>11.475</v>
      </c>
      <c r="AD78">
        <v>26</v>
      </c>
      <c r="AI78">
        <f>12 - Table1[[#This Row],[production_running]] - Table1[[#This Row],[ change_full_set ]] - Table1[[#This Row],[ change_half_set ]] - Table1[[#This Row],[ change_parts ]] - Table1[[#This Row],[ maintenance_dt ]] - Table1[[#This Row],[production_dt]]</f>
        <v>0.52500000000000036</v>
      </c>
      <c r="AK78" t="s">
        <v>51</v>
      </c>
      <c r="AN78">
        <f>INT(Table1[[#This Row],[reject_prod]]/Table1[[#This Row],[part_weight]] * 1000)</f>
        <v>113</v>
      </c>
    </row>
    <row r="79" spans="1:40">
      <c r="A79" s="1">
        <v>46026</v>
      </c>
      <c r="B79">
        <v>1</v>
      </c>
      <c r="C79">
        <v>10</v>
      </c>
      <c r="D79" t="s">
        <v>127</v>
      </c>
      <c r="E79" t="s">
        <v>41</v>
      </c>
      <c r="F79">
        <v>593537</v>
      </c>
      <c r="G79">
        <v>0</v>
      </c>
      <c r="H79" t="s">
        <v>48</v>
      </c>
      <c r="I79">
        <v>10680019</v>
      </c>
      <c r="J79">
        <v>4</v>
      </c>
      <c r="K79">
        <v>56.5</v>
      </c>
      <c r="L79">
        <v>56.8</v>
      </c>
      <c r="M79">
        <v>115</v>
      </c>
      <c r="N79" s="2">
        <v>69000</v>
      </c>
      <c r="O79">
        <v>115</v>
      </c>
      <c r="P79">
        <v>0</v>
      </c>
      <c r="R79">
        <v>575</v>
      </c>
      <c r="T79" s="2">
        <v>69000</v>
      </c>
      <c r="Z79">
        <v>0</v>
      </c>
      <c r="AB79">
        <v>31.7</v>
      </c>
      <c r="AC79">
        <v>1.012638889</v>
      </c>
      <c r="AD79">
        <v>28.5</v>
      </c>
      <c r="AI79">
        <f>12 - Table1[[#This Row],[production_running]] - Table1[[#This Row],[ change_full_set ]] - Table1[[#This Row],[ change_half_set ]] - Table1[[#This Row],[ change_parts ]] - Table1[[#This Row],[ maintenance_dt ]] - Table1[[#This Row],[production_dt]]</f>
        <v>10.987361111</v>
      </c>
      <c r="AK79" t="s">
        <v>102</v>
      </c>
      <c r="AN79">
        <f>INT(Table1[[#This Row],[reject_prod]]/Table1[[#This Row],[part_weight]] * 1000)</f>
        <v>0</v>
      </c>
    </row>
    <row r="80" spans="1:40">
      <c r="A80" s="1">
        <v>46026</v>
      </c>
      <c r="B80">
        <v>1</v>
      </c>
      <c r="C80">
        <v>10</v>
      </c>
      <c r="D80" t="s">
        <v>127</v>
      </c>
      <c r="E80" t="s">
        <v>41</v>
      </c>
      <c r="F80">
        <v>593537</v>
      </c>
      <c r="G80">
        <v>0</v>
      </c>
      <c r="H80" t="s">
        <v>48</v>
      </c>
      <c r="I80">
        <v>10682925</v>
      </c>
      <c r="J80">
        <v>4</v>
      </c>
      <c r="K80">
        <v>56.5</v>
      </c>
      <c r="L80">
        <v>56.8</v>
      </c>
      <c r="M80">
        <v>1150</v>
      </c>
      <c r="N80" s="2">
        <v>69000</v>
      </c>
      <c r="O80">
        <v>0</v>
      </c>
      <c r="P80">
        <v>575</v>
      </c>
      <c r="R80" s="2">
        <v>4025</v>
      </c>
      <c r="T80" s="2">
        <v>4600</v>
      </c>
      <c r="Z80">
        <v>7.5</v>
      </c>
      <c r="AB80">
        <v>31.7</v>
      </c>
      <c r="AC80">
        <v>10.126388889999999</v>
      </c>
      <c r="AD80">
        <v>28.5</v>
      </c>
      <c r="AI80">
        <f>12 - Table1[[#This Row],[production_running]] - Table1[[#This Row],[ change_full_set ]] - Table1[[#This Row],[ change_half_set ]] - Table1[[#This Row],[ change_parts ]] - Table1[[#This Row],[ maintenance_dt ]] - Table1[[#This Row],[production_dt]]</f>
        <v>1.8736111100000006</v>
      </c>
      <c r="AK80" t="s">
        <v>128</v>
      </c>
      <c r="AN80">
        <f>INT(Table1[[#This Row],[reject_prod]]/Table1[[#This Row],[part_weight]] * 1000)</f>
        <v>132</v>
      </c>
    </row>
    <row r="81" spans="1:40">
      <c r="A81" s="1">
        <v>46026</v>
      </c>
      <c r="B81">
        <v>1</v>
      </c>
      <c r="C81">
        <v>11</v>
      </c>
      <c r="D81" t="s">
        <v>129</v>
      </c>
      <c r="E81" t="s">
        <v>46</v>
      </c>
      <c r="F81">
        <v>552181</v>
      </c>
      <c r="G81">
        <v>1</v>
      </c>
      <c r="H81" t="s">
        <v>49</v>
      </c>
      <c r="I81">
        <v>10679363</v>
      </c>
      <c r="J81">
        <v>6</v>
      </c>
      <c r="K81">
        <v>18.8</v>
      </c>
      <c r="L81">
        <v>18.8</v>
      </c>
      <c r="M81">
        <v>1540</v>
      </c>
      <c r="N81" s="2">
        <v>108000</v>
      </c>
      <c r="O81" s="2">
        <v>34830</v>
      </c>
      <c r="P81" s="2">
        <v>44010</v>
      </c>
      <c r="R81">
        <v>0</v>
      </c>
      <c r="T81" s="2">
        <v>76410</v>
      </c>
      <c r="Z81">
        <v>2.2999999999999998</v>
      </c>
      <c r="AB81">
        <v>27.6</v>
      </c>
      <c r="AC81">
        <v>11.80666667</v>
      </c>
      <c r="AD81">
        <v>27</v>
      </c>
      <c r="AI81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0.19333332999999975</v>
      </c>
      <c r="AK81" t="s">
        <v>130</v>
      </c>
      <c r="AN81">
        <f>INT(Table1[[#This Row],[reject_prod]]/Table1[[#This Row],[part_weight]] * 1000)</f>
        <v>122</v>
      </c>
    </row>
    <row r="82" spans="1:40">
      <c r="A82" s="1">
        <v>46026</v>
      </c>
      <c r="B82">
        <v>1</v>
      </c>
      <c r="C82">
        <v>12</v>
      </c>
      <c r="F82">
        <v>123456</v>
      </c>
      <c r="G82">
        <v>0</v>
      </c>
      <c r="M82">
        <v>0</v>
      </c>
      <c r="N82">
        <v>0</v>
      </c>
      <c r="O82">
        <v>0</v>
      </c>
      <c r="P82">
        <v>0</v>
      </c>
      <c r="R82">
        <v>0</v>
      </c>
      <c r="T82">
        <v>0</v>
      </c>
      <c r="X82">
        <v>0</v>
      </c>
      <c r="Z82">
        <v>0</v>
      </c>
      <c r="AB82">
        <v>0</v>
      </c>
      <c r="AC82">
        <v>0</v>
      </c>
      <c r="AD82">
        <v>22.5</v>
      </c>
      <c r="AI82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82">
        <v>12</v>
      </c>
      <c r="AK82" t="s">
        <v>116</v>
      </c>
      <c r="AN82">
        <v>0</v>
      </c>
    </row>
    <row r="83" spans="1:40">
      <c r="A83" s="1">
        <v>46026</v>
      </c>
      <c r="B83">
        <v>1</v>
      </c>
      <c r="C83">
        <v>13</v>
      </c>
      <c r="D83" t="s">
        <v>129</v>
      </c>
      <c r="E83" t="s">
        <v>46</v>
      </c>
      <c r="F83">
        <v>586276</v>
      </c>
      <c r="G83">
        <v>0</v>
      </c>
      <c r="H83" t="s">
        <v>47</v>
      </c>
      <c r="I83">
        <v>10682335</v>
      </c>
      <c r="J83">
        <v>6</v>
      </c>
      <c r="K83">
        <v>12.3</v>
      </c>
      <c r="L83">
        <v>12.3</v>
      </c>
      <c r="M83">
        <v>945</v>
      </c>
      <c r="N83" s="2">
        <v>162000</v>
      </c>
      <c r="O83" s="2">
        <v>2430</v>
      </c>
      <c r="P83">
        <v>0</v>
      </c>
      <c r="R83" s="2">
        <v>8100</v>
      </c>
      <c r="T83" s="2">
        <v>162000</v>
      </c>
      <c r="Z83">
        <v>0</v>
      </c>
      <c r="AB83">
        <v>26</v>
      </c>
      <c r="AC83">
        <v>6.8250000000000002</v>
      </c>
      <c r="AD83">
        <v>26</v>
      </c>
      <c r="AI83">
        <f>12 - Table1[[#This Row],[production_running]] - Table1[[#This Row],[ change_full_set ]] - Table1[[#This Row],[ change_half_set ]] - Table1[[#This Row],[ change_parts ]] - Table1[[#This Row],[ maintenance_dt ]] - Table1[[#This Row],[production_dt]]</f>
        <v>5.1749999999999998</v>
      </c>
      <c r="AK83" t="s">
        <v>102</v>
      </c>
      <c r="AN83">
        <f>INT(Table1[[#This Row],[reject_prod]]/Table1[[#This Row],[part_weight]] * 1000)</f>
        <v>0</v>
      </c>
    </row>
    <row r="84" spans="1:40">
      <c r="A84" s="1">
        <v>46026</v>
      </c>
      <c r="B84">
        <v>1</v>
      </c>
      <c r="C84">
        <v>13</v>
      </c>
      <c r="D84" t="s">
        <v>129</v>
      </c>
      <c r="E84" t="s">
        <v>46</v>
      </c>
      <c r="F84">
        <v>586276</v>
      </c>
      <c r="G84">
        <v>0</v>
      </c>
      <c r="H84" t="s">
        <v>47</v>
      </c>
      <c r="I84">
        <v>10682930</v>
      </c>
      <c r="J84">
        <v>6</v>
      </c>
      <c r="K84">
        <v>12.3</v>
      </c>
      <c r="L84">
        <v>12.3</v>
      </c>
      <c r="M84">
        <v>743</v>
      </c>
      <c r="N84" s="2">
        <v>162000</v>
      </c>
      <c r="O84">
        <v>0</v>
      </c>
      <c r="P84" s="2">
        <v>4455</v>
      </c>
      <c r="R84">
        <v>0</v>
      </c>
      <c r="T84" s="2">
        <v>4455</v>
      </c>
      <c r="Z84">
        <v>2.5</v>
      </c>
      <c r="AB84">
        <v>26</v>
      </c>
      <c r="AC84">
        <v>5.3661111110000004</v>
      </c>
      <c r="AD84">
        <v>26</v>
      </c>
      <c r="AI84">
        <f>12 - Table1[[#This Row],[production_running]] - Table1[[#This Row],[ change_full_set ]] - Table1[[#This Row],[ change_half_set ]] - Table1[[#This Row],[ change_parts ]] - Table1[[#This Row],[ maintenance_dt ]] - Table1[[#This Row],[production_dt]]</f>
        <v>6.6338888889999996</v>
      </c>
      <c r="AK84" t="s">
        <v>51</v>
      </c>
      <c r="AN84">
        <f>INT(Table1[[#This Row],[reject_prod]]/Table1[[#This Row],[part_weight]] * 1000)</f>
        <v>203</v>
      </c>
    </row>
    <row r="85" spans="1:40">
      <c r="A85" s="1">
        <v>46026</v>
      </c>
      <c r="B85">
        <v>1</v>
      </c>
      <c r="C85">
        <v>14</v>
      </c>
      <c r="D85" t="s">
        <v>131</v>
      </c>
      <c r="E85" t="s">
        <v>46</v>
      </c>
      <c r="F85">
        <v>555979</v>
      </c>
      <c r="G85">
        <v>1</v>
      </c>
      <c r="H85" t="s">
        <v>52</v>
      </c>
      <c r="I85">
        <v>10682931</v>
      </c>
      <c r="J85">
        <v>6</v>
      </c>
      <c r="K85">
        <v>28</v>
      </c>
      <c r="L85">
        <v>28</v>
      </c>
      <c r="M85">
        <v>1008</v>
      </c>
      <c r="N85" s="2">
        <v>100800</v>
      </c>
      <c r="O85" s="2">
        <v>1344</v>
      </c>
      <c r="P85">
        <v>672</v>
      </c>
      <c r="R85" s="2">
        <v>6720</v>
      </c>
      <c r="T85" s="2">
        <v>60480</v>
      </c>
      <c r="Z85">
        <v>0.5</v>
      </c>
      <c r="AB85">
        <v>43.3</v>
      </c>
      <c r="AC85">
        <v>12</v>
      </c>
      <c r="AD85">
        <v>42</v>
      </c>
      <c r="AI85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85" t="s">
        <v>51</v>
      </c>
      <c r="AN85">
        <f>INT(Table1[[#This Row],[reject_prod]]/Table1[[#This Row],[part_weight]] * 1000)</f>
        <v>17</v>
      </c>
    </row>
    <row r="86" spans="1:40">
      <c r="A86" s="1">
        <v>46026</v>
      </c>
      <c r="B86">
        <v>1</v>
      </c>
      <c r="C86">
        <v>15</v>
      </c>
      <c r="D86" t="s">
        <v>129</v>
      </c>
      <c r="E86" t="s">
        <v>46</v>
      </c>
      <c r="F86">
        <v>552181</v>
      </c>
      <c r="G86">
        <v>2</v>
      </c>
      <c r="H86" t="s">
        <v>49</v>
      </c>
      <c r="I86">
        <v>10682933</v>
      </c>
      <c r="J86">
        <v>6</v>
      </c>
      <c r="K86">
        <v>18.8</v>
      </c>
      <c r="L86">
        <v>18.8</v>
      </c>
      <c r="M86">
        <v>1350</v>
      </c>
      <c r="N86" s="2">
        <v>108000</v>
      </c>
      <c r="O86" s="2">
        <v>2700</v>
      </c>
      <c r="P86" s="2">
        <v>10800</v>
      </c>
      <c r="R86">
        <v>0</v>
      </c>
      <c r="T86" s="2">
        <v>70200</v>
      </c>
      <c r="Z86">
        <v>2.1</v>
      </c>
      <c r="AB86">
        <v>31.2</v>
      </c>
      <c r="AC86">
        <v>11.7</v>
      </c>
      <c r="AD86">
        <v>27</v>
      </c>
      <c r="AI8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0.30000000000000071</v>
      </c>
      <c r="AK86" t="s">
        <v>51</v>
      </c>
      <c r="AN86">
        <f>INT(Table1[[#This Row],[reject_prod]]/Table1[[#This Row],[part_weight]] * 1000)</f>
        <v>111</v>
      </c>
    </row>
    <row r="87" spans="1:40">
      <c r="A87" s="1">
        <v>46026</v>
      </c>
      <c r="B87">
        <v>1</v>
      </c>
      <c r="C87">
        <v>16</v>
      </c>
      <c r="D87" t="s">
        <v>115</v>
      </c>
      <c r="E87" t="s">
        <v>46</v>
      </c>
      <c r="F87">
        <v>555979</v>
      </c>
      <c r="G87">
        <v>2</v>
      </c>
      <c r="H87" t="s">
        <v>52</v>
      </c>
      <c r="I87">
        <v>10682063</v>
      </c>
      <c r="J87">
        <v>6</v>
      </c>
      <c r="K87">
        <v>28</v>
      </c>
      <c r="L87">
        <v>28</v>
      </c>
      <c r="M87">
        <v>560</v>
      </c>
      <c r="N87" s="2">
        <v>100800</v>
      </c>
      <c r="O87">
        <v>0</v>
      </c>
      <c r="P87">
        <v>0</v>
      </c>
      <c r="R87" s="2">
        <v>3360</v>
      </c>
      <c r="T87" s="2">
        <v>100800</v>
      </c>
      <c r="Z87">
        <v>0</v>
      </c>
      <c r="AB87">
        <v>44.3</v>
      </c>
      <c r="AC87">
        <v>6.8911111109999998</v>
      </c>
      <c r="AD87">
        <v>42</v>
      </c>
      <c r="AI87">
        <f>12 - Table1[[#This Row],[production_running]] - Table1[[#This Row],[ change_full_set ]] - Table1[[#This Row],[ change_half_set ]] - Table1[[#This Row],[ change_parts ]] - Table1[[#This Row],[ maintenance_dt ]] - Table1[[#This Row],[production_dt]]</f>
        <v>5.1088888890000002</v>
      </c>
      <c r="AK87" t="s">
        <v>102</v>
      </c>
      <c r="AN87">
        <f>INT(Table1[[#This Row],[reject_prod]]/Table1[[#This Row],[part_weight]] * 1000)</f>
        <v>0</v>
      </c>
    </row>
    <row r="88" spans="1:40">
      <c r="A88" s="1">
        <v>46026</v>
      </c>
      <c r="B88">
        <v>1</v>
      </c>
      <c r="C88">
        <v>16</v>
      </c>
      <c r="D88" t="s">
        <v>115</v>
      </c>
      <c r="E88" t="s">
        <v>46</v>
      </c>
      <c r="F88">
        <v>555979</v>
      </c>
      <c r="G88">
        <v>2</v>
      </c>
      <c r="H88" t="s">
        <v>52</v>
      </c>
      <c r="I88">
        <v>10682063</v>
      </c>
      <c r="J88">
        <v>6</v>
      </c>
      <c r="K88">
        <v>28</v>
      </c>
      <c r="L88">
        <v>28</v>
      </c>
      <c r="M88">
        <v>420</v>
      </c>
      <c r="N88" s="2">
        <v>100800</v>
      </c>
      <c r="O88">
        <v>0</v>
      </c>
      <c r="P88" s="2">
        <v>2520</v>
      </c>
      <c r="R88">
        <v>0</v>
      </c>
      <c r="T88" s="2">
        <v>2520</v>
      </c>
      <c r="Z88">
        <v>1.2</v>
      </c>
      <c r="AB88">
        <v>44.3</v>
      </c>
      <c r="AC88">
        <v>5.1683333329999996</v>
      </c>
      <c r="AD88">
        <v>42</v>
      </c>
      <c r="AI88">
        <f>12 - Table1[[#This Row],[production_running]] - Table1[[#This Row],[ change_full_set ]] - Table1[[#This Row],[ change_half_set ]] - Table1[[#This Row],[ change_parts ]] - Table1[[#This Row],[ maintenance_dt ]] - Table1[[#This Row],[production_dt]]</f>
        <v>6.8316666670000004</v>
      </c>
      <c r="AK88" t="s">
        <v>51</v>
      </c>
      <c r="AN88">
        <f>INT(Table1[[#This Row],[reject_prod]]/Table1[[#This Row],[part_weight]] * 1000)</f>
        <v>42</v>
      </c>
    </row>
    <row r="89" spans="1:40">
      <c r="A89" s="1">
        <v>46026</v>
      </c>
      <c r="B89">
        <v>2</v>
      </c>
      <c r="C89">
        <v>1</v>
      </c>
      <c r="F89">
        <v>123456</v>
      </c>
      <c r="G89">
        <v>0</v>
      </c>
      <c r="M89">
        <v>0</v>
      </c>
      <c r="N89">
        <v>0</v>
      </c>
      <c r="O89">
        <v>0</v>
      </c>
      <c r="P89">
        <v>0</v>
      </c>
      <c r="R89">
        <v>0</v>
      </c>
      <c r="T89">
        <v>0</v>
      </c>
      <c r="X89">
        <v>0</v>
      </c>
      <c r="Z89">
        <v>0</v>
      </c>
      <c r="AB89">
        <v>0</v>
      </c>
      <c r="AC89">
        <v>0</v>
      </c>
      <c r="AD89">
        <v>22.5</v>
      </c>
      <c r="AI89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89">
        <v>12</v>
      </c>
      <c r="AK89" t="s">
        <v>116</v>
      </c>
      <c r="AN89">
        <v>0</v>
      </c>
    </row>
    <row r="90" spans="1:40">
      <c r="A90" s="1">
        <v>46026</v>
      </c>
      <c r="B90">
        <v>2</v>
      </c>
      <c r="C90">
        <v>2</v>
      </c>
      <c r="D90" t="s">
        <v>132</v>
      </c>
      <c r="E90" t="s">
        <v>34</v>
      </c>
      <c r="F90">
        <v>423213</v>
      </c>
      <c r="G90">
        <v>0</v>
      </c>
      <c r="H90" t="s">
        <v>70</v>
      </c>
      <c r="I90">
        <v>10682754</v>
      </c>
      <c r="J90">
        <v>4</v>
      </c>
      <c r="K90">
        <v>30</v>
      </c>
      <c r="L90">
        <v>23</v>
      </c>
      <c r="M90">
        <v>1865</v>
      </c>
      <c r="N90" s="2">
        <v>47244</v>
      </c>
      <c r="O90" s="2">
        <v>3810</v>
      </c>
      <c r="P90" s="2">
        <v>1905</v>
      </c>
      <c r="R90" s="2">
        <v>9144</v>
      </c>
      <c r="T90" s="2">
        <v>43433</v>
      </c>
      <c r="Z90">
        <v>1</v>
      </c>
      <c r="AB90">
        <v>22.4</v>
      </c>
      <c r="AC90">
        <v>11.60444444</v>
      </c>
      <c r="AD90">
        <v>22.5</v>
      </c>
      <c r="AI90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0.39555556000000003</v>
      </c>
      <c r="AK90" t="s">
        <v>133</v>
      </c>
      <c r="AN90">
        <f>INT(Table1[[#This Row],[reject_prod]]/Table1[[#This Row],[part_weight]] * 1000)</f>
        <v>43</v>
      </c>
    </row>
    <row r="91" spans="1:40">
      <c r="A91" s="1">
        <v>46026</v>
      </c>
      <c r="B91">
        <v>2</v>
      </c>
      <c r="C91">
        <v>3</v>
      </c>
      <c r="D91" t="s">
        <v>134</v>
      </c>
      <c r="E91" t="s">
        <v>34</v>
      </c>
      <c r="F91">
        <v>442034</v>
      </c>
      <c r="G91">
        <v>0</v>
      </c>
      <c r="H91" t="s">
        <v>37</v>
      </c>
      <c r="I91">
        <v>10681182</v>
      </c>
      <c r="J91">
        <v>4</v>
      </c>
      <c r="K91">
        <v>23</v>
      </c>
      <c r="L91">
        <v>23</v>
      </c>
      <c r="M91">
        <v>1660</v>
      </c>
      <c r="N91" s="2">
        <v>139776</v>
      </c>
      <c r="O91">
        <v>768</v>
      </c>
      <c r="P91" s="2">
        <v>2888</v>
      </c>
      <c r="R91" s="2">
        <v>4608</v>
      </c>
      <c r="T91" s="2">
        <v>127104</v>
      </c>
      <c r="Z91">
        <v>3</v>
      </c>
      <c r="AB91">
        <v>25.9</v>
      </c>
      <c r="AC91">
        <v>11.94277778</v>
      </c>
      <c r="AD91">
        <v>22</v>
      </c>
      <c r="AI91">
        <f>12 - Table1[[#This Row],[production_running]] - Table1[[#This Row],[ change_full_set ]] - Table1[[#This Row],[ change_half_set ]] - Table1[[#This Row],[ change_parts ]] - Table1[[#This Row],[ maintenance_dt ]] - Table1[[#This Row],[production_dt]]</f>
        <v>5.7222219999999879E-2</v>
      </c>
      <c r="AK91" t="s">
        <v>135</v>
      </c>
      <c r="AN91">
        <f>INT(Table1[[#This Row],[reject_prod]]/Table1[[#This Row],[part_weight]] * 1000)</f>
        <v>130</v>
      </c>
    </row>
    <row r="92" spans="1:40">
      <c r="A92" s="1">
        <v>46026</v>
      </c>
      <c r="B92">
        <v>2</v>
      </c>
      <c r="C92">
        <v>4</v>
      </c>
      <c r="F92">
        <v>123456</v>
      </c>
      <c r="G92">
        <v>0</v>
      </c>
      <c r="M92">
        <v>0</v>
      </c>
      <c r="N92">
        <v>0</v>
      </c>
      <c r="O92">
        <v>0</v>
      </c>
      <c r="P92">
        <v>0</v>
      </c>
      <c r="R92">
        <v>0</v>
      </c>
      <c r="T92">
        <v>0</v>
      </c>
      <c r="X92">
        <v>0</v>
      </c>
      <c r="Z92">
        <v>0</v>
      </c>
      <c r="AB92">
        <v>0</v>
      </c>
      <c r="AC92">
        <v>0</v>
      </c>
      <c r="AD92">
        <v>22.5</v>
      </c>
      <c r="AI92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92">
        <v>12</v>
      </c>
      <c r="AK92" t="s">
        <v>116</v>
      </c>
      <c r="AN92">
        <v>0</v>
      </c>
    </row>
    <row r="93" spans="1:40">
      <c r="A93" s="1">
        <v>46026</v>
      </c>
      <c r="B93">
        <v>2</v>
      </c>
      <c r="C93">
        <v>5</v>
      </c>
      <c r="F93">
        <v>123456</v>
      </c>
      <c r="G93">
        <v>0</v>
      </c>
      <c r="M93">
        <v>0</v>
      </c>
      <c r="N93">
        <v>0</v>
      </c>
      <c r="O93">
        <v>0</v>
      </c>
      <c r="P93">
        <v>0</v>
      </c>
      <c r="R93">
        <v>0</v>
      </c>
      <c r="T93">
        <v>0</v>
      </c>
      <c r="X93">
        <v>0</v>
      </c>
      <c r="Z93">
        <v>0</v>
      </c>
      <c r="AB93">
        <v>0</v>
      </c>
      <c r="AC93">
        <v>0</v>
      </c>
      <c r="AD93">
        <v>22.5</v>
      </c>
      <c r="AI93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93">
        <v>12</v>
      </c>
      <c r="AK93" t="s">
        <v>116</v>
      </c>
      <c r="AN93">
        <v>0</v>
      </c>
    </row>
    <row r="94" spans="1:40">
      <c r="A94" s="1">
        <v>46026</v>
      </c>
      <c r="B94">
        <v>2</v>
      </c>
      <c r="C94">
        <v>6</v>
      </c>
      <c r="F94">
        <v>123456</v>
      </c>
      <c r="G94">
        <v>0</v>
      </c>
      <c r="M94">
        <v>0</v>
      </c>
      <c r="N94">
        <v>0</v>
      </c>
      <c r="O94">
        <v>0</v>
      </c>
      <c r="P94">
        <v>0</v>
      </c>
      <c r="R94">
        <v>0</v>
      </c>
      <c r="T94">
        <v>0</v>
      </c>
      <c r="X94">
        <v>0</v>
      </c>
      <c r="Z94">
        <v>0</v>
      </c>
      <c r="AB94">
        <v>0</v>
      </c>
      <c r="AC94">
        <v>0</v>
      </c>
      <c r="AD94">
        <v>22.5</v>
      </c>
      <c r="AI94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94">
        <v>12</v>
      </c>
      <c r="AK94" t="s">
        <v>116</v>
      </c>
      <c r="AN94">
        <v>0</v>
      </c>
    </row>
    <row r="95" spans="1:40">
      <c r="A95" s="1">
        <v>46026</v>
      </c>
      <c r="B95">
        <v>2</v>
      </c>
      <c r="C95">
        <v>7</v>
      </c>
      <c r="D95" t="s">
        <v>53</v>
      </c>
      <c r="E95" t="s">
        <v>34</v>
      </c>
      <c r="F95">
        <v>324165</v>
      </c>
      <c r="G95">
        <v>0</v>
      </c>
      <c r="H95" t="s">
        <v>44</v>
      </c>
      <c r="I95">
        <v>10680238</v>
      </c>
      <c r="J95">
        <v>4</v>
      </c>
      <c r="K95">
        <v>32.56</v>
      </c>
      <c r="L95">
        <v>33</v>
      </c>
      <c r="M95">
        <v>1921</v>
      </c>
      <c r="N95" s="2">
        <v>104192</v>
      </c>
      <c r="O95" s="2">
        <v>6480</v>
      </c>
      <c r="P95">
        <v>592</v>
      </c>
      <c r="R95" s="2">
        <v>7104</v>
      </c>
      <c r="T95" s="2">
        <v>103020</v>
      </c>
      <c r="Z95">
        <v>3</v>
      </c>
      <c r="AB95">
        <v>22.5</v>
      </c>
      <c r="AC95">
        <v>12</v>
      </c>
      <c r="AD95">
        <v>22</v>
      </c>
      <c r="AI95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95" t="s">
        <v>55</v>
      </c>
      <c r="AN95">
        <f>INT(Table1[[#This Row],[reject_prod]]/Table1[[#This Row],[part_weight]] * 1000)</f>
        <v>90</v>
      </c>
    </row>
    <row r="96" spans="1:40">
      <c r="A96" s="1">
        <v>46026</v>
      </c>
      <c r="B96">
        <v>2</v>
      </c>
      <c r="C96">
        <v>8</v>
      </c>
      <c r="F96">
        <v>123456</v>
      </c>
      <c r="G96">
        <v>0</v>
      </c>
      <c r="M96">
        <v>0</v>
      </c>
      <c r="N96">
        <v>0</v>
      </c>
      <c r="O96">
        <v>0</v>
      </c>
      <c r="P96">
        <v>0</v>
      </c>
      <c r="R96">
        <v>0</v>
      </c>
      <c r="T96">
        <v>0</v>
      </c>
      <c r="X96">
        <v>0</v>
      </c>
      <c r="Z96">
        <v>0</v>
      </c>
      <c r="AB96">
        <v>0</v>
      </c>
      <c r="AC96">
        <v>0</v>
      </c>
      <c r="AD96">
        <v>22.5</v>
      </c>
      <c r="AI9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96">
        <v>12</v>
      </c>
      <c r="AK96" t="s">
        <v>116</v>
      </c>
      <c r="AN96">
        <v>0</v>
      </c>
    </row>
    <row r="97" spans="1:40">
      <c r="A97" s="1">
        <v>46026</v>
      </c>
      <c r="B97">
        <v>2</v>
      </c>
      <c r="C97">
        <v>9</v>
      </c>
      <c r="D97" t="s">
        <v>136</v>
      </c>
      <c r="E97" t="s">
        <v>46</v>
      </c>
      <c r="F97">
        <v>586276</v>
      </c>
      <c r="G97">
        <v>0</v>
      </c>
      <c r="H97" t="s">
        <v>47</v>
      </c>
      <c r="I97">
        <v>10682923</v>
      </c>
      <c r="J97">
        <v>6</v>
      </c>
      <c r="K97">
        <v>12.3</v>
      </c>
      <c r="L97">
        <v>12.3</v>
      </c>
      <c r="M97">
        <v>1686</v>
      </c>
      <c r="N97" s="2">
        <v>162000</v>
      </c>
      <c r="O97" s="2">
        <v>6480</v>
      </c>
      <c r="R97" s="2">
        <v>16200</v>
      </c>
      <c r="T97" s="2">
        <v>72900</v>
      </c>
      <c r="Z97">
        <v>1</v>
      </c>
      <c r="AB97">
        <v>25.6</v>
      </c>
      <c r="AC97">
        <v>11.989333329999999</v>
      </c>
      <c r="AD97">
        <v>26</v>
      </c>
      <c r="AI97">
        <f>12 - Table1[[#This Row],[production_running]] - Table1[[#This Row],[ change_full_set ]] - Table1[[#This Row],[ change_half_set ]] - Table1[[#This Row],[ change_parts ]] - Table1[[#This Row],[ maintenance_dt ]] - Table1[[#This Row],[production_dt]]</f>
        <v>1.0666670000000877E-2</v>
      </c>
      <c r="AK97" t="s">
        <v>90</v>
      </c>
      <c r="AN97">
        <f>INT(Table1[[#This Row],[reject_prod]]/Table1[[#This Row],[part_weight]] * 1000)</f>
        <v>81</v>
      </c>
    </row>
    <row r="98" spans="1:40">
      <c r="A98" s="1">
        <v>46026</v>
      </c>
      <c r="B98">
        <v>2</v>
      </c>
      <c r="C98">
        <v>10</v>
      </c>
      <c r="D98" t="s">
        <v>137</v>
      </c>
      <c r="E98" t="s">
        <v>41</v>
      </c>
      <c r="F98">
        <v>593537</v>
      </c>
      <c r="G98">
        <v>0</v>
      </c>
      <c r="H98" t="s">
        <v>48</v>
      </c>
      <c r="I98">
        <v>10682925</v>
      </c>
      <c r="J98">
        <v>4</v>
      </c>
      <c r="K98">
        <v>56.5</v>
      </c>
      <c r="L98">
        <v>56.8</v>
      </c>
      <c r="M98">
        <v>1349</v>
      </c>
      <c r="N98" s="2">
        <v>69000</v>
      </c>
      <c r="O98">
        <v>575</v>
      </c>
      <c r="P98">
        <v>460</v>
      </c>
      <c r="R98" s="2">
        <v>5175</v>
      </c>
      <c r="T98" s="2">
        <v>9650</v>
      </c>
      <c r="Z98">
        <v>4</v>
      </c>
      <c r="AB98">
        <v>31.7</v>
      </c>
      <c r="AC98">
        <v>11.87869444</v>
      </c>
      <c r="AD98">
        <v>28.5</v>
      </c>
      <c r="AI98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0.1213055599999997</v>
      </c>
      <c r="AK98" t="s">
        <v>138</v>
      </c>
      <c r="AN98">
        <f>INT(Table1[[#This Row],[reject_prod]]/Table1[[#This Row],[part_weight]] * 1000)</f>
        <v>70</v>
      </c>
    </row>
    <row r="99" spans="1:40">
      <c r="A99" s="1">
        <v>46026</v>
      </c>
      <c r="B99">
        <v>2</v>
      </c>
      <c r="C99">
        <v>11</v>
      </c>
      <c r="D99" t="s">
        <v>139</v>
      </c>
      <c r="E99" t="s">
        <v>46</v>
      </c>
      <c r="F99">
        <v>552181</v>
      </c>
      <c r="G99">
        <v>1</v>
      </c>
      <c r="H99" t="s">
        <v>49</v>
      </c>
      <c r="I99">
        <v>10679363</v>
      </c>
      <c r="J99">
        <v>6</v>
      </c>
      <c r="K99">
        <v>18.8</v>
      </c>
      <c r="L99">
        <v>18.8</v>
      </c>
      <c r="M99">
        <v>1527</v>
      </c>
      <c r="N99" s="2">
        <v>108000</v>
      </c>
      <c r="O99" s="2">
        <v>44010</v>
      </c>
      <c r="P99" s="2">
        <v>53190</v>
      </c>
      <c r="T99" s="2">
        <v>85590</v>
      </c>
      <c r="Z99">
        <v>2</v>
      </c>
      <c r="AB99">
        <v>27.87</v>
      </c>
      <c r="AC99">
        <v>11.821524999999999</v>
      </c>
      <c r="AD99">
        <v>27</v>
      </c>
      <c r="AI99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0.17847500000000061</v>
      </c>
      <c r="AK99" t="s">
        <v>122</v>
      </c>
      <c r="AN99">
        <f>INT(Table1[[#This Row],[reject_prod]]/Table1[[#This Row],[part_weight]] * 1000)</f>
        <v>106</v>
      </c>
    </row>
    <row r="100" spans="1:40">
      <c r="A100" s="1">
        <v>46026</v>
      </c>
      <c r="B100">
        <v>2</v>
      </c>
      <c r="C100">
        <v>12</v>
      </c>
      <c r="F100">
        <v>123456</v>
      </c>
      <c r="G100">
        <v>0</v>
      </c>
      <c r="M100">
        <v>0</v>
      </c>
      <c r="N100">
        <v>0</v>
      </c>
      <c r="O100">
        <v>0</v>
      </c>
      <c r="P100">
        <v>0</v>
      </c>
      <c r="R100">
        <v>0</v>
      </c>
      <c r="T100">
        <v>0</v>
      </c>
      <c r="X100">
        <v>0</v>
      </c>
      <c r="Z100">
        <v>0</v>
      </c>
      <c r="AB100">
        <v>0</v>
      </c>
      <c r="AC100">
        <v>0</v>
      </c>
      <c r="AD100">
        <v>22.5</v>
      </c>
      <c r="AI100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100">
        <v>12</v>
      </c>
      <c r="AK100" t="s">
        <v>116</v>
      </c>
      <c r="AN100">
        <v>0</v>
      </c>
    </row>
    <row r="101" spans="1:40">
      <c r="A101" s="1">
        <v>46026</v>
      </c>
      <c r="B101">
        <v>2</v>
      </c>
      <c r="C101">
        <v>13</v>
      </c>
      <c r="D101" t="s">
        <v>139</v>
      </c>
      <c r="E101" t="s">
        <v>46</v>
      </c>
      <c r="F101">
        <v>586276</v>
      </c>
      <c r="G101">
        <v>0</v>
      </c>
      <c r="H101" t="s">
        <v>47</v>
      </c>
      <c r="I101">
        <v>10682930</v>
      </c>
      <c r="J101">
        <v>6</v>
      </c>
      <c r="K101">
        <v>12.3</v>
      </c>
      <c r="L101">
        <v>12.3</v>
      </c>
      <c r="M101">
        <v>1629</v>
      </c>
      <c r="N101" s="2">
        <v>162000</v>
      </c>
      <c r="O101" s="2">
        <v>4455</v>
      </c>
      <c r="P101" s="2">
        <v>6075</v>
      </c>
      <c r="R101" s="2">
        <v>8100</v>
      </c>
      <c r="T101" s="2">
        <v>14175</v>
      </c>
      <c r="Z101">
        <v>2</v>
      </c>
      <c r="AB101">
        <v>26.1</v>
      </c>
      <c r="AC101">
        <v>11.81025</v>
      </c>
      <c r="AD101">
        <v>26</v>
      </c>
      <c r="AI101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0.18975000000000009</v>
      </c>
      <c r="AK101" t="s">
        <v>90</v>
      </c>
      <c r="AN101">
        <f>INT(Table1[[#This Row],[reject_prod]]/Table1[[#This Row],[part_weight]] * 1000)</f>
        <v>162</v>
      </c>
    </row>
    <row r="102" spans="1:40">
      <c r="A102" s="1">
        <v>46026</v>
      </c>
      <c r="B102">
        <v>2</v>
      </c>
      <c r="C102">
        <v>14</v>
      </c>
      <c r="D102" t="s">
        <v>140</v>
      </c>
      <c r="E102" t="s">
        <v>46</v>
      </c>
      <c r="F102">
        <v>555979</v>
      </c>
      <c r="G102">
        <v>1</v>
      </c>
      <c r="H102" t="s">
        <v>52</v>
      </c>
      <c r="I102">
        <v>10682931</v>
      </c>
      <c r="J102">
        <v>6</v>
      </c>
      <c r="K102">
        <v>28</v>
      </c>
      <c r="L102">
        <v>28</v>
      </c>
      <c r="M102">
        <v>982</v>
      </c>
      <c r="N102" s="2">
        <v>100800</v>
      </c>
      <c r="O102">
        <v>672</v>
      </c>
      <c r="R102" s="2">
        <v>6720</v>
      </c>
      <c r="T102" s="2">
        <v>67872</v>
      </c>
      <c r="Z102">
        <v>1</v>
      </c>
      <c r="AB102">
        <v>43.2</v>
      </c>
      <c r="AC102">
        <v>11.784000000000001</v>
      </c>
      <c r="AD102">
        <v>42</v>
      </c>
      <c r="AI102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0.2159999999999993</v>
      </c>
      <c r="AK102" t="s">
        <v>90</v>
      </c>
      <c r="AN102">
        <f>INT(Table1[[#This Row],[reject_prod]]/Table1[[#This Row],[part_weight]] * 1000)</f>
        <v>35</v>
      </c>
    </row>
    <row r="103" spans="1:40">
      <c r="A103" s="1">
        <v>46026</v>
      </c>
      <c r="B103">
        <v>2</v>
      </c>
      <c r="C103">
        <v>15</v>
      </c>
      <c r="D103" t="s">
        <v>139</v>
      </c>
      <c r="E103" t="s">
        <v>46</v>
      </c>
      <c r="F103">
        <v>552181</v>
      </c>
      <c r="G103">
        <v>2</v>
      </c>
      <c r="H103" t="s">
        <v>49</v>
      </c>
      <c r="I103">
        <v>10682933</v>
      </c>
      <c r="J103">
        <v>6</v>
      </c>
      <c r="K103">
        <v>18.8</v>
      </c>
      <c r="L103">
        <v>18.8</v>
      </c>
      <c r="M103">
        <v>1398</v>
      </c>
      <c r="N103" s="2">
        <v>108000</v>
      </c>
      <c r="O103" s="2">
        <v>10800</v>
      </c>
      <c r="P103" s="2">
        <v>18630</v>
      </c>
      <c r="T103" s="2">
        <v>70200</v>
      </c>
      <c r="Z103">
        <v>1</v>
      </c>
      <c r="AB103">
        <v>31.27</v>
      </c>
      <c r="AC103">
        <v>12</v>
      </c>
      <c r="AD103">
        <v>27</v>
      </c>
      <c r="AI103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103" t="s">
        <v>90</v>
      </c>
      <c r="AN103">
        <f>INT(Table1[[#This Row],[reject_prod]]/Table1[[#This Row],[part_weight]] * 1000)</f>
        <v>53</v>
      </c>
    </row>
    <row r="104" spans="1:40">
      <c r="A104" s="1">
        <v>46026</v>
      </c>
      <c r="B104">
        <v>2</v>
      </c>
      <c r="C104">
        <v>16</v>
      </c>
      <c r="D104" t="s">
        <v>88</v>
      </c>
      <c r="E104" t="s">
        <v>46</v>
      </c>
      <c r="F104">
        <v>555979</v>
      </c>
      <c r="G104">
        <v>2</v>
      </c>
      <c r="H104" t="s">
        <v>52</v>
      </c>
      <c r="I104">
        <v>10682935</v>
      </c>
      <c r="J104">
        <v>6</v>
      </c>
      <c r="K104">
        <v>28</v>
      </c>
      <c r="L104">
        <v>28</v>
      </c>
      <c r="M104">
        <v>964</v>
      </c>
      <c r="N104" s="2">
        <v>100800</v>
      </c>
      <c r="O104" s="2">
        <v>2520</v>
      </c>
      <c r="P104" s="2">
        <v>1344</v>
      </c>
      <c r="R104" s="2">
        <v>6720</v>
      </c>
      <c r="T104" s="2">
        <v>8064</v>
      </c>
      <c r="Z104">
        <v>1</v>
      </c>
      <c r="AB104">
        <v>44.3</v>
      </c>
      <c r="AC104">
        <v>11.862555560000001</v>
      </c>
      <c r="AD104">
        <v>42</v>
      </c>
      <c r="AI104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0.13744443999999945</v>
      </c>
      <c r="AK104" t="s">
        <v>90</v>
      </c>
      <c r="AN104">
        <f>INT(Table1[[#This Row],[reject_prod]]/Table1[[#This Row],[part_weight]] * 1000)</f>
        <v>35</v>
      </c>
    </row>
    <row r="105" spans="1:40">
      <c r="A105" s="1">
        <v>46027</v>
      </c>
      <c r="B105">
        <v>1</v>
      </c>
      <c r="C105">
        <v>1</v>
      </c>
      <c r="F105">
        <v>123456</v>
      </c>
      <c r="G105">
        <v>0</v>
      </c>
      <c r="M105">
        <v>0</v>
      </c>
      <c r="N105">
        <v>0</v>
      </c>
      <c r="O105">
        <v>0</v>
      </c>
      <c r="P105">
        <v>0</v>
      </c>
      <c r="R105">
        <v>0</v>
      </c>
      <c r="T105">
        <v>0</v>
      </c>
      <c r="X105">
        <v>0</v>
      </c>
      <c r="Z105">
        <v>0</v>
      </c>
      <c r="AB105">
        <v>0</v>
      </c>
      <c r="AC105">
        <v>0</v>
      </c>
      <c r="AD105">
        <v>22.5</v>
      </c>
      <c r="AI105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105">
        <v>12</v>
      </c>
      <c r="AK105" t="s">
        <v>116</v>
      </c>
      <c r="AN105">
        <v>0</v>
      </c>
    </row>
    <row r="106" spans="1:40">
      <c r="A106" s="1">
        <v>46027</v>
      </c>
      <c r="B106">
        <v>1</v>
      </c>
      <c r="C106">
        <v>2</v>
      </c>
      <c r="D106" t="s">
        <v>141</v>
      </c>
      <c r="E106" t="s">
        <v>34</v>
      </c>
      <c r="F106">
        <v>423213</v>
      </c>
      <c r="G106">
        <v>0</v>
      </c>
      <c r="H106" t="s">
        <v>70</v>
      </c>
      <c r="I106">
        <v>10682754</v>
      </c>
      <c r="J106">
        <v>4</v>
      </c>
      <c r="K106">
        <v>23</v>
      </c>
      <c r="L106">
        <v>23</v>
      </c>
      <c r="M106">
        <v>1605</v>
      </c>
      <c r="N106" s="2">
        <v>47244</v>
      </c>
      <c r="O106" s="2">
        <v>1905</v>
      </c>
      <c r="P106" s="2">
        <v>3429</v>
      </c>
      <c r="Q106" s="2">
        <v>6420</v>
      </c>
      <c r="R106" s="2">
        <v>4572</v>
      </c>
      <c r="S106">
        <v>105</v>
      </c>
      <c r="T106" s="2">
        <v>44577</v>
      </c>
      <c r="U106" s="2">
        <v>2667</v>
      </c>
      <c r="V106">
        <v>148</v>
      </c>
      <c r="W106">
        <v>0</v>
      </c>
      <c r="X106">
        <v>0</v>
      </c>
      <c r="Y106">
        <v>0</v>
      </c>
      <c r="Z106">
        <v>6.5</v>
      </c>
      <c r="AA106">
        <v>4.4020046E-2</v>
      </c>
      <c r="AB106">
        <v>22.4</v>
      </c>
      <c r="AC106">
        <v>9.9866666669999997</v>
      </c>
      <c r="AD106">
        <v>22.5</v>
      </c>
      <c r="AI106">
        <f>12 - Table1[[#This Row],[production_running]] - Table1[[#This Row],[ change_full_set ]] - Table1[[#This Row],[ change_half_set ]] - Table1[[#This Row],[ change_parts ]] - Table1[[#This Row],[ maintenance_dt ]] - Table1[[#This Row],[production_dt]]</f>
        <v>2.0133333330000003</v>
      </c>
      <c r="AK106" t="s">
        <v>125</v>
      </c>
      <c r="AN106">
        <f>INT(Table1[[#This Row],[reject_prod]]/Table1[[#This Row],[part_weight]] * 1000)</f>
        <v>282</v>
      </c>
    </row>
    <row r="107" spans="1:40">
      <c r="A107" s="1">
        <v>46027</v>
      </c>
      <c r="B107">
        <v>1</v>
      </c>
      <c r="C107">
        <v>3</v>
      </c>
      <c r="D107" t="s">
        <v>40</v>
      </c>
      <c r="E107" t="s">
        <v>34</v>
      </c>
      <c r="F107">
        <v>442034</v>
      </c>
      <c r="G107">
        <v>0</v>
      </c>
      <c r="H107" t="s">
        <v>37</v>
      </c>
      <c r="I107">
        <v>10681182</v>
      </c>
      <c r="J107">
        <v>4</v>
      </c>
      <c r="K107">
        <v>23</v>
      </c>
      <c r="L107">
        <v>23</v>
      </c>
      <c r="M107">
        <v>1059</v>
      </c>
      <c r="N107" s="2">
        <v>139776</v>
      </c>
      <c r="O107" s="2">
        <v>2888</v>
      </c>
      <c r="P107" s="2">
        <v>2304</v>
      </c>
      <c r="Q107" s="2">
        <v>4236</v>
      </c>
      <c r="R107" s="2">
        <v>4608</v>
      </c>
      <c r="S107">
        <v>106</v>
      </c>
      <c r="T107" s="2">
        <v>131328</v>
      </c>
      <c r="U107" s="2">
        <v>8448</v>
      </c>
      <c r="V107">
        <v>97</v>
      </c>
      <c r="W107">
        <v>0</v>
      </c>
      <c r="X107">
        <v>0</v>
      </c>
      <c r="Y107">
        <v>0</v>
      </c>
      <c r="Z107">
        <v>4.3</v>
      </c>
      <c r="AA107">
        <v>4.4135156000000002E-2</v>
      </c>
      <c r="AB107">
        <v>25.9</v>
      </c>
      <c r="AC107">
        <v>7.6189166669999997</v>
      </c>
      <c r="AD107">
        <v>22</v>
      </c>
      <c r="AI107">
        <f>12 - Table1[[#This Row],[production_running]] - Table1[[#This Row],[ change_full_set ]] - Table1[[#This Row],[ change_half_set ]] - Table1[[#This Row],[ change_parts ]] - Table1[[#This Row],[ maintenance_dt ]] - Table1[[#This Row],[production_dt]]</f>
        <v>4.3810833330000003</v>
      </c>
      <c r="AK107" t="s">
        <v>142</v>
      </c>
      <c r="AN107">
        <f>INT(Table1[[#This Row],[reject_prod]]/Table1[[#This Row],[part_weight]] * 1000)</f>
        <v>186</v>
      </c>
    </row>
    <row r="108" spans="1:40">
      <c r="A108" s="1">
        <v>46027</v>
      </c>
      <c r="B108">
        <v>1</v>
      </c>
      <c r="C108">
        <v>4</v>
      </c>
      <c r="F108">
        <v>123456</v>
      </c>
      <c r="G108">
        <v>0</v>
      </c>
      <c r="M108">
        <v>0</v>
      </c>
      <c r="N108">
        <v>0</v>
      </c>
      <c r="O108">
        <v>0</v>
      </c>
      <c r="P108">
        <v>0</v>
      </c>
      <c r="R108">
        <v>0</v>
      </c>
      <c r="T108">
        <v>0</v>
      </c>
      <c r="X108">
        <v>0</v>
      </c>
      <c r="Z108">
        <v>0</v>
      </c>
      <c r="AB108">
        <v>0</v>
      </c>
      <c r="AC108">
        <v>0</v>
      </c>
      <c r="AD108">
        <v>22.5</v>
      </c>
      <c r="AI108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108">
        <v>12</v>
      </c>
      <c r="AK108" t="s">
        <v>116</v>
      </c>
      <c r="AN108">
        <v>0</v>
      </c>
    </row>
    <row r="109" spans="1:40">
      <c r="A109" s="1">
        <v>46027</v>
      </c>
      <c r="B109">
        <v>1</v>
      </c>
      <c r="C109">
        <v>5</v>
      </c>
      <c r="D109" t="s">
        <v>143</v>
      </c>
      <c r="E109" t="s">
        <v>34</v>
      </c>
      <c r="F109">
        <v>611949</v>
      </c>
      <c r="G109">
        <v>0</v>
      </c>
      <c r="H109" t="s">
        <v>38</v>
      </c>
      <c r="I109">
        <v>10680235</v>
      </c>
      <c r="J109">
        <v>4</v>
      </c>
      <c r="K109">
        <v>20</v>
      </c>
      <c r="L109">
        <v>20</v>
      </c>
      <c r="M109">
        <v>1325</v>
      </c>
      <c r="N109" s="2">
        <v>83600</v>
      </c>
      <c r="O109">
        <v>0</v>
      </c>
      <c r="P109" s="2">
        <v>4950</v>
      </c>
      <c r="Q109" s="2">
        <v>5300</v>
      </c>
      <c r="R109">
        <v>0</v>
      </c>
      <c r="S109">
        <v>0</v>
      </c>
      <c r="T109" s="2">
        <v>11750</v>
      </c>
      <c r="U109" s="2">
        <v>71850</v>
      </c>
      <c r="V109">
        <v>106</v>
      </c>
      <c r="W109">
        <v>0</v>
      </c>
      <c r="X109">
        <v>0</v>
      </c>
      <c r="Y109">
        <v>0</v>
      </c>
      <c r="Z109">
        <v>7</v>
      </c>
      <c r="AA109">
        <v>6.6037736E-2</v>
      </c>
      <c r="AB109">
        <v>25.9</v>
      </c>
      <c r="AC109">
        <v>9.5326388889999993</v>
      </c>
      <c r="AD109">
        <v>21.64</v>
      </c>
      <c r="AI109">
        <f>12 - Table1[[#This Row],[production_running]] - Table1[[#This Row],[ change_full_set ]] - Table1[[#This Row],[ change_half_set ]] - Table1[[#This Row],[ change_parts ]] - Table1[[#This Row],[ maintenance_dt ]] - Table1[[#This Row],[production_dt]]</f>
        <v>2.4673611110000007</v>
      </c>
      <c r="AK109" t="s">
        <v>103</v>
      </c>
      <c r="AN109">
        <f>INT(Table1[[#This Row],[reject_prod]]/Table1[[#This Row],[part_weight]] * 1000)</f>
        <v>350</v>
      </c>
    </row>
    <row r="110" spans="1:40">
      <c r="A110" s="1">
        <v>46027</v>
      </c>
      <c r="B110">
        <v>1</v>
      </c>
      <c r="C110">
        <v>6</v>
      </c>
      <c r="D110" t="s">
        <v>144</v>
      </c>
      <c r="E110" t="s">
        <v>34</v>
      </c>
      <c r="F110">
        <v>579471</v>
      </c>
      <c r="G110">
        <v>0</v>
      </c>
      <c r="H110" t="s">
        <v>105</v>
      </c>
      <c r="I110">
        <v>10681843</v>
      </c>
      <c r="J110">
        <v>4</v>
      </c>
      <c r="K110">
        <v>24</v>
      </c>
      <c r="L110">
        <v>24</v>
      </c>
      <c r="M110">
        <v>1167</v>
      </c>
      <c r="N110" s="2">
        <v>50400</v>
      </c>
      <c r="O110" s="2">
        <v>3024</v>
      </c>
      <c r="P110" s="2">
        <v>1512</v>
      </c>
      <c r="Q110" s="2">
        <v>4668</v>
      </c>
      <c r="R110" s="2">
        <v>6048</v>
      </c>
      <c r="S110">
        <v>145</v>
      </c>
      <c r="T110" s="2">
        <v>7560</v>
      </c>
      <c r="U110" s="2">
        <v>42840</v>
      </c>
      <c r="V110">
        <v>112</v>
      </c>
      <c r="W110">
        <v>0</v>
      </c>
      <c r="X110">
        <v>0</v>
      </c>
      <c r="Y110">
        <v>0</v>
      </c>
      <c r="Z110">
        <v>3</v>
      </c>
      <c r="AA110">
        <v>2.6778063000000001E-2</v>
      </c>
      <c r="AB110">
        <v>25.9</v>
      </c>
      <c r="AC110">
        <v>8.3959166669999998</v>
      </c>
      <c r="AD110">
        <v>23</v>
      </c>
      <c r="AI110">
        <f>12 - Table1[[#This Row],[production_running]] - Table1[[#This Row],[ change_full_set ]] - Table1[[#This Row],[ change_half_set ]] - Table1[[#This Row],[ change_parts ]] - Table1[[#This Row],[ maintenance_dt ]] - Table1[[#This Row],[production_dt]]</f>
        <v>3.6040833330000002</v>
      </c>
      <c r="AK110" t="s">
        <v>145</v>
      </c>
      <c r="AN110">
        <f>INT(Table1[[#This Row],[reject_prod]]/Table1[[#This Row],[part_weight]] * 1000)</f>
        <v>125</v>
      </c>
    </row>
    <row r="111" spans="1:40">
      <c r="A111" s="1">
        <v>46027</v>
      </c>
      <c r="B111">
        <v>1</v>
      </c>
      <c r="C111">
        <v>7</v>
      </c>
      <c r="D111" t="s">
        <v>146</v>
      </c>
      <c r="E111" t="s">
        <v>34</v>
      </c>
      <c r="F111">
        <v>324165</v>
      </c>
      <c r="G111">
        <v>0</v>
      </c>
      <c r="H111" t="s">
        <v>44</v>
      </c>
      <c r="I111">
        <v>10680238</v>
      </c>
      <c r="J111">
        <v>4</v>
      </c>
      <c r="K111">
        <v>32.56</v>
      </c>
      <c r="L111">
        <v>33</v>
      </c>
      <c r="M111">
        <v>148</v>
      </c>
      <c r="N111" s="2">
        <v>104192</v>
      </c>
      <c r="O111">
        <v>592</v>
      </c>
      <c r="P111">
        <v>0</v>
      </c>
      <c r="Q111">
        <v>592</v>
      </c>
      <c r="R111" s="2">
        <v>1184</v>
      </c>
      <c r="S111">
        <v>39</v>
      </c>
      <c r="T111" s="2">
        <v>104192</v>
      </c>
      <c r="U111">
        <v>0</v>
      </c>
      <c r="V111">
        <v>20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22.5</v>
      </c>
      <c r="AC111">
        <v>0.92500000000000004</v>
      </c>
      <c r="AD111">
        <v>22</v>
      </c>
      <c r="AI111">
        <f>12 - Table1[[#This Row],[production_running]] - Table1[[#This Row],[ change_full_set ]] - Table1[[#This Row],[ change_half_set ]] - Table1[[#This Row],[ change_parts ]] - Table1[[#This Row],[ maintenance_dt ]] - Table1[[#This Row],[production_dt]]</f>
        <v>11.074999999999999</v>
      </c>
      <c r="AK111" t="s">
        <v>147</v>
      </c>
      <c r="AN111">
        <f>INT(Table1[[#This Row],[reject_prod]]/Table1[[#This Row],[part_weight]] * 1000)</f>
        <v>0</v>
      </c>
    </row>
    <row r="112" spans="1:40">
      <c r="A112" s="1">
        <v>46027</v>
      </c>
      <c r="B112">
        <v>1</v>
      </c>
      <c r="C112">
        <v>7</v>
      </c>
      <c r="D112" t="s">
        <v>146</v>
      </c>
      <c r="E112" t="s">
        <v>34</v>
      </c>
      <c r="F112">
        <v>324165</v>
      </c>
      <c r="G112">
        <v>0</v>
      </c>
      <c r="H112" t="s">
        <v>44</v>
      </c>
      <c r="I112">
        <v>10680239</v>
      </c>
      <c r="J112">
        <v>4</v>
      </c>
      <c r="K112">
        <v>32.56</v>
      </c>
      <c r="L112">
        <v>33</v>
      </c>
      <c r="M112">
        <v>1646</v>
      </c>
      <c r="N112" s="2">
        <v>11776</v>
      </c>
      <c r="O112">
        <v>0</v>
      </c>
      <c r="P112">
        <v>256</v>
      </c>
      <c r="Q112" s="2">
        <v>6584</v>
      </c>
      <c r="R112" s="2">
        <v>6144</v>
      </c>
      <c r="S112">
        <v>203</v>
      </c>
      <c r="T112" s="2">
        <v>6400</v>
      </c>
      <c r="U112" s="2">
        <v>5376</v>
      </c>
      <c r="V112">
        <v>217</v>
      </c>
      <c r="W112">
        <v>0</v>
      </c>
      <c r="X112">
        <v>0</v>
      </c>
      <c r="Y112">
        <v>0</v>
      </c>
      <c r="Z112">
        <v>6</v>
      </c>
      <c r="AA112">
        <v>2.7615154999999999E-2</v>
      </c>
      <c r="AB112">
        <v>22.5</v>
      </c>
      <c r="AC112">
        <v>10.2875</v>
      </c>
      <c r="AD112">
        <v>22</v>
      </c>
      <c r="AI112">
        <f>12 - Table1[[#This Row],[production_running]] - Table1[[#This Row],[ change_full_set ]] - Table1[[#This Row],[ change_half_set ]] - Table1[[#This Row],[ change_parts ]] - Table1[[#This Row],[ maintenance_dt ]] - Table1[[#This Row],[production_dt]]</f>
        <v>1.7125000000000004</v>
      </c>
      <c r="AK112" t="s">
        <v>148</v>
      </c>
      <c r="AN112">
        <f>INT(Table1[[#This Row],[reject_prod]]/Table1[[#This Row],[part_weight]] * 1000)</f>
        <v>181</v>
      </c>
    </row>
    <row r="113" spans="1:40">
      <c r="A113" s="1">
        <v>46027</v>
      </c>
      <c r="B113">
        <v>1</v>
      </c>
      <c r="C113">
        <v>8</v>
      </c>
      <c r="D113" t="s">
        <v>149</v>
      </c>
      <c r="E113" t="s">
        <v>34</v>
      </c>
      <c r="F113">
        <v>323102</v>
      </c>
      <c r="G113">
        <v>0</v>
      </c>
      <c r="H113" t="s">
        <v>45</v>
      </c>
      <c r="I113">
        <v>10682922</v>
      </c>
      <c r="J113">
        <v>4</v>
      </c>
      <c r="K113">
        <v>56.9</v>
      </c>
      <c r="L113">
        <v>56.9</v>
      </c>
      <c r="M113">
        <v>1186</v>
      </c>
      <c r="N113" s="2">
        <v>38400</v>
      </c>
      <c r="O113">
        <v>0</v>
      </c>
      <c r="P113">
        <v>138</v>
      </c>
      <c r="Q113" s="2">
        <v>4744</v>
      </c>
      <c r="R113" s="2">
        <v>4480</v>
      </c>
      <c r="S113">
        <v>255</v>
      </c>
      <c r="T113" s="2">
        <v>27658</v>
      </c>
      <c r="U113" s="2">
        <v>10742</v>
      </c>
      <c r="V113">
        <v>270</v>
      </c>
      <c r="W113">
        <v>0</v>
      </c>
      <c r="X113">
        <v>0</v>
      </c>
      <c r="Y113">
        <v>0</v>
      </c>
      <c r="Z113">
        <v>7.3</v>
      </c>
      <c r="AA113">
        <v>2.7043688E-2</v>
      </c>
      <c r="AB113">
        <v>22.5</v>
      </c>
      <c r="AC113">
        <v>7.4124999999999996</v>
      </c>
      <c r="AD113">
        <v>26</v>
      </c>
      <c r="AI113">
        <f>12 - Table1[[#This Row],[production_running]] - Table1[[#This Row],[ change_full_set ]] - Table1[[#This Row],[ change_half_set ]] - Table1[[#This Row],[ change_parts ]] - Table1[[#This Row],[ maintenance_dt ]] - Table1[[#This Row],[production_dt]]</f>
        <v>4.5875000000000004</v>
      </c>
      <c r="AK113" t="s">
        <v>75</v>
      </c>
      <c r="AN113">
        <f>INT(Table1[[#This Row],[reject_prod]]/Table1[[#This Row],[part_weight]] * 1000)</f>
        <v>128</v>
      </c>
    </row>
    <row r="114" spans="1:40">
      <c r="A114" s="1">
        <v>46027</v>
      </c>
      <c r="B114">
        <v>1</v>
      </c>
      <c r="C114">
        <v>9</v>
      </c>
      <c r="D114" t="s">
        <v>150</v>
      </c>
      <c r="E114" t="s">
        <v>46</v>
      </c>
      <c r="F114">
        <v>586276</v>
      </c>
      <c r="G114">
        <v>0</v>
      </c>
      <c r="H114" t="s">
        <v>47</v>
      </c>
      <c r="I114">
        <v>10682923</v>
      </c>
      <c r="J114">
        <v>6</v>
      </c>
      <c r="K114">
        <v>12.3</v>
      </c>
      <c r="L114">
        <v>12.3</v>
      </c>
      <c r="M114">
        <v>1675</v>
      </c>
      <c r="N114" s="2">
        <v>162000</v>
      </c>
      <c r="O114">
        <v>0</v>
      </c>
      <c r="P114" s="2">
        <v>1620</v>
      </c>
      <c r="Q114" s="2">
        <v>10050</v>
      </c>
      <c r="R114" s="2">
        <v>8100</v>
      </c>
      <c r="S114">
        <v>100</v>
      </c>
      <c r="T114" s="2">
        <v>82620</v>
      </c>
      <c r="U114" s="2">
        <v>79380</v>
      </c>
      <c r="V114">
        <v>124</v>
      </c>
      <c r="W114">
        <v>0</v>
      </c>
      <c r="X114">
        <v>0</v>
      </c>
      <c r="Y114">
        <v>0</v>
      </c>
      <c r="Z114">
        <v>1</v>
      </c>
      <c r="AA114">
        <v>8.0896330000000006E-3</v>
      </c>
      <c r="AB114">
        <v>25.5</v>
      </c>
      <c r="AC114">
        <v>11.86458333</v>
      </c>
      <c r="AD114">
        <v>26</v>
      </c>
      <c r="AI114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0.13541666999999968</v>
      </c>
      <c r="AK114" t="s">
        <v>51</v>
      </c>
      <c r="AN114">
        <f>INT(Table1[[#This Row],[reject_prod]]/Table1[[#This Row],[part_weight]] * 1000)</f>
        <v>81</v>
      </c>
    </row>
    <row r="115" spans="1:40">
      <c r="A115" s="1">
        <v>46027</v>
      </c>
      <c r="B115">
        <v>1</v>
      </c>
      <c r="C115">
        <v>10</v>
      </c>
      <c r="D115" t="s">
        <v>40</v>
      </c>
      <c r="E115" t="s">
        <v>41</v>
      </c>
      <c r="F115">
        <v>593537</v>
      </c>
      <c r="G115">
        <v>0</v>
      </c>
      <c r="H115" t="s">
        <v>48</v>
      </c>
      <c r="I115">
        <v>10682925</v>
      </c>
      <c r="J115">
        <v>4</v>
      </c>
      <c r="K115">
        <v>56.5</v>
      </c>
      <c r="L115">
        <v>56.8</v>
      </c>
      <c r="M115">
        <v>1060</v>
      </c>
      <c r="N115" s="2">
        <v>69000</v>
      </c>
      <c r="O115">
        <v>460</v>
      </c>
      <c r="P115">
        <v>690</v>
      </c>
      <c r="Q115" s="2">
        <v>4240</v>
      </c>
      <c r="R115" s="2">
        <v>3450</v>
      </c>
      <c r="S115">
        <v>196</v>
      </c>
      <c r="T115" s="2">
        <v>9890</v>
      </c>
      <c r="U115" s="2">
        <v>59110</v>
      </c>
      <c r="V115">
        <v>241</v>
      </c>
      <c r="W115">
        <v>-1</v>
      </c>
      <c r="X115">
        <v>0</v>
      </c>
      <c r="Y115">
        <v>0</v>
      </c>
      <c r="Z115">
        <v>32.299999999999997</v>
      </c>
      <c r="AA115">
        <v>0.13411839</v>
      </c>
      <c r="AB115">
        <v>31.7</v>
      </c>
      <c r="AC115">
        <v>9.3338888890000007</v>
      </c>
      <c r="AD115">
        <v>28.5</v>
      </c>
      <c r="AI115">
        <f>12 - Table1[[#This Row],[production_running]] - Table1[[#This Row],[ change_full_set ]] - Table1[[#This Row],[ change_half_set ]] - Table1[[#This Row],[ change_parts ]] - Table1[[#This Row],[ maintenance_dt ]] - Table1[[#This Row],[production_dt]]</f>
        <v>2.6661111109999993</v>
      </c>
      <c r="AK115" t="s">
        <v>151</v>
      </c>
      <c r="AN115">
        <f>INT(Table1[[#This Row],[reject_prod]]/Table1[[#This Row],[part_weight]] * 1000)</f>
        <v>568</v>
      </c>
    </row>
    <row r="116" spans="1:40">
      <c r="A116" s="1">
        <v>46027</v>
      </c>
      <c r="B116">
        <v>1</v>
      </c>
      <c r="C116">
        <v>11</v>
      </c>
      <c r="D116" t="s">
        <v>112</v>
      </c>
      <c r="E116" t="s">
        <v>46</v>
      </c>
      <c r="F116">
        <v>552181</v>
      </c>
      <c r="G116">
        <v>1</v>
      </c>
      <c r="H116" t="s">
        <v>49</v>
      </c>
      <c r="I116">
        <v>10679363</v>
      </c>
      <c r="J116">
        <v>6</v>
      </c>
      <c r="K116">
        <v>18.8</v>
      </c>
      <c r="L116">
        <v>18.8</v>
      </c>
      <c r="M116">
        <v>1569</v>
      </c>
      <c r="N116" s="2">
        <v>108000</v>
      </c>
      <c r="O116" s="2">
        <v>53190</v>
      </c>
      <c r="P116" s="2">
        <v>3240</v>
      </c>
      <c r="Q116" s="2">
        <v>9414</v>
      </c>
      <c r="R116" s="2">
        <v>59400</v>
      </c>
      <c r="S116" s="2">
        <v>1117</v>
      </c>
      <c r="T116" s="2">
        <v>95040</v>
      </c>
      <c r="U116" s="2">
        <v>12960</v>
      </c>
      <c r="V116">
        <v>177</v>
      </c>
      <c r="W116">
        <v>0</v>
      </c>
      <c r="X116">
        <v>0</v>
      </c>
      <c r="Y116">
        <v>0</v>
      </c>
      <c r="Z116">
        <v>2.5</v>
      </c>
      <c r="AA116">
        <v>1.4125634999999999E-2</v>
      </c>
      <c r="AB116">
        <v>27.6</v>
      </c>
      <c r="AC116">
        <v>12</v>
      </c>
      <c r="AD116">
        <v>27</v>
      </c>
      <c r="AI11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116" t="s">
        <v>130</v>
      </c>
      <c r="AN116">
        <f>INT(Table1[[#This Row],[reject_prod]]/Table1[[#This Row],[part_weight]] * 1000)</f>
        <v>132</v>
      </c>
    </row>
    <row r="117" spans="1:40">
      <c r="A117" s="1">
        <v>46027</v>
      </c>
      <c r="B117">
        <v>1</v>
      </c>
      <c r="C117">
        <v>12</v>
      </c>
      <c r="D117" t="s">
        <v>152</v>
      </c>
      <c r="E117" t="s">
        <v>34</v>
      </c>
      <c r="F117">
        <v>620599</v>
      </c>
      <c r="G117">
        <v>0</v>
      </c>
      <c r="H117" t="s">
        <v>50</v>
      </c>
      <c r="I117">
        <v>10682928</v>
      </c>
      <c r="J117">
        <v>4</v>
      </c>
      <c r="K117">
        <v>55</v>
      </c>
      <c r="L117">
        <v>55</v>
      </c>
      <c r="M117">
        <v>1274</v>
      </c>
      <c r="N117" s="2">
        <v>72000</v>
      </c>
      <c r="O117">
        <v>0</v>
      </c>
      <c r="P117" s="2">
        <v>1350</v>
      </c>
      <c r="Q117" s="2">
        <v>5096</v>
      </c>
      <c r="R117" s="2">
        <v>3600</v>
      </c>
      <c r="S117">
        <v>198</v>
      </c>
      <c r="T117" s="2">
        <v>10350</v>
      </c>
      <c r="U117" s="2">
        <v>61650</v>
      </c>
      <c r="V117">
        <v>280</v>
      </c>
      <c r="W117">
        <v>0</v>
      </c>
      <c r="X117">
        <v>0</v>
      </c>
      <c r="Y117">
        <v>0</v>
      </c>
      <c r="Z117">
        <v>8</v>
      </c>
      <c r="AA117">
        <v>2.8542886E-2</v>
      </c>
      <c r="AB117">
        <v>27.6</v>
      </c>
      <c r="AC117">
        <v>9.7673333329999998</v>
      </c>
      <c r="AD117">
        <v>28</v>
      </c>
      <c r="AI117">
        <f>12 - Table1[[#This Row],[production_running]] - Table1[[#This Row],[ change_full_set ]] - Table1[[#This Row],[ change_half_set ]] - Table1[[#This Row],[ change_parts ]] - Table1[[#This Row],[ maintenance_dt ]] - Table1[[#This Row],[production_dt]]</f>
        <v>2.2326666670000002</v>
      </c>
      <c r="AK117" t="s">
        <v>130</v>
      </c>
      <c r="AN117">
        <f>INT(Table1[[#This Row],[reject_prod]]/Table1[[#This Row],[part_weight]] * 1000)</f>
        <v>145</v>
      </c>
    </row>
    <row r="118" spans="1:40">
      <c r="A118" s="1">
        <v>46027</v>
      </c>
      <c r="B118">
        <v>1</v>
      </c>
      <c r="C118">
        <v>13</v>
      </c>
      <c r="D118" t="s">
        <v>112</v>
      </c>
      <c r="E118" t="s">
        <v>46</v>
      </c>
      <c r="F118">
        <v>586276</v>
      </c>
      <c r="G118">
        <v>0</v>
      </c>
      <c r="H118" t="s">
        <v>47</v>
      </c>
      <c r="I118">
        <v>10682930</v>
      </c>
      <c r="J118">
        <v>6</v>
      </c>
      <c r="K118">
        <v>12.3</v>
      </c>
      <c r="L118">
        <v>12.3</v>
      </c>
      <c r="M118">
        <v>1665</v>
      </c>
      <c r="N118" s="2">
        <v>162000</v>
      </c>
      <c r="O118" s="2">
        <v>6075</v>
      </c>
      <c r="P118" s="2">
        <v>7695</v>
      </c>
      <c r="Q118" s="2">
        <v>9990</v>
      </c>
      <c r="R118" s="2">
        <v>8100</v>
      </c>
      <c r="S118">
        <v>100</v>
      </c>
      <c r="T118" s="2">
        <v>23895</v>
      </c>
      <c r="U118" s="2">
        <v>138105</v>
      </c>
      <c r="V118">
        <v>123</v>
      </c>
      <c r="W118">
        <v>0</v>
      </c>
      <c r="X118">
        <v>0</v>
      </c>
      <c r="Y118">
        <v>0</v>
      </c>
      <c r="Z118">
        <v>3.2</v>
      </c>
      <c r="AA118">
        <v>2.6042302E-2</v>
      </c>
      <c r="AB118">
        <v>26</v>
      </c>
      <c r="AC118">
        <v>12</v>
      </c>
      <c r="AD118">
        <v>26</v>
      </c>
      <c r="AI118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118" t="s">
        <v>51</v>
      </c>
      <c r="AN118">
        <f>INT(Table1[[#This Row],[reject_prod]]/Table1[[#This Row],[part_weight]] * 1000)</f>
        <v>260</v>
      </c>
    </row>
    <row r="119" spans="1:40">
      <c r="A119" s="1">
        <v>46027</v>
      </c>
      <c r="B119">
        <v>1</v>
      </c>
      <c r="C119">
        <v>14</v>
      </c>
      <c r="D119" t="s">
        <v>112</v>
      </c>
      <c r="E119" t="s">
        <v>46</v>
      </c>
      <c r="F119">
        <v>555979</v>
      </c>
      <c r="G119">
        <v>1</v>
      </c>
      <c r="H119" t="s">
        <v>52</v>
      </c>
      <c r="I119">
        <v>10682931</v>
      </c>
      <c r="J119">
        <v>6</v>
      </c>
      <c r="K119">
        <v>28</v>
      </c>
      <c r="L119">
        <v>28</v>
      </c>
      <c r="M119">
        <v>926</v>
      </c>
      <c r="N119" s="2">
        <v>100800</v>
      </c>
      <c r="O119">
        <v>0</v>
      </c>
      <c r="P119" s="2">
        <v>2016</v>
      </c>
      <c r="Q119" s="2">
        <v>5556</v>
      </c>
      <c r="R119" s="2">
        <v>3360</v>
      </c>
      <c r="S119">
        <v>94</v>
      </c>
      <c r="T119" s="2">
        <v>72576</v>
      </c>
      <c r="U119" s="2">
        <v>28224</v>
      </c>
      <c r="V119">
        <v>156</v>
      </c>
      <c r="W119">
        <v>0</v>
      </c>
      <c r="X119">
        <v>0</v>
      </c>
      <c r="Y119">
        <v>0</v>
      </c>
      <c r="Z119">
        <v>4.5</v>
      </c>
      <c r="AA119">
        <v>2.8926257E-2</v>
      </c>
      <c r="AB119">
        <v>43.3</v>
      </c>
      <c r="AC119">
        <v>11.137722220000001</v>
      </c>
      <c r="AD119">
        <v>42</v>
      </c>
      <c r="AI119">
        <f>12 - Table1[[#This Row],[production_running]] - Table1[[#This Row],[ change_full_set ]] - Table1[[#This Row],[ change_half_set ]] - Table1[[#This Row],[ change_parts ]] - Table1[[#This Row],[ maintenance_dt ]] - Table1[[#This Row],[production_dt]]</f>
        <v>0.86227777999999944</v>
      </c>
      <c r="AK119" t="s">
        <v>51</v>
      </c>
      <c r="AN119">
        <f>INT(Table1[[#This Row],[reject_prod]]/Table1[[#This Row],[part_weight]] * 1000)</f>
        <v>160</v>
      </c>
    </row>
    <row r="120" spans="1:40">
      <c r="A120" s="1">
        <v>46027</v>
      </c>
      <c r="B120">
        <v>1</v>
      </c>
      <c r="C120">
        <v>15</v>
      </c>
      <c r="D120" t="s">
        <v>112</v>
      </c>
      <c r="E120" t="s">
        <v>46</v>
      </c>
      <c r="F120">
        <v>552181</v>
      </c>
      <c r="G120">
        <v>2</v>
      </c>
      <c r="H120" t="s">
        <v>49</v>
      </c>
      <c r="I120">
        <v>10682933</v>
      </c>
      <c r="J120">
        <v>6</v>
      </c>
      <c r="K120">
        <v>18.8</v>
      </c>
      <c r="L120">
        <v>18.8</v>
      </c>
      <c r="M120">
        <v>1366</v>
      </c>
      <c r="N120" s="2">
        <v>108000</v>
      </c>
      <c r="O120" s="2">
        <v>18630</v>
      </c>
      <c r="P120" s="2">
        <v>4860</v>
      </c>
      <c r="Q120" s="2">
        <v>8196</v>
      </c>
      <c r="R120" s="2">
        <v>21600</v>
      </c>
      <c r="S120">
        <v>406</v>
      </c>
      <c r="T120" s="2">
        <v>85860</v>
      </c>
      <c r="U120" s="2">
        <v>22140</v>
      </c>
      <c r="V120">
        <v>154</v>
      </c>
      <c r="W120">
        <v>0</v>
      </c>
      <c r="X120">
        <v>0</v>
      </c>
      <c r="Y120">
        <v>0</v>
      </c>
      <c r="Z120">
        <v>6.7</v>
      </c>
      <c r="AA120">
        <v>4.3482550000000002E-2</v>
      </c>
      <c r="AB120">
        <v>31.2</v>
      </c>
      <c r="AC120">
        <v>11.83866667</v>
      </c>
      <c r="AD120">
        <v>27</v>
      </c>
      <c r="AI120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0.16133332999999972</v>
      </c>
      <c r="AK120" t="s">
        <v>51</v>
      </c>
      <c r="AN120">
        <f>INT(Table1[[#This Row],[reject_prod]]/Table1[[#This Row],[part_weight]] * 1000)</f>
        <v>356</v>
      </c>
    </row>
    <row r="121" spans="1:40">
      <c r="A121" s="1">
        <v>46027</v>
      </c>
      <c r="B121">
        <v>1</v>
      </c>
      <c r="C121">
        <v>16</v>
      </c>
      <c r="D121" t="s">
        <v>69</v>
      </c>
      <c r="E121" t="s">
        <v>46</v>
      </c>
      <c r="F121">
        <v>555979</v>
      </c>
      <c r="G121">
        <v>2</v>
      </c>
      <c r="H121" t="s">
        <v>52</v>
      </c>
      <c r="I121">
        <v>10682935</v>
      </c>
      <c r="J121">
        <v>6</v>
      </c>
      <c r="K121">
        <v>28</v>
      </c>
      <c r="L121">
        <v>28</v>
      </c>
      <c r="M121">
        <v>935</v>
      </c>
      <c r="N121" s="2">
        <v>100800</v>
      </c>
      <c r="O121" s="2">
        <v>1344</v>
      </c>
      <c r="P121">
        <v>168</v>
      </c>
      <c r="Q121" s="2">
        <v>5610</v>
      </c>
      <c r="R121" s="2">
        <v>6720</v>
      </c>
      <c r="S121">
        <v>188</v>
      </c>
      <c r="T121" s="2">
        <v>13608</v>
      </c>
      <c r="U121" s="2">
        <v>87192</v>
      </c>
      <c r="V121">
        <v>157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44.3</v>
      </c>
      <c r="AC121">
        <v>11.505694439999999</v>
      </c>
      <c r="AD121">
        <v>42</v>
      </c>
      <c r="AI121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0.49430556000000081</v>
      </c>
      <c r="AK121" t="s">
        <v>51</v>
      </c>
      <c r="AN121">
        <f>INT(Table1[[#This Row],[reject_prod]]/Table1[[#This Row],[part_weight]] * 1000)</f>
        <v>0</v>
      </c>
    </row>
    <row r="122" spans="1:40">
      <c r="A122" s="1">
        <v>46027</v>
      </c>
      <c r="B122">
        <v>2</v>
      </c>
      <c r="C122">
        <v>1</v>
      </c>
      <c r="D122" t="s">
        <v>33</v>
      </c>
      <c r="E122" t="s">
        <v>34</v>
      </c>
      <c r="F122">
        <v>322474</v>
      </c>
      <c r="G122">
        <v>0</v>
      </c>
      <c r="H122" t="s">
        <v>153</v>
      </c>
      <c r="I122">
        <v>10681777</v>
      </c>
      <c r="J122">
        <v>4</v>
      </c>
      <c r="K122">
        <v>44</v>
      </c>
      <c r="L122">
        <v>44</v>
      </c>
      <c r="M122">
        <v>30</v>
      </c>
      <c r="N122" s="2">
        <v>15840</v>
      </c>
      <c r="O122">
        <v>0</v>
      </c>
      <c r="P122">
        <v>110</v>
      </c>
      <c r="Q122">
        <v>120</v>
      </c>
      <c r="R122">
        <v>0</v>
      </c>
      <c r="S122">
        <v>0</v>
      </c>
      <c r="T122">
        <v>0</v>
      </c>
      <c r="U122" s="2">
        <v>15840</v>
      </c>
      <c r="V122">
        <v>5</v>
      </c>
      <c r="W122">
        <v>0</v>
      </c>
      <c r="X122">
        <v>15.4</v>
      </c>
      <c r="Y122">
        <v>2.9166666669999999</v>
      </c>
      <c r="Z122">
        <v>0</v>
      </c>
      <c r="AA122">
        <v>0</v>
      </c>
      <c r="AB122">
        <v>27.87</v>
      </c>
      <c r="AC122">
        <v>0.23225000000000001</v>
      </c>
      <c r="AD122">
        <v>28.56</v>
      </c>
      <c r="AE122">
        <v>5.5</v>
      </c>
      <c r="AI122">
        <f>12 - Table1[[#This Row],[production_running]] - Table1[[#This Row],[ change_full_set ]] - Table1[[#This Row],[ change_half_set ]] - Table1[[#This Row],[ change_parts ]] - Table1[[#This Row],[ maintenance_dt ]] - Table1[[#This Row],[production_dt]]</f>
        <v>6.2677499999999995</v>
      </c>
      <c r="AK122" t="s">
        <v>154</v>
      </c>
      <c r="AN122">
        <f>INT(Table1[[#This Row],[reject_prod]]/Table1[[#This Row],[part_weight]] * 1000)</f>
        <v>0</v>
      </c>
    </row>
    <row r="123" spans="1:40">
      <c r="A123" s="1">
        <v>46027</v>
      </c>
      <c r="B123">
        <v>2</v>
      </c>
      <c r="C123">
        <v>2</v>
      </c>
      <c r="D123" t="s">
        <v>88</v>
      </c>
      <c r="E123" t="s">
        <v>34</v>
      </c>
      <c r="F123">
        <v>423213</v>
      </c>
      <c r="G123">
        <v>0</v>
      </c>
      <c r="H123" t="s">
        <v>70</v>
      </c>
      <c r="I123">
        <v>10682754</v>
      </c>
      <c r="J123">
        <v>4</v>
      </c>
      <c r="K123">
        <v>23</v>
      </c>
      <c r="L123">
        <v>23</v>
      </c>
      <c r="M123">
        <v>1120</v>
      </c>
      <c r="N123" s="2">
        <v>47244</v>
      </c>
      <c r="O123" s="2">
        <v>3429</v>
      </c>
      <c r="P123" s="2">
        <v>1524</v>
      </c>
      <c r="Q123" s="2">
        <v>4480</v>
      </c>
      <c r="R123" s="2">
        <v>6096</v>
      </c>
      <c r="S123">
        <v>140</v>
      </c>
      <c r="T123" s="2">
        <v>47244</v>
      </c>
      <c r="U123">
        <v>0</v>
      </c>
      <c r="V123">
        <v>103</v>
      </c>
      <c r="W123">
        <v>0</v>
      </c>
      <c r="X123">
        <v>0</v>
      </c>
      <c r="Y123">
        <v>0</v>
      </c>
      <c r="Z123">
        <v>5</v>
      </c>
      <c r="AA123">
        <v>4.8524844999999997E-2</v>
      </c>
      <c r="AB123">
        <v>22.5</v>
      </c>
      <c r="AC123">
        <v>7</v>
      </c>
      <c r="AD123">
        <v>22.5</v>
      </c>
      <c r="AI123">
        <f>12 - Table1[[#This Row],[production_running]] - Table1[[#This Row],[ change_full_set ]] - Table1[[#This Row],[ change_half_set ]] - Table1[[#This Row],[ change_parts ]] - Table1[[#This Row],[ maintenance_dt ]] - Table1[[#This Row],[production_dt]]</f>
        <v>5</v>
      </c>
      <c r="AK123" t="s">
        <v>155</v>
      </c>
      <c r="AN123">
        <f>INT(Table1[[#This Row],[reject_prod]]/Table1[[#This Row],[part_weight]] * 1000)</f>
        <v>217</v>
      </c>
    </row>
    <row r="124" spans="1:40">
      <c r="A124" s="1">
        <v>46027</v>
      </c>
      <c r="B124">
        <v>2</v>
      </c>
      <c r="C124">
        <v>2</v>
      </c>
      <c r="D124" t="s">
        <v>88</v>
      </c>
      <c r="E124" t="s">
        <v>34</v>
      </c>
      <c r="F124">
        <v>423215</v>
      </c>
      <c r="G124">
        <v>0</v>
      </c>
      <c r="H124" t="s">
        <v>156</v>
      </c>
      <c r="I124">
        <v>10682755</v>
      </c>
      <c r="J124">
        <v>4</v>
      </c>
      <c r="K124">
        <v>24</v>
      </c>
      <c r="L124">
        <v>24</v>
      </c>
      <c r="M124">
        <v>150</v>
      </c>
      <c r="N124" s="2">
        <v>89112</v>
      </c>
      <c r="O124">
        <v>0</v>
      </c>
      <c r="P124">
        <v>564</v>
      </c>
      <c r="Q124">
        <v>600</v>
      </c>
      <c r="R124">
        <v>0</v>
      </c>
      <c r="S124">
        <v>0</v>
      </c>
      <c r="T124">
        <v>0</v>
      </c>
      <c r="U124" s="2">
        <v>89112</v>
      </c>
      <c r="V124">
        <v>14</v>
      </c>
      <c r="W124">
        <v>0</v>
      </c>
      <c r="X124">
        <v>6</v>
      </c>
      <c r="Y124">
        <v>0.41666666699999999</v>
      </c>
      <c r="Z124">
        <v>1</v>
      </c>
      <c r="AA124">
        <v>6.9444443999999994E-2</v>
      </c>
      <c r="AB124">
        <v>26.83</v>
      </c>
      <c r="AC124">
        <v>1.117916667</v>
      </c>
      <c r="AD124">
        <v>22</v>
      </c>
      <c r="AG124">
        <v>1.5</v>
      </c>
      <c r="AI124">
        <f>12 - Table1[[#This Row],[production_running]] - Table1[[#This Row],[ change_full_set ]] - Table1[[#This Row],[ change_half_set ]] - Table1[[#This Row],[ change_parts ]] - Table1[[#This Row],[ maintenance_dt ]] - Table1[[#This Row],[production_dt]]</f>
        <v>9.3820833330000006</v>
      </c>
      <c r="AK124" t="s">
        <v>157</v>
      </c>
      <c r="AN124">
        <f>INT(Table1[[#This Row],[reject_prod]]/Table1[[#This Row],[part_weight]] * 1000)</f>
        <v>41</v>
      </c>
    </row>
    <row r="125" spans="1:40">
      <c r="A125" s="1">
        <v>46027</v>
      </c>
      <c r="B125">
        <v>2</v>
      </c>
      <c r="C125">
        <v>3</v>
      </c>
      <c r="D125" t="s">
        <v>58</v>
      </c>
      <c r="E125" t="s">
        <v>34</v>
      </c>
      <c r="F125">
        <v>442034</v>
      </c>
      <c r="G125">
        <v>0</v>
      </c>
      <c r="H125" t="s">
        <v>37</v>
      </c>
      <c r="I125">
        <v>10681182</v>
      </c>
      <c r="J125">
        <v>4</v>
      </c>
      <c r="K125">
        <v>23</v>
      </c>
      <c r="L125">
        <v>23</v>
      </c>
      <c r="M125">
        <v>1730</v>
      </c>
      <c r="N125" s="2">
        <v>139776</v>
      </c>
      <c r="O125" s="2">
        <v>2304</v>
      </c>
      <c r="P125">
        <v>0</v>
      </c>
      <c r="Q125" s="2">
        <v>6920</v>
      </c>
      <c r="R125" s="2">
        <v>9216</v>
      </c>
      <c r="S125">
        <v>212</v>
      </c>
      <c r="T125" s="2">
        <v>138240</v>
      </c>
      <c r="U125" s="2">
        <v>1536</v>
      </c>
      <c r="V125">
        <v>159</v>
      </c>
      <c r="W125">
        <v>0</v>
      </c>
      <c r="X125">
        <v>0</v>
      </c>
      <c r="Y125">
        <v>0</v>
      </c>
      <c r="Z125">
        <v>1</v>
      </c>
      <c r="AA125">
        <v>6.282986E-3</v>
      </c>
      <c r="AB125">
        <v>25.2</v>
      </c>
      <c r="AC125">
        <v>12</v>
      </c>
      <c r="AD125">
        <v>22</v>
      </c>
      <c r="AI125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125" t="s">
        <v>75</v>
      </c>
      <c r="AN125">
        <f>INT(Table1[[#This Row],[reject_prod]]/Table1[[#This Row],[part_weight]] * 1000)</f>
        <v>43</v>
      </c>
    </row>
    <row r="126" spans="1:40">
      <c r="A126" s="1">
        <v>46027</v>
      </c>
      <c r="B126">
        <v>2</v>
      </c>
      <c r="C126">
        <v>4</v>
      </c>
      <c r="F126">
        <v>123456</v>
      </c>
      <c r="G126">
        <v>0</v>
      </c>
      <c r="M126">
        <v>0</v>
      </c>
      <c r="N126">
        <v>0</v>
      </c>
      <c r="O126">
        <v>0</v>
      </c>
      <c r="P126">
        <v>0</v>
      </c>
      <c r="R126">
        <v>0</v>
      </c>
      <c r="T126">
        <v>0</v>
      </c>
      <c r="X126">
        <v>0</v>
      </c>
      <c r="Z126">
        <v>0</v>
      </c>
      <c r="AB126">
        <v>0</v>
      </c>
      <c r="AC126">
        <v>0</v>
      </c>
      <c r="AD126">
        <v>22.5</v>
      </c>
      <c r="AI12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126">
        <v>12</v>
      </c>
      <c r="AK126" t="s">
        <v>116</v>
      </c>
      <c r="AN126">
        <v>0</v>
      </c>
    </row>
    <row r="127" spans="1:40">
      <c r="A127" s="1">
        <v>46027</v>
      </c>
      <c r="B127">
        <v>2</v>
      </c>
      <c r="C127">
        <v>5</v>
      </c>
      <c r="D127" t="s">
        <v>89</v>
      </c>
      <c r="E127" t="s">
        <v>34</v>
      </c>
      <c r="F127">
        <v>611949</v>
      </c>
      <c r="G127">
        <v>0</v>
      </c>
      <c r="H127" t="s">
        <v>38</v>
      </c>
      <c r="I127">
        <v>10680235</v>
      </c>
      <c r="J127">
        <v>4</v>
      </c>
      <c r="K127">
        <v>20</v>
      </c>
      <c r="L127">
        <v>20</v>
      </c>
      <c r="M127">
        <v>1788</v>
      </c>
      <c r="N127" s="2">
        <v>83600</v>
      </c>
      <c r="O127" s="2">
        <v>4950</v>
      </c>
      <c r="P127" s="2">
        <v>5500</v>
      </c>
      <c r="Q127" s="2">
        <v>7152</v>
      </c>
      <c r="R127" s="2">
        <v>6600</v>
      </c>
      <c r="S127">
        <v>132</v>
      </c>
      <c r="T127" s="2">
        <v>18700</v>
      </c>
      <c r="U127" s="2">
        <v>64900</v>
      </c>
      <c r="V127">
        <v>143</v>
      </c>
      <c r="W127">
        <v>0</v>
      </c>
      <c r="X127">
        <v>0</v>
      </c>
      <c r="Y127">
        <v>0</v>
      </c>
      <c r="Z127">
        <v>4.3</v>
      </c>
      <c r="AA127">
        <v>3.0061521000000001E-2</v>
      </c>
      <c r="AB127">
        <v>23.65</v>
      </c>
      <c r="AC127">
        <v>11.746166669999999</v>
      </c>
      <c r="AD127">
        <v>21.64</v>
      </c>
      <c r="AI127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0.25383333000000086</v>
      </c>
      <c r="AK127" t="s">
        <v>158</v>
      </c>
      <c r="AN127">
        <f>INT(Table1[[#This Row],[reject_prod]]/Table1[[#This Row],[part_weight]] * 1000)</f>
        <v>215</v>
      </c>
    </row>
    <row r="128" spans="1:40">
      <c r="A128" s="1">
        <v>46027</v>
      </c>
      <c r="B128">
        <v>2</v>
      </c>
      <c r="C128">
        <v>6</v>
      </c>
      <c r="D128" t="s">
        <v>124</v>
      </c>
      <c r="E128" t="s">
        <v>34</v>
      </c>
      <c r="F128">
        <v>579471</v>
      </c>
      <c r="G128">
        <v>0</v>
      </c>
      <c r="H128" t="s">
        <v>105</v>
      </c>
      <c r="I128">
        <v>10681843</v>
      </c>
      <c r="J128">
        <v>4</v>
      </c>
      <c r="K128">
        <v>24</v>
      </c>
      <c r="L128">
        <v>24</v>
      </c>
      <c r="M128">
        <v>1890</v>
      </c>
      <c r="N128" s="2">
        <v>50400</v>
      </c>
      <c r="O128" s="2">
        <v>1512</v>
      </c>
      <c r="P128" s="2">
        <v>3024</v>
      </c>
      <c r="Q128" s="2">
        <v>7560</v>
      </c>
      <c r="R128" s="2">
        <v>6048</v>
      </c>
      <c r="S128">
        <v>145</v>
      </c>
      <c r="T128" s="2">
        <v>15120</v>
      </c>
      <c r="U128" s="2">
        <v>35280</v>
      </c>
      <c r="V128">
        <v>181</v>
      </c>
      <c r="W128">
        <v>0</v>
      </c>
      <c r="X128">
        <v>0</v>
      </c>
      <c r="Y128">
        <v>0</v>
      </c>
      <c r="Z128">
        <v>3</v>
      </c>
      <c r="AA128">
        <v>1.6534391999999998E-2</v>
      </c>
      <c r="AB128">
        <v>22.15</v>
      </c>
      <c r="AC128">
        <v>11.62875</v>
      </c>
      <c r="AD128">
        <v>23</v>
      </c>
      <c r="AI128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0.37124999999999986</v>
      </c>
      <c r="AK128" t="s">
        <v>103</v>
      </c>
      <c r="AN128">
        <f>INT(Table1[[#This Row],[reject_prod]]/Table1[[#This Row],[part_weight]] * 1000)</f>
        <v>125</v>
      </c>
    </row>
    <row r="129" spans="1:40">
      <c r="A129" s="1">
        <v>46027</v>
      </c>
      <c r="B129">
        <v>2</v>
      </c>
      <c r="C129">
        <v>7</v>
      </c>
      <c r="D129" t="s">
        <v>139</v>
      </c>
      <c r="E129" t="s">
        <v>34</v>
      </c>
      <c r="F129">
        <v>324165</v>
      </c>
      <c r="G129">
        <v>0</v>
      </c>
      <c r="H129" t="s">
        <v>44</v>
      </c>
      <c r="I129">
        <v>10680239</v>
      </c>
      <c r="J129">
        <v>4</v>
      </c>
      <c r="K129">
        <v>32.56</v>
      </c>
      <c r="L129">
        <v>33</v>
      </c>
      <c r="M129">
        <v>1345</v>
      </c>
      <c r="N129" s="2">
        <v>11776</v>
      </c>
      <c r="O129">
        <v>256</v>
      </c>
      <c r="P129">
        <v>0</v>
      </c>
      <c r="Q129" s="2">
        <v>5380</v>
      </c>
      <c r="R129" s="2">
        <v>5632</v>
      </c>
      <c r="S129">
        <v>186</v>
      </c>
      <c r="T129" s="2">
        <v>11776</v>
      </c>
      <c r="U129">
        <v>0</v>
      </c>
      <c r="V129">
        <v>178</v>
      </c>
      <c r="W129">
        <v>0</v>
      </c>
      <c r="X129">
        <v>0</v>
      </c>
      <c r="Y129">
        <v>0</v>
      </c>
      <c r="Z129">
        <v>6.2</v>
      </c>
      <c r="AA129">
        <v>3.4921708000000003E-2</v>
      </c>
      <c r="AB129">
        <v>22.5</v>
      </c>
      <c r="AC129">
        <v>8.40625</v>
      </c>
      <c r="AD129">
        <v>22</v>
      </c>
      <c r="AI129">
        <f>12 - Table1[[#This Row],[production_running]] - Table1[[#This Row],[ change_full_set ]] - Table1[[#This Row],[ change_half_set ]] - Table1[[#This Row],[ change_parts ]] - Table1[[#This Row],[ maintenance_dt ]] - Table1[[#This Row],[production_dt]]</f>
        <v>3.59375</v>
      </c>
      <c r="AK129" t="s">
        <v>159</v>
      </c>
      <c r="AN129">
        <f>INT(Table1[[#This Row],[reject_prod]]/Table1[[#This Row],[part_weight]] * 1000)</f>
        <v>187</v>
      </c>
    </row>
    <row r="130" spans="1:40">
      <c r="A130" s="1">
        <v>46027</v>
      </c>
      <c r="B130">
        <v>2</v>
      </c>
      <c r="C130">
        <v>7</v>
      </c>
      <c r="D130" t="s">
        <v>139</v>
      </c>
      <c r="E130" t="s">
        <v>34</v>
      </c>
      <c r="F130">
        <v>441809</v>
      </c>
      <c r="G130">
        <v>0</v>
      </c>
      <c r="H130" t="s">
        <v>160</v>
      </c>
      <c r="I130">
        <v>10682759</v>
      </c>
      <c r="J130">
        <v>4</v>
      </c>
      <c r="K130">
        <v>34</v>
      </c>
      <c r="L130">
        <v>33.67</v>
      </c>
      <c r="M130">
        <v>0</v>
      </c>
      <c r="N130" s="2">
        <v>18432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s="2">
        <v>18432</v>
      </c>
      <c r="V130">
        <v>0</v>
      </c>
      <c r="W130">
        <v>0</v>
      </c>
      <c r="X130">
        <v>0</v>
      </c>
      <c r="Y130" t="e">
        <v>#DIV/0!</v>
      </c>
      <c r="Z130">
        <v>0</v>
      </c>
      <c r="AA130" t="e">
        <v>#DIV/0!</v>
      </c>
      <c r="AB130">
        <v>0</v>
      </c>
      <c r="AC130">
        <v>0</v>
      </c>
      <c r="AD130">
        <v>18</v>
      </c>
      <c r="AG130">
        <v>1.5</v>
      </c>
      <c r="AI130">
        <f>12 - Table1[[#This Row],[production_running]] - Table1[[#This Row],[ change_full_set ]] - Table1[[#This Row],[ change_half_set ]] - Table1[[#This Row],[ change_parts ]] - Table1[[#This Row],[ maintenance_dt ]] - Table1[[#This Row],[production_dt]]</f>
        <v>10.5</v>
      </c>
      <c r="AK130" t="s">
        <v>161</v>
      </c>
      <c r="AN130">
        <f>INT(Table1[[#This Row],[reject_prod]]/Table1[[#This Row],[part_weight]] * 1000)</f>
        <v>0</v>
      </c>
    </row>
    <row r="131" spans="1:40">
      <c r="A131" s="1">
        <v>46027</v>
      </c>
      <c r="B131">
        <v>2</v>
      </c>
      <c r="C131">
        <v>8</v>
      </c>
      <c r="D131" t="s">
        <v>117</v>
      </c>
      <c r="E131" t="s">
        <v>34</v>
      </c>
      <c r="F131">
        <v>323102</v>
      </c>
      <c r="G131">
        <v>0</v>
      </c>
      <c r="H131" t="s">
        <v>45</v>
      </c>
      <c r="I131">
        <v>10682922</v>
      </c>
      <c r="J131">
        <v>4</v>
      </c>
      <c r="K131">
        <v>56.9</v>
      </c>
      <c r="L131">
        <v>56.9</v>
      </c>
      <c r="M131">
        <v>1520</v>
      </c>
      <c r="N131" s="2">
        <v>38400</v>
      </c>
      <c r="O131">
        <v>138</v>
      </c>
      <c r="P131">
        <v>80</v>
      </c>
      <c r="Q131" s="2">
        <v>6080</v>
      </c>
      <c r="R131" s="2">
        <v>6080</v>
      </c>
      <c r="S131">
        <v>346</v>
      </c>
      <c r="T131" s="2">
        <v>33680</v>
      </c>
      <c r="U131" s="2">
        <v>4720</v>
      </c>
      <c r="V131">
        <v>346</v>
      </c>
      <c r="W131">
        <v>0</v>
      </c>
      <c r="X131">
        <v>0</v>
      </c>
      <c r="Y131">
        <v>0</v>
      </c>
      <c r="Z131">
        <v>7</v>
      </c>
      <c r="AA131">
        <v>2.0234021000000001E-2</v>
      </c>
      <c r="AB131">
        <v>27.29</v>
      </c>
      <c r="AC131">
        <v>11.522444439999999</v>
      </c>
      <c r="AD131">
        <v>26</v>
      </c>
      <c r="AI131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0.47755556000000077</v>
      </c>
      <c r="AK131" t="s">
        <v>75</v>
      </c>
      <c r="AN131">
        <f>INT(Table1[[#This Row],[reject_prod]]/Table1[[#This Row],[part_weight]] * 1000)</f>
        <v>123</v>
      </c>
    </row>
    <row r="132" spans="1:40">
      <c r="A132" s="1">
        <v>46027</v>
      </c>
      <c r="B132">
        <v>2</v>
      </c>
      <c r="C132">
        <v>9</v>
      </c>
      <c r="D132" t="s">
        <v>54</v>
      </c>
      <c r="E132" t="s">
        <v>46</v>
      </c>
      <c r="F132">
        <v>586276</v>
      </c>
      <c r="G132">
        <v>0</v>
      </c>
      <c r="H132" t="s">
        <v>47</v>
      </c>
      <c r="I132">
        <v>10682923</v>
      </c>
      <c r="J132">
        <v>6</v>
      </c>
      <c r="K132">
        <v>12.3</v>
      </c>
      <c r="L132">
        <v>12.3</v>
      </c>
      <c r="M132">
        <v>1635</v>
      </c>
      <c r="N132" s="2">
        <v>162000</v>
      </c>
      <c r="O132" s="2">
        <v>1620</v>
      </c>
      <c r="P132" s="2">
        <v>3240</v>
      </c>
      <c r="Q132" s="2">
        <v>9810</v>
      </c>
      <c r="R132" s="2">
        <v>8100</v>
      </c>
      <c r="S132">
        <v>100</v>
      </c>
      <c r="T132" s="2">
        <v>92340</v>
      </c>
      <c r="U132" s="2">
        <v>69660</v>
      </c>
      <c r="V132">
        <v>121</v>
      </c>
      <c r="W132">
        <v>0</v>
      </c>
      <c r="X132">
        <v>0</v>
      </c>
      <c r="Y132">
        <v>0</v>
      </c>
      <c r="Z132">
        <v>1.1000000000000001</v>
      </c>
      <c r="AA132">
        <v>9.1162989999999996E-3</v>
      </c>
      <c r="AB132">
        <v>25.5</v>
      </c>
      <c r="AC132">
        <v>11.581250000000001</v>
      </c>
      <c r="AD132">
        <v>26</v>
      </c>
      <c r="AI132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0.41874999999999929</v>
      </c>
      <c r="AK132" t="s">
        <v>51</v>
      </c>
      <c r="AN132">
        <f>INT(Table1[[#This Row],[reject_prod]]/Table1[[#This Row],[part_weight]] * 1000)</f>
        <v>89</v>
      </c>
    </row>
    <row r="133" spans="1:40">
      <c r="A133" s="1">
        <v>46027</v>
      </c>
      <c r="B133">
        <v>2</v>
      </c>
      <c r="C133">
        <v>10</v>
      </c>
      <c r="D133" t="s">
        <v>162</v>
      </c>
      <c r="E133" t="s">
        <v>41</v>
      </c>
      <c r="F133">
        <v>593537</v>
      </c>
      <c r="G133">
        <v>0</v>
      </c>
      <c r="H133" t="s">
        <v>48</v>
      </c>
      <c r="I133">
        <v>10682925</v>
      </c>
      <c r="J133">
        <v>4</v>
      </c>
      <c r="K133">
        <v>56.5</v>
      </c>
      <c r="L133">
        <v>56.8</v>
      </c>
      <c r="M133">
        <v>1300</v>
      </c>
      <c r="N133" s="2">
        <v>69000</v>
      </c>
      <c r="O133">
        <v>690</v>
      </c>
      <c r="P133">
        <v>345</v>
      </c>
      <c r="Q133" s="2">
        <v>5200</v>
      </c>
      <c r="R133" s="2">
        <v>5175</v>
      </c>
      <c r="S133">
        <v>294</v>
      </c>
      <c r="T133" s="2">
        <v>18055</v>
      </c>
      <c r="U133" s="2">
        <v>50945</v>
      </c>
      <c r="V133">
        <v>295</v>
      </c>
      <c r="W133">
        <v>-2</v>
      </c>
      <c r="X133">
        <v>0</v>
      </c>
      <c r="Y133">
        <v>0</v>
      </c>
      <c r="Z133">
        <v>5</v>
      </c>
      <c r="AA133">
        <v>1.6928493999999999E-2</v>
      </c>
      <c r="AB133">
        <v>31.7</v>
      </c>
      <c r="AC133">
        <v>11.44722222</v>
      </c>
      <c r="AD133">
        <v>28.5</v>
      </c>
      <c r="AI133">
        <f>12 - Table1[[#This Row],[production_running]] - Table1[[#This Row],[ change_full_set ]] - Table1[[#This Row],[ change_half_set ]] - Table1[[#This Row],[ change_parts ]] - Table1[[#This Row],[ maintenance_dt ]] - Table1[[#This Row],[production_dt]]</f>
        <v>0.55277777999999955</v>
      </c>
      <c r="AK133" t="s">
        <v>163</v>
      </c>
      <c r="AN133">
        <f>INT(Table1[[#This Row],[reject_prod]]/Table1[[#This Row],[part_weight]] * 1000)</f>
        <v>88</v>
      </c>
    </row>
    <row r="134" spans="1:40">
      <c r="A134" s="1">
        <v>46027</v>
      </c>
      <c r="B134">
        <v>2</v>
      </c>
      <c r="C134">
        <v>11</v>
      </c>
      <c r="D134" t="s">
        <v>59</v>
      </c>
      <c r="E134" t="s">
        <v>46</v>
      </c>
      <c r="F134">
        <v>552181</v>
      </c>
      <c r="G134">
        <v>1</v>
      </c>
      <c r="H134" t="s">
        <v>49</v>
      </c>
      <c r="I134">
        <v>10679363</v>
      </c>
      <c r="J134">
        <v>6</v>
      </c>
      <c r="K134">
        <v>18.8</v>
      </c>
      <c r="L134">
        <v>18.8</v>
      </c>
      <c r="M134">
        <v>1535</v>
      </c>
      <c r="N134" s="2">
        <v>108000</v>
      </c>
      <c r="O134" s="2">
        <v>3240</v>
      </c>
      <c r="P134" s="2">
        <v>1620</v>
      </c>
      <c r="Q134" s="2">
        <v>9210</v>
      </c>
      <c r="R134" s="2">
        <v>10800</v>
      </c>
      <c r="S134">
        <v>203</v>
      </c>
      <c r="T134" s="2">
        <v>104220</v>
      </c>
      <c r="U134" s="2">
        <v>3780</v>
      </c>
      <c r="V134">
        <v>173</v>
      </c>
      <c r="W134">
        <v>0</v>
      </c>
      <c r="X134">
        <v>0</v>
      </c>
      <c r="Y134">
        <v>0</v>
      </c>
      <c r="Z134">
        <v>2</v>
      </c>
      <c r="AA134">
        <v>1.1550812000000001E-2</v>
      </c>
      <c r="AB134">
        <v>27.6</v>
      </c>
      <c r="AC134">
        <v>11.768333330000001</v>
      </c>
      <c r="AD134">
        <v>27</v>
      </c>
      <c r="AI134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0.23166666999999919</v>
      </c>
      <c r="AK134" t="s">
        <v>51</v>
      </c>
      <c r="AN134">
        <f>INT(Table1[[#This Row],[reject_prod]]/Table1[[#This Row],[part_weight]] * 1000)</f>
        <v>106</v>
      </c>
    </row>
    <row r="135" spans="1:40">
      <c r="A135" s="1">
        <v>46027</v>
      </c>
      <c r="B135">
        <v>2</v>
      </c>
      <c r="C135">
        <v>12</v>
      </c>
      <c r="D135" t="s">
        <v>56</v>
      </c>
      <c r="E135" t="s">
        <v>34</v>
      </c>
      <c r="F135">
        <v>620599</v>
      </c>
      <c r="G135">
        <v>0</v>
      </c>
      <c r="H135" t="s">
        <v>50</v>
      </c>
      <c r="I135">
        <v>10682928</v>
      </c>
      <c r="J135">
        <v>4</v>
      </c>
      <c r="K135">
        <v>55</v>
      </c>
      <c r="L135">
        <v>55</v>
      </c>
      <c r="M135">
        <v>1520</v>
      </c>
      <c r="N135" s="2">
        <v>72000</v>
      </c>
      <c r="O135" s="2">
        <v>1350</v>
      </c>
      <c r="P135">
        <v>225</v>
      </c>
      <c r="Q135" s="2">
        <v>6080</v>
      </c>
      <c r="R135" s="2">
        <v>7200</v>
      </c>
      <c r="S135">
        <v>396</v>
      </c>
      <c r="T135" s="2">
        <v>16425</v>
      </c>
      <c r="U135" s="2">
        <v>55575</v>
      </c>
      <c r="V135">
        <v>334</v>
      </c>
      <c r="W135">
        <v>0</v>
      </c>
      <c r="X135">
        <v>0</v>
      </c>
      <c r="Y135">
        <v>0</v>
      </c>
      <c r="Z135">
        <v>4</v>
      </c>
      <c r="AA135">
        <v>1.1961721999999999E-2</v>
      </c>
      <c r="AB135">
        <v>27.6</v>
      </c>
      <c r="AC135">
        <v>11.653333330000001</v>
      </c>
      <c r="AD135">
        <v>28</v>
      </c>
      <c r="AI135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0.3466666699999994</v>
      </c>
      <c r="AK135" t="s">
        <v>164</v>
      </c>
      <c r="AN135">
        <f>INT(Table1[[#This Row],[reject_prod]]/Table1[[#This Row],[part_weight]] * 1000)</f>
        <v>72</v>
      </c>
    </row>
    <row r="136" spans="1:40">
      <c r="A136" s="1">
        <v>46027</v>
      </c>
      <c r="B136">
        <v>2</v>
      </c>
      <c r="C136">
        <v>13</v>
      </c>
      <c r="D136" t="s">
        <v>59</v>
      </c>
      <c r="E136" t="s">
        <v>46</v>
      </c>
      <c r="F136">
        <v>586276</v>
      </c>
      <c r="G136">
        <v>0</v>
      </c>
      <c r="H136" t="s">
        <v>47</v>
      </c>
      <c r="I136">
        <v>10682930</v>
      </c>
      <c r="J136">
        <v>6</v>
      </c>
      <c r="K136">
        <v>12.3</v>
      </c>
      <c r="L136">
        <v>12.3</v>
      </c>
      <c r="M136">
        <v>1560</v>
      </c>
      <c r="N136" s="2">
        <v>162000</v>
      </c>
      <c r="O136" s="2">
        <v>7695</v>
      </c>
      <c r="P136">
        <v>810</v>
      </c>
      <c r="Q136" s="2">
        <v>9360</v>
      </c>
      <c r="R136" s="2">
        <v>16200</v>
      </c>
      <c r="S136">
        <v>199</v>
      </c>
      <c r="T136" s="2">
        <v>33210</v>
      </c>
      <c r="U136" s="2">
        <v>128790</v>
      </c>
      <c r="V136">
        <v>115</v>
      </c>
      <c r="W136">
        <v>0</v>
      </c>
      <c r="X136">
        <v>0</v>
      </c>
      <c r="Y136">
        <v>0</v>
      </c>
      <c r="Z136">
        <v>2</v>
      </c>
      <c r="AA136">
        <v>1.7371969000000001E-2</v>
      </c>
      <c r="AB136">
        <v>26.43</v>
      </c>
      <c r="AC136">
        <v>11.452999999999999</v>
      </c>
      <c r="AD136">
        <v>26</v>
      </c>
      <c r="AI13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0.5470000000000006</v>
      </c>
      <c r="AK136" t="s">
        <v>51</v>
      </c>
      <c r="AN136">
        <f>INT(Table1[[#This Row],[reject_prod]]/Table1[[#This Row],[part_weight]] * 1000)</f>
        <v>162</v>
      </c>
    </row>
    <row r="137" spans="1:40">
      <c r="A137" s="1">
        <v>46027</v>
      </c>
      <c r="B137">
        <v>2</v>
      </c>
      <c r="C137">
        <v>14</v>
      </c>
      <c r="D137" t="s">
        <v>165</v>
      </c>
      <c r="E137" t="s">
        <v>46</v>
      </c>
      <c r="F137">
        <v>555979</v>
      </c>
      <c r="G137">
        <v>1</v>
      </c>
      <c r="H137" t="s">
        <v>52</v>
      </c>
      <c r="I137">
        <v>10682931</v>
      </c>
      <c r="J137">
        <v>6</v>
      </c>
      <c r="K137">
        <v>28</v>
      </c>
      <c r="L137">
        <v>28</v>
      </c>
      <c r="M137">
        <v>955</v>
      </c>
      <c r="N137" s="2">
        <v>100800</v>
      </c>
      <c r="O137" s="2">
        <v>2016</v>
      </c>
      <c r="P137" s="2">
        <v>4368</v>
      </c>
      <c r="Q137" s="2">
        <v>5730</v>
      </c>
      <c r="R137" s="2">
        <v>3360</v>
      </c>
      <c r="S137">
        <v>94</v>
      </c>
      <c r="T137" s="2">
        <v>78288</v>
      </c>
      <c r="U137" s="2">
        <v>22512</v>
      </c>
      <c r="V137">
        <v>160</v>
      </c>
      <c r="W137">
        <v>0</v>
      </c>
      <c r="X137">
        <v>0</v>
      </c>
      <c r="Y137">
        <v>0</v>
      </c>
      <c r="Z137">
        <v>5</v>
      </c>
      <c r="AA137">
        <v>3.1164298E-2</v>
      </c>
      <c r="AB137">
        <v>43.3</v>
      </c>
      <c r="AC137">
        <v>11.486527779999999</v>
      </c>
      <c r="AD137">
        <v>42</v>
      </c>
      <c r="AI137">
        <f>12 - Table1[[#This Row],[production_running]] - Table1[[#This Row],[ change_full_set ]] - Table1[[#This Row],[ change_half_set ]] - Table1[[#This Row],[ change_parts ]] - Table1[[#This Row],[ maintenance_dt ]] - Table1[[#This Row],[production_dt]]</f>
        <v>0.51347222000000059</v>
      </c>
      <c r="AK137" t="s">
        <v>166</v>
      </c>
      <c r="AN137">
        <f>INT(Table1[[#This Row],[reject_prod]]/Table1[[#This Row],[part_weight]] * 1000)</f>
        <v>178</v>
      </c>
    </row>
    <row r="138" spans="1:40">
      <c r="A138" s="1">
        <v>46027</v>
      </c>
      <c r="B138">
        <v>2</v>
      </c>
      <c r="C138">
        <v>15</v>
      </c>
      <c r="D138" t="s">
        <v>59</v>
      </c>
      <c r="E138" t="s">
        <v>46</v>
      </c>
      <c r="F138">
        <v>552181</v>
      </c>
      <c r="G138">
        <v>2</v>
      </c>
      <c r="H138" t="s">
        <v>49</v>
      </c>
      <c r="I138">
        <v>10682933</v>
      </c>
      <c r="J138">
        <v>6</v>
      </c>
      <c r="K138">
        <v>18.8</v>
      </c>
      <c r="L138">
        <v>18.8</v>
      </c>
      <c r="M138">
        <v>1395</v>
      </c>
      <c r="N138" s="2">
        <v>108000</v>
      </c>
      <c r="O138" s="2">
        <v>4860</v>
      </c>
      <c r="P138" s="2">
        <v>13230</v>
      </c>
      <c r="Q138" s="2">
        <v>8370</v>
      </c>
      <c r="R138">
        <v>0</v>
      </c>
      <c r="S138">
        <v>0</v>
      </c>
      <c r="T138" s="2">
        <v>94230</v>
      </c>
      <c r="U138" s="2">
        <v>13770</v>
      </c>
      <c r="V138">
        <v>157</v>
      </c>
      <c r="W138">
        <v>0</v>
      </c>
      <c r="X138">
        <v>0</v>
      </c>
      <c r="Y138">
        <v>0</v>
      </c>
      <c r="Z138">
        <v>3</v>
      </c>
      <c r="AA138">
        <v>1.906505E-2</v>
      </c>
      <c r="AB138">
        <v>31.2</v>
      </c>
      <c r="AC138">
        <v>12</v>
      </c>
      <c r="AD138">
        <v>27</v>
      </c>
      <c r="AI138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138" t="s">
        <v>51</v>
      </c>
      <c r="AN138">
        <f>INT(Table1[[#This Row],[reject_prod]]/Table1[[#This Row],[part_weight]] * 1000)</f>
        <v>159</v>
      </c>
    </row>
    <row r="139" spans="1:40">
      <c r="A139" s="1">
        <v>46027</v>
      </c>
      <c r="B139">
        <v>2</v>
      </c>
      <c r="C139">
        <v>16</v>
      </c>
      <c r="D139" t="s">
        <v>167</v>
      </c>
      <c r="E139" t="s">
        <v>46</v>
      </c>
      <c r="F139">
        <v>555979</v>
      </c>
      <c r="G139">
        <v>2</v>
      </c>
      <c r="H139" t="s">
        <v>52</v>
      </c>
      <c r="I139">
        <v>10682935</v>
      </c>
      <c r="J139">
        <v>6</v>
      </c>
      <c r="K139">
        <v>28</v>
      </c>
      <c r="L139">
        <v>28</v>
      </c>
      <c r="M139">
        <v>985</v>
      </c>
      <c r="N139" s="2">
        <v>100800</v>
      </c>
      <c r="O139">
        <v>168</v>
      </c>
      <c r="P139" s="2">
        <v>2520</v>
      </c>
      <c r="Q139" s="2">
        <v>5910</v>
      </c>
      <c r="R139" s="2">
        <v>3360</v>
      </c>
      <c r="S139">
        <v>94</v>
      </c>
      <c r="T139" s="2">
        <v>19320</v>
      </c>
      <c r="U139" s="2">
        <v>81480</v>
      </c>
      <c r="V139">
        <v>165</v>
      </c>
      <c r="W139">
        <v>0</v>
      </c>
      <c r="X139">
        <v>0</v>
      </c>
      <c r="Y139">
        <v>0</v>
      </c>
      <c r="Z139">
        <v>3</v>
      </c>
      <c r="AA139">
        <v>1.8129078999999999E-2</v>
      </c>
      <c r="AB139">
        <v>44.3</v>
      </c>
      <c r="AC139">
        <v>12</v>
      </c>
      <c r="AD139">
        <v>42</v>
      </c>
      <c r="AI139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139" t="s">
        <v>51</v>
      </c>
      <c r="AN139">
        <f>INT(Table1[[#This Row],[reject_prod]]/Table1[[#This Row],[part_weight]] * 1000)</f>
        <v>107</v>
      </c>
    </row>
    <row r="140" spans="1:40">
      <c r="A140" s="1">
        <v>46028</v>
      </c>
      <c r="B140">
        <v>1</v>
      </c>
      <c r="C140">
        <v>1</v>
      </c>
      <c r="D140" t="s">
        <v>141</v>
      </c>
      <c r="E140" t="s">
        <v>34</v>
      </c>
      <c r="F140">
        <v>322474</v>
      </c>
      <c r="G140">
        <v>0</v>
      </c>
      <c r="H140" t="s">
        <v>153</v>
      </c>
      <c r="I140">
        <v>10681777</v>
      </c>
      <c r="J140">
        <v>4</v>
      </c>
      <c r="K140">
        <v>44</v>
      </c>
      <c r="L140">
        <v>44</v>
      </c>
      <c r="M140">
        <v>1369</v>
      </c>
      <c r="N140" s="2">
        <v>15840</v>
      </c>
      <c r="O140">
        <v>110</v>
      </c>
      <c r="P140">
        <v>440</v>
      </c>
      <c r="Q140" s="2">
        <v>5476</v>
      </c>
      <c r="R140" s="2">
        <v>4620</v>
      </c>
      <c r="S140">
        <v>203</v>
      </c>
      <c r="T140" s="2">
        <v>5060</v>
      </c>
      <c r="U140" s="2">
        <v>10780</v>
      </c>
      <c r="V140">
        <v>241</v>
      </c>
      <c r="W140">
        <v>0</v>
      </c>
      <c r="X140">
        <v>10</v>
      </c>
      <c r="Y140">
        <v>4.1503419999999999E-2</v>
      </c>
      <c r="Z140">
        <v>2.5</v>
      </c>
      <c r="AA140">
        <v>1.0375855E-2</v>
      </c>
      <c r="AB140">
        <v>29.8</v>
      </c>
      <c r="AC140">
        <v>11.33227778</v>
      </c>
      <c r="AD140">
        <v>28.56</v>
      </c>
      <c r="AI140">
        <f>12 - Table1[[#This Row],[production_running]] - Table1[[#This Row],[ change_full_set ]] - Table1[[#This Row],[ change_half_set ]] - Table1[[#This Row],[ change_parts ]] - Table1[[#This Row],[ maintenance_dt ]] - Table1[[#This Row],[production_dt]]</f>
        <v>0.66772221999999992</v>
      </c>
      <c r="AK140" t="s">
        <v>75</v>
      </c>
      <c r="AL140">
        <v>22</v>
      </c>
      <c r="AM140">
        <v>19</v>
      </c>
      <c r="AN140">
        <f>INT(Table1[[#This Row],[reject_prod]]/Table1[[#This Row],[part_weight]] * 1000)</f>
        <v>56</v>
      </c>
    </row>
    <row r="141" spans="1:40">
      <c r="A141" s="1">
        <v>46028</v>
      </c>
      <c r="B141">
        <v>1</v>
      </c>
      <c r="C141">
        <v>2</v>
      </c>
      <c r="D141" t="s">
        <v>112</v>
      </c>
      <c r="E141" t="s">
        <v>34</v>
      </c>
      <c r="F141">
        <v>423215</v>
      </c>
      <c r="G141">
        <v>0</v>
      </c>
      <c r="H141" t="s">
        <v>156</v>
      </c>
      <c r="I141">
        <v>10682755</v>
      </c>
      <c r="J141">
        <v>4</v>
      </c>
      <c r="K141">
        <v>24</v>
      </c>
      <c r="L141">
        <v>24</v>
      </c>
      <c r="M141">
        <v>1588</v>
      </c>
      <c r="N141" s="2">
        <v>89112</v>
      </c>
      <c r="O141">
        <v>0</v>
      </c>
      <c r="P141" s="2">
        <v>2820</v>
      </c>
      <c r="Q141" s="2">
        <v>6352</v>
      </c>
      <c r="R141" s="2">
        <v>3384</v>
      </c>
      <c r="S141">
        <v>81</v>
      </c>
      <c r="T141" s="2">
        <v>6204</v>
      </c>
      <c r="U141" s="2">
        <v>82908</v>
      </c>
      <c r="V141">
        <v>152</v>
      </c>
      <c r="W141">
        <v>0</v>
      </c>
      <c r="X141">
        <v>0</v>
      </c>
      <c r="Y141">
        <v>0</v>
      </c>
      <c r="Z141">
        <v>3.4</v>
      </c>
      <c r="AA141">
        <v>2.2302687000000002E-2</v>
      </c>
      <c r="AB141">
        <v>26.8</v>
      </c>
      <c r="AC141">
        <v>11.82177778</v>
      </c>
      <c r="AD141">
        <v>22</v>
      </c>
      <c r="AI141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0.17822222000000032</v>
      </c>
      <c r="AK141" t="s">
        <v>168</v>
      </c>
      <c r="AL141">
        <v>3</v>
      </c>
      <c r="AM141">
        <v>2</v>
      </c>
      <c r="AN141">
        <f>INT(Table1[[#This Row],[reject_prod]]/Table1[[#This Row],[part_weight]] * 1000)</f>
        <v>141</v>
      </c>
    </row>
    <row r="142" spans="1:40">
      <c r="A142" s="1">
        <v>46028</v>
      </c>
      <c r="B142">
        <v>1</v>
      </c>
      <c r="C142">
        <v>3</v>
      </c>
      <c r="D142" t="s">
        <v>43</v>
      </c>
      <c r="E142" t="s">
        <v>34</v>
      </c>
      <c r="F142">
        <v>442034</v>
      </c>
      <c r="G142">
        <v>0</v>
      </c>
      <c r="H142" t="s">
        <v>37</v>
      </c>
      <c r="I142">
        <v>10681182</v>
      </c>
      <c r="J142">
        <v>4</v>
      </c>
      <c r="K142">
        <v>23</v>
      </c>
      <c r="L142">
        <v>23</v>
      </c>
      <c r="M142">
        <v>384</v>
      </c>
      <c r="N142" s="2">
        <v>139776</v>
      </c>
      <c r="O142">
        <v>0</v>
      </c>
      <c r="P142">
        <v>0</v>
      </c>
      <c r="Q142" s="2">
        <v>1536</v>
      </c>
      <c r="R142" s="2">
        <v>1536</v>
      </c>
      <c r="S142">
        <v>35</v>
      </c>
      <c r="T142" s="2">
        <v>139776</v>
      </c>
      <c r="U142">
        <v>0</v>
      </c>
      <c r="V142">
        <v>35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25.9</v>
      </c>
      <c r="AC142">
        <v>2.762666667</v>
      </c>
      <c r="AD142">
        <v>22</v>
      </c>
      <c r="AI142">
        <f>12 - Table1[[#This Row],[production_running]] - Table1[[#This Row],[ change_full_set ]] - Table1[[#This Row],[ change_half_set ]] - Table1[[#This Row],[ change_parts ]] - Table1[[#This Row],[ maintenance_dt ]] - Table1[[#This Row],[production_dt]]</f>
        <v>9.2373333330000005</v>
      </c>
      <c r="AK142" t="s">
        <v>102</v>
      </c>
      <c r="AL142">
        <v>3</v>
      </c>
      <c r="AM142">
        <v>3</v>
      </c>
      <c r="AN142">
        <f>INT(Table1[[#This Row],[reject_prod]]/Table1[[#This Row],[part_weight]] * 1000)</f>
        <v>0</v>
      </c>
    </row>
    <row r="143" spans="1:40">
      <c r="A143" s="1">
        <v>46028</v>
      </c>
      <c r="B143">
        <v>1</v>
      </c>
      <c r="C143">
        <v>3</v>
      </c>
      <c r="D143" t="s">
        <v>43</v>
      </c>
      <c r="E143" t="s">
        <v>34</v>
      </c>
      <c r="F143">
        <v>442034</v>
      </c>
      <c r="G143">
        <v>0</v>
      </c>
      <c r="H143" t="s">
        <v>37</v>
      </c>
      <c r="I143">
        <v>10681183</v>
      </c>
      <c r="J143">
        <v>4</v>
      </c>
      <c r="K143">
        <v>23</v>
      </c>
      <c r="L143">
        <v>23</v>
      </c>
      <c r="M143">
        <v>1199</v>
      </c>
      <c r="N143" s="2">
        <v>139776</v>
      </c>
      <c r="O143">
        <v>0</v>
      </c>
      <c r="P143" s="2">
        <v>4608</v>
      </c>
      <c r="Q143" s="2">
        <v>4796</v>
      </c>
      <c r="R143">
        <v>0</v>
      </c>
      <c r="S143">
        <v>0</v>
      </c>
      <c r="T143" s="2">
        <v>4608</v>
      </c>
      <c r="U143" s="2">
        <v>135168</v>
      </c>
      <c r="V143">
        <v>110</v>
      </c>
      <c r="W143">
        <v>0</v>
      </c>
      <c r="X143">
        <v>0</v>
      </c>
      <c r="Y143">
        <v>0</v>
      </c>
      <c r="Z143">
        <v>4.3</v>
      </c>
      <c r="AA143">
        <v>3.8981759999999997E-2</v>
      </c>
      <c r="AB143">
        <v>25.9</v>
      </c>
      <c r="AC143">
        <v>8.6261388889999999</v>
      </c>
      <c r="AD143">
        <v>22</v>
      </c>
      <c r="AI143">
        <f>12 - Table1[[#This Row],[production_running]] - Table1[[#This Row],[ change_full_set ]] - Table1[[#This Row],[ change_half_set ]] - Table1[[#This Row],[ change_parts ]] - Table1[[#This Row],[ maintenance_dt ]] - Table1[[#This Row],[production_dt]]</f>
        <v>3.3738611110000001</v>
      </c>
      <c r="AK143" t="s">
        <v>103</v>
      </c>
      <c r="AN143">
        <f>INT(Table1[[#This Row],[reject_prod]]/Table1[[#This Row],[part_weight]] * 1000)</f>
        <v>186</v>
      </c>
    </row>
    <row r="144" spans="1:40">
      <c r="A144" s="1">
        <v>46028</v>
      </c>
      <c r="B144">
        <v>1</v>
      </c>
      <c r="C144">
        <v>4</v>
      </c>
      <c r="F144">
        <v>123456</v>
      </c>
      <c r="G144">
        <v>0</v>
      </c>
      <c r="M144">
        <v>0</v>
      </c>
      <c r="N144">
        <v>0</v>
      </c>
      <c r="O144">
        <v>0</v>
      </c>
      <c r="P144">
        <v>0</v>
      </c>
      <c r="R144">
        <v>0</v>
      </c>
      <c r="T144">
        <v>0</v>
      </c>
      <c r="X144">
        <v>0</v>
      </c>
      <c r="Z144">
        <v>0</v>
      </c>
      <c r="AB144">
        <v>0</v>
      </c>
      <c r="AC144">
        <v>0</v>
      </c>
      <c r="AD144">
        <v>22.5</v>
      </c>
      <c r="AI144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144">
        <v>12</v>
      </c>
      <c r="AK144" t="s">
        <v>116</v>
      </c>
      <c r="AN144">
        <v>0</v>
      </c>
    </row>
    <row r="145" spans="1:40">
      <c r="A145" s="1">
        <v>46028</v>
      </c>
      <c r="B145">
        <v>1</v>
      </c>
      <c r="C145">
        <v>5</v>
      </c>
      <c r="D145" t="s">
        <v>65</v>
      </c>
      <c r="E145" t="s">
        <v>34</v>
      </c>
      <c r="F145">
        <v>611949</v>
      </c>
      <c r="G145">
        <v>0</v>
      </c>
      <c r="H145" t="s">
        <v>38</v>
      </c>
      <c r="I145">
        <v>10680235</v>
      </c>
      <c r="J145">
        <v>4</v>
      </c>
      <c r="K145">
        <v>20</v>
      </c>
      <c r="L145">
        <v>20</v>
      </c>
      <c r="M145">
        <v>1745</v>
      </c>
      <c r="N145" s="2">
        <v>83600</v>
      </c>
      <c r="O145" s="2">
        <v>5500</v>
      </c>
      <c r="P145" s="2">
        <v>3600</v>
      </c>
      <c r="Q145" s="2">
        <v>6980</v>
      </c>
      <c r="R145" s="2">
        <v>8250</v>
      </c>
      <c r="S145">
        <v>165</v>
      </c>
      <c r="T145" s="2">
        <v>30000</v>
      </c>
      <c r="U145" s="2">
        <v>53600</v>
      </c>
      <c r="V145">
        <v>140</v>
      </c>
      <c r="W145">
        <v>0</v>
      </c>
      <c r="X145">
        <v>0</v>
      </c>
      <c r="Y145">
        <v>0</v>
      </c>
      <c r="Z145">
        <v>12.5</v>
      </c>
      <c r="AA145">
        <v>8.9541546999999999E-2</v>
      </c>
      <c r="AB145">
        <v>24.7</v>
      </c>
      <c r="AC145">
        <v>11.972638890000001</v>
      </c>
      <c r="AD145">
        <v>21.64</v>
      </c>
      <c r="AI145">
        <f>12 - Table1[[#This Row],[production_running]] - Table1[[#This Row],[ change_full_set ]] - Table1[[#This Row],[ change_half_set ]] - Table1[[#This Row],[ change_parts ]] - Table1[[#This Row],[ maintenance_dt ]] - Table1[[#This Row],[production_dt]]</f>
        <v>2.73611099999993E-2</v>
      </c>
      <c r="AK145" t="s">
        <v>169</v>
      </c>
      <c r="AL145">
        <v>7</v>
      </c>
      <c r="AM145">
        <v>6</v>
      </c>
      <c r="AN145">
        <f>INT(Table1[[#This Row],[reject_prod]]/Table1[[#This Row],[part_weight]] * 1000)</f>
        <v>625</v>
      </c>
    </row>
    <row r="146" spans="1:40">
      <c r="A146" s="1">
        <v>46028</v>
      </c>
      <c r="B146">
        <v>1</v>
      </c>
      <c r="C146">
        <v>6</v>
      </c>
      <c r="D146" t="s">
        <v>170</v>
      </c>
      <c r="E146" t="s">
        <v>34</v>
      </c>
      <c r="F146">
        <v>579471</v>
      </c>
      <c r="G146">
        <v>0</v>
      </c>
      <c r="H146" t="s">
        <v>105</v>
      </c>
      <c r="I146">
        <v>10681843</v>
      </c>
      <c r="J146">
        <v>4</v>
      </c>
      <c r="K146">
        <v>24</v>
      </c>
      <c r="L146">
        <v>24</v>
      </c>
      <c r="M146">
        <v>1925</v>
      </c>
      <c r="N146" s="2">
        <v>50400</v>
      </c>
      <c r="O146" s="2">
        <v>3024</v>
      </c>
      <c r="P146" s="2">
        <v>4536</v>
      </c>
      <c r="Q146" s="2">
        <v>7700</v>
      </c>
      <c r="R146" s="2">
        <v>6048</v>
      </c>
      <c r="S146">
        <v>145</v>
      </c>
      <c r="T146" s="2">
        <v>22680</v>
      </c>
      <c r="U146" s="2">
        <v>27720</v>
      </c>
      <c r="V146">
        <v>185</v>
      </c>
      <c r="W146">
        <v>0</v>
      </c>
      <c r="X146">
        <v>0</v>
      </c>
      <c r="Y146">
        <v>0</v>
      </c>
      <c r="Z146">
        <v>2.1</v>
      </c>
      <c r="AA146">
        <v>1.1363636E-2</v>
      </c>
      <c r="AB146">
        <v>22.1</v>
      </c>
      <c r="AC146">
        <v>11.81736111</v>
      </c>
      <c r="AD146">
        <v>23</v>
      </c>
      <c r="AI14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0.18263888999999978</v>
      </c>
      <c r="AK146" t="s">
        <v>103</v>
      </c>
      <c r="AL146">
        <v>3</v>
      </c>
      <c r="AM146">
        <v>2</v>
      </c>
      <c r="AN146">
        <f>INT(Table1[[#This Row],[reject_prod]]/Table1[[#This Row],[part_weight]] * 1000)</f>
        <v>87</v>
      </c>
    </row>
    <row r="147" spans="1:40">
      <c r="A147" s="1">
        <v>46028</v>
      </c>
      <c r="B147">
        <v>1</v>
      </c>
      <c r="C147">
        <v>7</v>
      </c>
      <c r="D147" t="s">
        <v>69</v>
      </c>
      <c r="E147" t="s">
        <v>34</v>
      </c>
      <c r="F147">
        <v>441809</v>
      </c>
      <c r="G147">
        <v>0</v>
      </c>
      <c r="H147" t="s">
        <v>160</v>
      </c>
      <c r="I147">
        <v>10682759</v>
      </c>
      <c r="J147">
        <v>4</v>
      </c>
      <c r="K147">
        <v>34</v>
      </c>
      <c r="L147">
        <v>33.67</v>
      </c>
      <c r="M147">
        <v>308</v>
      </c>
      <c r="N147" s="2">
        <v>18432</v>
      </c>
      <c r="O147">
        <v>0</v>
      </c>
      <c r="P147">
        <v>768</v>
      </c>
      <c r="Q147" s="2">
        <v>1232</v>
      </c>
      <c r="R147">
        <v>0</v>
      </c>
      <c r="S147">
        <v>0</v>
      </c>
      <c r="T147">
        <v>768</v>
      </c>
      <c r="U147" s="2">
        <v>17664</v>
      </c>
      <c r="V147">
        <v>41</v>
      </c>
      <c r="W147">
        <v>0</v>
      </c>
      <c r="X147">
        <v>15</v>
      </c>
      <c r="Y147">
        <v>0.36160750400000002</v>
      </c>
      <c r="Z147">
        <v>1.4</v>
      </c>
      <c r="AA147">
        <v>3.3750033999999998E-2</v>
      </c>
      <c r="AB147">
        <v>22.5</v>
      </c>
      <c r="AC147">
        <v>1.925</v>
      </c>
      <c r="AD147">
        <v>18</v>
      </c>
      <c r="AI147">
        <f>12 - Table1[[#This Row],[production_running]] - Table1[[#This Row],[ change_full_set ]] - Table1[[#This Row],[ change_half_set ]] - Table1[[#This Row],[ change_parts ]] - Table1[[#This Row],[ maintenance_dt ]] - Table1[[#This Row],[production_dt]]</f>
        <v>10.074999999999999</v>
      </c>
      <c r="AK147" t="s">
        <v>171</v>
      </c>
      <c r="AL147">
        <v>15</v>
      </c>
      <c r="AM147">
        <v>13</v>
      </c>
      <c r="AN147">
        <f>INT(Table1[[#This Row],[reject_prod]]/Table1[[#This Row],[part_weight]] * 1000)</f>
        <v>41</v>
      </c>
    </row>
    <row r="148" spans="1:40">
      <c r="A148" s="1">
        <v>46028</v>
      </c>
      <c r="B148">
        <v>1</v>
      </c>
      <c r="C148">
        <v>8</v>
      </c>
      <c r="D148" t="s">
        <v>69</v>
      </c>
      <c r="E148" t="s">
        <v>34</v>
      </c>
      <c r="F148">
        <v>323102</v>
      </c>
      <c r="G148">
        <v>0</v>
      </c>
      <c r="H148" t="s">
        <v>45</v>
      </c>
      <c r="I148">
        <v>10682922</v>
      </c>
      <c r="J148">
        <v>4</v>
      </c>
      <c r="K148">
        <v>56.9</v>
      </c>
      <c r="L148">
        <v>56.9</v>
      </c>
      <c r="M148">
        <v>1401</v>
      </c>
      <c r="N148" s="2">
        <v>38400</v>
      </c>
      <c r="O148">
        <v>80</v>
      </c>
      <c r="P148">
        <v>640</v>
      </c>
      <c r="Q148" s="2">
        <v>5604</v>
      </c>
      <c r="R148" s="2">
        <v>4800</v>
      </c>
      <c r="S148">
        <v>273</v>
      </c>
      <c r="T148" s="2">
        <v>39680</v>
      </c>
      <c r="U148" s="2">
        <v>-1280</v>
      </c>
      <c r="V148">
        <v>319</v>
      </c>
      <c r="W148">
        <v>0</v>
      </c>
      <c r="X148">
        <v>0</v>
      </c>
      <c r="Y148">
        <v>0</v>
      </c>
      <c r="Z148">
        <v>13.6</v>
      </c>
      <c r="AA148">
        <v>4.2650931000000003E-2</v>
      </c>
      <c r="AB148">
        <v>27.2</v>
      </c>
      <c r="AC148">
        <v>10.585333329999999</v>
      </c>
      <c r="AD148">
        <v>26</v>
      </c>
      <c r="AI148">
        <f>12 - Table1[[#This Row],[production_running]] - Table1[[#This Row],[ change_full_set ]] - Table1[[#This Row],[ change_half_set ]] - Table1[[#This Row],[ change_parts ]] - Table1[[#This Row],[ maintenance_dt ]] - Table1[[#This Row],[production_dt]]</f>
        <v>1.4146666700000008</v>
      </c>
      <c r="AK148" t="s">
        <v>172</v>
      </c>
      <c r="AL148">
        <v>3</v>
      </c>
      <c r="AM148">
        <v>5</v>
      </c>
      <c r="AN148">
        <f>INT(Table1[[#This Row],[reject_prod]]/Table1[[#This Row],[part_weight]] * 1000)</f>
        <v>239</v>
      </c>
    </row>
    <row r="149" spans="1:40">
      <c r="A149" s="1">
        <v>46028</v>
      </c>
      <c r="B149">
        <v>1</v>
      </c>
      <c r="C149">
        <v>9</v>
      </c>
      <c r="D149" t="s">
        <v>173</v>
      </c>
      <c r="E149" t="s">
        <v>46</v>
      </c>
      <c r="F149">
        <v>586276</v>
      </c>
      <c r="G149">
        <v>0</v>
      </c>
      <c r="H149" t="s">
        <v>47</v>
      </c>
      <c r="I149">
        <v>10682923</v>
      </c>
      <c r="J149">
        <v>6</v>
      </c>
      <c r="K149">
        <v>12.3</v>
      </c>
      <c r="L149">
        <v>12.3</v>
      </c>
      <c r="M149">
        <v>1628</v>
      </c>
      <c r="N149" s="2">
        <v>162000</v>
      </c>
      <c r="O149" s="2">
        <v>3240</v>
      </c>
      <c r="P149" s="2">
        <v>4860</v>
      </c>
      <c r="Q149" s="2">
        <v>9768</v>
      </c>
      <c r="R149" s="2">
        <v>8100</v>
      </c>
      <c r="S149">
        <v>100</v>
      </c>
      <c r="T149" s="2">
        <v>102060</v>
      </c>
      <c r="U149" s="2">
        <v>59940</v>
      </c>
      <c r="V149">
        <v>120</v>
      </c>
      <c r="W149">
        <v>0</v>
      </c>
      <c r="X149">
        <v>0</v>
      </c>
      <c r="Y149">
        <v>0</v>
      </c>
      <c r="Z149">
        <v>1</v>
      </c>
      <c r="AA149">
        <v>8.323179E-3</v>
      </c>
      <c r="AB149">
        <v>25.5</v>
      </c>
      <c r="AC149">
        <v>11.53166667</v>
      </c>
      <c r="AD149">
        <v>26</v>
      </c>
      <c r="AI149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0.4683333300000001</v>
      </c>
      <c r="AK149" t="s">
        <v>51</v>
      </c>
      <c r="AN149">
        <f>INT(Table1[[#This Row],[reject_prod]]/Table1[[#This Row],[part_weight]] * 1000)</f>
        <v>81</v>
      </c>
    </row>
    <row r="150" spans="1:40">
      <c r="A150" s="1">
        <v>46028</v>
      </c>
      <c r="B150">
        <v>1</v>
      </c>
      <c r="C150">
        <v>10</v>
      </c>
      <c r="D150" t="s">
        <v>174</v>
      </c>
      <c r="E150" t="s">
        <v>41</v>
      </c>
      <c r="F150">
        <v>593537</v>
      </c>
      <c r="G150">
        <v>0</v>
      </c>
      <c r="H150" t="s">
        <v>48</v>
      </c>
      <c r="I150">
        <v>10682925</v>
      </c>
      <c r="J150">
        <v>4</v>
      </c>
      <c r="K150">
        <v>56.5</v>
      </c>
      <c r="L150">
        <v>56.8</v>
      </c>
      <c r="M150">
        <v>1230</v>
      </c>
      <c r="N150" s="2">
        <v>69000</v>
      </c>
      <c r="O150">
        <v>345</v>
      </c>
      <c r="P150">
        <v>460</v>
      </c>
      <c r="Q150" s="2">
        <v>4920</v>
      </c>
      <c r="R150" s="2">
        <v>4600</v>
      </c>
      <c r="S150">
        <v>261</v>
      </c>
      <c r="T150" s="2">
        <v>22885</v>
      </c>
      <c r="U150" s="2">
        <v>46115</v>
      </c>
      <c r="V150">
        <v>279</v>
      </c>
      <c r="W150">
        <v>0</v>
      </c>
      <c r="X150">
        <v>0</v>
      </c>
      <c r="Y150">
        <v>0</v>
      </c>
      <c r="Z150">
        <v>11.5</v>
      </c>
      <c r="AA150">
        <v>4.1151380000000001E-2</v>
      </c>
      <c r="AB150">
        <v>31.7</v>
      </c>
      <c r="AC150">
        <v>10.830833330000001</v>
      </c>
      <c r="AD150">
        <v>28.5</v>
      </c>
      <c r="AI150">
        <f>12 - Table1[[#This Row],[production_running]] - Table1[[#This Row],[ change_full_set ]] - Table1[[#This Row],[ change_half_set ]] - Table1[[#This Row],[ change_parts ]] - Table1[[#This Row],[ maintenance_dt ]] - Table1[[#This Row],[production_dt]]</f>
        <v>1.1691666699999992</v>
      </c>
      <c r="AK150" t="s">
        <v>175</v>
      </c>
      <c r="AL150">
        <v>7</v>
      </c>
      <c r="AM150">
        <v>12</v>
      </c>
      <c r="AN150">
        <f>INT(Table1[[#This Row],[reject_prod]]/Table1[[#This Row],[part_weight]] * 1000)</f>
        <v>202</v>
      </c>
    </row>
    <row r="151" spans="1:40">
      <c r="A151" s="1">
        <v>46028</v>
      </c>
      <c r="B151">
        <v>1</v>
      </c>
      <c r="C151">
        <v>11</v>
      </c>
      <c r="D151" t="s">
        <v>61</v>
      </c>
      <c r="E151" t="s">
        <v>46</v>
      </c>
      <c r="F151">
        <v>552181</v>
      </c>
      <c r="G151">
        <v>1</v>
      </c>
      <c r="H151" t="s">
        <v>49</v>
      </c>
      <c r="I151">
        <v>10679363</v>
      </c>
      <c r="J151">
        <v>6</v>
      </c>
      <c r="K151">
        <v>18.8</v>
      </c>
      <c r="L151">
        <v>18.8</v>
      </c>
      <c r="M151">
        <v>630</v>
      </c>
      <c r="N151" s="2">
        <v>108000</v>
      </c>
      <c r="O151" s="2">
        <v>1620</v>
      </c>
      <c r="P151" s="2">
        <v>5400</v>
      </c>
      <c r="Q151" s="2">
        <v>3780</v>
      </c>
      <c r="R151">
        <v>0</v>
      </c>
      <c r="S151">
        <v>0</v>
      </c>
      <c r="T151" s="2">
        <v>108000</v>
      </c>
      <c r="U151">
        <v>0</v>
      </c>
      <c r="V151">
        <v>71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27.6</v>
      </c>
      <c r="AC151">
        <v>4.83</v>
      </c>
      <c r="AD151">
        <v>27</v>
      </c>
      <c r="AI151">
        <f>12 - Table1[[#This Row],[production_running]] - Table1[[#This Row],[ change_full_set ]] - Table1[[#This Row],[ change_half_set ]] - Table1[[#This Row],[ change_parts ]] - Table1[[#This Row],[ maintenance_dt ]] - Table1[[#This Row],[production_dt]]</f>
        <v>7.17</v>
      </c>
      <c r="AK151" t="s">
        <v>102</v>
      </c>
      <c r="AN151">
        <f>INT(Table1[[#This Row],[reject_prod]]/Table1[[#This Row],[part_weight]] * 1000)</f>
        <v>0</v>
      </c>
    </row>
    <row r="152" spans="1:40">
      <c r="A152" s="1">
        <v>46028</v>
      </c>
      <c r="B152">
        <v>1</v>
      </c>
      <c r="C152">
        <v>11</v>
      </c>
      <c r="D152" t="s">
        <v>61</v>
      </c>
      <c r="E152" t="s">
        <v>46</v>
      </c>
      <c r="F152">
        <v>552181</v>
      </c>
      <c r="G152">
        <v>1</v>
      </c>
      <c r="H152" t="s">
        <v>49</v>
      </c>
      <c r="I152">
        <v>10682927</v>
      </c>
      <c r="J152">
        <v>6</v>
      </c>
      <c r="K152">
        <v>18.8</v>
      </c>
      <c r="L152">
        <v>18.8</v>
      </c>
      <c r="M152">
        <v>920</v>
      </c>
      <c r="N152" s="2">
        <v>108000</v>
      </c>
      <c r="O152">
        <v>0</v>
      </c>
      <c r="P152" s="2">
        <v>5400</v>
      </c>
      <c r="Q152" s="2">
        <v>5520</v>
      </c>
      <c r="R152">
        <v>0</v>
      </c>
      <c r="S152">
        <v>0</v>
      </c>
      <c r="T152" s="2">
        <v>5400</v>
      </c>
      <c r="U152" s="2">
        <v>102600</v>
      </c>
      <c r="V152">
        <v>104</v>
      </c>
      <c r="W152">
        <v>0</v>
      </c>
      <c r="X152">
        <v>0</v>
      </c>
      <c r="Y152">
        <v>0</v>
      </c>
      <c r="Z152">
        <v>2.2999999999999998</v>
      </c>
      <c r="AA152">
        <v>2.2163121000000001E-2</v>
      </c>
      <c r="AB152">
        <v>27.6</v>
      </c>
      <c r="AC152">
        <v>7.0533333330000003</v>
      </c>
      <c r="AD152">
        <v>27</v>
      </c>
      <c r="AI152">
        <f>12 - Table1[[#This Row],[production_running]] - Table1[[#This Row],[ change_full_set ]] - Table1[[#This Row],[ change_half_set ]] - Table1[[#This Row],[ change_parts ]] - Table1[[#This Row],[ maintenance_dt ]] - Table1[[#This Row],[production_dt]]</f>
        <v>4.9466666669999997</v>
      </c>
      <c r="AK152" t="s">
        <v>176</v>
      </c>
      <c r="AN152">
        <f>INT(Table1[[#This Row],[reject_prod]]/Table1[[#This Row],[part_weight]] * 1000)</f>
        <v>122</v>
      </c>
    </row>
    <row r="153" spans="1:40">
      <c r="A153" s="1">
        <v>46028</v>
      </c>
      <c r="B153">
        <v>1</v>
      </c>
      <c r="C153">
        <v>12</v>
      </c>
      <c r="D153" t="s">
        <v>177</v>
      </c>
      <c r="E153" t="s">
        <v>34</v>
      </c>
      <c r="F153">
        <v>620599</v>
      </c>
      <c r="G153">
        <v>0</v>
      </c>
      <c r="H153" t="s">
        <v>50</v>
      </c>
      <c r="I153">
        <v>10682928</v>
      </c>
      <c r="J153">
        <v>4</v>
      </c>
      <c r="K153">
        <v>55</v>
      </c>
      <c r="L153">
        <v>55</v>
      </c>
      <c r="M153">
        <v>1540</v>
      </c>
      <c r="N153" s="2">
        <v>72000</v>
      </c>
      <c r="O153">
        <v>225</v>
      </c>
      <c r="P153">
        <v>900</v>
      </c>
      <c r="Q153" s="2">
        <v>6160</v>
      </c>
      <c r="R153" s="2">
        <v>5400</v>
      </c>
      <c r="S153">
        <v>297</v>
      </c>
      <c r="T153" s="2">
        <v>22500</v>
      </c>
      <c r="U153" s="2">
        <v>49500</v>
      </c>
      <c r="V153">
        <v>339</v>
      </c>
      <c r="W153">
        <v>0</v>
      </c>
      <c r="X153">
        <v>0</v>
      </c>
      <c r="Y153">
        <v>0</v>
      </c>
      <c r="Z153">
        <v>4.5</v>
      </c>
      <c r="AA153">
        <v>1.3282172E-2</v>
      </c>
      <c r="AB153">
        <v>28</v>
      </c>
      <c r="AC153">
        <v>11.97777778</v>
      </c>
      <c r="AD153">
        <v>28</v>
      </c>
      <c r="AI153">
        <f>12 - Table1[[#This Row],[production_running]] - Table1[[#This Row],[ change_full_set ]] - Table1[[#This Row],[ change_half_set ]] - Table1[[#This Row],[ change_parts ]] - Table1[[#This Row],[ maintenance_dt ]] - Table1[[#This Row],[production_dt]]</f>
        <v>2.2222219999999737E-2</v>
      </c>
      <c r="AK153" t="s">
        <v>178</v>
      </c>
      <c r="AL153">
        <v>6</v>
      </c>
      <c r="AM153">
        <v>3</v>
      </c>
      <c r="AN153">
        <f>INT(Table1[[#This Row],[reject_prod]]/Table1[[#This Row],[part_weight]] * 1000)</f>
        <v>81</v>
      </c>
    </row>
    <row r="154" spans="1:40">
      <c r="A154" s="1">
        <v>46028</v>
      </c>
      <c r="B154">
        <v>1</v>
      </c>
      <c r="C154">
        <v>13</v>
      </c>
      <c r="D154" t="s">
        <v>61</v>
      </c>
      <c r="E154" t="s">
        <v>46</v>
      </c>
      <c r="F154">
        <v>586276</v>
      </c>
      <c r="G154">
        <v>0</v>
      </c>
      <c r="H154" t="s">
        <v>47</v>
      </c>
      <c r="I154">
        <v>10682930</v>
      </c>
      <c r="J154">
        <v>6</v>
      </c>
      <c r="K154">
        <v>12.3</v>
      </c>
      <c r="L154">
        <v>12.3</v>
      </c>
      <c r="M154">
        <v>1639</v>
      </c>
      <c r="N154" s="2">
        <v>162000</v>
      </c>
      <c r="O154">
        <v>810</v>
      </c>
      <c r="P154" s="2">
        <v>2430</v>
      </c>
      <c r="Q154" s="2">
        <v>9834</v>
      </c>
      <c r="R154" s="2">
        <v>8100</v>
      </c>
      <c r="S154">
        <v>100</v>
      </c>
      <c r="T154" s="2">
        <v>42930</v>
      </c>
      <c r="U154" s="2">
        <v>119070</v>
      </c>
      <c r="V154">
        <v>121</v>
      </c>
      <c r="W154">
        <v>0</v>
      </c>
      <c r="X154">
        <v>0</v>
      </c>
      <c r="Y154">
        <v>0</v>
      </c>
      <c r="Z154">
        <v>1.4</v>
      </c>
      <c r="AA154">
        <v>1.1574246E-2</v>
      </c>
      <c r="AB154">
        <v>26</v>
      </c>
      <c r="AC154">
        <v>11.837222219999999</v>
      </c>
      <c r="AD154">
        <v>26</v>
      </c>
      <c r="AI154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0.16277778000000076</v>
      </c>
      <c r="AK154" t="s">
        <v>51</v>
      </c>
      <c r="AN154">
        <f>INT(Table1[[#This Row],[reject_prod]]/Table1[[#This Row],[part_weight]] * 1000)</f>
        <v>113</v>
      </c>
    </row>
    <row r="155" spans="1:40">
      <c r="A155" s="1">
        <v>46028</v>
      </c>
      <c r="B155">
        <v>1</v>
      </c>
      <c r="C155">
        <v>14</v>
      </c>
      <c r="D155" t="s">
        <v>67</v>
      </c>
      <c r="E155" t="s">
        <v>46</v>
      </c>
      <c r="F155">
        <v>555979</v>
      </c>
      <c r="G155">
        <v>1</v>
      </c>
      <c r="H155" t="s">
        <v>52</v>
      </c>
      <c r="I155">
        <v>10682931</v>
      </c>
      <c r="J155">
        <v>6</v>
      </c>
      <c r="K155">
        <v>28</v>
      </c>
      <c r="L155">
        <v>28</v>
      </c>
      <c r="M155">
        <v>925</v>
      </c>
      <c r="N155" s="2">
        <v>100800</v>
      </c>
      <c r="O155" s="2">
        <v>4368</v>
      </c>
      <c r="P155" s="2">
        <v>2688</v>
      </c>
      <c r="Q155" s="2">
        <v>5550</v>
      </c>
      <c r="R155" s="2">
        <v>6720</v>
      </c>
      <c r="S155">
        <v>188</v>
      </c>
      <c r="T155" s="2">
        <v>83328</v>
      </c>
      <c r="U155" s="2">
        <v>17472</v>
      </c>
      <c r="V155">
        <v>155</v>
      </c>
      <c r="W155">
        <v>0</v>
      </c>
      <c r="X155">
        <v>0</v>
      </c>
      <c r="Y155">
        <v>0</v>
      </c>
      <c r="Z155">
        <v>14.3</v>
      </c>
      <c r="AA155">
        <v>9.2020591999999998E-2</v>
      </c>
      <c r="AB155">
        <v>43.6</v>
      </c>
      <c r="AC155">
        <v>11.20277778</v>
      </c>
      <c r="AD155">
        <v>42</v>
      </c>
      <c r="AI155">
        <f>12 - Table1[[#This Row],[production_running]] - Table1[[#This Row],[ change_full_set ]] - Table1[[#This Row],[ change_half_set ]] - Table1[[#This Row],[ change_parts ]] - Table1[[#This Row],[ maintenance_dt ]] - Table1[[#This Row],[production_dt]]</f>
        <v>0.79722222000000009</v>
      </c>
      <c r="AK155" t="s">
        <v>179</v>
      </c>
      <c r="AN155">
        <f>INT(Table1[[#This Row],[reject_prod]]/Table1[[#This Row],[part_weight]] * 1000)</f>
        <v>510</v>
      </c>
    </row>
    <row r="156" spans="1:40">
      <c r="A156" s="1">
        <v>46028</v>
      </c>
      <c r="B156">
        <v>1</v>
      </c>
      <c r="C156">
        <v>15</v>
      </c>
      <c r="D156" t="s">
        <v>61</v>
      </c>
      <c r="E156" t="s">
        <v>46</v>
      </c>
      <c r="F156">
        <v>552181</v>
      </c>
      <c r="G156">
        <v>2</v>
      </c>
      <c r="H156" t="s">
        <v>49</v>
      </c>
      <c r="I156">
        <v>10682933</v>
      </c>
      <c r="J156">
        <v>6</v>
      </c>
      <c r="K156">
        <v>18.8</v>
      </c>
      <c r="L156">
        <v>18.8</v>
      </c>
      <c r="M156">
        <v>1366</v>
      </c>
      <c r="N156" s="2">
        <v>108000</v>
      </c>
      <c r="O156" s="2">
        <v>13230</v>
      </c>
      <c r="P156" s="2">
        <v>10530</v>
      </c>
      <c r="Q156" s="2">
        <v>8196</v>
      </c>
      <c r="R156" s="2">
        <v>10800</v>
      </c>
      <c r="S156">
        <v>203</v>
      </c>
      <c r="T156" s="2">
        <v>102330</v>
      </c>
      <c r="U156" s="2">
        <v>5670</v>
      </c>
      <c r="V156">
        <v>154</v>
      </c>
      <c r="W156">
        <v>0</v>
      </c>
      <c r="X156">
        <v>0</v>
      </c>
      <c r="Y156">
        <v>0</v>
      </c>
      <c r="Z156">
        <v>1.8</v>
      </c>
      <c r="AA156">
        <v>1.1681878999999999E-2</v>
      </c>
      <c r="AB156">
        <v>31.2</v>
      </c>
      <c r="AC156">
        <v>11.83866667</v>
      </c>
      <c r="AD156">
        <v>27</v>
      </c>
      <c r="AI15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0.16133332999999972</v>
      </c>
      <c r="AK156" t="s">
        <v>176</v>
      </c>
      <c r="AN156">
        <f>INT(Table1[[#This Row],[reject_prod]]/Table1[[#This Row],[part_weight]] * 1000)</f>
        <v>95</v>
      </c>
    </row>
    <row r="157" spans="1:40">
      <c r="A157" s="1">
        <v>46028</v>
      </c>
      <c r="B157">
        <v>1</v>
      </c>
      <c r="C157">
        <v>16</v>
      </c>
      <c r="D157" t="s">
        <v>115</v>
      </c>
      <c r="E157" t="s">
        <v>46</v>
      </c>
      <c r="F157">
        <v>555979</v>
      </c>
      <c r="G157">
        <v>2</v>
      </c>
      <c r="H157" t="s">
        <v>52</v>
      </c>
      <c r="I157">
        <v>10682935</v>
      </c>
      <c r="J157">
        <v>6</v>
      </c>
      <c r="K157">
        <v>28</v>
      </c>
      <c r="L157">
        <v>28</v>
      </c>
      <c r="M157">
        <v>971</v>
      </c>
      <c r="N157" s="2">
        <v>100800</v>
      </c>
      <c r="O157" s="2">
        <v>2520</v>
      </c>
      <c r="P157" s="2">
        <v>1512</v>
      </c>
      <c r="Q157" s="2">
        <v>5826</v>
      </c>
      <c r="R157" s="2">
        <v>6720</v>
      </c>
      <c r="S157">
        <v>188</v>
      </c>
      <c r="T157" s="2">
        <v>25032</v>
      </c>
      <c r="U157" s="2">
        <v>75768</v>
      </c>
      <c r="V157">
        <v>163</v>
      </c>
      <c r="W157">
        <v>0</v>
      </c>
      <c r="X157">
        <v>0</v>
      </c>
      <c r="Y157">
        <v>0</v>
      </c>
      <c r="Z157">
        <v>3.1</v>
      </c>
      <c r="AA157">
        <v>1.9003481999999999E-2</v>
      </c>
      <c r="AB157">
        <v>43.7</v>
      </c>
      <c r="AC157">
        <v>11.78686111</v>
      </c>
      <c r="AD157">
        <v>42</v>
      </c>
      <c r="AI157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0.21313888999999975</v>
      </c>
      <c r="AK157" t="s">
        <v>51</v>
      </c>
      <c r="AL157">
        <v>1</v>
      </c>
      <c r="AM157">
        <v>1</v>
      </c>
      <c r="AN157">
        <f>INT(Table1[[#This Row],[reject_prod]]/Table1[[#This Row],[part_weight]] * 1000)</f>
        <v>110</v>
      </c>
    </row>
    <row r="158" spans="1:40">
      <c r="A158" s="1">
        <v>46028</v>
      </c>
      <c r="B158">
        <v>2</v>
      </c>
      <c r="C158">
        <v>1</v>
      </c>
      <c r="D158" t="s">
        <v>33</v>
      </c>
      <c r="E158" t="s">
        <v>34</v>
      </c>
      <c r="F158">
        <v>347623</v>
      </c>
      <c r="G158">
        <v>0</v>
      </c>
      <c r="H158" t="s">
        <v>35</v>
      </c>
      <c r="I158">
        <v>10682194</v>
      </c>
      <c r="J158">
        <v>4</v>
      </c>
      <c r="K158">
        <v>35.6</v>
      </c>
      <c r="L158">
        <v>35.6</v>
      </c>
      <c r="M158">
        <v>381</v>
      </c>
      <c r="N158">
        <v>0</v>
      </c>
      <c r="O158">
        <v>0</v>
      </c>
      <c r="P158">
        <v>0</v>
      </c>
      <c r="Q158" s="2">
        <v>1524</v>
      </c>
      <c r="R158" s="2">
        <v>1523</v>
      </c>
      <c r="S158">
        <v>54</v>
      </c>
      <c r="T158">
        <v>0</v>
      </c>
      <c r="U158">
        <v>0</v>
      </c>
      <c r="V158">
        <v>54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26.6</v>
      </c>
      <c r="AC158">
        <v>2.8151666670000002</v>
      </c>
      <c r="AD158">
        <v>27</v>
      </c>
      <c r="AI158">
        <f>12 - Table1[[#This Row],[production_running]] - Table1[[#This Row],[ change_full_set ]] - Table1[[#This Row],[ change_half_set ]] - Table1[[#This Row],[ change_parts ]] - Table1[[#This Row],[ maintenance_dt ]] - Table1[[#This Row],[production_dt]]</f>
        <v>9.1848333330000003</v>
      </c>
      <c r="AK158" t="s">
        <v>180</v>
      </c>
      <c r="AN158">
        <f>INT(Table1[[#This Row],[reject_prod]]/Table1[[#This Row],[part_weight]] * 1000)</f>
        <v>0</v>
      </c>
    </row>
    <row r="159" spans="1:40">
      <c r="A159" s="1">
        <v>46028</v>
      </c>
      <c r="B159">
        <v>2</v>
      </c>
      <c r="C159">
        <v>1</v>
      </c>
      <c r="D159" t="s">
        <v>58</v>
      </c>
      <c r="E159" t="s">
        <v>34</v>
      </c>
      <c r="F159">
        <v>322474</v>
      </c>
      <c r="G159">
        <v>0</v>
      </c>
      <c r="H159" t="s">
        <v>153</v>
      </c>
      <c r="I159">
        <v>10681777</v>
      </c>
      <c r="J159">
        <v>4</v>
      </c>
      <c r="K159">
        <v>44</v>
      </c>
      <c r="L159">
        <v>44</v>
      </c>
      <c r="M159">
        <v>1460</v>
      </c>
      <c r="N159" s="2">
        <v>15840</v>
      </c>
      <c r="O159">
        <v>440</v>
      </c>
      <c r="P159">
        <v>330</v>
      </c>
      <c r="Q159" s="2">
        <v>5840</v>
      </c>
      <c r="R159" s="2">
        <v>5940</v>
      </c>
      <c r="S159">
        <v>261</v>
      </c>
      <c r="T159" s="2">
        <v>10890</v>
      </c>
      <c r="U159" s="2">
        <v>4950</v>
      </c>
      <c r="V159">
        <v>257</v>
      </c>
      <c r="W159">
        <v>0</v>
      </c>
      <c r="X159">
        <v>0</v>
      </c>
      <c r="Y159">
        <v>0</v>
      </c>
      <c r="Z159">
        <v>3.2</v>
      </c>
      <c r="AA159">
        <v>1.24533E-2</v>
      </c>
      <c r="AB159">
        <v>29.8</v>
      </c>
      <c r="AC159">
        <v>12</v>
      </c>
      <c r="AD159">
        <v>28.56</v>
      </c>
      <c r="AI159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159" t="s">
        <v>51</v>
      </c>
      <c r="AN159">
        <f>INT(Table1[[#This Row],[reject_prod]]/Table1[[#This Row],[part_weight]] * 1000)</f>
        <v>72</v>
      </c>
    </row>
    <row r="160" spans="1:40">
      <c r="A160" s="1">
        <v>46028</v>
      </c>
      <c r="B160">
        <v>2</v>
      </c>
      <c r="C160">
        <v>2</v>
      </c>
      <c r="D160" t="s">
        <v>181</v>
      </c>
      <c r="E160" t="s">
        <v>34</v>
      </c>
      <c r="F160">
        <v>423215</v>
      </c>
      <c r="G160">
        <v>0</v>
      </c>
      <c r="H160" t="s">
        <v>156</v>
      </c>
      <c r="I160">
        <v>10682755</v>
      </c>
      <c r="J160">
        <v>4</v>
      </c>
      <c r="K160">
        <v>24</v>
      </c>
      <c r="L160">
        <v>24</v>
      </c>
      <c r="M160">
        <v>1621</v>
      </c>
      <c r="N160" s="2">
        <v>89112</v>
      </c>
      <c r="O160" s="2">
        <v>2820</v>
      </c>
      <c r="P160" s="2">
        <v>2538</v>
      </c>
      <c r="Q160" s="2">
        <v>6484</v>
      </c>
      <c r="R160" s="2">
        <v>6768</v>
      </c>
      <c r="S160">
        <v>162</v>
      </c>
      <c r="T160" s="2">
        <v>12690</v>
      </c>
      <c r="U160" s="2">
        <v>76422</v>
      </c>
      <c r="V160">
        <v>156</v>
      </c>
      <c r="W160">
        <v>0</v>
      </c>
      <c r="X160">
        <v>0</v>
      </c>
      <c r="Y160">
        <v>0</v>
      </c>
      <c r="Z160">
        <v>1.6</v>
      </c>
      <c r="AA160">
        <v>1.0281719E-2</v>
      </c>
      <c r="AB160">
        <v>26.8</v>
      </c>
      <c r="AC160">
        <v>12</v>
      </c>
      <c r="AD160">
        <v>22</v>
      </c>
      <c r="AI160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160" t="s">
        <v>103</v>
      </c>
      <c r="AN160">
        <f>INT(Table1[[#This Row],[reject_prod]]/Table1[[#This Row],[part_weight]] * 1000)</f>
        <v>66</v>
      </c>
    </row>
    <row r="161" spans="1:40">
      <c r="A161" s="1">
        <v>46028</v>
      </c>
      <c r="B161">
        <v>2</v>
      </c>
      <c r="C161">
        <v>3</v>
      </c>
      <c r="D161" t="s">
        <v>182</v>
      </c>
      <c r="E161" t="s">
        <v>34</v>
      </c>
      <c r="F161">
        <v>442034</v>
      </c>
      <c r="G161">
        <v>0</v>
      </c>
      <c r="H161" t="s">
        <v>37</v>
      </c>
      <c r="I161">
        <v>10681183</v>
      </c>
      <c r="J161">
        <v>4</v>
      </c>
      <c r="K161">
        <v>23</v>
      </c>
      <c r="L161">
        <v>23</v>
      </c>
      <c r="M161">
        <v>1632</v>
      </c>
      <c r="N161" s="2">
        <v>139776</v>
      </c>
      <c r="O161" s="2">
        <v>4608</v>
      </c>
      <c r="P161" s="2">
        <v>1920</v>
      </c>
      <c r="Q161" s="2">
        <v>6528</v>
      </c>
      <c r="R161" s="2">
        <v>9216</v>
      </c>
      <c r="S161">
        <v>212</v>
      </c>
      <c r="T161" s="2">
        <v>11136</v>
      </c>
      <c r="U161" s="2">
        <v>128640</v>
      </c>
      <c r="V161">
        <v>150</v>
      </c>
      <c r="W161">
        <v>0</v>
      </c>
      <c r="X161">
        <v>0</v>
      </c>
      <c r="Y161">
        <v>0</v>
      </c>
      <c r="Z161">
        <v>4.5999999999999996</v>
      </c>
      <c r="AA161">
        <v>3.0637254999999999E-2</v>
      </c>
      <c r="AB161">
        <v>25.9</v>
      </c>
      <c r="AC161">
        <v>11.74133333</v>
      </c>
      <c r="AD161">
        <v>22</v>
      </c>
      <c r="AI161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0.25866667000000021</v>
      </c>
      <c r="AK161" t="s">
        <v>75</v>
      </c>
      <c r="AN161">
        <f>INT(Table1[[#This Row],[reject_prod]]/Table1[[#This Row],[part_weight]] * 1000)</f>
        <v>200</v>
      </c>
    </row>
    <row r="162" spans="1:40">
      <c r="A162" s="1">
        <v>46028</v>
      </c>
      <c r="B162">
        <v>2</v>
      </c>
      <c r="C162">
        <v>4</v>
      </c>
      <c r="F162">
        <v>123456</v>
      </c>
      <c r="G162">
        <v>0</v>
      </c>
      <c r="M162">
        <v>0</v>
      </c>
      <c r="N162">
        <v>0</v>
      </c>
      <c r="O162">
        <v>0</v>
      </c>
      <c r="P162">
        <v>0</v>
      </c>
      <c r="R162">
        <v>0</v>
      </c>
      <c r="T162">
        <v>0</v>
      </c>
      <c r="X162">
        <v>0</v>
      </c>
      <c r="Z162">
        <v>0</v>
      </c>
      <c r="AB162">
        <v>0</v>
      </c>
      <c r="AC162">
        <v>0</v>
      </c>
      <c r="AD162">
        <v>22.5</v>
      </c>
      <c r="AI162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162">
        <v>12</v>
      </c>
      <c r="AK162" t="s">
        <v>116</v>
      </c>
      <c r="AN162">
        <v>0</v>
      </c>
    </row>
    <row r="163" spans="1:40">
      <c r="A163" s="1">
        <v>46028</v>
      </c>
      <c r="B163">
        <v>2</v>
      </c>
      <c r="C163">
        <v>5</v>
      </c>
      <c r="D163" t="s">
        <v>56</v>
      </c>
      <c r="E163" t="s">
        <v>34</v>
      </c>
      <c r="F163">
        <v>611949</v>
      </c>
      <c r="G163">
        <v>0</v>
      </c>
      <c r="H163" t="s">
        <v>38</v>
      </c>
      <c r="I163">
        <v>10680235</v>
      </c>
      <c r="J163">
        <v>4</v>
      </c>
      <c r="K163">
        <v>20</v>
      </c>
      <c r="L163">
        <v>20</v>
      </c>
      <c r="M163">
        <v>1600</v>
      </c>
      <c r="N163" s="2">
        <v>83600</v>
      </c>
      <c r="O163" s="2">
        <v>3600</v>
      </c>
      <c r="P163" s="2">
        <v>3300</v>
      </c>
      <c r="Q163" s="2">
        <v>6400</v>
      </c>
      <c r="R163" s="2">
        <v>6600</v>
      </c>
      <c r="S163">
        <v>132</v>
      </c>
      <c r="T163" s="2">
        <v>36300</v>
      </c>
      <c r="U163" s="2">
        <v>47300</v>
      </c>
      <c r="V163">
        <v>128</v>
      </c>
      <c r="W163">
        <v>0</v>
      </c>
      <c r="X163">
        <v>0</v>
      </c>
      <c r="Y163">
        <v>0</v>
      </c>
      <c r="Z163">
        <v>12.5</v>
      </c>
      <c r="AA163">
        <v>9.765625E-2</v>
      </c>
      <c r="AB163">
        <v>24.7</v>
      </c>
      <c r="AC163">
        <v>10.97777778</v>
      </c>
      <c r="AD163">
        <v>21.64</v>
      </c>
      <c r="AI163">
        <f>12 - Table1[[#This Row],[production_running]] - Table1[[#This Row],[ change_full_set ]] - Table1[[#This Row],[ change_half_set ]] - Table1[[#This Row],[ change_parts ]] - Table1[[#This Row],[ maintenance_dt ]] - Table1[[#This Row],[production_dt]]</f>
        <v>1.0222222199999997</v>
      </c>
      <c r="AK163" t="s">
        <v>183</v>
      </c>
      <c r="AN163">
        <f>INT(Table1[[#This Row],[reject_prod]]/Table1[[#This Row],[part_weight]] * 1000)</f>
        <v>625</v>
      </c>
    </row>
    <row r="164" spans="1:40">
      <c r="A164" s="1">
        <v>46028</v>
      </c>
      <c r="B164">
        <v>2</v>
      </c>
      <c r="C164">
        <v>6</v>
      </c>
      <c r="D164" t="s">
        <v>184</v>
      </c>
      <c r="E164" t="s">
        <v>34</v>
      </c>
      <c r="F164">
        <v>579471</v>
      </c>
      <c r="G164">
        <v>0</v>
      </c>
      <c r="H164" t="s">
        <v>105</v>
      </c>
      <c r="I164">
        <v>10681843</v>
      </c>
      <c r="J164">
        <v>4</v>
      </c>
      <c r="K164">
        <v>24</v>
      </c>
      <c r="L164">
        <v>24</v>
      </c>
      <c r="M164">
        <v>700</v>
      </c>
      <c r="N164" s="2">
        <v>50400</v>
      </c>
      <c r="O164" s="2">
        <v>4536</v>
      </c>
      <c r="P164" s="2">
        <v>1008</v>
      </c>
      <c r="Q164" s="2">
        <v>2800</v>
      </c>
      <c r="R164" s="2">
        <v>6048</v>
      </c>
      <c r="S164">
        <v>145</v>
      </c>
      <c r="T164" s="2">
        <v>25200</v>
      </c>
      <c r="U164" s="2">
        <v>25200</v>
      </c>
      <c r="V164">
        <v>67</v>
      </c>
      <c r="W164">
        <v>0</v>
      </c>
      <c r="X164">
        <v>0</v>
      </c>
      <c r="Y164">
        <v>0</v>
      </c>
      <c r="Z164">
        <v>13.8</v>
      </c>
      <c r="AA164">
        <v>0.20535714299999999</v>
      </c>
      <c r="AB164">
        <v>22.1</v>
      </c>
      <c r="AC164">
        <v>4.2972222220000003</v>
      </c>
      <c r="AD164">
        <v>23</v>
      </c>
      <c r="AI164">
        <f>12 - Table1[[#This Row],[production_running]] - Table1[[#This Row],[ change_full_set ]] - Table1[[#This Row],[ change_half_set ]] - Table1[[#This Row],[ change_parts ]] - Table1[[#This Row],[ maintenance_dt ]] - Table1[[#This Row],[production_dt]]</f>
        <v>7.7027777779999997</v>
      </c>
      <c r="AK164" t="s">
        <v>185</v>
      </c>
      <c r="AN164">
        <f>INT(Table1[[#This Row],[reject_prod]]/Table1[[#This Row],[part_weight]] * 1000)</f>
        <v>575</v>
      </c>
    </row>
    <row r="165" spans="1:40">
      <c r="A165" s="1">
        <v>46028</v>
      </c>
      <c r="B165">
        <v>2</v>
      </c>
      <c r="C165">
        <v>7</v>
      </c>
      <c r="D165" t="s">
        <v>54</v>
      </c>
      <c r="E165" t="s">
        <v>34</v>
      </c>
      <c r="F165">
        <v>441809</v>
      </c>
      <c r="G165">
        <v>0</v>
      </c>
      <c r="H165" t="s">
        <v>160</v>
      </c>
      <c r="I165">
        <v>10682759</v>
      </c>
      <c r="J165">
        <v>4</v>
      </c>
      <c r="K165">
        <v>34</v>
      </c>
      <c r="L165">
        <v>33.67</v>
      </c>
      <c r="M165">
        <v>1680</v>
      </c>
      <c r="N165" s="2">
        <v>18432</v>
      </c>
      <c r="O165">
        <v>768</v>
      </c>
      <c r="P165">
        <v>576</v>
      </c>
      <c r="Q165" s="2">
        <v>6720</v>
      </c>
      <c r="R165" s="2">
        <v>6912</v>
      </c>
      <c r="S165">
        <v>233</v>
      </c>
      <c r="T165" s="2">
        <v>7488</v>
      </c>
      <c r="U165" s="2">
        <v>10944</v>
      </c>
      <c r="V165">
        <v>226</v>
      </c>
      <c r="W165">
        <v>0</v>
      </c>
      <c r="X165">
        <v>0</v>
      </c>
      <c r="Y165">
        <v>0</v>
      </c>
      <c r="Z165">
        <v>12.8</v>
      </c>
      <c r="AA165">
        <v>5.6571484999999998E-2</v>
      </c>
      <c r="AB165">
        <v>23.6</v>
      </c>
      <c r="AC165">
        <v>11.01333333</v>
      </c>
      <c r="AD165">
        <v>18</v>
      </c>
      <c r="AI165">
        <f>12 - Table1[[#This Row],[production_running]] - Table1[[#This Row],[ change_full_set ]] - Table1[[#This Row],[ change_half_set ]] - Table1[[#This Row],[ change_parts ]] - Table1[[#This Row],[ maintenance_dt ]] - Table1[[#This Row],[production_dt]]</f>
        <v>0.98666666999999997</v>
      </c>
      <c r="AK165" t="s">
        <v>186</v>
      </c>
      <c r="AN165">
        <f>INT(Table1[[#This Row],[reject_prod]]/Table1[[#This Row],[part_weight]] * 1000)</f>
        <v>380</v>
      </c>
    </row>
    <row r="166" spans="1:40">
      <c r="A166" s="1">
        <v>46028</v>
      </c>
      <c r="B166">
        <v>2</v>
      </c>
      <c r="C166">
        <v>8</v>
      </c>
      <c r="F166">
        <v>123456</v>
      </c>
      <c r="G166">
        <v>0</v>
      </c>
      <c r="M166">
        <v>0</v>
      </c>
      <c r="N166">
        <v>0</v>
      </c>
      <c r="O166">
        <v>0</v>
      </c>
      <c r="P166">
        <v>0</v>
      </c>
      <c r="R166">
        <v>0</v>
      </c>
      <c r="T166">
        <v>0</v>
      </c>
      <c r="X166">
        <v>0</v>
      </c>
      <c r="Z166">
        <v>0</v>
      </c>
      <c r="AB166">
        <v>0</v>
      </c>
      <c r="AC166">
        <v>0</v>
      </c>
      <c r="AD166">
        <v>22.5</v>
      </c>
      <c r="AI16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166">
        <v>12</v>
      </c>
      <c r="AK166" t="s">
        <v>116</v>
      </c>
      <c r="AN166">
        <v>0</v>
      </c>
    </row>
    <row r="167" spans="1:40">
      <c r="A167" s="1">
        <v>46028</v>
      </c>
      <c r="B167">
        <v>2</v>
      </c>
      <c r="C167">
        <v>9</v>
      </c>
      <c r="D167" t="s">
        <v>167</v>
      </c>
      <c r="E167" t="s">
        <v>46</v>
      </c>
      <c r="F167">
        <v>586276</v>
      </c>
      <c r="G167">
        <v>0</v>
      </c>
      <c r="H167" t="s">
        <v>47</v>
      </c>
      <c r="I167">
        <v>10682923</v>
      </c>
      <c r="J167">
        <v>6</v>
      </c>
      <c r="K167">
        <v>12.3</v>
      </c>
      <c r="L167">
        <v>12.3</v>
      </c>
      <c r="M167">
        <v>1688</v>
      </c>
      <c r="N167" s="2">
        <v>162000</v>
      </c>
      <c r="O167" s="2">
        <v>4860</v>
      </c>
      <c r="P167" s="2">
        <v>6885</v>
      </c>
      <c r="Q167" s="2">
        <v>10128</v>
      </c>
      <c r="R167" s="2">
        <v>8100</v>
      </c>
      <c r="S167">
        <v>100</v>
      </c>
      <c r="T167" s="2">
        <v>112185</v>
      </c>
      <c r="U167" s="2">
        <v>49815</v>
      </c>
      <c r="V167">
        <v>125</v>
      </c>
      <c r="W167">
        <v>0</v>
      </c>
      <c r="X167">
        <v>0</v>
      </c>
      <c r="Y167">
        <v>0</v>
      </c>
      <c r="Z167">
        <v>1</v>
      </c>
      <c r="AA167">
        <v>8.0273310000000004E-3</v>
      </c>
      <c r="AB167">
        <v>25.5</v>
      </c>
      <c r="AC167">
        <v>11.956666670000001</v>
      </c>
      <c r="AD167">
        <v>26</v>
      </c>
      <c r="AI167">
        <f>12 - Table1[[#This Row],[production_running]] - Table1[[#This Row],[ change_full_set ]] - Table1[[#This Row],[ change_half_set ]] - Table1[[#This Row],[ change_parts ]] - Table1[[#This Row],[ maintenance_dt ]] - Table1[[#This Row],[production_dt]]</f>
        <v>4.3333329999999393E-2</v>
      </c>
      <c r="AK167" t="s">
        <v>51</v>
      </c>
      <c r="AN167">
        <f>INT(Table1[[#This Row],[reject_prod]]/Table1[[#This Row],[part_weight]] * 1000)</f>
        <v>81</v>
      </c>
    </row>
    <row r="168" spans="1:40">
      <c r="A168" s="1">
        <v>46028</v>
      </c>
      <c r="B168">
        <v>2</v>
      </c>
      <c r="C168">
        <v>10</v>
      </c>
      <c r="D168" t="s">
        <v>187</v>
      </c>
      <c r="E168" t="s">
        <v>41</v>
      </c>
      <c r="F168">
        <v>593537</v>
      </c>
      <c r="G168">
        <v>0</v>
      </c>
      <c r="H168" t="s">
        <v>48</v>
      </c>
      <c r="I168">
        <v>10682925</v>
      </c>
      <c r="J168">
        <v>4</v>
      </c>
      <c r="K168">
        <v>56.5</v>
      </c>
      <c r="L168">
        <v>56.8</v>
      </c>
      <c r="M168">
        <v>1340</v>
      </c>
      <c r="N168" s="2">
        <v>69000</v>
      </c>
      <c r="O168">
        <v>460</v>
      </c>
      <c r="P168">
        <v>115</v>
      </c>
      <c r="Q168" s="2">
        <v>5360</v>
      </c>
      <c r="R168" s="2">
        <v>5750</v>
      </c>
      <c r="S168">
        <v>327</v>
      </c>
      <c r="T168" s="2">
        <v>28175</v>
      </c>
      <c r="U168" s="2">
        <v>40825</v>
      </c>
      <c r="V168">
        <v>304</v>
      </c>
      <c r="W168">
        <v>-2</v>
      </c>
      <c r="X168">
        <v>0</v>
      </c>
      <c r="Y168">
        <v>0</v>
      </c>
      <c r="Z168">
        <v>6</v>
      </c>
      <c r="AA168">
        <v>1.9707799000000002E-2</v>
      </c>
      <c r="AB168">
        <v>31.7</v>
      </c>
      <c r="AC168">
        <v>11.79944444</v>
      </c>
      <c r="AD168">
        <v>28.5</v>
      </c>
      <c r="AI168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0.20055555999999974</v>
      </c>
      <c r="AK168" t="s">
        <v>51</v>
      </c>
      <c r="AN168">
        <f>INT(Table1[[#This Row],[reject_prod]]/Table1[[#This Row],[part_weight]] * 1000)</f>
        <v>105</v>
      </c>
    </row>
    <row r="169" spans="1:40">
      <c r="A169" s="1">
        <v>46028</v>
      </c>
      <c r="B169">
        <v>2</v>
      </c>
      <c r="C169">
        <v>11</v>
      </c>
      <c r="D169" t="s">
        <v>59</v>
      </c>
      <c r="E169" t="s">
        <v>46</v>
      </c>
      <c r="F169">
        <v>552181</v>
      </c>
      <c r="G169">
        <v>1</v>
      </c>
      <c r="H169" t="s">
        <v>49</v>
      </c>
      <c r="I169">
        <v>10679363</v>
      </c>
      <c r="J169">
        <v>6</v>
      </c>
      <c r="K169">
        <v>18.8</v>
      </c>
      <c r="L169">
        <v>18.8</v>
      </c>
      <c r="M169">
        <v>0</v>
      </c>
      <c r="N169" s="2">
        <v>108000</v>
      </c>
      <c r="O169" s="2">
        <v>5400</v>
      </c>
      <c r="P169">
        <v>0</v>
      </c>
      <c r="Q169">
        <v>0</v>
      </c>
      <c r="R169" s="2">
        <v>5400</v>
      </c>
      <c r="S169">
        <v>102</v>
      </c>
      <c r="T169" s="2">
        <v>108000</v>
      </c>
      <c r="U169">
        <v>0</v>
      </c>
      <c r="V169">
        <v>0</v>
      </c>
      <c r="W169">
        <v>0</v>
      </c>
      <c r="X169">
        <v>0</v>
      </c>
      <c r="Y169" t="e">
        <v>#DIV/0!</v>
      </c>
      <c r="Z169">
        <v>0</v>
      </c>
      <c r="AA169" t="e">
        <v>#DIV/0!</v>
      </c>
      <c r="AB169">
        <v>0</v>
      </c>
      <c r="AC169">
        <v>0</v>
      </c>
      <c r="AD169">
        <v>27</v>
      </c>
      <c r="AI169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169" t="s">
        <v>102</v>
      </c>
      <c r="AN169">
        <f>INT(Table1[[#This Row],[reject_prod]]/Table1[[#This Row],[part_weight]] * 1000)</f>
        <v>0</v>
      </c>
    </row>
    <row r="170" spans="1:40">
      <c r="A170" s="1">
        <v>46028</v>
      </c>
      <c r="B170">
        <v>2</v>
      </c>
      <c r="C170">
        <v>11</v>
      </c>
      <c r="D170" t="s">
        <v>59</v>
      </c>
      <c r="E170" t="s">
        <v>46</v>
      </c>
      <c r="F170">
        <v>552181</v>
      </c>
      <c r="G170">
        <v>1</v>
      </c>
      <c r="H170" t="s">
        <v>49</v>
      </c>
      <c r="I170">
        <v>10682927</v>
      </c>
      <c r="J170">
        <v>6</v>
      </c>
      <c r="K170">
        <v>18.8</v>
      </c>
      <c r="L170">
        <v>18.8</v>
      </c>
      <c r="M170">
        <v>1573</v>
      </c>
      <c r="N170" s="2">
        <v>108000</v>
      </c>
      <c r="O170">
        <v>0</v>
      </c>
      <c r="P170" s="2">
        <v>4050</v>
      </c>
      <c r="Q170" s="2">
        <v>9438</v>
      </c>
      <c r="R170" s="2">
        <v>5400</v>
      </c>
      <c r="S170">
        <v>102</v>
      </c>
      <c r="T170" s="2">
        <v>9450</v>
      </c>
      <c r="U170" s="2">
        <v>98550</v>
      </c>
      <c r="V170">
        <v>177</v>
      </c>
      <c r="W170">
        <v>0</v>
      </c>
      <c r="X170">
        <v>0</v>
      </c>
      <c r="Y170">
        <v>0</v>
      </c>
      <c r="Z170">
        <v>1</v>
      </c>
      <c r="AA170">
        <v>5.6358859999999997E-3</v>
      </c>
      <c r="AB170">
        <v>27.6</v>
      </c>
      <c r="AC170">
        <v>12</v>
      </c>
      <c r="AD170">
        <v>27</v>
      </c>
      <c r="AI170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170" t="s">
        <v>51</v>
      </c>
      <c r="AN170">
        <f>INT(Table1[[#This Row],[reject_prod]]/Table1[[#This Row],[part_weight]] * 1000)</f>
        <v>53</v>
      </c>
    </row>
    <row r="171" spans="1:40">
      <c r="A171" s="1">
        <v>46028</v>
      </c>
      <c r="B171">
        <v>2</v>
      </c>
      <c r="C171">
        <v>12</v>
      </c>
      <c r="D171" t="s">
        <v>84</v>
      </c>
      <c r="E171" t="s">
        <v>34</v>
      </c>
      <c r="F171">
        <v>620599</v>
      </c>
      <c r="G171">
        <v>0</v>
      </c>
      <c r="H171" t="s">
        <v>50</v>
      </c>
      <c r="I171">
        <v>10682928</v>
      </c>
      <c r="J171">
        <v>4</v>
      </c>
      <c r="K171">
        <v>55</v>
      </c>
      <c r="L171">
        <v>55</v>
      </c>
      <c r="M171">
        <v>1520</v>
      </c>
      <c r="N171" s="2">
        <v>72000</v>
      </c>
      <c r="O171">
        <v>900</v>
      </c>
      <c r="P171" s="2">
        <v>1575</v>
      </c>
      <c r="Q171" s="2">
        <v>6080</v>
      </c>
      <c r="R171" s="2">
        <v>5400</v>
      </c>
      <c r="S171">
        <v>297</v>
      </c>
      <c r="T171" s="2">
        <v>28575</v>
      </c>
      <c r="U171" s="2">
        <v>43425</v>
      </c>
      <c r="V171">
        <v>334</v>
      </c>
      <c r="W171">
        <v>0</v>
      </c>
      <c r="X171">
        <v>0</v>
      </c>
      <c r="Y171">
        <v>0</v>
      </c>
      <c r="Z171">
        <v>3.8</v>
      </c>
      <c r="AA171">
        <v>1.1363636E-2</v>
      </c>
      <c r="AB171">
        <v>28</v>
      </c>
      <c r="AC171">
        <v>11.82222222</v>
      </c>
      <c r="AD171">
        <v>28</v>
      </c>
      <c r="AI171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0.17777777999999955</v>
      </c>
      <c r="AK171" t="s">
        <v>188</v>
      </c>
      <c r="AN171">
        <f>INT(Table1[[#This Row],[reject_prod]]/Table1[[#This Row],[part_weight]] * 1000)</f>
        <v>69</v>
      </c>
    </row>
    <row r="172" spans="1:40">
      <c r="A172" s="1">
        <v>46028</v>
      </c>
      <c r="B172">
        <v>2</v>
      </c>
      <c r="C172">
        <v>13</v>
      </c>
      <c r="D172" t="s">
        <v>59</v>
      </c>
      <c r="E172" t="s">
        <v>46</v>
      </c>
      <c r="F172">
        <v>586276</v>
      </c>
      <c r="G172">
        <v>0</v>
      </c>
      <c r="H172" t="s">
        <v>47</v>
      </c>
      <c r="I172">
        <v>10682930</v>
      </c>
      <c r="J172">
        <v>6</v>
      </c>
      <c r="K172">
        <v>12.3</v>
      </c>
      <c r="L172">
        <v>12.3</v>
      </c>
      <c r="M172">
        <v>1620</v>
      </c>
      <c r="N172" s="2">
        <v>162000</v>
      </c>
      <c r="O172" s="2">
        <v>2430</v>
      </c>
      <c r="P172" s="2">
        <v>4050</v>
      </c>
      <c r="Q172" s="2">
        <v>9720</v>
      </c>
      <c r="R172" s="2">
        <v>8100</v>
      </c>
      <c r="S172">
        <v>100</v>
      </c>
      <c r="T172" s="2">
        <v>52650</v>
      </c>
      <c r="U172" s="2">
        <v>109350</v>
      </c>
      <c r="V172">
        <v>120</v>
      </c>
      <c r="W172">
        <v>0</v>
      </c>
      <c r="X172">
        <v>0</v>
      </c>
      <c r="Y172">
        <v>0</v>
      </c>
      <c r="Z172">
        <v>1.2</v>
      </c>
      <c r="AA172">
        <v>1.0037137E-2</v>
      </c>
      <c r="AB172">
        <v>26.43</v>
      </c>
      <c r="AC172">
        <v>11.8935</v>
      </c>
      <c r="AD172">
        <v>26</v>
      </c>
      <c r="AI172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0.10650000000000048</v>
      </c>
      <c r="AK172" t="s">
        <v>51</v>
      </c>
      <c r="AN172">
        <f>INT(Table1[[#This Row],[reject_prod]]/Table1[[#This Row],[part_weight]] * 1000)</f>
        <v>97</v>
      </c>
    </row>
    <row r="173" spans="1:40">
      <c r="A173" s="1">
        <v>46028</v>
      </c>
      <c r="B173">
        <v>2</v>
      </c>
      <c r="C173">
        <v>14</v>
      </c>
      <c r="D173" t="s">
        <v>139</v>
      </c>
      <c r="E173" t="s">
        <v>46</v>
      </c>
      <c r="F173">
        <v>555979</v>
      </c>
      <c r="G173">
        <v>1</v>
      </c>
      <c r="H173" t="s">
        <v>52</v>
      </c>
      <c r="I173">
        <v>10682931</v>
      </c>
      <c r="J173">
        <v>6</v>
      </c>
      <c r="K173">
        <v>28</v>
      </c>
      <c r="L173">
        <v>28</v>
      </c>
      <c r="M173">
        <v>955</v>
      </c>
      <c r="N173" s="2">
        <v>100800</v>
      </c>
      <c r="O173" s="2">
        <v>2688</v>
      </c>
      <c r="P173" s="2">
        <v>1680</v>
      </c>
      <c r="Q173" s="2">
        <v>5730</v>
      </c>
      <c r="R173" s="2">
        <v>6720</v>
      </c>
      <c r="S173">
        <v>188</v>
      </c>
      <c r="T173" s="2">
        <v>89040</v>
      </c>
      <c r="U173" s="2">
        <v>11760</v>
      </c>
      <c r="V173">
        <v>160</v>
      </c>
      <c r="W173">
        <v>0</v>
      </c>
      <c r="X173">
        <v>0</v>
      </c>
      <c r="Y173">
        <v>0</v>
      </c>
      <c r="Z173">
        <v>4</v>
      </c>
      <c r="AA173">
        <v>2.4931439E-2</v>
      </c>
      <c r="AB173">
        <v>43.6</v>
      </c>
      <c r="AC173">
        <v>11.56611111</v>
      </c>
      <c r="AD173">
        <v>42</v>
      </c>
      <c r="AI173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0.43388889000000042</v>
      </c>
      <c r="AK173" t="s">
        <v>179</v>
      </c>
      <c r="AN173">
        <f>INT(Table1[[#This Row],[reject_prod]]/Table1[[#This Row],[part_weight]] * 1000)</f>
        <v>142</v>
      </c>
    </row>
    <row r="174" spans="1:40">
      <c r="A174" s="1">
        <v>46028</v>
      </c>
      <c r="B174">
        <v>2</v>
      </c>
      <c r="C174">
        <v>15</v>
      </c>
      <c r="D174" t="s">
        <v>59</v>
      </c>
      <c r="E174" t="s">
        <v>46</v>
      </c>
      <c r="F174">
        <v>552181</v>
      </c>
      <c r="G174">
        <v>2</v>
      </c>
      <c r="H174" t="s">
        <v>49</v>
      </c>
      <c r="I174">
        <v>10682933</v>
      </c>
      <c r="J174">
        <v>6</v>
      </c>
      <c r="K174">
        <v>18.8</v>
      </c>
      <c r="L174">
        <v>18.8</v>
      </c>
      <c r="M174">
        <v>1360</v>
      </c>
      <c r="N174" s="2">
        <v>108000</v>
      </c>
      <c r="O174" s="2">
        <v>10530</v>
      </c>
      <c r="P174" s="2">
        <v>11880</v>
      </c>
      <c r="Q174" s="2">
        <v>8160</v>
      </c>
      <c r="R174" s="2">
        <v>5400</v>
      </c>
      <c r="S174">
        <v>102</v>
      </c>
      <c r="T174" s="2">
        <v>98380</v>
      </c>
      <c r="U174" s="2">
        <v>9620</v>
      </c>
      <c r="V174">
        <v>153</v>
      </c>
      <c r="W174">
        <v>0</v>
      </c>
      <c r="X174">
        <v>0</v>
      </c>
      <c r="Y174">
        <v>0</v>
      </c>
      <c r="Z174">
        <v>1</v>
      </c>
      <c r="AA174">
        <v>6.5185649999999996E-3</v>
      </c>
      <c r="AB174">
        <v>31.2</v>
      </c>
      <c r="AC174">
        <v>11.786666670000001</v>
      </c>
      <c r="AD174">
        <v>27</v>
      </c>
      <c r="AI174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0.21333332999999932</v>
      </c>
      <c r="AK174" t="s">
        <v>51</v>
      </c>
      <c r="AN174">
        <f>INT(Table1[[#This Row],[reject_prod]]/Table1[[#This Row],[part_weight]] * 1000)</f>
        <v>53</v>
      </c>
    </row>
    <row r="175" spans="1:40">
      <c r="A175" s="1">
        <v>46028</v>
      </c>
      <c r="B175">
        <v>2</v>
      </c>
      <c r="C175">
        <v>16</v>
      </c>
      <c r="D175" t="s">
        <v>124</v>
      </c>
      <c r="E175" t="s">
        <v>46</v>
      </c>
      <c r="F175">
        <v>555979</v>
      </c>
      <c r="G175">
        <v>2</v>
      </c>
      <c r="H175" t="s">
        <v>52</v>
      </c>
      <c r="I175">
        <v>10682935</v>
      </c>
      <c r="J175">
        <v>6</v>
      </c>
      <c r="K175">
        <v>28</v>
      </c>
      <c r="L175">
        <v>28</v>
      </c>
      <c r="M175">
        <v>954</v>
      </c>
      <c r="N175" s="2">
        <v>100800</v>
      </c>
      <c r="O175" s="2">
        <v>1512</v>
      </c>
      <c r="P175">
        <v>0</v>
      </c>
      <c r="Q175" s="2">
        <v>5724</v>
      </c>
      <c r="R175" s="2">
        <v>6720</v>
      </c>
      <c r="S175">
        <v>188</v>
      </c>
      <c r="T175" s="2">
        <v>30240</v>
      </c>
      <c r="U175" s="2">
        <v>70560</v>
      </c>
      <c r="V175">
        <v>160</v>
      </c>
      <c r="W175">
        <v>0</v>
      </c>
      <c r="X175">
        <v>0</v>
      </c>
      <c r="Y175">
        <v>0</v>
      </c>
      <c r="Z175">
        <v>0.5</v>
      </c>
      <c r="AA175">
        <v>3.1196969999999998E-3</v>
      </c>
      <c r="AB175">
        <v>43.7</v>
      </c>
      <c r="AC175">
        <v>11.580500000000001</v>
      </c>
      <c r="AD175">
        <v>42</v>
      </c>
      <c r="AI175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0.41949999999999932</v>
      </c>
      <c r="AK175" t="s">
        <v>51</v>
      </c>
      <c r="AN175">
        <f>INT(Table1[[#This Row],[reject_prod]]/Table1[[#This Row],[part_weight]] * 1000)</f>
        <v>17</v>
      </c>
    </row>
    <row r="176" spans="1:40">
      <c r="A176" s="1">
        <v>46029</v>
      </c>
      <c r="B176">
        <v>1</v>
      </c>
      <c r="C176">
        <v>1</v>
      </c>
      <c r="D176" t="s">
        <v>65</v>
      </c>
      <c r="E176" t="s">
        <v>34</v>
      </c>
      <c r="F176">
        <v>322474</v>
      </c>
      <c r="G176">
        <v>0</v>
      </c>
      <c r="H176" t="s">
        <v>153</v>
      </c>
      <c r="I176">
        <v>10681777</v>
      </c>
      <c r="J176">
        <v>4</v>
      </c>
      <c r="K176">
        <v>44</v>
      </c>
      <c r="L176">
        <v>44</v>
      </c>
      <c r="M176">
        <v>1263</v>
      </c>
      <c r="N176" s="2">
        <v>15840</v>
      </c>
      <c r="O176">
        <v>330</v>
      </c>
      <c r="P176">
        <v>0</v>
      </c>
      <c r="Q176" s="2">
        <v>5052</v>
      </c>
      <c r="R176" s="2">
        <v>5280</v>
      </c>
      <c r="S176">
        <v>232</v>
      </c>
      <c r="T176" s="2">
        <v>15840</v>
      </c>
      <c r="U176">
        <v>0</v>
      </c>
      <c r="V176">
        <v>222</v>
      </c>
      <c r="W176">
        <v>0</v>
      </c>
      <c r="X176">
        <v>0</v>
      </c>
      <c r="Y176">
        <v>0</v>
      </c>
      <c r="Z176">
        <v>4.3</v>
      </c>
      <c r="AA176">
        <v>1.9344274000000002E-2</v>
      </c>
      <c r="AB176">
        <v>29.8</v>
      </c>
      <c r="AC176">
        <v>10.45483333</v>
      </c>
      <c r="AD176">
        <v>28.56</v>
      </c>
      <c r="AI17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1.5451666700000004</v>
      </c>
      <c r="AK176" t="s">
        <v>172</v>
      </c>
      <c r="AN176">
        <f>INT(Table1[[#This Row],[reject_prod]]/Table1[[#This Row],[part_weight]] * 1000)</f>
        <v>97</v>
      </c>
    </row>
    <row r="177" spans="1:40">
      <c r="A177" s="1">
        <v>46029</v>
      </c>
      <c r="B177">
        <v>1</v>
      </c>
      <c r="C177">
        <v>1</v>
      </c>
      <c r="D177" t="s">
        <v>33</v>
      </c>
      <c r="E177" t="s">
        <v>34</v>
      </c>
      <c r="F177">
        <v>365091</v>
      </c>
      <c r="G177">
        <v>0</v>
      </c>
      <c r="H177" t="s">
        <v>189</v>
      </c>
      <c r="I177">
        <v>10682753</v>
      </c>
      <c r="J177">
        <v>4</v>
      </c>
      <c r="K177">
        <v>44</v>
      </c>
      <c r="L177">
        <v>44</v>
      </c>
      <c r="M177">
        <v>0</v>
      </c>
      <c r="N177" s="2">
        <v>66885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s="2">
        <v>66885</v>
      </c>
      <c r="V177">
        <v>0</v>
      </c>
      <c r="W177">
        <v>0</v>
      </c>
      <c r="X177">
        <v>21</v>
      </c>
      <c r="Y177" t="e">
        <v>#DIV/0!</v>
      </c>
      <c r="Z177">
        <v>0</v>
      </c>
      <c r="AA177" t="e">
        <v>#DIV/0!</v>
      </c>
      <c r="AB177">
        <v>0</v>
      </c>
      <c r="AC177">
        <v>0</v>
      </c>
      <c r="AD177">
        <v>28.64</v>
      </c>
      <c r="AE177">
        <v>1.5</v>
      </c>
      <c r="AI177">
        <f>12 - Table1[[#This Row],[production_running]] - Table1[[#This Row],[ change_full_set ]] - Table1[[#This Row],[ change_half_set ]] - Table1[[#This Row],[ change_parts ]] - Table1[[#This Row],[ maintenance_dt ]] - Table1[[#This Row],[production_dt]]</f>
        <v>10.5</v>
      </c>
      <c r="AK177" t="s">
        <v>190</v>
      </c>
      <c r="AN177">
        <f>INT(Table1[[#This Row],[reject_prod]]/Table1[[#This Row],[part_weight]] * 1000)</f>
        <v>0</v>
      </c>
    </row>
    <row r="178" spans="1:40">
      <c r="A178" s="1">
        <v>46029</v>
      </c>
      <c r="B178">
        <v>1</v>
      </c>
      <c r="C178">
        <v>2</v>
      </c>
      <c r="D178" t="s">
        <v>62</v>
      </c>
      <c r="E178" t="s">
        <v>34</v>
      </c>
      <c r="F178">
        <v>423215</v>
      </c>
      <c r="G178">
        <v>0</v>
      </c>
      <c r="H178" t="s">
        <v>156</v>
      </c>
      <c r="I178">
        <v>10682755</v>
      </c>
      <c r="J178">
        <v>4</v>
      </c>
      <c r="K178">
        <v>24</v>
      </c>
      <c r="L178">
        <v>24</v>
      </c>
      <c r="M178">
        <v>1588</v>
      </c>
      <c r="N178" s="2">
        <v>89112</v>
      </c>
      <c r="O178" s="2">
        <v>2538</v>
      </c>
      <c r="P178" s="2">
        <v>1974</v>
      </c>
      <c r="Q178" s="2">
        <v>6352</v>
      </c>
      <c r="R178" s="2">
        <v>6768</v>
      </c>
      <c r="S178">
        <v>162</v>
      </c>
      <c r="T178" s="2">
        <v>18894</v>
      </c>
      <c r="U178" s="2">
        <v>70218</v>
      </c>
      <c r="V178">
        <v>152</v>
      </c>
      <c r="W178">
        <v>0</v>
      </c>
      <c r="X178">
        <v>0</v>
      </c>
      <c r="Y178">
        <v>0</v>
      </c>
      <c r="Z178">
        <v>3.4</v>
      </c>
      <c r="AA178">
        <v>2.2302687000000002E-2</v>
      </c>
      <c r="AB178">
        <v>26.8</v>
      </c>
      <c r="AC178">
        <v>11.82177778</v>
      </c>
      <c r="AD178">
        <v>22</v>
      </c>
      <c r="AI178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0.17822222000000032</v>
      </c>
      <c r="AK178" t="s">
        <v>191</v>
      </c>
      <c r="AN178">
        <f>INT(Table1[[#This Row],[reject_prod]]/Table1[[#This Row],[part_weight]] * 1000)</f>
        <v>141</v>
      </c>
    </row>
    <row r="179" spans="1:40">
      <c r="A179" s="1">
        <v>46029</v>
      </c>
      <c r="B179">
        <v>1</v>
      </c>
      <c r="C179">
        <v>3</v>
      </c>
      <c r="D179" t="s">
        <v>192</v>
      </c>
      <c r="E179" t="s">
        <v>34</v>
      </c>
      <c r="F179">
        <v>442034</v>
      </c>
      <c r="G179">
        <v>0</v>
      </c>
      <c r="H179" t="s">
        <v>37</v>
      </c>
      <c r="I179">
        <v>10681183</v>
      </c>
      <c r="J179">
        <v>4</v>
      </c>
      <c r="K179">
        <v>23</v>
      </c>
      <c r="L179">
        <v>23</v>
      </c>
      <c r="M179">
        <v>1667</v>
      </c>
      <c r="N179" s="2">
        <v>139776</v>
      </c>
      <c r="O179" s="2">
        <v>1920</v>
      </c>
      <c r="P179" s="2">
        <v>3840</v>
      </c>
      <c r="Q179" s="2">
        <v>6668</v>
      </c>
      <c r="R179" s="2">
        <v>4608</v>
      </c>
      <c r="S179">
        <v>106</v>
      </c>
      <c r="T179" s="2">
        <v>17664</v>
      </c>
      <c r="U179" s="2">
        <v>122112</v>
      </c>
      <c r="V179">
        <v>153</v>
      </c>
      <c r="W179">
        <v>0</v>
      </c>
      <c r="X179">
        <v>0</v>
      </c>
      <c r="Y179">
        <v>0</v>
      </c>
      <c r="Z179">
        <v>3.2</v>
      </c>
      <c r="AA179">
        <v>2.0865392E-2</v>
      </c>
      <c r="AB179">
        <v>25.9</v>
      </c>
      <c r="AC179">
        <v>11.993138890000001</v>
      </c>
      <c r="AD179">
        <v>22</v>
      </c>
      <c r="AI179">
        <f>12 - Table1[[#This Row],[production_running]] - Table1[[#This Row],[ change_full_set ]] - Table1[[#This Row],[ change_half_set ]] - Table1[[#This Row],[ change_parts ]] - Table1[[#This Row],[ maintenance_dt ]] - Table1[[#This Row],[production_dt]]</f>
        <v>6.8611099999991154E-3</v>
      </c>
      <c r="AK179" t="s">
        <v>103</v>
      </c>
      <c r="AN179">
        <f>INT(Table1[[#This Row],[reject_prod]]/Table1[[#This Row],[part_weight]] * 1000)</f>
        <v>139</v>
      </c>
    </row>
    <row r="180" spans="1:40">
      <c r="A180" s="1">
        <v>46029</v>
      </c>
      <c r="B180">
        <v>1</v>
      </c>
      <c r="C180">
        <v>4</v>
      </c>
      <c r="F180">
        <v>123456</v>
      </c>
      <c r="G180">
        <v>0</v>
      </c>
      <c r="M180">
        <v>0</v>
      </c>
      <c r="N180">
        <v>0</v>
      </c>
      <c r="O180">
        <v>0</v>
      </c>
      <c r="P180">
        <v>0</v>
      </c>
      <c r="R180">
        <v>0</v>
      </c>
      <c r="T180">
        <v>0</v>
      </c>
      <c r="X180">
        <v>0</v>
      </c>
      <c r="Z180">
        <v>0</v>
      </c>
      <c r="AB180">
        <v>0</v>
      </c>
      <c r="AC180">
        <v>0</v>
      </c>
      <c r="AD180">
        <v>22.5</v>
      </c>
      <c r="AI180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180">
        <v>12</v>
      </c>
      <c r="AK180" t="s">
        <v>116</v>
      </c>
      <c r="AN180">
        <v>0</v>
      </c>
    </row>
    <row r="181" spans="1:40">
      <c r="A181" s="1">
        <v>46029</v>
      </c>
      <c r="B181">
        <v>1</v>
      </c>
      <c r="C181">
        <v>5</v>
      </c>
      <c r="D181" t="s">
        <v>152</v>
      </c>
      <c r="E181" t="s">
        <v>34</v>
      </c>
      <c r="F181">
        <v>611949</v>
      </c>
      <c r="G181">
        <v>0</v>
      </c>
      <c r="H181" t="s">
        <v>38</v>
      </c>
      <c r="I181">
        <v>10680235</v>
      </c>
      <c r="J181">
        <v>4</v>
      </c>
      <c r="K181">
        <v>20</v>
      </c>
      <c r="L181">
        <v>20</v>
      </c>
      <c r="M181">
        <v>1745</v>
      </c>
      <c r="N181" s="2">
        <v>83600</v>
      </c>
      <c r="O181" s="2">
        <v>3300</v>
      </c>
      <c r="P181" s="2">
        <v>3300</v>
      </c>
      <c r="Q181" s="2">
        <v>6980</v>
      </c>
      <c r="R181" s="2">
        <v>6600</v>
      </c>
      <c r="S181">
        <v>132</v>
      </c>
      <c r="T181" s="2">
        <v>42900</v>
      </c>
      <c r="U181" s="2">
        <v>40700</v>
      </c>
      <c r="V181">
        <v>140</v>
      </c>
      <c r="W181">
        <v>0</v>
      </c>
      <c r="X181">
        <v>0</v>
      </c>
      <c r="Y181">
        <v>0</v>
      </c>
      <c r="Z181">
        <v>7.6</v>
      </c>
      <c r="AA181">
        <v>5.4441260999999998E-2</v>
      </c>
      <c r="AB181">
        <v>24.7</v>
      </c>
      <c r="AC181">
        <v>11.972638890000001</v>
      </c>
      <c r="AD181">
        <v>21.64</v>
      </c>
      <c r="AI181">
        <f>12 - Table1[[#This Row],[production_running]] - Table1[[#This Row],[ change_full_set ]] - Table1[[#This Row],[ change_half_set ]] - Table1[[#This Row],[ change_parts ]] - Table1[[#This Row],[ maintenance_dt ]] - Table1[[#This Row],[production_dt]]</f>
        <v>2.73611099999993E-2</v>
      </c>
      <c r="AK181" t="s">
        <v>193</v>
      </c>
      <c r="AN181">
        <f>INT(Table1[[#This Row],[reject_prod]]/Table1[[#This Row],[part_weight]] * 1000)</f>
        <v>380</v>
      </c>
    </row>
    <row r="182" spans="1:40">
      <c r="A182" s="1">
        <v>46029</v>
      </c>
      <c r="B182">
        <v>1</v>
      </c>
      <c r="C182">
        <v>6</v>
      </c>
      <c r="D182" t="s">
        <v>33</v>
      </c>
      <c r="E182" t="s">
        <v>34</v>
      </c>
      <c r="F182">
        <v>579471</v>
      </c>
      <c r="G182">
        <v>0</v>
      </c>
      <c r="H182" t="s">
        <v>105</v>
      </c>
      <c r="I182">
        <v>10681843</v>
      </c>
      <c r="J182">
        <v>4</v>
      </c>
      <c r="K182">
        <v>24</v>
      </c>
      <c r="L182">
        <v>24</v>
      </c>
      <c r="M182">
        <v>418</v>
      </c>
      <c r="N182" s="2">
        <v>50400</v>
      </c>
      <c r="O182" s="2">
        <v>1008</v>
      </c>
      <c r="P182" s="2">
        <v>2520</v>
      </c>
      <c r="Q182" s="2">
        <v>1672</v>
      </c>
      <c r="R182">
        <v>0</v>
      </c>
      <c r="S182">
        <v>0</v>
      </c>
      <c r="T182" s="2">
        <v>26712</v>
      </c>
      <c r="U182" s="2">
        <v>23688</v>
      </c>
      <c r="V182">
        <v>40</v>
      </c>
      <c r="W182">
        <v>0</v>
      </c>
      <c r="X182">
        <v>0</v>
      </c>
      <c r="Y182">
        <v>0</v>
      </c>
      <c r="Z182">
        <v>4.5</v>
      </c>
      <c r="AA182">
        <v>0.112141148</v>
      </c>
      <c r="AB182">
        <v>22.1</v>
      </c>
      <c r="AC182">
        <v>2.5660555559999998</v>
      </c>
      <c r="AD182">
        <v>23</v>
      </c>
      <c r="AH182">
        <v>9</v>
      </c>
      <c r="AI182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0.43394444399999976</v>
      </c>
      <c r="AK182" t="s">
        <v>194</v>
      </c>
      <c r="AN182">
        <f>INT(Table1[[#This Row],[reject_prod]]/Table1[[#This Row],[part_weight]] * 1000)</f>
        <v>187</v>
      </c>
    </row>
    <row r="183" spans="1:40">
      <c r="A183" s="1">
        <v>46029</v>
      </c>
      <c r="B183">
        <v>1</v>
      </c>
      <c r="C183">
        <v>7</v>
      </c>
      <c r="D183" t="s">
        <v>67</v>
      </c>
      <c r="E183" t="s">
        <v>34</v>
      </c>
      <c r="F183">
        <v>441809</v>
      </c>
      <c r="G183">
        <v>0</v>
      </c>
      <c r="H183" t="s">
        <v>160</v>
      </c>
      <c r="I183">
        <v>10682759</v>
      </c>
      <c r="J183">
        <v>4</v>
      </c>
      <c r="K183">
        <v>34</v>
      </c>
      <c r="L183">
        <v>33.67</v>
      </c>
      <c r="M183">
        <v>1608</v>
      </c>
      <c r="N183" s="2">
        <v>18432</v>
      </c>
      <c r="O183">
        <v>576</v>
      </c>
      <c r="P183" s="2">
        <v>1152</v>
      </c>
      <c r="Q183" s="2">
        <v>6432</v>
      </c>
      <c r="R183" s="2">
        <v>4608</v>
      </c>
      <c r="S183">
        <v>155</v>
      </c>
      <c r="T183" s="2">
        <v>12672</v>
      </c>
      <c r="U183" s="2">
        <v>5760</v>
      </c>
      <c r="V183">
        <v>217</v>
      </c>
      <c r="W183">
        <v>0</v>
      </c>
      <c r="X183">
        <v>0</v>
      </c>
      <c r="Y183">
        <v>0</v>
      </c>
      <c r="Z183">
        <v>43.5</v>
      </c>
      <c r="AA183">
        <v>0.200863074</v>
      </c>
      <c r="AB183">
        <v>25.1</v>
      </c>
      <c r="AC183">
        <v>11.21133333</v>
      </c>
      <c r="AD183">
        <v>18</v>
      </c>
      <c r="AI183">
        <f>12 - Table1[[#This Row],[production_running]] - Table1[[#This Row],[ change_full_set ]] - Table1[[#This Row],[ change_half_set ]] - Table1[[#This Row],[ change_parts ]] - Table1[[#This Row],[ maintenance_dt ]] - Table1[[#This Row],[production_dt]]</f>
        <v>0.78866666999999957</v>
      </c>
      <c r="AK183" t="s">
        <v>195</v>
      </c>
      <c r="AN183">
        <f>INT(Table1[[#This Row],[reject_prod]]/Table1[[#This Row],[part_weight]] * 1000)</f>
        <v>1291</v>
      </c>
    </row>
    <row r="184" spans="1:40">
      <c r="A184" s="1">
        <v>46029</v>
      </c>
      <c r="B184">
        <v>1</v>
      </c>
      <c r="C184">
        <v>8</v>
      </c>
      <c r="F184">
        <v>123456</v>
      </c>
      <c r="G184">
        <v>0</v>
      </c>
      <c r="M184">
        <v>0</v>
      </c>
      <c r="N184">
        <v>0</v>
      </c>
      <c r="O184">
        <v>0</v>
      </c>
      <c r="P184">
        <v>0</v>
      </c>
      <c r="R184">
        <v>0</v>
      </c>
      <c r="T184">
        <v>0</v>
      </c>
      <c r="X184">
        <v>0</v>
      </c>
      <c r="Z184">
        <v>0</v>
      </c>
      <c r="AB184">
        <v>0</v>
      </c>
      <c r="AC184">
        <v>0</v>
      </c>
      <c r="AD184">
        <v>22.5</v>
      </c>
      <c r="AI184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184">
        <v>12</v>
      </c>
      <c r="AK184" t="s">
        <v>116</v>
      </c>
      <c r="AN184">
        <v>0</v>
      </c>
    </row>
    <row r="185" spans="1:40">
      <c r="A185" s="1">
        <v>46029</v>
      </c>
      <c r="B185">
        <v>1</v>
      </c>
      <c r="C185">
        <v>9</v>
      </c>
      <c r="D185" t="s">
        <v>61</v>
      </c>
      <c r="E185" t="s">
        <v>46</v>
      </c>
      <c r="F185">
        <v>586276</v>
      </c>
      <c r="G185">
        <v>0</v>
      </c>
      <c r="H185" t="s">
        <v>47</v>
      </c>
      <c r="I185">
        <v>10682923</v>
      </c>
      <c r="J185">
        <v>6</v>
      </c>
      <c r="K185">
        <v>12.3</v>
      </c>
      <c r="L185">
        <v>12.3</v>
      </c>
      <c r="M185">
        <v>1630</v>
      </c>
      <c r="N185" s="2">
        <v>162000</v>
      </c>
      <c r="O185" s="2">
        <v>6885</v>
      </c>
      <c r="P185">
        <v>405</v>
      </c>
      <c r="Q185" s="2">
        <v>9780</v>
      </c>
      <c r="R185" s="2">
        <v>16200</v>
      </c>
      <c r="S185">
        <v>199</v>
      </c>
      <c r="T185" s="2">
        <v>121905</v>
      </c>
      <c r="U185" s="2">
        <v>40095</v>
      </c>
      <c r="V185">
        <v>120</v>
      </c>
      <c r="W185">
        <v>0</v>
      </c>
      <c r="X185">
        <v>0</v>
      </c>
      <c r="Y185">
        <v>0</v>
      </c>
      <c r="Z185">
        <v>1</v>
      </c>
      <c r="AA185">
        <v>8.3129669999999992E-3</v>
      </c>
      <c r="AB185">
        <v>26.2</v>
      </c>
      <c r="AC185">
        <v>11.86277778</v>
      </c>
      <c r="AD185">
        <v>26</v>
      </c>
      <c r="AI185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0.13722221999999995</v>
      </c>
      <c r="AK185" t="s">
        <v>51</v>
      </c>
      <c r="AN185">
        <f>INT(Table1[[#This Row],[reject_prod]]/Table1[[#This Row],[part_weight]] * 1000)</f>
        <v>81</v>
      </c>
    </row>
    <row r="186" spans="1:40">
      <c r="A186" s="1">
        <v>46029</v>
      </c>
      <c r="B186">
        <v>1</v>
      </c>
      <c r="C186">
        <v>10</v>
      </c>
      <c r="D186" t="s">
        <v>196</v>
      </c>
      <c r="E186" t="s">
        <v>41</v>
      </c>
      <c r="F186">
        <v>593537</v>
      </c>
      <c r="G186">
        <v>0</v>
      </c>
      <c r="H186" t="s">
        <v>48</v>
      </c>
      <c r="I186">
        <v>10682925</v>
      </c>
      <c r="J186">
        <v>4</v>
      </c>
      <c r="K186">
        <v>56.5</v>
      </c>
      <c r="L186">
        <v>56.8</v>
      </c>
      <c r="M186">
        <v>1315</v>
      </c>
      <c r="N186" s="2">
        <v>69000</v>
      </c>
      <c r="O186">
        <v>115</v>
      </c>
      <c r="P186">
        <v>115</v>
      </c>
      <c r="Q186" s="2">
        <v>5260</v>
      </c>
      <c r="R186" s="2">
        <v>5175</v>
      </c>
      <c r="S186">
        <v>294</v>
      </c>
      <c r="T186" s="2">
        <v>33350</v>
      </c>
      <c r="U186" s="2">
        <v>35650</v>
      </c>
      <c r="V186">
        <v>299</v>
      </c>
      <c r="W186">
        <v>0</v>
      </c>
      <c r="X186">
        <v>0</v>
      </c>
      <c r="Y186">
        <v>0</v>
      </c>
      <c r="Z186">
        <v>4.5999999999999996</v>
      </c>
      <c r="AA186">
        <v>1.5396562000000001E-2</v>
      </c>
      <c r="AB186">
        <v>31.7</v>
      </c>
      <c r="AC186">
        <v>11.57930556</v>
      </c>
      <c r="AD186">
        <v>28.5</v>
      </c>
      <c r="AI18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0.42069444000000011</v>
      </c>
      <c r="AK186" t="s">
        <v>197</v>
      </c>
      <c r="AN186">
        <f>INT(Table1[[#This Row],[reject_prod]]/Table1[[#This Row],[part_weight]] * 1000)</f>
        <v>80</v>
      </c>
    </row>
    <row r="187" spans="1:40">
      <c r="A187" s="1">
        <v>46029</v>
      </c>
      <c r="B187">
        <v>1</v>
      </c>
      <c r="C187">
        <v>11</v>
      </c>
      <c r="D187" t="s">
        <v>112</v>
      </c>
      <c r="E187" t="s">
        <v>46</v>
      </c>
      <c r="F187">
        <v>552181</v>
      </c>
      <c r="G187">
        <v>1</v>
      </c>
      <c r="H187" t="s">
        <v>49</v>
      </c>
      <c r="I187">
        <v>10682927</v>
      </c>
      <c r="J187">
        <v>6</v>
      </c>
      <c r="K187">
        <v>18.8</v>
      </c>
      <c r="L187">
        <v>18.8</v>
      </c>
      <c r="M187">
        <v>1534</v>
      </c>
      <c r="N187" s="2">
        <v>108000</v>
      </c>
      <c r="O187" s="2">
        <v>4050</v>
      </c>
      <c r="P187" s="2">
        <v>10260</v>
      </c>
      <c r="Q187" s="2">
        <v>9204</v>
      </c>
      <c r="R187" s="2">
        <v>10800</v>
      </c>
      <c r="S187">
        <v>203</v>
      </c>
      <c r="T187" s="2">
        <v>21060</v>
      </c>
      <c r="U187" s="2">
        <v>86940</v>
      </c>
      <c r="V187">
        <v>173</v>
      </c>
      <c r="W187">
        <v>0</v>
      </c>
      <c r="X187">
        <v>0</v>
      </c>
      <c r="Y187">
        <v>0</v>
      </c>
      <c r="Z187">
        <v>1.1000000000000001</v>
      </c>
      <c r="AA187">
        <v>6.3570880000000003E-3</v>
      </c>
      <c r="AB187">
        <v>27.6</v>
      </c>
      <c r="AC187">
        <v>11.760666670000001</v>
      </c>
      <c r="AD187">
        <v>27</v>
      </c>
      <c r="AI187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0.23933332999999912</v>
      </c>
      <c r="AK187" t="s">
        <v>176</v>
      </c>
      <c r="AN187">
        <f>INT(Table1[[#This Row],[reject_prod]]/Table1[[#This Row],[part_weight]] * 1000)</f>
        <v>58</v>
      </c>
    </row>
    <row r="188" spans="1:40">
      <c r="A188" s="1">
        <v>46029</v>
      </c>
      <c r="B188">
        <v>1</v>
      </c>
      <c r="C188">
        <v>12</v>
      </c>
      <c r="D188" t="s">
        <v>43</v>
      </c>
      <c r="E188" t="s">
        <v>34</v>
      </c>
      <c r="F188">
        <v>620599</v>
      </c>
      <c r="G188">
        <v>0</v>
      </c>
      <c r="H188" t="s">
        <v>50</v>
      </c>
      <c r="I188">
        <v>10682928</v>
      </c>
      <c r="J188">
        <v>4</v>
      </c>
      <c r="K188">
        <v>55</v>
      </c>
      <c r="L188">
        <v>55</v>
      </c>
      <c r="M188">
        <v>1540</v>
      </c>
      <c r="N188" s="2">
        <v>72000</v>
      </c>
      <c r="O188" s="2">
        <v>1575</v>
      </c>
      <c r="P188">
        <v>450</v>
      </c>
      <c r="Q188" s="2">
        <v>6160</v>
      </c>
      <c r="R188" s="2">
        <v>7200</v>
      </c>
      <c r="S188">
        <v>396</v>
      </c>
      <c r="T188" s="2">
        <v>34650</v>
      </c>
      <c r="U188" s="2">
        <v>37350</v>
      </c>
      <c r="V188">
        <v>339</v>
      </c>
      <c r="W188">
        <v>0</v>
      </c>
      <c r="X188">
        <v>0</v>
      </c>
      <c r="Y188">
        <v>0</v>
      </c>
      <c r="Z188">
        <v>4.5999999999999996</v>
      </c>
      <c r="AA188">
        <v>1.3577331999999999E-2</v>
      </c>
      <c r="AB188">
        <v>28</v>
      </c>
      <c r="AC188">
        <v>11.97777778</v>
      </c>
      <c r="AD188">
        <v>28</v>
      </c>
      <c r="AI188">
        <f>12 - Table1[[#This Row],[production_running]] - Table1[[#This Row],[ change_full_set ]] - Table1[[#This Row],[ change_half_set ]] - Table1[[#This Row],[ change_parts ]] - Table1[[#This Row],[ maintenance_dt ]] - Table1[[#This Row],[production_dt]]</f>
        <v>2.2222219999999737E-2</v>
      </c>
      <c r="AK188" t="s">
        <v>178</v>
      </c>
      <c r="AN188">
        <f>INT(Table1[[#This Row],[reject_prod]]/Table1[[#This Row],[part_weight]] * 1000)</f>
        <v>83</v>
      </c>
    </row>
    <row r="189" spans="1:40">
      <c r="A189" s="1">
        <v>46029</v>
      </c>
      <c r="B189">
        <v>1</v>
      </c>
      <c r="C189">
        <v>13</v>
      </c>
      <c r="D189" t="s">
        <v>112</v>
      </c>
      <c r="E189" t="s">
        <v>46</v>
      </c>
      <c r="F189">
        <v>586276</v>
      </c>
      <c r="G189">
        <v>0</v>
      </c>
      <c r="H189" t="s">
        <v>47</v>
      </c>
      <c r="I189">
        <v>10682930</v>
      </c>
      <c r="J189">
        <v>6</v>
      </c>
      <c r="K189">
        <v>12.3</v>
      </c>
      <c r="L189">
        <v>12.3</v>
      </c>
      <c r="M189">
        <v>1649</v>
      </c>
      <c r="N189" s="2">
        <v>162000</v>
      </c>
      <c r="O189" s="2">
        <v>4050</v>
      </c>
      <c r="P189" s="2">
        <v>5670</v>
      </c>
      <c r="Q189" s="2">
        <v>9894</v>
      </c>
      <c r="R189" s="2">
        <v>8100</v>
      </c>
      <c r="S189">
        <v>100</v>
      </c>
      <c r="T189" s="2">
        <v>62370</v>
      </c>
      <c r="U189" s="2">
        <v>99630</v>
      </c>
      <c r="V189">
        <v>122</v>
      </c>
      <c r="W189">
        <v>0</v>
      </c>
      <c r="X189">
        <v>0</v>
      </c>
      <c r="Y189">
        <v>0</v>
      </c>
      <c r="Z189">
        <v>2.1</v>
      </c>
      <c r="AA189">
        <v>1.7256085000000001E-2</v>
      </c>
      <c r="AB189">
        <v>26</v>
      </c>
      <c r="AC189">
        <v>11.90944444</v>
      </c>
      <c r="AD189">
        <v>26</v>
      </c>
      <c r="AI189">
        <f>12 - Table1[[#This Row],[production_running]] - Table1[[#This Row],[ change_full_set ]] - Table1[[#This Row],[ change_half_set ]] - Table1[[#This Row],[ change_parts ]] - Table1[[#This Row],[ maintenance_dt ]] - Table1[[#This Row],[production_dt]]</f>
        <v>9.0555560000000312E-2</v>
      </c>
      <c r="AK189" t="s">
        <v>51</v>
      </c>
      <c r="AN189">
        <f>INT(Table1[[#This Row],[reject_prod]]/Table1[[#This Row],[part_weight]] * 1000)</f>
        <v>170</v>
      </c>
    </row>
    <row r="190" spans="1:40">
      <c r="A190" s="1">
        <v>46029</v>
      </c>
      <c r="B190">
        <v>1</v>
      </c>
      <c r="C190">
        <v>14</v>
      </c>
      <c r="D190" t="s">
        <v>141</v>
      </c>
      <c r="E190" t="s">
        <v>46</v>
      </c>
      <c r="F190">
        <v>555979</v>
      </c>
      <c r="G190">
        <v>1</v>
      </c>
      <c r="H190" t="s">
        <v>52</v>
      </c>
      <c r="I190">
        <v>10682931</v>
      </c>
      <c r="J190">
        <v>6</v>
      </c>
      <c r="K190">
        <v>28</v>
      </c>
      <c r="L190">
        <v>28</v>
      </c>
      <c r="M190">
        <v>978</v>
      </c>
      <c r="N190" s="2">
        <v>100800</v>
      </c>
      <c r="O190" s="2">
        <v>1680</v>
      </c>
      <c r="P190" s="2">
        <v>4032</v>
      </c>
      <c r="Q190" s="2">
        <v>5868</v>
      </c>
      <c r="R190" s="2">
        <v>3360</v>
      </c>
      <c r="S190">
        <v>94</v>
      </c>
      <c r="T190" s="2">
        <v>94752</v>
      </c>
      <c r="U190" s="2">
        <v>6048</v>
      </c>
      <c r="V190">
        <v>164</v>
      </c>
      <c r="W190">
        <v>0</v>
      </c>
      <c r="X190">
        <v>0</v>
      </c>
      <c r="Y190">
        <v>0</v>
      </c>
      <c r="Z190">
        <v>4.3</v>
      </c>
      <c r="AA190">
        <v>2.6171E-2</v>
      </c>
      <c r="AB190">
        <v>43.6</v>
      </c>
      <c r="AC190">
        <v>11.844666670000001</v>
      </c>
      <c r="AD190">
        <v>42</v>
      </c>
      <c r="AI190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0.15533332999999949</v>
      </c>
      <c r="AK190" t="s">
        <v>198</v>
      </c>
      <c r="AN190">
        <f>INT(Table1[[#This Row],[reject_prod]]/Table1[[#This Row],[part_weight]] * 1000)</f>
        <v>153</v>
      </c>
    </row>
    <row r="191" spans="1:40">
      <c r="A191" s="1">
        <v>46029</v>
      </c>
      <c r="B191">
        <v>1</v>
      </c>
      <c r="C191">
        <v>15</v>
      </c>
      <c r="D191" t="s">
        <v>112</v>
      </c>
      <c r="E191" t="s">
        <v>46</v>
      </c>
      <c r="F191">
        <v>552181</v>
      </c>
      <c r="G191">
        <v>2</v>
      </c>
      <c r="H191" t="s">
        <v>49</v>
      </c>
      <c r="I191">
        <v>10682933</v>
      </c>
      <c r="J191">
        <v>6</v>
      </c>
      <c r="K191">
        <v>18.8</v>
      </c>
      <c r="L191">
        <v>18.8</v>
      </c>
      <c r="M191">
        <v>0</v>
      </c>
      <c r="N191" s="2">
        <v>108000</v>
      </c>
      <c r="O191" s="2">
        <v>10800</v>
      </c>
      <c r="P191">
        <v>0</v>
      </c>
      <c r="Q191">
        <v>0</v>
      </c>
      <c r="R191" s="2">
        <v>10800</v>
      </c>
      <c r="S191">
        <v>203</v>
      </c>
      <c r="T191" s="2">
        <v>108000</v>
      </c>
      <c r="U191">
        <v>0</v>
      </c>
      <c r="V191">
        <v>0</v>
      </c>
      <c r="W191">
        <v>0</v>
      </c>
      <c r="X191">
        <v>0</v>
      </c>
      <c r="Y191" t="e">
        <v>#DIV/0!</v>
      </c>
      <c r="Z191">
        <v>0</v>
      </c>
      <c r="AA191" t="e">
        <v>#DIV/0!</v>
      </c>
      <c r="AB191">
        <v>0</v>
      </c>
      <c r="AC191">
        <v>0</v>
      </c>
      <c r="AD191">
        <v>27</v>
      </c>
      <c r="AI191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191" t="s">
        <v>102</v>
      </c>
      <c r="AN191">
        <f>INT(Table1[[#This Row],[reject_prod]]/Table1[[#This Row],[part_weight]] * 1000)</f>
        <v>0</v>
      </c>
    </row>
    <row r="192" spans="1:40">
      <c r="A192" s="1">
        <v>46029</v>
      </c>
      <c r="B192">
        <v>1</v>
      </c>
      <c r="C192">
        <v>15</v>
      </c>
      <c r="D192" t="s">
        <v>112</v>
      </c>
      <c r="E192" t="s">
        <v>46</v>
      </c>
      <c r="F192">
        <v>552181</v>
      </c>
      <c r="G192">
        <v>2</v>
      </c>
      <c r="H192" t="s">
        <v>49</v>
      </c>
      <c r="I192">
        <v>10682933</v>
      </c>
      <c r="J192">
        <v>6</v>
      </c>
      <c r="K192">
        <v>18.8</v>
      </c>
      <c r="L192">
        <v>18.8</v>
      </c>
      <c r="M192">
        <v>1365</v>
      </c>
      <c r="N192" s="2">
        <v>108000</v>
      </c>
      <c r="O192">
        <v>0</v>
      </c>
      <c r="P192" s="2">
        <v>10530</v>
      </c>
      <c r="Q192" s="2">
        <v>8190</v>
      </c>
      <c r="R192">
        <v>0</v>
      </c>
      <c r="S192">
        <v>0</v>
      </c>
      <c r="T192" s="2">
        <v>10530</v>
      </c>
      <c r="U192" s="2">
        <v>97470</v>
      </c>
      <c r="V192">
        <v>154</v>
      </c>
      <c r="W192">
        <v>0</v>
      </c>
      <c r="X192">
        <v>0</v>
      </c>
      <c r="Y192">
        <v>0</v>
      </c>
      <c r="Z192">
        <v>3.1</v>
      </c>
      <c r="AA192">
        <v>2.0133531E-2</v>
      </c>
      <c r="AB192">
        <v>31.2</v>
      </c>
      <c r="AC192">
        <v>11.83</v>
      </c>
      <c r="AD192">
        <v>27</v>
      </c>
      <c r="AI192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0.16999999999999993</v>
      </c>
      <c r="AK192" t="s">
        <v>176</v>
      </c>
      <c r="AN192">
        <f>INT(Table1[[#This Row],[reject_prod]]/Table1[[#This Row],[part_weight]] * 1000)</f>
        <v>164</v>
      </c>
    </row>
    <row r="193" spans="1:40">
      <c r="A193" s="1">
        <v>46029</v>
      </c>
      <c r="B193">
        <v>2</v>
      </c>
      <c r="C193">
        <v>16</v>
      </c>
      <c r="D193" t="s">
        <v>40</v>
      </c>
      <c r="E193" t="s">
        <v>46</v>
      </c>
      <c r="F193">
        <v>555979</v>
      </c>
      <c r="G193">
        <v>2</v>
      </c>
      <c r="H193" t="s">
        <v>52</v>
      </c>
      <c r="I193">
        <v>10682935</v>
      </c>
      <c r="J193">
        <v>6</v>
      </c>
      <c r="K193">
        <v>28</v>
      </c>
      <c r="L193">
        <v>28</v>
      </c>
      <c r="M193">
        <v>988</v>
      </c>
      <c r="N193" s="2">
        <v>100800</v>
      </c>
      <c r="O193">
        <v>0</v>
      </c>
      <c r="P193" s="2">
        <v>2520</v>
      </c>
      <c r="Q193" s="2">
        <v>5928</v>
      </c>
      <c r="R193" s="2">
        <v>3360</v>
      </c>
      <c r="S193">
        <v>94</v>
      </c>
      <c r="T193" s="2">
        <v>33600</v>
      </c>
      <c r="U193" s="2">
        <v>67200</v>
      </c>
      <c r="V193">
        <v>166</v>
      </c>
      <c r="W193">
        <v>0</v>
      </c>
      <c r="X193">
        <v>0</v>
      </c>
      <c r="Y193">
        <v>0</v>
      </c>
      <c r="Z193">
        <v>1.3</v>
      </c>
      <c r="AA193">
        <v>7.8320799999999999E-3</v>
      </c>
      <c r="AB193">
        <v>43.7</v>
      </c>
      <c r="AC193">
        <v>11.99322222</v>
      </c>
      <c r="AD193">
        <v>42</v>
      </c>
      <c r="AI193">
        <f>12 - Table1[[#This Row],[production_running]] - Table1[[#This Row],[ change_full_set ]] - Table1[[#This Row],[ change_half_set ]] - Table1[[#This Row],[ change_parts ]] - Table1[[#This Row],[ maintenance_dt ]] - Table1[[#This Row],[production_dt]]</f>
        <v>6.7777800000001776E-3</v>
      </c>
      <c r="AK193" t="s">
        <v>51</v>
      </c>
      <c r="AN193">
        <f>INT(Table1[[#This Row],[reject_prod]]/Table1[[#This Row],[part_weight]] * 1000)</f>
        <v>46</v>
      </c>
    </row>
    <row r="194" spans="1:40">
      <c r="A194" s="1">
        <v>46029</v>
      </c>
      <c r="B194">
        <v>2</v>
      </c>
      <c r="C194">
        <v>1</v>
      </c>
      <c r="D194" t="s">
        <v>84</v>
      </c>
      <c r="E194" t="s">
        <v>34</v>
      </c>
      <c r="F194">
        <v>365091</v>
      </c>
      <c r="G194">
        <v>0</v>
      </c>
      <c r="H194" t="s">
        <v>189</v>
      </c>
      <c r="I194">
        <v>10682753</v>
      </c>
      <c r="J194">
        <v>4</v>
      </c>
      <c r="K194">
        <v>44</v>
      </c>
      <c r="L194">
        <v>44</v>
      </c>
      <c r="M194">
        <v>350</v>
      </c>
      <c r="N194" s="2">
        <v>66885</v>
      </c>
      <c r="O194">
        <v>0</v>
      </c>
      <c r="P194">
        <v>0</v>
      </c>
      <c r="Q194" s="2">
        <v>1400</v>
      </c>
      <c r="R194" s="2">
        <v>1260</v>
      </c>
      <c r="S194">
        <v>55</v>
      </c>
      <c r="T194" s="2">
        <v>1260</v>
      </c>
      <c r="U194" s="2">
        <v>65625</v>
      </c>
      <c r="V194">
        <v>62</v>
      </c>
      <c r="W194">
        <v>0</v>
      </c>
      <c r="X194">
        <v>19</v>
      </c>
      <c r="Y194">
        <v>0.308441558</v>
      </c>
      <c r="Z194">
        <v>1</v>
      </c>
      <c r="AA194">
        <v>1.6233766E-2</v>
      </c>
      <c r="AB194">
        <v>27.67</v>
      </c>
      <c r="AC194">
        <v>2.690138889</v>
      </c>
      <c r="AD194">
        <v>28.64</v>
      </c>
      <c r="AE194">
        <v>4</v>
      </c>
      <c r="AI194">
        <f>12 - Table1[[#This Row],[production_running]] - Table1[[#This Row],[ change_full_set ]] - Table1[[#This Row],[ change_half_set ]] - Table1[[#This Row],[ change_parts ]] - Table1[[#This Row],[ maintenance_dt ]] - Table1[[#This Row],[production_dt]]</f>
        <v>5.309861111</v>
      </c>
      <c r="AK194" t="s">
        <v>199</v>
      </c>
      <c r="AN194">
        <f>INT(Table1[[#This Row],[reject_prod]]/Table1[[#This Row],[part_weight]] * 1000)</f>
        <v>22</v>
      </c>
    </row>
    <row r="195" spans="1:40">
      <c r="A195" s="1">
        <v>46029</v>
      </c>
      <c r="B195">
        <v>2</v>
      </c>
      <c r="C195">
        <v>2</v>
      </c>
      <c r="D195" t="s">
        <v>59</v>
      </c>
      <c r="E195" t="s">
        <v>34</v>
      </c>
      <c r="F195">
        <v>423215</v>
      </c>
      <c r="G195">
        <v>0</v>
      </c>
      <c r="H195" t="s">
        <v>156</v>
      </c>
      <c r="I195">
        <v>10682755</v>
      </c>
      <c r="J195">
        <v>4</v>
      </c>
      <c r="K195">
        <v>24</v>
      </c>
      <c r="L195">
        <v>24</v>
      </c>
      <c r="M195">
        <v>1620</v>
      </c>
      <c r="N195" s="2">
        <v>89112</v>
      </c>
      <c r="O195" s="2">
        <v>1974</v>
      </c>
      <c r="P195" s="2">
        <v>1692</v>
      </c>
      <c r="Q195" s="2">
        <v>6480</v>
      </c>
      <c r="R195" s="2">
        <v>6768</v>
      </c>
      <c r="S195">
        <v>162</v>
      </c>
      <c r="T195" s="2">
        <v>25380</v>
      </c>
      <c r="U195" s="2">
        <v>63732</v>
      </c>
      <c r="V195">
        <v>156</v>
      </c>
      <c r="W195">
        <v>0</v>
      </c>
      <c r="X195">
        <v>0</v>
      </c>
      <c r="Y195">
        <v>0</v>
      </c>
      <c r="Z195">
        <v>5</v>
      </c>
      <c r="AA195">
        <v>3.2150206000000001E-2</v>
      </c>
      <c r="AB195">
        <v>26.8</v>
      </c>
      <c r="AC195">
        <v>12</v>
      </c>
      <c r="AD195">
        <v>22</v>
      </c>
      <c r="AI195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195" t="s">
        <v>200</v>
      </c>
      <c r="AN195">
        <f>INT(Table1[[#This Row],[reject_prod]]/Table1[[#This Row],[part_weight]] * 1000)</f>
        <v>208</v>
      </c>
    </row>
    <row r="196" spans="1:40">
      <c r="A196" s="1">
        <v>46029</v>
      </c>
      <c r="B196">
        <v>2</v>
      </c>
      <c r="C196">
        <v>3</v>
      </c>
      <c r="D196" t="s">
        <v>201</v>
      </c>
      <c r="E196" t="s">
        <v>34</v>
      </c>
      <c r="F196">
        <v>442034</v>
      </c>
      <c r="G196">
        <v>0</v>
      </c>
      <c r="H196" t="s">
        <v>37</v>
      </c>
      <c r="I196">
        <v>10681183</v>
      </c>
      <c r="J196">
        <v>4</v>
      </c>
      <c r="K196">
        <v>23</v>
      </c>
      <c r="L196">
        <v>23</v>
      </c>
      <c r="M196">
        <v>1632</v>
      </c>
      <c r="N196" s="2">
        <v>139776</v>
      </c>
      <c r="O196" s="2">
        <v>3840</v>
      </c>
      <c r="P196" s="2">
        <v>1152</v>
      </c>
      <c r="Q196" s="2">
        <v>6528</v>
      </c>
      <c r="R196" s="2">
        <v>9216</v>
      </c>
      <c r="S196">
        <v>212</v>
      </c>
      <c r="T196" s="2">
        <v>24192</v>
      </c>
      <c r="U196" s="2">
        <v>115584</v>
      </c>
      <c r="V196">
        <v>150</v>
      </c>
      <c r="W196">
        <v>0</v>
      </c>
      <c r="X196">
        <v>0</v>
      </c>
      <c r="Y196">
        <v>0</v>
      </c>
      <c r="Z196">
        <v>1</v>
      </c>
      <c r="AA196">
        <v>6.6602730000000004E-3</v>
      </c>
      <c r="AB196">
        <v>25.9</v>
      </c>
      <c r="AC196">
        <v>11.74133333</v>
      </c>
      <c r="AD196">
        <v>22</v>
      </c>
      <c r="AI19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0.25866667000000021</v>
      </c>
      <c r="AK196" t="s">
        <v>75</v>
      </c>
      <c r="AN196">
        <f>INT(Table1[[#This Row],[reject_prod]]/Table1[[#This Row],[part_weight]] * 1000)</f>
        <v>43</v>
      </c>
    </row>
    <row r="197" spans="1:40">
      <c r="A197" s="1">
        <v>46029</v>
      </c>
      <c r="B197">
        <v>2</v>
      </c>
      <c r="C197">
        <v>4</v>
      </c>
      <c r="F197">
        <v>123456</v>
      </c>
      <c r="G197">
        <v>0</v>
      </c>
      <c r="M197">
        <v>0</v>
      </c>
      <c r="N197">
        <v>0</v>
      </c>
      <c r="O197">
        <v>0</v>
      </c>
      <c r="P197">
        <v>0</v>
      </c>
      <c r="R197">
        <v>0</v>
      </c>
      <c r="T197">
        <v>0</v>
      </c>
      <c r="X197">
        <v>0</v>
      </c>
      <c r="Z197">
        <v>0</v>
      </c>
      <c r="AB197">
        <v>0</v>
      </c>
      <c r="AC197">
        <v>0</v>
      </c>
      <c r="AD197">
        <v>22.5</v>
      </c>
      <c r="AI197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197">
        <v>12</v>
      </c>
      <c r="AK197" t="s">
        <v>116</v>
      </c>
      <c r="AN197">
        <v>0</v>
      </c>
    </row>
    <row r="198" spans="1:40">
      <c r="A198" s="1">
        <v>46029</v>
      </c>
      <c r="B198">
        <v>2</v>
      </c>
      <c r="C198">
        <v>5</v>
      </c>
      <c r="D198" t="s">
        <v>58</v>
      </c>
      <c r="E198" t="s">
        <v>34</v>
      </c>
      <c r="F198">
        <v>611949</v>
      </c>
      <c r="G198">
        <v>0</v>
      </c>
      <c r="H198" t="s">
        <v>38</v>
      </c>
      <c r="I198">
        <v>10680235</v>
      </c>
      <c r="J198">
        <v>4</v>
      </c>
      <c r="K198">
        <v>20</v>
      </c>
      <c r="L198">
        <v>20</v>
      </c>
      <c r="M198">
        <v>1660</v>
      </c>
      <c r="N198" s="2">
        <v>83600</v>
      </c>
      <c r="O198" s="2">
        <v>3300</v>
      </c>
      <c r="P198" s="2">
        <v>3300</v>
      </c>
      <c r="Q198" s="2">
        <v>6640</v>
      </c>
      <c r="R198" s="2">
        <v>6600</v>
      </c>
      <c r="S198">
        <v>132</v>
      </c>
      <c r="T198" s="2">
        <v>49500</v>
      </c>
      <c r="U198" s="2">
        <v>34100</v>
      </c>
      <c r="V198">
        <v>133</v>
      </c>
      <c r="W198">
        <v>0</v>
      </c>
      <c r="X198">
        <v>0</v>
      </c>
      <c r="Y198">
        <v>0</v>
      </c>
      <c r="Z198">
        <v>4</v>
      </c>
      <c r="AA198">
        <v>3.0120482000000001E-2</v>
      </c>
      <c r="AB198">
        <v>24.7</v>
      </c>
      <c r="AC198">
        <v>11.38944444</v>
      </c>
      <c r="AD198">
        <v>21.64</v>
      </c>
      <c r="AI198">
        <f>12 - Table1[[#This Row],[production_running]] - Table1[[#This Row],[ change_full_set ]] - Table1[[#This Row],[ change_half_set ]] - Table1[[#This Row],[ change_parts ]] - Table1[[#This Row],[ maintenance_dt ]] - Table1[[#This Row],[production_dt]]</f>
        <v>0.61055555999999989</v>
      </c>
      <c r="AK198" t="s">
        <v>202</v>
      </c>
      <c r="AN198">
        <f>INT(Table1[[#This Row],[reject_prod]]/Table1[[#This Row],[part_weight]] * 1000)</f>
        <v>200</v>
      </c>
    </row>
    <row r="199" spans="1:40">
      <c r="A199" s="1">
        <v>46029</v>
      </c>
      <c r="B199">
        <v>2</v>
      </c>
      <c r="C199">
        <v>6</v>
      </c>
      <c r="D199" t="s">
        <v>203</v>
      </c>
      <c r="E199" t="s">
        <v>34</v>
      </c>
      <c r="F199">
        <v>579471</v>
      </c>
      <c r="G199">
        <v>0</v>
      </c>
      <c r="H199" t="s">
        <v>105</v>
      </c>
      <c r="I199">
        <v>10681843</v>
      </c>
      <c r="J199">
        <v>4</v>
      </c>
      <c r="K199">
        <v>24</v>
      </c>
      <c r="L199">
        <v>24</v>
      </c>
      <c r="M199">
        <v>1640</v>
      </c>
      <c r="N199" s="2">
        <v>50400</v>
      </c>
      <c r="O199" s="2">
        <v>2520</v>
      </c>
      <c r="P199" s="2">
        <v>3024</v>
      </c>
      <c r="Q199" s="2">
        <v>6560</v>
      </c>
      <c r="R199" s="2">
        <v>6048</v>
      </c>
      <c r="S199">
        <v>145</v>
      </c>
      <c r="T199" s="2">
        <v>33264</v>
      </c>
      <c r="U199" s="2">
        <v>17136</v>
      </c>
      <c r="V199">
        <v>157</v>
      </c>
      <c r="W199">
        <v>0</v>
      </c>
      <c r="X199">
        <v>0</v>
      </c>
      <c r="Y199">
        <v>0</v>
      </c>
      <c r="Z199">
        <v>12</v>
      </c>
      <c r="AA199">
        <v>7.6219512000000003E-2</v>
      </c>
      <c r="AB199">
        <v>22.1</v>
      </c>
      <c r="AC199">
        <v>10.06777778</v>
      </c>
      <c r="AD199">
        <v>23</v>
      </c>
      <c r="AI199">
        <f>12 - Table1[[#This Row],[production_running]] - Table1[[#This Row],[ change_full_set ]] - Table1[[#This Row],[ change_half_set ]] - Table1[[#This Row],[ change_parts ]] - Table1[[#This Row],[ maintenance_dt ]] - Table1[[#This Row],[production_dt]]</f>
        <v>1.9322222199999999</v>
      </c>
      <c r="AK199" t="s">
        <v>204</v>
      </c>
      <c r="AN199">
        <f>INT(Table1[[#This Row],[reject_prod]]/Table1[[#This Row],[part_weight]] * 1000)</f>
        <v>500</v>
      </c>
    </row>
    <row r="200" spans="1:40">
      <c r="A200" s="1">
        <v>46029</v>
      </c>
      <c r="B200">
        <v>2</v>
      </c>
      <c r="C200">
        <v>7</v>
      </c>
      <c r="D200" t="s">
        <v>124</v>
      </c>
      <c r="E200" t="s">
        <v>34</v>
      </c>
      <c r="F200">
        <v>441809</v>
      </c>
      <c r="G200">
        <v>0</v>
      </c>
      <c r="H200" t="s">
        <v>160</v>
      </c>
      <c r="I200">
        <v>10682759</v>
      </c>
      <c r="J200">
        <v>4</v>
      </c>
      <c r="K200">
        <v>34</v>
      </c>
      <c r="L200">
        <v>33.67</v>
      </c>
      <c r="M200">
        <v>1510</v>
      </c>
      <c r="N200" s="2">
        <v>18432</v>
      </c>
      <c r="O200" s="2">
        <v>1152</v>
      </c>
      <c r="P200">
        <v>0</v>
      </c>
      <c r="Q200" s="2">
        <v>6040</v>
      </c>
      <c r="R200" s="2">
        <v>6912</v>
      </c>
      <c r="S200">
        <v>233</v>
      </c>
      <c r="T200" s="2">
        <v>18432</v>
      </c>
      <c r="U200">
        <v>0</v>
      </c>
      <c r="V200">
        <v>203</v>
      </c>
      <c r="W200">
        <v>0</v>
      </c>
      <c r="X200">
        <v>0</v>
      </c>
      <c r="Y200">
        <v>0</v>
      </c>
      <c r="Z200">
        <v>20</v>
      </c>
      <c r="AA200">
        <v>9.8344469000000004E-2</v>
      </c>
      <c r="AB200">
        <v>25.1</v>
      </c>
      <c r="AC200">
        <v>10.52805556</v>
      </c>
      <c r="AD200">
        <v>18</v>
      </c>
      <c r="AI200">
        <f>12 - Table1[[#This Row],[production_running]] - Table1[[#This Row],[ change_full_set ]] - Table1[[#This Row],[ change_half_set ]] - Table1[[#This Row],[ change_parts ]] - Table1[[#This Row],[ maintenance_dt ]] - Table1[[#This Row],[production_dt]]</f>
        <v>1.4719444399999997</v>
      </c>
      <c r="AK200" t="s">
        <v>205</v>
      </c>
      <c r="AN200">
        <f>INT(Table1[[#This Row],[reject_prod]]/Table1[[#This Row],[part_weight]] * 1000)</f>
        <v>594</v>
      </c>
    </row>
    <row r="201" spans="1:40">
      <c r="A201" s="1">
        <v>46029</v>
      </c>
      <c r="B201">
        <v>2</v>
      </c>
      <c r="C201">
        <v>8</v>
      </c>
      <c r="F201">
        <v>123456</v>
      </c>
      <c r="G201">
        <v>0</v>
      </c>
      <c r="M201">
        <v>0</v>
      </c>
      <c r="N201">
        <v>0</v>
      </c>
      <c r="O201">
        <v>0</v>
      </c>
      <c r="P201">
        <v>0</v>
      </c>
      <c r="R201">
        <v>0</v>
      </c>
      <c r="T201">
        <v>0</v>
      </c>
      <c r="X201">
        <v>0</v>
      </c>
      <c r="Z201">
        <v>0</v>
      </c>
      <c r="AB201">
        <v>0</v>
      </c>
      <c r="AC201">
        <v>0</v>
      </c>
      <c r="AD201">
        <v>22.5</v>
      </c>
      <c r="AI201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201">
        <v>12</v>
      </c>
      <c r="AK201" t="s">
        <v>116</v>
      </c>
      <c r="AN201">
        <v>0</v>
      </c>
    </row>
    <row r="202" spans="1:40">
      <c r="A202" s="1">
        <v>46029</v>
      </c>
      <c r="B202">
        <v>2</v>
      </c>
      <c r="C202">
        <v>9</v>
      </c>
      <c r="D202" t="s">
        <v>56</v>
      </c>
      <c r="E202" t="s">
        <v>46</v>
      </c>
      <c r="F202">
        <v>586276</v>
      </c>
      <c r="G202">
        <v>0</v>
      </c>
      <c r="H202" t="s">
        <v>47</v>
      </c>
      <c r="I202">
        <v>10682923</v>
      </c>
      <c r="J202">
        <v>6</v>
      </c>
      <c r="K202">
        <v>12.3</v>
      </c>
      <c r="L202">
        <v>12.3</v>
      </c>
      <c r="M202">
        <v>1688</v>
      </c>
      <c r="N202" s="2">
        <v>162000</v>
      </c>
      <c r="O202">
        <v>405</v>
      </c>
      <c r="P202" s="2">
        <v>2430</v>
      </c>
      <c r="Q202" s="2">
        <v>10128</v>
      </c>
      <c r="R202" s="2">
        <v>8100</v>
      </c>
      <c r="S202">
        <v>100</v>
      </c>
      <c r="T202" s="2">
        <v>132030</v>
      </c>
      <c r="U202" s="2">
        <v>29970</v>
      </c>
      <c r="V202">
        <v>125</v>
      </c>
      <c r="W202">
        <v>0</v>
      </c>
      <c r="X202">
        <v>0</v>
      </c>
      <c r="Y202">
        <v>0</v>
      </c>
      <c r="Z202">
        <v>1</v>
      </c>
      <c r="AA202">
        <v>8.0273310000000004E-3</v>
      </c>
      <c r="AB202">
        <v>25.5</v>
      </c>
      <c r="AC202">
        <v>11.956666670000001</v>
      </c>
      <c r="AD202">
        <v>26</v>
      </c>
      <c r="AI202">
        <f>12 - Table1[[#This Row],[production_running]] - Table1[[#This Row],[ change_full_set ]] - Table1[[#This Row],[ change_half_set ]] - Table1[[#This Row],[ change_parts ]] - Table1[[#This Row],[ maintenance_dt ]] - Table1[[#This Row],[production_dt]]</f>
        <v>4.3333329999999393E-2</v>
      </c>
      <c r="AK202" t="s">
        <v>51</v>
      </c>
      <c r="AN202">
        <f>INT(Table1[[#This Row],[reject_prod]]/Table1[[#This Row],[part_weight]] * 1000)</f>
        <v>81</v>
      </c>
    </row>
    <row r="203" spans="1:40">
      <c r="A203" s="1">
        <v>46029</v>
      </c>
      <c r="B203">
        <v>2</v>
      </c>
      <c r="C203">
        <v>10</v>
      </c>
      <c r="D203" t="s">
        <v>206</v>
      </c>
      <c r="E203" t="s">
        <v>41</v>
      </c>
      <c r="F203">
        <v>593537</v>
      </c>
      <c r="G203">
        <v>0</v>
      </c>
      <c r="H203" t="s">
        <v>48</v>
      </c>
      <c r="I203">
        <v>10682925</v>
      </c>
      <c r="J203">
        <v>4</v>
      </c>
      <c r="K203">
        <v>56.5</v>
      </c>
      <c r="L203">
        <v>56.8</v>
      </c>
      <c r="M203">
        <v>1330</v>
      </c>
      <c r="N203" s="2">
        <v>69000</v>
      </c>
      <c r="O203">
        <v>115</v>
      </c>
      <c r="P203">
        <v>230</v>
      </c>
      <c r="Q203" s="2">
        <v>5320</v>
      </c>
      <c r="R203" s="2">
        <v>5175</v>
      </c>
      <c r="S203">
        <v>294</v>
      </c>
      <c r="T203" s="2">
        <v>38755</v>
      </c>
      <c r="U203" s="2">
        <v>30245</v>
      </c>
      <c r="V203">
        <v>302</v>
      </c>
      <c r="W203">
        <v>-2</v>
      </c>
      <c r="X203">
        <v>0</v>
      </c>
      <c r="Y203">
        <v>0</v>
      </c>
      <c r="Z203">
        <v>13</v>
      </c>
      <c r="AA203">
        <v>4.3021285999999999E-2</v>
      </c>
      <c r="AB203">
        <v>31.7</v>
      </c>
      <c r="AC203">
        <v>11.71138889</v>
      </c>
      <c r="AD203">
        <v>28.5</v>
      </c>
      <c r="AI203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0.28861110999999973</v>
      </c>
      <c r="AK203" t="s">
        <v>207</v>
      </c>
      <c r="AN203">
        <f>INT(Table1[[#This Row],[reject_prod]]/Table1[[#This Row],[part_weight]] * 1000)</f>
        <v>228</v>
      </c>
    </row>
    <row r="204" spans="1:40">
      <c r="A204" s="1">
        <v>46029</v>
      </c>
      <c r="B204">
        <v>2</v>
      </c>
      <c r="C204">
        <v>11</v>
      </c>
      <c r="D204" t="s">
        <v>208</v>
      </c>
      <c r="E204" t="s">
        <v>46</v>
      </c>
      <c r="F204">
        <v>552181</v>
      </c>
      <c r="G204">
        <v>1</v>
      </c>
      <c r="H204" t="s">
        <v>49</v>
      </c>
      <c r="I204">
        <v>10682927</v>
      </c>
      <c r="J204">
        <v>6</v>
      </c>
      <c r="K204">
        <v>18.8</v>
      </c>
      <c r="L204">
        <v>18.8</v>
      </c>
      <c r="M204">
        <v>1510</v>
      </c>
      <c r="N204" s="2">
        <v>108000</v>
      </c>
      <c r="O204" s="2">
        <v>10260</v>
      </c>
      <c r="P204" s="2">
        <v>13770</v>
      </c>
      <c r="Q204" s="2">
        <v>9060</v>
      </c>
      <c r="R204" s="2">
        <v>5400</v>
      </c>
      <c r="S204">
        <v>102</v>
      </c>
      <c r="T204" s="2">
        <v>35370</v>
      </c>
      <c r="U204" s="2">
        <v>72630</v>
      </c>
      <c r="V204">
        <v>170</v>
      </c>
      <c r="W204">
        <v>0</v>
      </c>
      <c r="X204">
        <v>0</v>
      </c>
      <c r="Y204">
        <v>0</v>
      </c>
      <c r="Z204">
        <v>0.5</v>
      </c>
      <c r="AA204">
        <v>2.9355129999999998E-3</v>
      </c>
      <c r="AB204">
        <v>27.6</v>
      </c>
      <c r="AC204">
        <v>11.57666667</v>
      </c>
      <c r="AD204">
        <v>27</v>
      </c>
      <c r="AI204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0.42333333000000017</v>
      </c>
      <c r="AK204" t="s">
        <v>176</v>
      </c>
      <c r="AN204">
        <f>INT(Table1[[#This Row],[reject_prod]]/Table1[[#This Row],[part_weight]] * 1000)</f>
        <v>26</v>
      </c>
    </row>
    <row r="205" spans="1:40">
      <c r="A205" s="1">
        <v>46029</v>
      </c>
      <c r="B205">
        <v>2</v>
      </c>
      <c r="C205">
        <v>12</v>
      </c>
      <c r="D205" t="s">
        <v>54</v>
      </c>
      <c r="E205" t="s">
        <v>34</v>
      </c>
      <c r="F205">
        <v>620599</v>
      </c>
      <c r="G205">
        <v>0</v>
      </c>
      <c r="H205" t="s">
        <v>50</v>
      </c>
      <c r="I205">
        <v>10682928</v>
      </c>
      <c r="J205">
        <v>4</v>
      </c>
      <c r="K205">
        <v>55</v>
      </c>
      <c r="L205">
        <v>55</v>
      </c>
      <c r="M205">
        <v>1560</v>
      </c>
      <c r="N205" s="2">
        <v>72000</v>
      </c>
      <c r="O205">
        <v>450</v>
      </c>
      <c r="P205" s="2">
        <v>1300</v>
      </c>
      <c r="Q205" s="2">
        <v>6240</v>
      </c>
      <c r="R205" s="2">
        <v>5400</v>
      </c>
      <c r="S205">
        <v>297</v>
      </c>
      <c r="T205" s="2">
        <v>40900</v>
      </c>
      <c r="U205" s="2">
        <v>31100</v>
      </c>
      <c r="V205">
        <v>343</v>
      </c>
      <c r="W205">
        <v>0</v>
      </c>
      <c r="X205">
        <v>0</v>
      </c>
      <c r="Y205">
        <v>0</v>
      </c>
      <c r="Z205">
        <v>4</v>
      </c>
      <c r="AA205">
        <v>1.1655011999999999E-2</v>
      </c>
      <c r="AB205">
        <v>28</v>
      </c>
      <c r="AC205">
        <v>12</v>
      </c>
      <c r="AD205">
        <v>28</v>
      </c>
      <c r="AI205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205" t="s">
        <v>164</v>
      </c>
      <c r="AN205">
        <f>INT(Table1[[#This Row],[reject_prod]]/Table1[[#This Row],[part_weight]] * 1000)</f>
        <v>72</v>
      </c>
    </row>
    <row r="206" spans="1:40">
      <c r="A206" s="1">
        <v>46029</v>
      </c>
      <c r="B206">
        <v>2</v>
      </c>
      <c r="C206">
        <v>13</v>
      </c>
      <c r="D206" t="s">
        <v>208</v>
      </c>
      <c r="E206" t="s">
        <v>46</v>
      </c>
      <c r="F206">
        <v>586276</v>
      </c>
      <c r="G206">
        <v>0</v>
      </c>
      <c r="H206" t="s">
        <v>47</v>
      </c>
      <c r="I206">
        <v>10682930</v>
      </c>
      <c r="J206">
        <v>6</v>
      </c>
      <c r="K206">
        <v>12.3</v>
      </c>
      <c r="L206">
        <v>12.3</v>
      </c>
      <c r="M206">
        <v>1620</v>
      </c>
      <c r="N206" s="2">
        <v>162000</v>
      </c>
      <c r="O206" s="2">
        <v>5670</v>
      </c>
      <c r="P206" s="2">
        <v>7290</v>
      </c>
      <c r="Q206" s="2">
        <v>9720</v>
      </c>
      <c r="R206" s="2">
        <v>8100</v>
      </c>
      <c r="S206">
        <v>100</v>
      </c>
      <c r="T206" s="2">
        <v>72090</v>
      </c>
      <c r="U206" s="2">
        <v>89910</v>
      </c>
      <c r="V206">
        <v>120</v>
      </c>
      <c r="W206">
        <v>0</v>
      </c>
      <c r="X206">
        <v>0</v>
      </c>
      <c r="Y206">
        <v>0</v>
      </c>
      <c r="Z206">
        <v>1</v>
      </c>
      <c r="AA206">
        <v>8.3642809999999995E-3</v>
      </c>
      <c r="AB206">
        <v>26.43</v>
      </c>
      <c r="AC206">
        <v>11.8935</v>
      </c>
      <c r="AD206">
        <v>26</v>
      </c>
      <c r="AI20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0.10650000000000048</v>
      </c>
      <c r="AK206" t="s">
        <v>51</v>
      </c>
      <c r="AN206">
        <f>INT(Table1[[#This Row],[reject_prod]]/Table1[[#This Row],[part_weight]] * 1000)</f>
        <v>81</v>
      </c>
    </row>
    <row r="207" spans="1:40">
      <c r="A207" s="1">
        <v>46029</v>
      </c>
      <c r="B207">
        <v>2</v>
      </c>
      <c r="C207">
        <v>14</v>
      </c>
      <c r="D207" t="s">
        <v>117</v>
      </c>
      <c r="E207" t="s">
        <v>46</v>
      </c>
      <c r="F207">
        <v>555979</v>
      </c>
      <c r="G207">
        <v>1</v>
      </c>
      <c r="H207" t="s">
        <v>52</v>
      </c>
      <c r="I207">
        <v>10682931</v>
      </c>
      <c r="J207">
        <v>6</v>
      </c>
      <c r="K207">
        <v>28</v>
      </c>
      <c r="L207">
        <v>28</v>
      </c>
      <c r="M207">
        <v>960</v>
      </c>
      <c r="N207" s="2">
        <v>100800</v>
      </c>
      <c r="O207" s="2">
        <v>4032</v>
      </c>
      <c r="P207" s="2">
        <v>2856</v>
      </c>
      <c r="Q207" s="2">
        <v>5760</v>
      </c>
      <c r="R207" s="2">
        <v>6720</v>
      </c>
      <c r="S207">
        <v>188</v>
      </c>
      <c r="T207" s="2">
        <v>100296</v>
      </c>
      <c r="U207">
        <v>504</v>
      </c>
      <c r="V207">
        <v>161</v>
      </c>
      <c r="W207">
        <v>0</v>
      </c>
      <c r="X207">
        <v>0</v>
      </c>
      <c r="Y207">
        <v>0</v>
      </c>
      <c r="Z207">
        <v>0.5</v>
      </c>
      <c r="AA207">
        <v>3.1001980000000002E-3</v>
      </c>
      <c r="AB207">
        <v>43.6</v>
      </c>
      <c r="AC207">
        <v>11.626666670000001</v>
      </c>
      <c r="AD207">
        <v>42</v>
      </c>
      <c r="AI207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0.37333332999999946</v>
      </c>
      <c r="AK207" t="s">
        <v>51</v>
      </c>
      <c r="AN207">
        <f>INT(Table1[[#This Row],[reject_prod]]/Table1[[#This Row],[part_weight]] * 1000)</f>
        <v>17</v>
      </c>
    </row>
    <row r="208" spans="1:40">
      <c r="A208" s="1">
        <v>46029</v>
      </c>
      <c r="B208">
        <v>2</v>
      </c>
      <c r="C208">
        <v>15</v>
      </c>
      <c r="D208" t="s">
        <v>208</v>
      </c>
      <c r="E208" t="s">
        <v>46</v>
      </c>
      <c r="F208">
        <v>552181</v>
      </c>
      <c r="G208">
        <v>2</v>
      </c>
      <c r="H208" t="s">
        <v>49</v>
      </c>
      <c r="I208">
        <v>10682934</v>
      </c>
      <c r="J208">
        <v>6</v>
      </c>
      <c r="K208">
        <v>18.8</v>
      </c>
      <c r="L208">
        <v>18.8</v>
      </c>
      <c r="M208">
        <v>1360</v>
      </c>
      <c r="N208" s="2">
        <v>108000</v>
      </c>
      <c r="O208" s="2">
        <v>10530</v>
      </c>
      <c r="P208" s="2">
        <v>13230</v>
      </c>
      <c r="Q208" s="2">
        <v>8160</v>
      </c>
      <c r="R208" s="2">
        <v>5400</v>
      </c>
      <c r="S208">
        <v>102</v>
      </c>
      <c r="T208" s="2">
        <v>18630</v>
      </c>
      <c r="U208" s="2">
        <v>89370</v>
      </c>
      <c r="V208">
        <v>153</v>
      </c>
      <c r="W208">
        <v>0</v>
      </c>
      <c r="X208">
        <v>0</v>
      </c>
      <c r="Y208">
        <v>0</v>
      </c>
      <c r="Z208">
        <v>0.5</v>
      </c>
      <c r="AA208">
        <v>3.2592820000000001E-3</v>
      </c>
      <c r="AB208">
        <v>31.2</v>
      </c>
      <c r="AC208">
        <v>11.786666670000001</v>
      </c>
      <c r="AD208">
        <v>27</v>
      </c>
      <c r="AI208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0.21333332999999932</v>
      </c>
      <c r="AK208" t="s">
        <v>176</v>
      </c>
      <c r="AN208">
        <f>INT(Table1[[#This Row],[reject_prod]]/Table1[[#This Row],[part_weight]] * 1000)</f>
        <v>26</v>
      </c>
    </row>
    <row r="209" spans="1:40">
      <c r="A209" s="1">
        <v>46029</v>
      </c>
      <c r="B209">
        <v>2</v>
      </c>
      <c r="C209">
        <v>16</v>
      </c>
      <c r="D209" t="s">
        <v>209</v>
      </c>
      <c r="E209" t="s">
        <v>46</v>
      </c>
      <c r="F209">
        <v>555979</v>
      </c>
      <c r="G209">
        <v>2</v>
      </c>
      <c r="H209" t="s">
        <v>52</v>
      </c>
      <c r="I209">
        <v>10682935</v>
      </c>
      <c r="J209">
        <v>6</v>
      </c>
      <c r="K209">
        <v>28</v>
      </c>
      <c r="L209">
        <v>28</v>
      </c>
      <c r="M209">
        <v>980</v>
      </c>
      <c r="N209" s="2">
        <v>100800</v>
      </c>
      <c r="O209" s="2">
        <v>2520</v>
      </c>
      <c r="P209" s="2">
        <v>1680</v>
      </c>
      <c r="Q209" s="2">
        <v>5880</v>
      </c>
      <c r="R209" s="2">
        <v>6720</v>
      </c>
      <c r="S209">
        <v>188</v>
      </c>
      <c r="T209" s="2">
        <v>42000</v>
      </c>
      <c r="U209" s="2">
        <v>58800</v>
      </c>
      <c r="V209">
        <v>165</v>
      </c>
      <c r="W209">
        <v>0</v>
      </c>
      <c r="X209">
        <v>0</v>
      </c>
      <c r="Y209">
        <v>0</v>
      </c>
      <c r="Z209">
        <v>1</v>
      </c>
      <c r="AA209">
        <v>6.0738579999999997E-3</v>
      </c>
      <c r="AB209">
        <v>43.7</v>
      </c>
      <c r="AC209">
        <v>11.89611111</v>
      </c>
      <c r="AD209">
        <v>42</v>
      </c>
      <c r="AI209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0.10388889000000034</v>
      </c>
      <c r="AK209" t="s">
        <v>51</v>
      </c>
      <c r="AN209">
        <f>INT(Table1[[#This Row],[reject_prod]]/Table1[[#This Row],[part_weight]] * 1000)</f>
        <v>35</v>
      </c>
    </row>
    <row r="210" spans="1:40">
      <c r="A210" s="1">
        <v>46030</v>
      </c>
      <c r="B210">
        <v>1</v>
      </c>
      <c r="C210">
        <v>1</v>
      </c>
      <c r="D210" t="s">
        <v>152</v>
      </c>
      <c r="E210" t="s">
        <v>34</v>
      </c>
      <c r="F210">
        <v>365091</v>
      </c>
      <c r="G210">
        <v>0</v>
      </c>
      <c r="H210" t="s">
        <v>189</v>
      </c>
      <c r="I210">
        <v>10682753</v>
      </c>
      <c r="J210">
        <v>4</v>
      </c>
      <c r="K210">
        <v>44</v>
      </c>
      <c r="L210">
        <v>44</v>
      </c>
      <c r="M210">
        <v>1326</v>
      </c>
      <c r="N210" s="2">
        <v>66885</v>
      </c>
      <c r="O210">
        <v>0</v>
      </c>
      <c r="P210">
        <v>945</v>
      </c>
      <c r="Q210" s="2">
        <v>5304</v>
      </c>
      <c r="R210" s="2">
        <v>3780</v>
      </c>
      <c r="S210">
        <v>166</v>
      </c>
      <c r="T210" s="2">
        <v>5985</v>
      </c>
      <c r="U210" s="2">
        <v>60900</v>
      </c>
      <c r="V210">
        <v>233</v>
      </c>
      <c r="W210">
        <v>0</v>
      </c>
      <c r="X210">
        <v>0</v>
      </c>
      <c r="Y210">
        <v>0</v>
      </c>
      <c r="Z210">
        <v>12</v>
      </c>
      <c r="AA210">
        <v>5.1419169000000001E-2</v>
      </c>
      <c r="AB210">
        <v>27.5</v>
      </c>
      <c r="AC210">
        <v>10.12916667</v>
      </c>
      <c r="AD210">
        <v>28.64</v>
      </c>
      <c r="AI210">
        <f>12 - Table1[[#This Row],[production_running]] - Table1[[#This Row],[ change_full_set ]] - Table1[[#This Row],[ change_half_set ]] - Table1[[#This Row],[ change_parts ]] - Table1[[#This Row],[ maintenance_dt ]] - Table1[[#This Row],[production_dt]]</f>
        <v>1.87083333</v>
      </c>
      <c r="AK210" t="s">
        <v>210</v>
      </c>
      <c r="AL210">
        <v>13</v>
      </c>
      <c r="AM210">
        <v>21</v>
      </c>
      <c r="AN210">
        <f>INT(Table1[[#This Row],[reject_prod]]/Table1[[#This Row],[part_weight]] * 1000)</f>
        <v>272</v>
      </c>
    </row>
    <row r="211" spans="1:40">
      <c r="A211" s="1">
        <v>46030</v>
      </c>
      <c r="B211">
        <v>1</v>
      </c>
      <c r="C211">
        <v>2</v>
      </c>
      <c r="D211" t="s">
        <v>141</v>
      </c>
      <c r="E211" t="s">
        <v>34</v>
      </c>
      <c r="F211">
        <v>423215</v>
      </c>
      <c r="G211">
        <v>0</v>
      </c>
      <c r="H211" t="s">
        <v>156</v>
      </c>
      <c r="I211">
        <v>10682755</v>
      </c>
      <c r="J211">
        <v>4</v>
      </c>
      <c r="K211">
        <v>24</v>
      </c>
      <c r="L211">
        <v>24</v>
      </c>
      <c r="M211">
        <v>1573</v>
      </c>
      <c r="N211" s="2">
        <v>89112</v>
      </c>
      <c r="O211" s="2">
        <v>1692</v>
      </c>
      <c r="P211">
        <v>846</v>
      </c>
      <c r="Q211" s="2">
        <v>6292</v>
      </c>
      <c r="R211" s="2">
        <v>6768</v>
      </c>
      <c r="S211">
        <v>162</v>
      </c>
      <c r="T211" s="2">
        <v>31302</v>
      </c>
      <c r="U211" s="2">
        <v>57810</v>
      </c>
      <c r="V211">
        <v>151</v>
      </c>
      <c r="W211">
        <v>0</v>
      </c>
      <c r="X211">
        <v>0</v>
      </c>
      <c r="Y211">
        <v>0</v>
      </c>
      <c r="Z211">
        <v>8.5</v>
      </c>
      <c r="AA211">
        <v>5.6288408999999998E-2</v>
      </c>
      <c r="AB211">
        <v>27.3</v>
      </c>
      <c r="AC211">
        <v>11.92858333</v>
      </c>
      <c r="AD211">
        <v>22</v>
      </c>
      <c r="AI211">
        <f>12 - Table1[[#This Row],[production_running]] - Table1[[#This Row],[ change_full_set ]] - Table1[[#This Row],[ change_half_set ]] - Table1[[#This Row],[ change_parts ]] - Table1[[#This Row],[ maintenance_dt ]] - Table1[[#This Row],[production_dt]]</f>
        <v>7.1416669999999627E-2</v>
      </c>
      <c r="AK211" t="s">
        <v>200</v>
      </c>
      <c r="AM211">
        <v>1</v>
      </c>
      <c r="AN211">
        <f>INT(Table1[[#This Row],[reject_prod]]/Table1[[#This Row],[part_weight]] * 1000)</f>
        <v>354</v>
      </c>
    </row>
    <row r="212" spans="1:40">
      <c r="A212" s="1">
        <v>46030</v>
      </c>
      <c r="B212">
        <v>1</v>
      </c>
      <c r="C212">
        <v>3</v>
      </c>
      <c r="D212" t="s">
        <v>112</v>
      </c>
      <c r="E212" t="s">
        <v>34</v>
      </c>
      <c r="F212">
        <v>442034</v>
      </c>
      <c r="G212">
        <v>0</v>
      </c>
      <c r="H212" t="s">
        <v>37</v>
      </c>
      <c r="I212">
        <v>10681183</v>
      </c>
      <c r="J212">
        <v>4</v>
      </c>
      <c r="K212">
        <v>23</v>
      </c>
      <c r="L212">
        <v>23</v>
      </c>
      <c r="M212">
        <v>1619</v>
      </c>
      <c r="N212" s="2">
        <v>139776</v>
      </c>
      <c r="O212" s="2">
        <v>1152</v>
      </c>
      <c r="P212" s="2">
        <v>2688</v>
      </c>
      <c r="Q212" s="2">
        <v>6476</v>
      </c>
      <c r="R212" s="2">
        <v>4608</v>
      </c>
      <c r="S212">
        <v>106</v>
      </c>
      <c r="T212" s="2">
        <v>30336</v>
      </c>
      <c r="U212" s="2">
        <v>109440</v>
      </c>
      <c r="V212">
        <v>149</v>
      </c>
      <c r="W212">
        <v>0</v>
      </c>
      <c r="X212">
        <v>0</v>
      </c>
      <c r="Y212">
        <v>0</v>
      </c>
      <c r="Z212">
        <v>7.6</v>
      </c>
      <c r="AA212">
        <v>5.1024518999999997E-2</v>
      </c>
      <c r="AB212">
        <v>26</v>
      </c>
      <c r="AC212">
        <v>11.69277778</v>
      </c>
      <c r="AD212">
        <v>22</v>
      </c>
      <c r="AI212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0.30722221999999988</v>
      </c>
      <c r="AK212" t="s">
        <v>211</v>
      </c>
      <c r="AL212">
        <v>2</v>
      </c>
      <c r="AN212">
        <f>INT(Table1[[#This Row],[reject_prod]]/Table1[[#This Row],[part_weight]] * 1000)</f>
        <v>330</v>
      </c>
    </row>
    <row r="213" spans="1:40">
      <c r="A213" s="1">
        <v>46030</v>
      </c>
      <c r="B213">
        <v>1</v>
      </c>
      <c r="C213">
        <v>4</v>
      </c>
      <c r="F213">
        <v>123456</v>
      </c>
      <c r="G213">
        <v>0</v>
      </c>
      <c r="M213">
        <v>0</v>
      </c>
      <c r="N213">
        <v>0</v>
      </c>
      <c r="O213">
        <v>0</v>
      </c>
      <c r="P213">
        <v>0</v>
      </c>
      <c r="R213">
        <v>0</v>
      </c>
      <c r="T213">
        <v>0</v>
      </c>
      <c r="X213">
        <v>0</v>
      </c>
      <c r="Z213">
        <v>0</v>
      </c>
      <c r="AB213">
        <v>0</v>
      </c>
      <c r="AC213">
        <v>0</v>
      </c>
      <c r="AD213">
        <v>22.5</v>
      </c>
      <c r="AI213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213">
        <v>12</v>
      </c>
      <c r="AK213" t="s">
        <v>116</v>
      </c>
      <c r="AN213">
        <v>0</v>
      </c>
    </row>
    <row r="214" spans="1:40">
      <c r="A214" s="1">
        <v>46030</v>
      </c>
      <c r="B214">
        <v>1</v>
      </c>
      <c r="C214">
        <v>5</v>
      </c>
      <c r="D214" t="s">
        <v>43</v>
      </c>
      <c r="E214" t="s">
        <v>34</v>
      </c>
      <c r="F214">
        <v>611949</v>
      </c>
      <c r="G214">
        <v>0</v>
      </c>
      <c r="H214" t="s">
        <v>38</v>
      </c>
      <c r="I214">
        <v>10680235</v>
      </c>
      <c r="J214">
        <v>4</v>
      </c>
      <c r="K214">
        <v>20</v>
      </c>
      <c r="L214">
        <v>20</v>
      </c>
      <c r="M214">
        <v>1773</v>
      </c>
      <c r="N214" s="2">
        <v>83600</v>
      </c>
      <c r="O214" s="2">
        <v>3300</v>
      </c>
      <c r="P214" s="2">
        <v>3300</v>
      </c>
      <c r="Q214" s="2">
        <v>7092</v>
      </c>
      <c r="R214" s="2">
        <v>6600</v>
      </c>
      <c r="S214">
        <v>132</v>
      </c>
      <c r="T214" s="2">
        <v>36100</v>
      </c>
      <c r="U214" s="2">
        <v>47500</v>
      </c>
      <c r="V214">
        <v>142</v>
      </c>
      <c r="W214">
        <v>0</v>
      </c>
      <c r="X214">
        <v>0</v>
      </c>
      <c r="Y214">
        <v>0</v>
      </c>
      <c r="Z214">
        <v>9.8000000000000007</v>
      </c>
      <c r="AA214">
        <v>6.9091934999999993E-2</v>
      </c>
      <c r="AB214">
        <v>23.6</v>
      </c>
      <c r="AC214">
        <v>11.622999999999999</v>
      </c>
      <c r="AD214">
        <v>21.64</v>
      </c>
      <c r="AI214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0.37700000000000067</v>
      </c>
      <c r="AK214" t="s">
        <v>212</v>
      </c>
      <c r="AN214">
        <f>INT(Table1[[#This Row],[reject_prod]]/Table1[[#This Row],[part_weight]] * 1000)</f>
        <v>490</v>
      </c>
    </row>
    <row r="215" spans="1:40">
      <c r="A215" s="1">
        <v>46030</v>
      </c>
      <c r="B215">
        <v>1</v>
      </c>
      <c r="C215">
        <v>6</v>
      </c>
      <c r="D215" t="s">
        <v>213</v>
      </c>
      <c r="E215" t="s">
        <v>34</v>
      </c>
      <c r="F215">
        <v>579471</v>
      </c>
      <c r="G215">
        <v>0</v>
      </c>
      <c r="H215" t="s">
        <v>105</v>
      </c>
      <c r="I215">
        <v>10681843</v>
      </c>
      <c r="J215">
        <v>4</v>
      </c>
      <c r="K215">
        <v>24</v>
      </c>
      <c r="L215">
        <v>24</v>
      </c>
      <c r="M215">
        <v>1907</v>
      </c>
      <c r="N215" s="2">
        <v>50400</v>
      </c>
      <c r="O215" s="2">
        <v>3024</v>
      </c>
      <c r="P215" s="2">
        <v>4536</v>
      </c>
      <c r="Q215" s="2">
        <v>7628</v>
      </c>
      <c r="R215" s="2">
        <v>6048</v>
      </c>
      <c r="S215">
        <v>145</v>
      </c>
      <c r="T215" s="2">
        <v>40824</v>
      </c>
      <c r="U215" s="2">
        <v>9576</v>
      </c>
      <c r="V215">
        <v>183</v>
      </c>
      <c r="W215">
        <v>0</v>
      </c>
      <c r="X215">
        <v>0</v>
      </c>
      <c r="Y215">
        <v>0</v>
      </c>
      <c r="Z215">
        <v>1</v>
      </c>
      <c r="AA215">
        <v>5.4623320000000003E-3</v>
      </c>
      <c r="AB215">
        <v>22.4</v>
      </c>
      <c r="AC215">
        <v>11.86577778</v>
      </c>
      <c r="AD215">
        <v>23</v>
      </c>
      <c r="AI215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0.13422221999999984</v>
      </c>
      <c r="AK215" t="s">
        <v>214</v>
      </c>
      <c r="AL215">
        <v>3</v>
      </c>
      <c r="AM215">
        <v>2</v>
      </c>
      <c r="AN215">
        <f>INT(Table1[[#This Row],[reject_prod]]/Table1[[#This Row],[part_weight]] * 1000)</f>
        <v>41</v>
      </c>
    </row>
    <row r="216" spans="1:40">
      <c r="A216" s="1">
        <v>46030</v>
      </c>
      <c r="B216">
        <v>1</v>
      </c>
      <c r="C216">
        <v>7</v>
      </c>
      <c r="D216" t="s">
        <v>215</v>
      </c>
      <c r="E216" t="s">
        <v>34</v>
      </c>
      <c r="F216">
        <v>322435</v>
      </c>
      <c r="G216">
        <v>0</v>
      </c>
      <c r="H216" t="s">
        <v>216</v>
      </c>
      <c r="I216">
        <v>10682760</v>
      </c>
      <c r="J216">
        <v>4</v>
      </c>
      <c r="K216">
        <v>34.5</v>
      </c>
      <c r="L216">
        <v>34.5</v>
      </c>
      <c r="M216">
        <v>344</v>
      </c>
      <c r="N216" s="2">
        <v>17640</v>
      </c>
      <c r="O216">
        <v>0</v>
      </c>
      <c r="P216" s="2">
        <v>1260</v>
      </c>
      <c r="Q216" s="2">
        <v>1376</v>
      </c>
      <c r="R216">
        <v>0</v>
      </c>
      <c r="S216">
        <v>0</v>
      </c>
      <c r="T216" s="2">
        <v>1260</v>
      </c>
      <c r="U216" s="2">
        <v>16380</v>
      </c>
      <c r="V216">
        <v>47</v>
      </c>
      <c r="W216">
        <v>0</v>
      </c>
      <c r="X216">
        <v>25</v>
      </c>
      <c r="Y216">
        <v>0.52662622199999998</v>
      </c>
      <c r="Z216">
        <v>4</v>
      </c>
      <c r="AA216">
        <v>8.4260194999999996E-2</v>
      </c>
      <c r="AB216">
        <v>22.3</v>
      </c>
      <c r="AC216">
        <v>2.130888889</v>
      </c>
      <c r="AD216">
        <v>22</v>
      </c>
      <c r="AI216">
        <f>12 - Table1[[#This Row],[production_running]] - Table1[[#This Row],[ change_full_set ]] - Table1[[#This Row],[ change_half_set ]] - Table1[[#This Row],[ change_parts ]] - Table1[[#This Row],[ maintenance_dt ]] - Table1[[#This Row],[production_dt]]</f>
        <v>9.8691111110000005</v>
      </c>
      <c r="AK216" t="s">
        <v>217</v>
      </c>
      <c r="AL216">
        <v>8</v>
      </c>
      <c r="AM216">
        <v>25</v>
      </c>
      <c r="AN216">
        <f>INT(Table1[[#This Row],[reject_prod]]/Table1[[#This Row],[part_weight]] * 1000)</f>
        <v>115</v>
      </c>
    </row>
    <row r="217" spans="1:40">
      <c r="A217" s="1">
        <v>46030</v>
      </c>
      <c r="B217">
        <v>1</v>
      </c>
      <c r="C217">
        <v>8</v>
      </c>
      <c r="D217" t="s">
        <v>40</v>
      </c>
      <c r="E217" t="s">
        <v>34</v>
      </c>
      <c r="F217">
        <v>323102</v>
      </c>
      <c r="G217">
        <v>0</v>
      </c>
      <c r="H217" t="s">
        <v>45</v>
      </c>
      <c r="I217">
        <v>10683894</v>
      </c>
      <c r="J217">
        <v>4</v>
      </c>
      <c r="K217">
        <v>56.9</v>
      </c>
      <c r="L217">
        <v>56.9</v>
      </c>
      <c r="M217">
        <v>1376</v>
      </c>
      <c r="N217" s="2">
        <v>38400</v>
      </c>
      <c r="O217">
        <v>0</v>
      </c>
      <c r="P217">
        <v>0</v>
      </c>
      <c r="Q217" s="2">
        <v>5504</v>
      </c>
      <c r="R217" s="2">
        <v>5440</v>
      </c>
      <c r="S217">
        <v>310</v>
      </c>
      <c r="T217" s="2">
        <v>5440</v>
      </c>
      <c r="U217" s="2">
        <v>32960</v>
      </c>
      <c r="V217">
        <v>313</v>
      </c>
      <c r="W217">
        <v>0</v>
      </c>
      <c r="X217">
        <v>2</v>
      </c>
      <c r="Y217">
        <v>6.3861530000000003E-3</v>
      </c>
      <c r="Z217">
        <v>1.5</v>
      </c>
      <c r="AA217">
        <v>4.7896149999999997E-3</v>
      </c>
      <c r="AB217">
        <v>27.9</v>
      </c>
      <c r="AC217">
        <v>10.664</v>
      </c>
      <c r="AD217">
        <v>26</v>
      </c>
      <c r="AI217">
        <f>12 - Table1[[#This Row],[production_running]] - Table1[[#This Row],[ change_full_set ]] - Table1[[#This Row],[ change_half_set ]] - Table1[[#This Row],[ change_parts ]] - Table1[[#This Row],[ maintenance_dt ]] - Table1[[#This Row],[production_dt]]</f>
        <v>1.3360000000000003</v>
      </c>
      <c r="AK217" t="s">
        <v>218</v>
      </c>
      <c r="AL217">
        <v>4</v>
      </c>
      <c r="AM217">
        <v>3</v>
      </c>
      <c r="AN217">
        <f>INT(Table1[[#This Row],[reject_prod]]/Table1[[#This Row],[part_weight]] * 1000)</f>
        <v>26</v>
      </c>
    </row>
    <row r="218" spans="1:40">
      <c r="A218" s="1">
        <v>46030</v>
      </c>
      <c r="B218">
        <v>1</v>
      </c>
      <c r="C218">
        <v>9</v>
      </c>
      <c r="D218" t="s">
        <v>65</v>
      </c>
      <c r="E218" t="s">
        <v>46</v>
      </c>
      <c r="F218">
        <v>586276</v>
      </c>
      <c r="G218">
        <v>0</v>
      </c>
      <c r="H218" t="s">
        <v>47</v>
      </c>
      <c r="I218">
        <v>10682923</v>
      </c>
      <c r="J218">
        <v>6</v>
      </c>
      <c r="K218">
        <v>12.3</v>
      </c>
      <c r="L218">
        <v>12.3</v>
      </c>
      <c r="M218">
        <v>1639</v>
      </c>
      <c r="N218" s="2">
        <v>162000</v>
      </c>
      <c r="O218" s="2">
        <v>2430</v>
      </c>
      <c r="P218" s="2">
        <v>4050</v>
      </c>
      <c r="Q218" s="2">
        <v>9834</v>
      </c>
      <c r="R218" s="2">
        <v>8100</v>
      </c>
      <c r="S218">
        <v>100</v>
      </c>
      <c r="T218" s="2">
        <v>141750</v>
      </c>
      <c r="U218" s="2">
        <v>20250</v>
      </c>
      <c r="V218">
        <v>121</v>
      </c>
      <c r="W218">
        <v>0</v>
      </c>
      <c r="X218">
        <v>0</v>
      </c>
      <c r="Y218">
        <v>0</v>
      </c>
      <c r="Z218">
        <v>1.2</v>
      </c>
      <c r="AA218">
        <v>9.9207830000000007E-3</v>
      </c>
      <c r="AB218">
        <v>26.2</v>
      </c>
      <c r="AC218">
        <v>11.92827778</v>
      </c>
      <c r="AD218">
        <v>26</v>
      </c>
      <c r="AI218">
        <f>12 - Table1[[#This Row],[production_running]] - Table1[[#This Row],[ change_full_set ]] - Table1[[#This Row],[ change_half_set ]] - Table1[[#This Row],[ change_parts ]] - Table1[[#This Row],[ maintenance_dt ]] - Table1[[#This Row],[production_dt]]</f>
        <v>7.1722219999999837E-2</v>
      </c>
      <c r="AK218" t="s">
        <v>51</v>
      </c>
      <c r="AN218">
        <f>INT(Table1[[#This Row],[reject_prod]]/Table1[[#This Row],[part_weight]] * 1000)</f>
        <v>97</v>
      </c>
    </row>
    <row r="219" spans="1:40">
      <c r="A219" s="1">
        <v>46030</v>
      </c>
      <c r="B219">
        <v>1</v>
      </c>
      <c r="C219">
        <v>10</v>
      </c>
      <c r="D219" t="s">
        <v>219</v>
      </c>
      <c r="E219" t="s">
        <v>41</v>
      </c>
      <c r="F219">
        <v>593537</v>
      </c>
      <c r="G219">
        <v>0</v>
      </c>
      <c r="H219" t="s">
        <v>48</v>
      </c>
      <c r="I219">
        <v>10682925</v>
      </c>
      <c r="J219">
        <v>4</v>
      </c>
      <c r="K219">
        <v>56.5</v>
      </c>
      <c r="L219">
        <v>56.8</v>
      </c>
      <c r="M219">
        <v>1299</v>
      </c>
      <c r="N219" s="2">
        <v>69000</v>
      </c>
      <c r="O219">
        <v>230</v>
      </c>
      <c r="P219">
        <v>690</v>
      </c>
      <c r="Q219" s="2">
        <v>5196</v>
      </c>
      <c r="R219" s="2">
        <v>4600</v>
      </c>
      <c r="S219">
        <v>261</v>
      </c>
      <c r="T219" s="2">
        <v>43125</v>
      </c>
      <c r="U219" s="2">
        <v>25875</v>
      </c>
      <c r="V219">
        <v>295</v>
      </c>
      <c r="W219">
        <v>0</v>
      </c>
      <c r="X219">
        <v>0</v>
      </c>
      <c r="Y219">
        <v>0</v>
      </c>
      <c r="Z219">
        <v>6.5</v>
      </c>
      <c r="AA219">
        <v>2.2023984E-2</v>
      </c>
      <c r="AB219">
        <v>31.7</v>
      </c>
      <c r="AC219">
        <v>11.438416670000001</v>
      </c>
      <c r="AD219">
        <v>28.5</v>
      </c>
      <c r="AI219">
        <f>12 - Table1[[#This Row],[production_running]] - Table1[[#This Row],[ change_full_set ]] - Table1[[#This Row],[ change_half_set ]] - Table1[[#This Row],[ change_parts ]] - Table1[[#This Row],[ maintenance_dt ]] - Table1[[#This Row],[production_dt]]</f>
        <v>0.56158332999999949</v>
      </c>
      <c r="AK219" t="s">
        <v>197</v>
      </c>
      <c r="AM219">
        <v>3</v>
      </c>
      <c r="AN219">
        <f>INT(Table1[[#This Row],[reject_prod]]/Table1[[#This Row],[part_weight]] * 1000)</f>
        <v>114</v>
      </c>
    </row>
    <row r="220" spans="1:40">
      <c r="A220" s="1">
        <v>46030</v>
      </c>
      <c r="B220">
        <v>1</v>
      </c>
      <c r="C220">
        <v>11</v>
      </c>
      <c r="D220" t="s">
        <v>61</v>
      </c>
      <c r="E220" t="s">
        <v>46</v>
      </c>
      <c r="F220">
        <v>552181</v>
      </c>
      <c r="G220">
        <v>1</v>
      </c>
      <c r="H220" t="s">
        <v>49</v>
      </c>
      <c r="I220">
        <v>10682927</v>
      </c>
      <c r="J220">
        <v>6</v>
      </c>
      <c r="K220">
        <v>18.8</v>
      </c>
      <c r="L220">
        <v>18.8</v>
      </c>
      <c r="M220">
        <v>1533</v>
      </c>
      <c r="N220" s="2">
        <v>108000</v>
      </c>
      <c r="O220" s="2">
        <v>13770</v>
      </c>
      <c r="P220" s="2">
        <v>11610</v>
      </c>
      <c r="Q220" s="2">
        <v>9198</v>
      </c>
      <c r="R220" s="2">
        <v>10800</v>
      </c>
      <c r="S220">
        <v>203</v>
      </c>
      <c r="T220" s="2">
        <v>44010</v>
      </c>
      <c r="U220" s="2">
        <v>63990</v>
      </c>
      <c r="V220">
        <v>173</v>
      </c>
      <c r="W220">
        <v>0</v>
      </c>
      <c r="X220">
        <v>0</v>
      </c>
      <c r="Y220">
        <v>0</v>
      </c>
      <c r="Z220">
        <v>7.8</v>
      </c>
      <c r="AA220">
        <v>4.5106937999999999E-2</v>
      </c>
      <c r="AB220">
        <v>27.6</v>
      </c>
      <c r="AC220">
        <v>11.753</v>
      </c>
      <c r="AD220">
        <v>27</v>
      </c>
      <c r="AI220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0.24699999999999989</v>
      </c>
      <c r="AK220" t="s">
        <v>220</v>
      </c>
      <c r="AM220">
        <v>2</v>
      </c>
      <c r="AN220">
        <f>INT(Table1[[#This Row],[reject_prod]]/Table1[[#This Row],[part_weight]] * 1000)</f>
        <v>414</v>
      </c>
    </row>
    <row r="221" spans="1:40">
      <c r="A221" s="1">
        <v>46030</v>
      </c>
      <c r="B221">
        <v>1</v>
      </c>
      <c r="C221">
        <v>12</v>
      </c>
      <c r="D221" t="s">
        <v>67</v>
      </c>
      <c r="E221" t="s">
        <v>34</v>
      </c>
      <c r="F221">
        <v>620599</v>
      </c>
      <c r="G221">
        <v>0</v>
      </c>
      <c r="H221" t="s">
        <v>50</v>
      </c>
      <c r="I221">
        <v>10682928</v>
      </c>
      <c r="J221">
        <v>4</v>
      </c>
      <c r="K221">
        <v>55</v>
      </c>
      <c r="L221">
        <v>55</v>
      </c>
      <c r="M221">
        <v>1525</v>
      </c>
      <c r="N221" s="2">
        <v>72000</v>
      </c>
      <c r="O221" s="2">
        <v>1300</v>
      </c>
      <c r="P221">
        <v>125</v>
      </c>
      <c r="Q221" s="2">
        <v>6100</v>
      </c>
      <c r="R221" s="2">
        <v>7200</v>
      </c>
      <c r="S221">
        <v>396</v>
      </c>
      <c r="T221" s="2">
        <v>46925</v>
      </c>
      <c r="U221" s="2">
        <v>25075</v>
      </c>
      <c r="V221">
        <v>336</v>
      </c>
      <c r="W221">
        <v>0</v>
      </c>
      <c r="X221">
        <v>0</v>
      </c>
      <c r="Y221">
        <v>0</v>
      </c>
      <c r="Z221">
        <v>3.9</v>
      </c>
      <c r="AA221">
        <v>1.1624440999999999E-2</v>
      </c>
      <c r="AB221">
        <v>28</v>
      </c>
      <c r="AC221">
        <v>11.86111111</v>
      </c>
      <c r="AD221">
        <v>28</v>
      </c>
      <c r="AI221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0.13888889000000049</v>
      </c>
      <c r="AK221" t="s">
        <v>178</v>
      </c>
      <c r="AN221">
        <f>INT(Table1[[#This Row],[reject_prod]]/Table1[[#This Row],[part_weight]] * 1000)</f>
        <v>70</v>
      </c>
    </row>
    <row r="222" spans="1:40">
      <c r="A222" s="1">
        <v>46030</v>
      </c>
      <c r="B222">
        <v>1</v>
      </c>
      <c r="C222">
        <v>13</v>
      </c>
      <c r="D222" t="s">
        <v>61</v>
      </c>
      <c r="E222" t="s">
        <v>46</v>
      </c>
      <c r="F222">
        <v>586276</v>
      </c>
      <c r="G222">
        <v>0</v>
      </c>
      <c r="H222" t="s">
        <v>47</v>
      </c>
      <c r="I222">
        <v>10682930</v>
      </c>
      <c r="J222">
        <v>6</v>
      </c>
      <c r="K222">
        <v>12.3</v>
      </c>
      <c r="L222">
        <v>12.3</v>
      </c>
      <c r="M222">
        <v>1626</v>
      </c>
      <c r="N222" s="2">
        <v>162000</v>
      </c>
      <c r="O222" s="2">
        <v>7290</v>
      </c>
      <c r="P222">
        <v>810</v>
      </c>
      <c r="Q222" s="2">
        <v>9756</v>
      </c>
      <c r="R222" s="2">
        <v>16200</v>
      </c>
      <c r="S222">
        <v>199</v>
      </c>
      <c r="T222" s="2">
        <v>81810</v>
      </c>
      <c r="U222" s="2">
        <v>80190</v>
      </c>
      <c r="V222">
        <v>120</v>
      </c>
      <c r="W222">
        <v>0</v>
      </c>
      <c r="X222">
        <v>0</v>
      </c>
      <c r="Y222">
        <v>0</v>
      </c>
      <c r="Z222">
        <v>0.8</v>
      </c>
      <c r="AA222">
        <v>6.6667330000000002E-3</v>
      </c>
      <c r="AB222">
        <v>26</v>
      </c>
      <c r="AC222">
        <v>11.74333333</v>
      </c>
      <c r="AD222">
        <v>26</v>
      </c>
      <c r="AI222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0.25666666999999954</v>
      </c>
      <c r="AK222" t="s">
        <v>51</v>
      </c>
      <c r="AN222">
        <f>INT(Table1[[#This Row],[reject_prod]]/Table1[[#This Row],[part_weight]] * 1000)</f>
        <v>65</v>
      </c>
    </row>
    <row r="223" spans="1:40">
      <c r="A223" s="1">
        <v>46030</v>
      </c>
      <c r="B223">
        <v>1</v>
      </c>
      <c r="C223">
        <v>14</v>
      </c>
      <c r="D223" t="s">
        <v>62</v>
      </c>
      <c r="E223" t="s">
        <v>46</v>
      </c>
      <c r="F223">
        <v>555979</v>
      </c>
      <c r="G223">
        <v>1</v>
      </c>
      <c r="H223" t="s">
        <v>52</v>
      </c>
      <c r="I223">
        <v>10682931</v>
      </c>
      <c r="J223">
        <v>6</v>
      </c>
      <c r="K223">
        <v>28</v>
      </c>
      <c r="L223">
        <v>28</v>
      </c>
      <c r="M223">
        <v>84</v>
      </c>
      <c r="N223" s="2">
        <v>100800</v>
      </c>
      <c r="O223" s="2">
        <v>2856</v>
      </c>
      <c r="P223">
        <v>0</v>
      </c>
      <c r="Q223">
        <v>504</v>
      </c>
      <c r="R223" s="2">
        <v>3360</v>
      </c>
      <c r="S223">
        <v>94</v>
      </c>
      <c r="T223" s="2">
        <v>100800</v>
      </c>
      <c r="U223">
        <v>0</v>
      </c>
      <c r="V223">
        <v>14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43.6</v>
      </c>
      <c r="AC223">
        <v>1.0173333330000001</v>
      </c>
      <c r="AD223">
        <v>42</v>
      </c>
      <c r="AI223">
        <f>12 - Table1[[#This Row],[production_running]] - Table1[[#This Row],[ change_full_set ]] - Table1[[#This Row],[ change_half_set ]] - Table1[[#This Row],[ change_parts ]] - Table1[[#This Row],[ maintenance_dt ]] - Table1[[#This Row],[production_dt]]</f>
        <v>10.982666667</v>
      </c>
      <c r="AK223" t="s">
        <v>102</v>
      </c>
      <c r="AM223">
        <v>7</v>
      </c>
      <c r="AN223">
        <f>INT(Table1[[#This Row],[reject_prod]]/Table1[[#This Row],[part_weight]] * 1000)</f>
        <v>0</v>
      </c>
    </row>
    <row r="224" spans="1:40">
      <c r="A224" s="1">
        <v>46030</v>
      </c>
      <c r="B224">
        <v>1</v>
      </c>
      <c r="C224">
        <v>14</v>
      </c>
      <c r="D224" t="s">
        <v>62</v>
      </c>
      <c r="E224" t="s">
        <v>46</v>
      </c>
      <c r="F224">
        <v>555979</v>
      </c>
      <c r="G224">
        <v>1</v>
      </c>
      <c r="H224" t="s">
        <v>52</v>
      </c>
      <c r="I224">
        <v>10682932</v>
      </c>
      <c r="J224">
        <v>6</v>
      </c>
      <c r="K224">
        <v>28</v>
      </c>
      <c r="L224">
        <v>28</v>
      </c>
      <c r="M224">
        <v>844</v>
      </c>
      <c r="N224" s="2">
        <v>100800</v>
      </c>
      <c r="O224">
        <v>0</v>
      </c>
      <c r="P224" s="2">
        <v>1512</v>
      </c>
      <c r="Q224" s="2">
        <v>5064</v>
      </c>
      <c r="R224" s="2">
        <v>3360</v>
      </c>
      <c r="S224">
        <v>94</v>
      </c>
      <c r="T224" s="2">
        <v>4872</v>
      </c>
      <c r="U224" s="2">
        <v>95928</v>
      </c>
      <c r="V224">
        <v>142</v>
      </c>
      <c r="W224">
        <v>0</v>
      </c>
      <c r="X224">
        <v>0</v>
      </c>
      <c r="Y224">
        <v>0</v>
      </c>
      <c r="Z224">
        <v>5.4</v>
      </c>
      <c r="AA224">
        <v>3.8083954000000003E-2</v>
      </c>
      <c r="AB224">
        <v>43.6</v>
      </c>
      <c r="AC224">
        <v>10.22177778</v>
      </c>
      <c r="AD224">
        <v>42</v>
      </c>
      <c r="AI224">
        <f>12 - Table1[[#This Row],[production_running]] - Table1[[#This Row],[ change_full_set ]] - Table1[[#This Row],[ change_half_set ]] - Table1[[#This Row],[ change_parts ]] - Table1[[#This Row],[ maintenance_dt ]] - Table1[[#This Row],[production_dt]]</f>
        <v>1.77822222</v>
      </c>
      <c r="AK224" t="s">
        <v>198</v>
      </c>
      <c r="AN224">
        <f>INT(Table1[[#This Row],[reject_prod]]/Table1[[#This Row],[part_weight]] * 1000)</f>
        <v>192</v>
      </c>
    </row>
    <row r="225" spans="1:40">
      <c r="A225" s="1">
        <v>46030</v>
      </c>
      <c r="B225">
        <v>1</v>
      </c>
      <c r="C225">
        <v>15</v>
      </c>
      <c r="D225" t="s">
        <v>61</v>
      </c>
      <c r="E225" t="s">
        <v>46</v>
      </c>
      <c r="F225">
        <v>552181</v>
      </c>
      <c r="G225">
        <v>2</v>
      </c>
      <c r="H225" t="s">
        <v>49</v>
      </c>
      <c r="I225">
        <v>10682927</v>
      </c>
      <c r="J225">
        <v>6</v>
      </c>
      <c r="K225">
        <v>18.8</v>
      </c>
      <c r="L225">
        <v>18.8</v>
      </c>
      <c r="M225">
        <v>1350</v>
      </c>
      <c r="N225" s="2">
        <v>108000</v>
      </c>
      <c r="O225" s="2">
        <v>13230</v>
      </c>
      <c r="P225" s="2">
        <v>11070</v>
      </c>
      <c r="Q225" s="2">
        <v>8100</v>
      </c>
      <c r="R225" s="2">
        <v>10800</v>
      </c>
      <c r="S225">
        <v>203</v>
      </c>
      <c r="T225" s="2">
        <v>27270</v>
      </c>
      <c r="U225" s="2">
        <v>80730</v>
      </c>
      <c r="V225">
        <v>152</v>
      </c>
      <c r="W225">
        <v>0</v>
      </c>
      <c r="X225">
        <v>0</v>
      </c>
      <c r="Y225">
        <v>0</v>
      </c>
      <c r="Z225">
        <v>1.2</v>
      </c>
      <c r="AA225">
        <v>7.8802209999999998E-3</v>
      </c>
      <c r="AB225">
        <v>31.2</v>
      </c>
      <c r="AC225">
        <v>11.7</v>
      </c>
      <c r="AD225">
        <v>27</v>
      </c>
      <c r="AI225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0.30000000000000071</v>
      </c>
      <c r="AK225" t="s">
        <v>176</v>
      </c>
      <c r="AN225">
        <f>INT(Table1[[#This Row],[reject_prod]]/Table1[[#This Row],[part_weight]] * 1000)</f>
        <v>63</v>
      </c>
    </row>
    <row r="226" spans="1:40">
      <c r="A226" s="1">
        <v>46030</v>
      </c>
      <c r="B226">
        <v>1</v>
      </c>
      <c r="C226">
        <v>16</v>
      </c>
      <c r="D226" t="s">
        <v>221</v>
      </c>
      <c r="E226" t="s">
        <v>46</v>
      </c>
      <c r="F226">
        <v>555979</v>
      </c>
      <c r="G226">
        <v>2</v>
      </c>
      <c r="H226" t="s">
        <v>52</v>
      </c>
      <c r="I226">
        <v>10682935</v>
      </c>
      <c r="J226">
        <v>6</v>
      </c>
      <c r="K226">
        <v>28</v>
      </c>
      <c r="L226">
        <v>28</v>
      </c>
      <c r="M226">
        <v>960</v>
      </c>
      <c r="N226" s="2">
        <v>100800</v>
      </c>
      <c r="O226" s="2">
        <v>1680</v>
      </c>
      <c r="P226">
        <v>336</v>
      </c>
      <c r="Q226" s="2">
        <v>5760</v>
      </c>
      <c r="R226" s="2">
        <v>6720</v>
      </c>
      <c r="S226">
        <v>188</v>
      </c>
      <c r="T226" s="2">
        <v>47376</v>
      </c>
      <c r="U226" s="2">
        <v>53424</v>
      </c>
      <c r="V226">
        <v>161</v>
      </c>
      <c r="W226">
        <v>0</v>
      </c>
      <c r="X226">
        <v>0</v>
      </c>
      <c r="Y226">
        <v>0</v>
      </c>
      <c r="Z226">
        <v>11</v>
      </c>
      <c r="AA226">
        <v>6.8204365000000003E-2</v>
      </c>
      <c r="AB226">
        <v>43.7</v>
      </c>
      <c r="AC226">
        <v>11.653333330000001</v>
      </c>
      <c r="AD226">
        <v>42</v>
      </c>
      <c r="AI22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0.3466666699999994</v>
      </c>
      <c r="AK226" t="s">
        <v>222</v>
      </c>
      <c r="AN226">
        <f>INT(Table1[[#This Row],[reject_prod]]/Table1[[#This Row],[part_weight]] * 1000)</f>
        <v>392</v>
      </c>
    </row>
    <row r="227" spans="1:40">
      <c r="A227" s="1">
        <v>46030</v>
      </c>
      <c r="B227">
        <v>2</v>
      </c>
      <c r="C227">
        <v>1</v>
      </c>
      <c r="D227" t="s">
        <v>58</v>
      </c>
      <c r="E227" t="s">
        <v>34</v>
      </c>
      <c r="F227">
        <v>365091</v>
      </c>
      <c r="G227">
        <v>0</v>
      </c>
      <c r="H227" t="s">
        <v>189</v>
      </c>
      <c r="I227">
        <v>10682753</v>
      </c>
      <c r="J227">
        <v>4</v>
      </c>
      <c r="K227">
        <v>44</v>
      </c>
      <c r="L227">
        <v>44</v>
      </c>
      <c r="M227">
        <v>1470</v>
      </c>
      <c r="N227" s="2">
        <v>66885</v>
      </c>
      <c r="O227">
        <v>945</v>
      </c>
      <c r="P227">
        <v>420</v>
      </c>
      <c r="Q227" s="2">
        <v>5880</v>
      </c>
      <c r="R227" s="2">
        <v>6300</v>
      </c>
      <c r="S227">
        <v>277</v>
      </c>
      <c r="T227" s="2">
        <v>11760</v>
      </c>
      <c r="U227" s="2">
        <v>55125</v>
      </c>
      <c r="V227">
        <v>259</v>
      </c>
      <c r="W227">
        <v>0</v>
      </c>
      <c r="X227">
        <v>0</v>
      </c>
      <c r="Y227">
        <v>0</v>
      </c>
      <c r="Z227">
        <v>12</v>
      </c>
      <c r="AA227">
        <v>4.6382188999999997E-2</v>
      </c>
      <c r="AB227">
        <v>27.7</v>
      </c>
      <c r="AC227">
        <v>11.310833329999999</v>
      </c>
      <c r="AD227">
        <v>28.64</v>
      </c>
      <c r="AI227">
        <f>12 - Table1[[#This Row],[production_running]] - Table1[[#This Row],[ change_full_set ]] - Table1[[#This Row],[ change_half_set ]] - Table1[[#This Row],[ change_parts ]] - Table1[[#This Row],[ maintenance_dt ]] - Table1[[#This Row],[production_dt]]</f>
        <v>0.68916667000000054</v>
      </c>
      <c r="AK227" t="s">
        <v>75</v>
      </c>
      <c r="AN227">
        <f>INT(Table1[[#This Row],[reject_prod]]/Table1[[#This Row],[part_weight]] * 1000)</f>
        <v>272</v>
      </c>
    </row>
    <row r="228" spans="1:40">
      <c r="A228" s="1">
        <v>46030</v>
      </c>
      <c r="B228">
        <v>2</v>
      </c>
      <c r="C228">
        <v>2</v>
      </c>
      <c r="D228" t="s">
        <v>54</v>
      </c>
      <c r="E228" t="s">
        <v>34</v>
      </c>
      <c r="F228">
        <v>423215</v>
      </c>
      <c r="G228">
        <v>0</v>
      </c>
      <c r="H228" t="s">
        <v>156</v>
      </c>
      <c r="I228">
        <v>10682755</v>
      </c>
      <c r="J228">
        <v>4</v>
      </c>
      <c r="K228">
        <v>24</v>
      </c>
      <c r="L228">
        <v>24</v>
      </c>
      <c r="M228">
        <v>1560</v>
      </c>
      <c r="N228" s="2">
        <v>89112</v>
      </c>
      <c r="O228">
        <v>846</v>
      </c>
      <c r="P228">
        <v>282</v>
      </c>
      <c r="Q228" s="2">
        <v>6240</v>
      </c>
      <c r="R228" s="2">
        <v>6768</v>
      </c>
      <c r="S228">
        <v>162</v>
      </c>
      <c r="T228" s="2">
        <v>37506</v>
      </c>
      <c r="U228" s="2">
        <v>51606</v>
      </c>
      <c r="V228">
        <v>150</v>
      </c>
      <c r="W228">
        <v>0</v>
      </c>
      <c r="X228">
        <v>0</v>
      </c>
      <c r="Y228">
        <v>0</v>
      </c>
      <c r="Z228">
        <v>3.4</v>
      </c>
      <c r="AA228">
        <v>2.2702990999999999E-2</v>
      </c>
      <c r="AB228">
        <v>27.3</v>
      </c>
      <c r="AC228">
        <v>11.83</v>
      </c>
      <c r="AD228">
        <v>22</v>
      </c>
      <c r="AI228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0.16999999999999993</v>
      </c>
      <c r="AK228" t="s">
        <v>168</v>
      </c>
      <c r="AN228">
        <f>INT(Table1[[#This Row],[reject_prod]]/Table1[[#This Row],[part_weight]] * 1000)</f>
        <v>141</v>
      </c>
    </row>
    <row r="229" spans="1:40">
      <c r="A229" s="1">
        <v>46030</v>
      </c>
      <c r="B229">
        <v>2</v>
      </c>
      <c r="C229">
        <v>3</v>
      </c>
      <c r="D229" t="s">
        <v>117</v>
      </c>
      <c r="E229" t="s">
        <v>34</v>
      </c>
      <c r="F229">
        <v>442034</v>
      </c>
      <c r="G229">
        <v>0</v>
      </c>
      <c r="H229" t="s">
        <v>37</v>
      </c>
      <c r="I229">
        <v>10681183</v>
      </c>
      <c r="J229">
        <v>4</v>
      </c>
      <c r="K229">
        <v>23</v>
      </c>
      <c r="L229">
        <v>23</v>
      </c>
      <c r="M229">
        <v>1632</v>
      </c>
      <c r="N229" s="2">
        <v>139776</v>
      </c>
      <c r="O229" s="2">
        <v>2688</v>
      </c>
      <c r="P229">
        <v>0</v>
      </c>
      <c r="Q229" s="2">
        <v>6528</v>
      </c>
      <c r="R229" s="2">
        <v>9216</v>
      </c>
      <c r="S229">
        <v>212</v>
      </c>
      <c r="T229" s="2">
        <v>36864</v>
      </c>
      <c r="U229" s="2">
        <v>102912</v>
      </c>
      <c r="V229">
        <v>150</v>
      </c>
      <c r="W229">
        <v>0</v>
      </c>
      <c r="X229">
        <v>0</v>
      </c>
      <c r="Y229">
        <v>0</v>
      </c>
      <c r="Z229">
        <v>4.5999999999999996</v>
      </c>
      <c r="AA229">
        <v>3.0637254999999999E-2</v>
      </c>
      <c r="AB229">
        <v>25.9</v>
      </c>
      <c r="AC229">
        <v>11.74133333</v>
      </c>
      <c r="AD229">
        <v>22</v>
      </c>
      <c r="AI229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0.25866667000000021</v>
      </c>
      <c r="AK229" t="s">
        <v>223</v>
      </c>
      <c r="AN229">
        <f>INT(Table1[[#This Row],[reject_prod]]/Table1[[#This Row],[part_weight]] * 1000)</f>
        <v>200</v>
      </c>
    </row>
    <row r="230" spans="1:40">
      <c r="A230" s="1">
        <v>46030</v>
      </c>
      <c r="B230">
        <v>2</v>
      </c>
      <c r="C230">
        <v>4</v>
      </c>
      <c r="F230">
        <v>123456</v>
      </c>
      <c r="G230">
        <v>0</v>
      </c>
      <c r="M230">
        <v>0</v>
      </c>
      <c r="N230">
        <v>0</v>
      </c>
      <c r="O230">
        <v>0</v>
      </c>
      <c r="P230">
        <v>0</v>
      </c>
      <c r="R230">
        <v>0</v>
      </c>
      <c r="T230">
        <v>0</v>
      </c>
      <c r="X230">
        <v>0</v>
      </c>
      <c r="Z230">
        <v>0</v>
      </c>
      <c r="AB230">
        <v>0</v>
      </c>
      <c r="AC230">
        <v>0</v>
      </c>
      <c r="AD230">
        <v>22.5</v>
      </c>
      <c r="AI230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230">
        <v>12</v>
      </c>
      <c r="AK230" t="s">
        <v>116</v>
      </c>
      <c r="AN230">
        <v>0</v>
      </c>
    </row>
    <row r="231" spans="1:40">
      <c r="A231" s="1">
        <v>46030</v>
      </c>
      <c r="B231">
        <v>2</v>
      </c>
      <c r="C231">
        <v>5</v>
      </c>
      <c r="D231" t="s">
        <v>53</v>
      </c>
      <c r="E231" t="s">
        <v>34</v>
      </c>
      <c r="F231">
        <v>611949</v>
      </c>
      <c r="G231">
        <v>0</v>
      </c>
      <c r="H231" t="s">
        <v>38</v>
      </c>
      <c r="I231">
        <v>10680235</v>
      </c>
      <c r="J231">
        <v>4</v>
      </c>
      <c r="K231">
        <v>20</v>
      </c>
      <c r="L231">
        <v>20</v>
      </c>
      <c r="M231">
        <v>1790</v>
      </c>
      <c r="N231" s="2">
        <v>83600</v>
      </c>
      <c r="O231" s="2">
        <v>3300</v>
      </c>
      <c r="P231" s="2">
        <v>3850</v>
      </c>
      <c r="Q231" s="2">
        <v>7160</v>
      </c>
      <c r="R231" s="2">
        <v>6600</v>
      </c>
      <c r="S231">
        <v>132</v>
      </c>
      <c r="T231" s="2">
        <v>63250</v>
      </c>
      <c r="U231" s="2">
        <v>20350</v>
      </c>
      <c r="V231">
        <v>143</v>
      </c>
      <c r="W231">
        <v>0</v>
      </c>
      <c r="X231">
        <v>0</v>
      </c>
      <c r="Y231">
        <v>0</v>
      </c>
      <c r="Z231">
        <v>3.2</v>
      </c>
      <c r="AA231">
        <v>2.2346369000000001E-2</v>
      </c>
      <c r="AB231">
        <v>23.6</v>
      </c>
      <c r="AC231">
        <v>11.734444440000001</v>
      </c>
      <c r="AD231">
        <v>21.64</v>
      </c>
      <c r="AI231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0.26555555999999925</v>
      </c>
      <c r="AK231" t="s">
        <v>193</v>
      </c>
      <c r="AN231">
        <f>INT(Table1[[#This Row],[reject_prod]]/Table1[[#This Row],[part_weight]] * 1000)</f>
        <v>160</v>
      </c>
    </row>
    <row r="232" spans="1:40">
      <c r="A232" s="1">
        <v>46030</v>
      </c>
      <c r="B232">
        <v>2</v>
      </c>
      <c r="C232">
        <v>6</v>
      </c>
      <c r="D232" t="s">
        <v>224</v>
      </c>
      <c r="E232" t="s">
        <v>34</v>
      </c>
      <c r="F232">
        <v>579471</v>
      </c>
      <c r="G232">
        <v>0</v>
      </c>
      <c r="H232" t="s">
        <v>105</v>
      </c>
      <c r="I232">
        <v>10681843</v>
      </c>
      <c r="J232">
        <v>4</v>
      </c>
      <c r="K232">
        <v>24</v>
      </c>
      <c r="L232">
        <v>24</v>
      </c>
      <c r="M232">
        <v>1890</v>
      </c>
      <c r="N232" s="2">
        <v>50400</v>
      </c>
      <c r="O232" s="2">
        <v>4536</v>
      </c>
      <c r="P232">
        <v>0</v>
      </c>
      <c r="Q232" s="2">
        <v>7560</v>
      </c>
      <c r="R232" s="2">
        <v>12096</v>
      </c>
      <c r="S232">
        <v>290</v>
      </c>
      <c r="T232" s="2">
        <v>48384</v>
      </c>
      <c r="U232" s="2">
        <v>2016</v>
      </c>
      <c r="V232">
        <v>181</v>
      </c>
      <c r="W232">
        <v>0</v>
      </c>
      <c r="X232">
        <v>0</v>
      </c>
      <c r="Y232">
        <v>0</v>
      </c>
      <c r="Z232">
        <v>1.2</v>
      </c>
      <c r="AA232">
        <v>6.6137569999999996E-3</v>
      </c>
      <c r="AB232">
        <v>22.4</v>
      </c>
      <c r="AC232">
        <v>11.76</v>
      </c>
      <c r="AD232">
        <v>23</v>
      </c>
      <c r="AI232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0.24000000000000021</v>
      </c>
      <c r="AK232" t="s">
        <v>103</v>
      </c>
      <c r="AN232">
        <f>INT(Table1[[#This Row],[reject_prod]]/Table1[[#This Row],[part_weight]] * 1000)</f>
        <v>50</v>
      </c>
    </row>
    <row r="233" spans="1:40">
      <c r="A233" s="1">
        <v>46030</v>
      </c>
      <c r="B233">
        <v>2</v>
      </c>
      <c r="C233">
        <v>7</v>
      </c>
      <c r="D233" t="s">
        <v>225</v>
      </c>
      <c r="E233" t="s">
        <v>34</v>
      </c>
      <c r="F233">
        <v>322435</v>
      </c>
      <c r="G233">
        <v>0</v>
      </c>
      <c r="H233" t="s">
        <v>216</v>
      </c>
      <c r="I233">
        <v>10682760</v>
      </c>
      <c r="J233">
        <v>4</v>
      </c>
      <c r="K233">
        <v>34.5</v>
      </c>
      <c r="L233">
        <v>34.5</v>
      </c>
      <c r="M233">
        <v>1910</v>
      </c>
      <c r="N233" s="2">
        <v>17640</v>
      </c>
      <c r="O233" s="2">
        <v>1260</v>
      </c>
      <c r="P233">
        <v>0</v>
      </c>
      <c r="Q233" s="2">
        <v>7640</v>
      </c>
      <c r="R233" s="2">
        <v>8820</v>
      </c>
      <c r="S233">
        <v>304</v>
      </c>
      <c r="T233" s="2">
        <v>8820</v>
      </c>
      <c r="U233" s="2">
        <v>8820</v>
      </c>
      <c r="V233">
        <v>264</v>
      </c>
      <c r="W233">
        <v>0</v>
      </c>
      <c r="X233">
        <v>0</v>
      </c>
      <c r="Y233">
        <v>0</v>
      </c>
      <c r="Z233">
        <v>11.3</v>
      </c>
      <c r="AA233">
        <v>4.2871235000000001E-2</v>
      </c>
      <c r="AB233">
        <v>21.98</v>
      </c>
      <c r="AC233">
        <v>11.661611110000001</v>
      </c>
      <c r="AD233">
        <v>22</v>
      </c>
      <c r="AI233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0.33838888999999917</v>
      </c>
      <c r="AK233" t="s">
        <v>226</v>
      </c>
      <c r="AN233">
        <f>INT(Table1[[#This Row],[reject_prod]]/Table1[[#This Row],[part_weight]] * 1000)</f>
        <v>327</v>
      </c>
    </row>
    <row r="234" spans="1:40">
      <c r="A234" s="1">
        <v>46030</v>
      </c>
      <c r="B234">
        <v>2</v>
      </c>
      <c r="C234">
        <v>8</v>
      </c>
      <c r="D234" t="s">
        <v>84</v>
      </c>
      <c r="E234" t="s">
        <v>34</v>
      </c>
      <c r="F234">
        <v>323102</v>
      </c>
      <c r="G234">
        <v>0</v>
      </c>
      <c r="H234" t="s">
        <v>45</v>
      </c>
      <c r="I234">
        <v>10683894</v>
      </c>
      <c r="J234">
        <v>4</v>
      </c>
      <c r="K234">
        <v>56.9</v>
      </c>
      <c r="L234">
        <v>56.9</v>
      </c>
      <c r="M234">
        <v>1560</v>
      </c>
      <c r="N234" s="2">
        <v>38400</v>
      </c>
      <c r="O234">
        <v>0</v>
      </c>
      <c r="P234">
        <v>160</v>
      </c>
      <c r="Q234" s="2">
        <v>6240</v>
      </c>
      <c r="R234" s="2">
        <v>6080</v>
      </c>
      <c r="S234">
        <v>346</v>
      </c>
      <c r="T234" s="2">
        <v>11680</v>
      </c>
      <c r="U234" s="2">
        <v>26720</v>
      </c>
      <c r="V234">
        <v>355</v>
      </c>
      <c r="W234">
        <v>0</v>
      </c>
      <c r="X234">
        <v>0</v>
      </c>
      <c r="Y234">
        <v>0</v>
      </c>
      <c r="Z234">
        <v>3.5</v>
      </c>
      <c r="AA234">
        <v>9.8575999999999993E-3</v>
      </c>
      <c r="AB234">
        <v>27.9</v>
      </c>
      <c r="AC234">
        <v>12</v>
      </c>
      <c r="AD234">
        <v>26</v>
      </c>
      <c r="AI234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234" t="s">
        <v>227</v>
      </c>
      <c r="AN234">
        <f>INT(Table1[[#This Row],[reject_prod]]/Table1[[#This Row],[part_weight]] * 1000)</f>
        <v>61</v>
      </c>
    </row>
    <row r="235" spans="1:40">
      <c r="A235" s="1">
        <v>46030</v>
      </c>
      <c r="B235">
        <v>2</v>
      </c>
      <c r="C235">
        <v>9</v>
      </c>
      <c r="D235" t="s">
        <v>56</v>
      </c>
      <c r="E235" t="s">
        <v>46</v>
      </c>
      <c r="F235">
        <v>586276</v>
      </c>
      <c r="G235">
        <v>0</v>
      </c>
      <c r="H235" t="s">
        <v>47</v>
      </c>
      <c r="I235">
        <v>10682923</v>
      </c>
      <c r="J235">
        <v>6</v>
      </c>
      <c r="K235">
        <v>12.3</v>
      </c>
      <c r="L235">
        <v>12.3</v>
      </c>
      <c r="M235">
        <v>1620</v>
      </c>
      <c r="N235" s="2">
        <v>162000</v>
      </c>
      <c r="O235" s="2">
        <v>4050</v>
      </c>
      <c r="P235" s="2">
        <v>5670</v>
      </c>
      <c r="Q235" s="2">
        <v>9720</v>
      </c>
      <c r="R235" s="2">
        <v>8100</v>
      </c>
      <c r="S235">
        <v>100</v>
      </c>
      <c r="T235" s="2">
        <v>151470</v>
      </c>
      <c r="U235" s="2">
        <v>10530</v>
      </c>
      <c r="V235">
        <v>120</v>
      </c>
      <c r="W235">
        <v>0</v>
      </c>
      <c r="X235">
        <v>0</v>
      </c>
      <c r="Y235">
        <v>0</v>
      </c>
      <c r="Z235">
        <v>1.2</v>
      </c>
      <c r="AA235">
        <v>1.0037137E-2</v>
      </c>
      <c r="AB235">
        <v>26.2</v>
      </c>
      <c r="AC235">
        <v>11.79</v>
      </c>
      <c r="AD235">
        <v>26</v>
      </c>
      <c r="AI235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0.21000000000000085</v>
      </c>
      <c r="AK235" t="s">
        <v>51</v>
      </c>
      <c r="AN235">
        <f>INT(Table1[[#This Row],[reject_prod]]/Table1[[#This Row],[part_weight]] * 1000)</f>
        <v>97</v>
      </c>
    </row>
    <row r="236" spans="1:40">
      <c r="A236" s="1">
        <v>46030</v>
      </c>
      <c r="B236">
        <v>2</v>
      </c>
      <c r="C236">
        <v>10</v>
      </c>
      <c r="D236" t="s">
        <v>228</v>
      </c>
      <c r="E236" t="s">
        <v>41</v>
      </c>
      <c r="F236">
        <v>593537</v>
      </c>
      <c r="G236">
        <v>0</v>
      </c>
      <c r="H236" t="s">
        <v>48</v>
      </c>
      <c r="I236">
        <v>10682925</v>
      </c>
      <c r="J236">
        <v>4</v>
      </c>
      <c r="K236">
        <v>56.5</v>
      </c>
      <c r="L236">
        <v>56.8</v>
      </c>
      <c r="M236">
        <v>1335</v>
      </c>
      <c r="N236" s="2">
        <v>69000</v>
      </c>
      <c r="O236">
        <v>690</v>
      </c>
      <c r="P236">
        <v>345</v>
      </c>
      <c r="Q236" s="2">
        <v>5340</v>
      </c>
      <c r="R236" s="2">
        <v>5750</v>
      </c>
      <c r="S236">
        <v>327</v>
      </c>
      <c r="T236" s="2">
        <v>49220</v>
      </c>
      <c r="U236" s="2">
        <v>19780</v>
      </c>
      <c r="V236">
        <v>303</v>
      </c>
      <c r="W236">
        <v>-2</v>
      </c>
      <c r="X236">
        <v>0</v>
      </c>
      <c r="Y236">
        <v>0</v>
      </c>
      <c r="Z236">
        <v>8</v>
      </c>
      <c r="AA236">
        <v>2.6375480999999999E-2</v>
      </c>
      <c r="AB236">
        <v>31.7</v>
      </c>
      <c r="AC236">
        <v>11.755416670000001</v>
      </c>
      <c r="AD236">
        <v>28.5</v>
      </c>
      <c r="AI23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0.24458332999999932</v>
      </c>
      <c r="AK236" t="s">
        <v>229</v>
      </c>
      <c r="AN236">
        <f>INT(Table1[[#This Row],[reject_prod]]/Table1[[#This Row],[part_weight]] * 1000)</f>
        <v>140</v>
      </c>
    </row>
    <row r="237" spans="1:40">
      <c r="A237" s="1">
        <v>46030</v>
      </c>
      <c r="B237">
        <v>2</v>
      </c>
      <c r="C237">
        <v>11</v>
      </c>
      <c r="D237" t="s">
        <v>139</v>
      </c>
      <c r="E237" t="s">
        <v>46</v>
      </c>
      <c r="F237">
        <v>552181</v>
      </c>
      <c r="G237">
        <v>1</v>
      </c>
      <c r="H237" t="s">
        <v>49</v>
      </c>
      <c r="I237">
        <v>10682927</v>
      </c>
      <c r="J237">
        <v>6</v>
      </c>
      <c r="K237">
        <v>18.8</v>
      </c>
      <c r="L237">
        <v>18.8</v>
      </c>
      <c r="M237">
        <v>1530</v>
      </c>
      <c r="N237" s="2">
        <v>108000</v>
      </c>
      <c r="O237" s="2">
        <v>11610</v>
      </c>
      <c r="P237" s="2">
        <v>9990</v>
      </c>
      <c r="Q237" s="2">
        <v>9180</v>
      </c>
      <c r="R237" s="2">
        <v>10800</v>
      </c>
      <c r="S237">
        <v>203</v>
      </c>
      <c r="T237" s="2">
        <v>53190</v>
      </c>
      <c r="U237" s="2">
        <v>54810</v>
      </c>
      <c r="V237">
        <v>173</v>
      </c>
      <c r="W237">
        <v>0</v>
      </c>
      <c r="X237">
        <v>0</v>
      </c>
      <c r="Y237">
        <v>0</v>
      </c>
      <c r="Z237">
        <v>1</v>
      </c>
      <c r="AA237">
        <v>5.7942799999999997E-3</v>
      </c>
      <c r="AB237">
        <v>27.6</v>
      </c>
      <c r="AC237">
        <v>11.73</v>
      </c>
      <c r="AD237">
        <v>27</v>
      </c>
      <c r="AI237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0.26999999999999957</v>
      </c>
      <c r="AK237" t="s">
        <v>51</v>
      </c>
      <c r="AN237">
        <f>INT(Table1[[#This Row],[reject_prod]]/Table1[[#This Row],[part_weight]] * 1000)</f>
        <v>53</v>
      </c>
    </row>
    <row r="238" spans="1:40">
      <c r="A238" s="1">
        <v>46030</v>
      </c>
      <c r="B238">
        <v>2</v>
      </c>
      <c r="C238">
        <v>12</v>
      </c>
      <c r="D238" t="s">
        <v>59</v>
      </c>
      <c r="E238" t="s">
        <v>34</v>
      </c>
      <c r="F238">
        <v>620599</v>
      </c>
      <c r="G238">
        <v>0</v>
      </c>
      <c r="H238" t="s">
        <v>50</v>
      </c>
      <c r="I238">
        <v>10682928</v>
      </c>
      <c r="J238">
        <v>4</v>
      </c>
      <c r="K238">
        <v>55</v>
      </c>
      <c r="L238">
        <v>55</v>
      </c>
      <c r="M238">
        <v>1545</v>
      </c>
      <c r="N238" s="2">
        <v>72000</v>
      </c>
      <c r="O238">
        <v>125</v>
      </c>
      <c r="P238">
        <v>900</v>
      </c>
      <c r="Q238" s="2">
        <v>6180</v>
      </c>
      <c r="R238" s="2">
        <v>5400</v>
      </c>
      <c r="S238">
        <v>297</v>
      </c>
      <c r="T238" s="2">
        <v>53100</v>
      </c>
      <c r="U238" s="2">
        <v>18900</v>
      </c>
      <c r="V238">
        <v>340</v>
      </c>
      <c r="W238">
        <v>0</v>
      </c>
      <c r="X238">
        <v>0</v>
      </c>
      <c r="Y238">
        <v>0</v>
      </c>
      <c r="Z238">
        <v>4.3</v>
      </c>
      <c r="AA238">
        <v>1.265078E-2</v>
      </c>
      <c r="AB238">
        <v>28</v>
      </c>
      <c r="AC238">
        <v>12</v>
      </c>
      <c r="AD238">
        <v>28</v>
      </c>
      <c r="AI238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238" t="s">
        <v>230</v>
      </c>
      <c r="AN238">
        <f>INT(Table1[[#This Row],[reject_prod]]/Table1[[#This Row],[part_weight]] * 1000)</f>
        <v>78</v>
      </c>
    </row>
    <row r="239" spans="1:40">
      <c r="A239" s="1">
        <v>46030</v>
      </c>
      <c r="B239">
        <v>2</v>
      </c>
      <c r="C239">
        <v>13</v>
      </c>
      <c r="D239" t="s">
        <v>139</v>
      </c>
      <c r="E239" t="s">
        <v>46</v>
      </c>
      <c r="F239">
        <v>586276</v>
      </c>
      <c r="G239">
        <v>0</v>
      </c>
      <c r="H239" t="s">
        <v>47</v>
      </c>
      <c r="I239">
        <v>10682930</v>
      </c>
      <c r="J239">
        <v>6</v>
      </c>
      <c r="K239">
        <v>12.3</v>
      </c>
      <c r="L239">
        <v>12.3</v>
      </c>
      <c r="M239">
        <v>1560</v>
      </c>
      <c r="N239" s="2">
        <v>162000</v>
      </c>
      <c r="O239">
        <v>810</v>
      </c>
      <c r="P239" s="2">
        <v>2025</v>
      </c>
      <c r="Q239" s="2">
        <v>9360</v>
      </c>
      <c r="R239" s="2">
        <v>8100</v>
      </c>
      <c r="S239">
        <v>100</v>
      </c>
      <c r="T239" s="2">
        <v>91125</v>
      </c>
      <c r="U239" s="2">
        <v>70875</v>
      </c>
      <c r="V239">
        <v>115</v>
      </c>
      <c r="W239">
        <v>0</v>
      </c>
      <c r="X239">
        <v>0</v>
      </c>
      <c r="Y239">
        <v>0</v>
      </c>
      <c r="Z239">
        <v>1.2</v>
      </c>
      <c r="AA239">
        <v>1.0423181E-2</v>
      </c>
      <c r="AB239">
        <v>26.43</v>
      </c>
      <c r="AC239">
        <v>11.452999999999999</v>
      </c>
      <c r="AD239">
        <v>26</v>
      </c>
      <c r="AI239">
        <f>12 - Table1[[#This Row],[production_running]] - Table1[[#This Row],[ change_full_set ]] - Table1[[#This Row],[ change_half_set ]] - Table1[[#This Row],[ change_parts ]] - Table1[[#This Row],[ maintenance_dt ]] - Table1[[#This Row],[production_dt]]</f>
        <v>0.5470000000000006</v>
      </c>
      <c r="AK239" t="s">
        <v>51</v>
      </c>
      <c r="AN239">
        <f>INT(Table1[[#This Row],[reject_prod]]/Table1[[#This Row],[part_weight]] * 1000)</f>
        <v>97</v>
      </c>
    </row>
    <row r="240" spans="1:40">
      <c r="A240" s="1">
        <v>46030</v>
      </c>
      <c r="B240">
        <v>2</v>
      </c>
      <c r="C240">
        <v>14</v>
      </c>
      <c r="D240" t="s">
        <v>224</v>
      </c>
      <c r="E240" t="s">
        <v>46</v>
      </c>
      <c r="F240">
        <v>555979</v>
      </c>
      <c r="G240">
        <v>1</v>
      </c>
      <c r="H240" t="s">
        <v>52</v>
      </c>
      <c r="I240">
        <v>10682932</v>
      </c>
      <c r="J240">
        <v>6</v>
      </c>
      <c r="K240">
        <v>28</v>
      </c>
      <c r="L240">
        <v>28</v>
      </c>
      <c r="M240">
        <v>980</v>
      </c>
      <c r="N240" s="2">
        <v>100800</v>
      </c>
      <c r="O240" s="2">
        <v>1512</v>
      </c>
      <c r="P240" s="2">
        <v>3192</v>
      </c>
      <c r="Q240" s="2">
        <v>5880</v>
      </c>
      <c r="R240" s="2">
        <v>3360</v>
      </c>
      <c r="S240">
        <v>94</v>
      </c>
      <c r="T240" s="2">
        <v>9912</v>
      </c>
      <c r="U240" s="2">
        <v>90888</v>
      </c>
      <c r="V240">
        <v>165</v>
      </c>
      <c r="W240">
        <v>0</v>
      </c>
      <c r="X240">
        <v>0</v>
      </c>
      <c r="Y240">
        <v>0</v>
      </c>
      <c r="Z240">
        <v>2</v>
      </c>
      <c r="AA240">
        <v>1.2147715999999999E-2</v>
      </c>
      <c r="AB240">
        <v>43.6</v>
      </c>
      <c r="AC240">
        <v>11.868888889999999</v>
      </c>
      <c r="AD240">
        <v>42</v>
      </c>
      <c r="AI240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0.13111111000000086</v>
      </c>
      <c r="AK240" t="s">
        <v>51</v>
      </c>
      <c r="AN240">
        <f>INT(Table1[[#This Row],[reject_prod]]/Table1[[#This Row],[part_weight]] * 1000)</f>
        <v>71</v>
      </c>
    </row>
    <row r="241" spans="1:40">
      <c r="A241" s="1">
        <v>46030</v>
      </c>
      <c r="B241">
        <v>2</v>
      </c>
      <c r="C241">
        <v>15</v>
      </c>
      <c r="D241" t="s">
        <v>139</v>
      </c>
      <c r="E241" t="s">
        <v>46</v>
      </c>
      <c r="F241">
        <v>552181</v>
      </c>
      <c r="G241">
        <v>2</v>
      </c>
      <c r="H241" t="s">
        <v>49</v>
      </c>
      <c r="I241">
        <v>10682934</v>
      </c>
      <c r="J241">
        <v>6</v>
      </c>
      <c r="K241">
        <v>18.8</v>
      </c>
      <c r="L241">
        <v>18.8</v>
      </c>
      <c r="M241">
        <v>1395</v>
      </c>
      <c r="N241" s="2">
        <v>108000</v>
      </c>
      <c r="O241" s="2">
        <v>11070</v>
      </c>
      <c r="P241" s="2">
        <v>14040</v>
      </c>
      <c r="Q241" s="2">
        <v>8370</v>
      </c>
      <c r="R241" s="2">
        <v>5400</v>
      </c>
      <c r="S241">
        <v>102</v>
      </c>
      <c r="T241" s="2">
        <v>35640</v>
      </c>
      <c r="U241" s="2">
        <v>72360</v>
      </c>
      <c r="V241">
        <v>157</v>
      </c>
      <c r="W241">
        <v>0</v>
      </c>
      <c r="X241">
        <v>0</v>
      </c>
      <c r="Y241">
        <v>0</v>
      </c>
      <c r="Z241">
        <v>1</v>
      </c>
      <c r="AA241">
        <v>6.3550170000000001E-3</v>
      </c>
      <c r="AB241">
        <v>31.2</v>
      </c>
      <c r="AC241">
        <v>12</v>
      </c>
      <c r="AD241">
        <v>27</v>
      </c>
      <c r="AI241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241" t="s">
        <v>51</v>
      </c>
      <c r="AN241">
        <f>INT(Table1[[#This Row],[reject_prod]]/Table1[[#This Row],[part_weight]] * 1000)</f>
        <v>53</v>
      </c>
    </row>
    <row r="242" spans="1:40">
      <c r="A242" s="1">
        <v>46030</v>
      </c>
      <c r="B242">
        <v>2</v>
      </c>
      <c r="C242">
        <v>16</v>
      </c>
      <c r="D242" t="s">
        <v>124</v>
      </c>
      <c r="E242" t="s">
        <v>46</v>
      </c>
      <c r="F242">
        <v>555979</v>
      </c>
      <c r="G242">
        <v>2</v>
      </c>
      <c r="H242" t="s">
        <v>52</v>
      </c>
      <c r="I242">
        <v>10682935</v>
      </c>
      <c r="J242">
        <v>6</v>
      </c>
      <c r="K242">
        <v>28</v>
      </c>
      <c r="L242">
        <v>28</v>
      </c>
      <c r="M242">
        <v>990</v>
      </c>
      <c r="N242" s="2">
        <v>100800</v>
      </c>
      <c r="O242">
        <v>336</v>
      </c>
      <c r="P242" s="2">
        <v>2856</v>
      </c>
      <c r="Q242" s="2">
        <v>5940</v>
      </c>
      <c r="R242" s="2">
        <v>3360</v>
      </c>
      <c r="S242">
        <v>94</v>
      </c>
      <c r="T242" s="2">
        <v>53256</v>
      </c>
      <c r="U242" s="2">
        <v>47544</v>
      </c>
      <c r="V242">
        <v>166</v>
      </c>
      <c r="W242">
        <v>0</v>
      </c>
      <c r="X242">
        <v>0</v>
      </c>
      <c r="Y242">
        <v>0</v>
      </c>
      <c r="Z242">
        <v>3.1</v>
      </c>
      <c r="AA242">
        <v>1.8638768999999999E-2</v>
      </c>
      <c r="AB242">
        <v>43.7</v>
      </c>
      <c r="AC242">
        <v>12</v>
      </c>
      <c r="AD242">
        <v>42</v>
      </c>
      <c r="AI242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242" t="s">
        <v>51</v>
      </c>
      <c r="AN242">
        <f>INT(Table1[[#This Row],[reject_prod]]/Table1[[#This Row],[part_weight]] * 1000)</f>
        <v>110</v>
      </c>
    </row>
    <row r="243" spans="1:40">
      <c r="A243" s="1">
        <v>46031</v>
      </c>
      <c r="B243">
        <v>1</v>
      </c>
      <c r="C243">
        <v>1</v>
      </c>
      <c r="D243" t="s">
        <v>141</v>
      </c>
      <c r="E243" t="s">
        <v>34</v>
      </c>
      <c r="F243">
        <v>365091</v>
      </c>
      <c r="G243">
        <v>0</v>
      </c>
      <c r="H243" t="s">
        <v>189</v>
      </c>
      <c r="I243">
        <v>10682753</v>
      </c>
      <c r="J243">
        <v>4</v>
      </c>
      <c r="K243">
        <v>44</v>
      </c>
      <c r="L243">
        <v>44</v>
      </c>
      <c r="M243">
        <v>1517</v>
      </c>
      <c r="N243" s="2">
        <v>66885</v>
      </c>
      <c r="O243">
        <v>420</v>
      </c>
      <c r="P243">
        <v>105</v>
      </c>
      <c r="Q243" s="2">
        <v>6068</v>
      </c>
      <c r="R243" s="2">
        <v>6300</v>
      </c>
      <c r="S243">
        <v>277</v>
      </c>
      <c r="T243" s="2">
        <v>17745</v>
      </c>
      <c r="U243" s="2">
        <v>49140</v>
      </c>
      <c r="V243">
        <v>267</v>
      </c>
      <c r="W243">
        <v>0</v>
      </c>
      <c r="X243">
        <v>0</v>
      </c>
      <c r="Y243">
        <v>0</v>
      </c>
      <c r="Z243">
        <v>3.2</v>
      </c>
      <c r="AA243">
        <v>1.1985378E-2</v>
      </c>
      <c r="AB243">
        <v>27.5</v>
      </c>
      <c r="AC243">
        <v>11.588194440000001</v>
      </c>
      <c r="AD243">
        <v>28.64</v>
      </c>
      <c r="AI243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0.41180555999999946</v>
      </c>
      <c r="AK243" t="s">
        <v>75</v>
      </c>
      <c r="AN243">
        <f>INT(Table1[[#This Row],[reject_prod]]/Table1[[#This Row],[part_weight]] * 1000)</f>
        <v>72</v>
      </c>
    </row>
    <row r="244" spans="1:40">
      <c r="A244" s="1">
        <v>46031</v>
      </c>
      <c r="B244">
        <v>1</v>
      </c>
      <c r="C244">
        <v>2</v>
      </c>
      <c r="D244" t="s">
        <v>112</v>
      </c>
      <c r="E244" t="s">
        <v>34</v>
      </c>
      <c r="F244">
        <v>423215</v>
      </c>
      <c r="G244">
        <v>0</v>
      </c>
      <c r="H244" t="s">
        <v>156</v>
      </c>
      <c r="I244">
        <v>10682755</v>
      </c>
      <c r="J244">
        <v>4</v>
      </c>
      <c r="K244">
        <v>24</v>
      </c>
      <c r="L244">
        <v>24</v>
      </c>
      <c r="M244">
        <v>1558</v>
      </c>
      <c r="N244" s="2">
        <v>89112</v>
      </c>
      <c r="O244">
        <v>282</v>
      </c>
      <c r="P244" s="2">
        <v>3102</v>
      </c>
      <c r="Q244" s="2">
        <v>6232</v>
      </c>
      <c r="R244" s="2">
        <v>3384</v>
      </c>
      <c r="S244">
        <v>81</v>
      </c>
      <c r="T244" s="2">
        <v>46812</v>
      </c>
      <c r="U244" s="2">
        <v>42300</v>
      </c>
      <c r="V244">
        <v>150</v>
      </c>
      <c r="W244">
        <v>0</v>
      </c>
      <c r="X244">
        <v>0</v>
      </c>
      <c r="Y244">
        <v>0</v>
      </c>
      <c r="Z244">
        <v>1.5</v>
      </c>
      <c r="AA244">
        <v>1.0028883000000001E-2</v>
      </c>
      <c r="AB244">
        <v>27.3</v>
      </c>
      <c r="AC244">
        <v>11.814833330000001</v>
      </c>
      <c r="AD244">
        <v>22</v>
      </c>
      <c r="AI244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0.1851666699999992</v>
      </c>
      <c r="AK244" t="s">
        <v>214</v>
      </c>
      <c r="AN244">
        <f>INT(Table1[[#This Row],[reject_prod]]/Table1[[#This Row],[part_weight]] * 1000)</f>
        <v>62</v>
      </c>
    </row>
    <row r="245" spans="1:40">
      <c r="A245" s="1">
        <v>46031</v>
      </c>
      <c r="B245">
        <v>1</v>
      </c>
      <c r="C245">
        <v>3</v>
      </c>
      <c r="D245" t="s">
        <v>152</v>
      </c>
      <c r="E245" t="s">
        <v>34</v>
      </c>
      <c r="F245">
        <v>442034</v>
      </c>
      <c r="G245">
        <v>0</v>
      </c>
      <c r="H245" t="s">
        <v>37</v>
      </c>
      <c r="I245">
        <v>10681183</v>
      </c>
      <c r="J245">
        <v>4</v>
      </c>
      <c r="K245">
        <v>23</v>
      </c>
      <c r="L245">
        <v>23</v>
      </c>
      <c r="M245">
        <v>1557</v>
      </c>
      <c r="N245" s="2">
        <v>139776</v>
      </c>
      <c r="O245">
        <v>0</v>
      </c>
      <c r="P245" s="2">
        <v>1536</v>
      </c>
      <c r="Q245" s="2">
        <v>6228</v>
      </c>
      <c r="R245" s="2">
        <v>4608</v>
      </c>
      <c r="S245">
        <v>106</v>
      </c>
      <c r="T245" s="2">
        <v>43008</v>
      </c>
      <c r="U245" s="2">
        <v>96768</v>
      </c>
      <c r="V245">
        <v>143</v>
      </c>
      <c r="W245">
        <v>0</v>
      </c>
      <c r="X245">
        <v>0</v>
      </c>
      <c r="Y245">
        <v>0</v>
      </c>
      <c r="Z245">
        <v>4.5</v>
      </c>
      <c r="AA245">
        <v>3.1414928000000002E-2</v>
      </c>
      <c r="AB245">
        <v>26.9</v>
      </c>
      <c r="AC245">
        <v>11.63425</v>
      </c>
      <c r="AD245">
        <v>22</v>
      </c>
      <c r="AI245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0.36575000000000024</v>
      </c>
      <c r="AK245" t="s">
        <v>211</v>
      </c>
      <c r="AL245">
        <v>4</v>
      </c>
      <c r="AM245">
        <v>2</v>
      </c>
      <c r="AN245">
        <f>INT(Table1[[#This Row],[reject_prod]]/Table1[[#This Row],[part_weight]] * 1000)</f>
        <v>195</v>
      </c>
    </row>
    <row r="246" spans="1:40">
      <c r="A246" s="1">
        <v>46031</v>
      </c>
      <c r="B246">
        <v>1</v>
      </c>
      <c r="C246">
        <v>4</v>
      </c>
      <c r="F246">
        <v>123456</v>
      </c>
      <c r="G246">
        <v>0</v>
      </c>
      <c r="M246">
        <v>0</v>
      </c>
      <c r="N246">
        <v>0</v>
      </c>
      <c r="O246">
        <v>0</v>
      </c>
      <c r="P246">
        <v>0</v>
      </c>
      <c r="R246">
        <v>0</v>
      </c>
      <c r="T246">
        <v>0</v>
      </c>
      <c r="X246">
        <v>0</v>
      </c>
      <c r="Z246">
        <v>0</v>
      </c>
      <c r="AB246">
        <v>0</v>
      </c>
      <c r="AC246">
        <v>0</v>
      </c>
      <c r="AD246">
        <v>22.5</v>
      </c>
      <c r="AI24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246">
        <v>12</v>
      </c>
      <c r="AK246" t="s">
        <v>116</v>
      </c>
      <c r="AN246">
        <v>0</v>
      </c>
    </row>
    <row r="247" spans="1:40">
      <c r="A247" s="1">
        <v>46031</v>
      </c>
      <c r="B247">
        <v>1</v>
      </c>
      <c r="C247">
        <v>5</v>
      </c>
      <c r="D247" t="s">
        <v>65</v>
      </c>
      <c r="E247" t="s">
        <v>34</v>
      </c>
      <c r="F247">
        <v>611949</v>
      </c>
      <c r="G247">
        <v>0</v>
      </c>
      <c r="H247" t="s">
        <v>38</v>
      </c>
      <c r="I247">
        <v>10680235</v>
      </c>
      <c r="J247">
        <v>4</v>
      </c>
      <c r="K247">
        <v>20</v>
      </c>
      <c r="L247">
        <v>20</v>
      </c>
      <c r="M247">
        <v>1797</v>
      </c>
      <c r="N247" s="2">
        <v>83600</v>
      </c>
      <c r="O247" s="2">
        <v>3850</v>
      </c>
      <c r="P247" s="2">
        <v>4400</v>
      </c>
      <c r="Q247" s="2">
        <v>7188</v>
      </c>
      <c r="R247" s="2">
        <v>6600</v>
      </c>
      <c r="S247">
        <v>132</v>
      </c>
      <c r="T247" s="2">
        <v>70400</v>
      </c>
      <c r="U247" s="2">
        <v>13200</v>
      </c>
      <c r="V247">
        <v>144</v>
      </c>
      <c r="W247">
        <v>0</v>
      </c>
      <c r="X247">
        <v>0</v>
      </c>
      <c r="Y247">
        <v>0</v>
      </c>
      <c r="Z247">
        <v>1.2</v>
      </c>
      <c r="AA247">
        <v>8.3472449999999997E-3</v>
      </c>
      <c r="AB247">
        <v>23.6</v>
      </c>
      <c r="AC247">
        <v>11.780333329999999</v>
      </c>
      <c r="AD247">
        <v>21.64</v>
      </c>
      <c r="AI247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0.21966667000000051</v>
      </c>
      <c r="AK247" t="s">
        <v>193</v>
      </c>
      <c r="AN247">
        <f>INT(Table1[[#This Row],[reject_prod]]/Table1[[#This Row],[part_weight]] * 1000)</f>
        <v>60</v>
      </c>
    </row>
    <row r="248" spans="1:40">
      <c r="A248" s="1">
        <v>46031</v>
      </c>
      <c r="B248">
        <v>1</v>
      </c>
      <c r="C248">
        <v>6</v>
      </c>
      <c r="D248" t="s">
        <v>231</v>
      </c>
      <c r="E248" t="s">
        <v>34</v>
      </c>
      <c r="F248">
        <v>579471</v>
      </c>
      <c r="G248">
        <v>0</v>
      </c>
      <c r="H248" t="s">
        <v>105</v>
      </c>
      <c r="I248">
        <v>10681843</v>
      </c>
      <c r="J248">
        <v>4</v>
      </c>
      <c r="K248">
        <v>24</v>
      </c>
      <c r="L248">
        <v>24</v>
      </c>
      <c r="M248">
        <v>504</v>
      </c>
      <c r="N248" s="2">
        <v>50400</v>
      </c>
      <c r="O248">
        <v>0</v>
      </c>
      <c r="P248">
        <v>0</v>
      </c>
      <c r="Q248" s="2">
        <v>2016</v>
      </c>
      <c r="R248" s="2">
        <v>2016</v>
      </c>
      <c r="S248">
        <v>48</v>
      </c>
      <c r="T248" s="2">
        <v>50400</v>
      </c>
      <c r="U248">
        <v>0</v>
      </c>
      <c r="V248">
        <v>48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22.4</v>
      </c>
      <c r="AC248">
        <v>3.1360000000000001</v>
      </c>
      <c r="AD248">
        <v>23</v>
      </c>
      <c r="AI248">
        <f>12 - Table1[[#This Row],[production_running]] - Table1[[#This Row],[ change_full_set ]] - Table1[[#This Row],[ change_half_set ]] - Table1[[#This Row],[ change_parts ]] - Table1[[#This Row],[ maintenance_dt ]] - Table1[[#This Row],[production_dt]]</f>
        <v>8.8640000000000008</v>
      </c>
      <c r="AK248" t="s">
        <v>232</v>
      </c>
      <c r="AN248">
        <f>INT(Table1[[#This Row],[reject_prod]]/Table1[[#This Row],[part_weight]] * 1000)</f>
        <v>0</v>
      </c>
    </row>
    <row r="249" spans="1:40">
      <c r="A249" s="1">
        <v>46031</v>
      </c>
      <c r="B249">
        <v>1</v>
      </c>
      <c r="C249">
        <v>6</v>
      </c>
      <c r="D249" t="s">
        <v>213</v>
      </c>
      <c r="E249" t="s">
        <v>34</v>
      </c>
      <c r="F249">
        <v>532981</v>
      </c>
      <c r="G249">
        <v>0</v>
      </c>
      <c r="H249" t="s">
        <v>233</v>
      </c>
      <c r="I249">
        <v>10682758</v>
      </c>
      <c r="J249">
        <v>4</v>
      </c>
      <c r="K249">
        <v>24.45</v>
      </c>
      <c r="L249">
        <v>24</v>
      </c>
      <c r="M249">
        <v>237</v>
      </c>
      <c r="N249" s="2">
        <v>87552</v>
      </c>
      <c r="O249">
        <v>0</v>
      </c>
      <c r="P249">
        <v>912</v>
      </c>
      <c r="Q249">
        <v>948</v>
      </c>
      <c r="R249">
        <v>0</v>
      </c>
      <c r="S249">
        <v>0</v>
      </c>
      <c r="T249">
        <v>912</v>
      </c>
      <c r="U249" s="2">
        <v>86640</v>
      </c>
      <c r="V249">
        <v>23</v>
      </c>
      <c r="W249">
        <v>0</v>
      </c>
      <c r="X249">
        <v>7</v>
      </c>
      <c r="Y249">
        <v>0.30766526</v>
      </c>
      <c r="Z249">
        <v>0.8</v>
      </c>
      <c r="AA249">
        <v>3.5161744000000002E-2</v>
      </c>
      <c r="AB249">
        <v>21.9</v>
      </c>
      <c r="AC249">
        <v>1.4417500000000001</v>
      </c>
      <c r="AD249">
        <v>20</v>
      </c>
      <c r="AF249">
        <v>2.5</v>
      </c>
      <c r="AI249">
        <f>12 - Table1[[#This Row],[production_running]] - Table1[[#This Row],[ change_full_set ]] - Table1[[#This Row],[ change_half_set ]] - Table1[[#This Row],[ change_parts ]] - Table1[[#This Row],[ maintenance_dt ]] - Table1[[#This Row],[production_dt]]</f>
        <v>8.0582499999999992</v>
      </c>
      <c r="AK249" t="s">
        <v>234</v>
      </c>
      <c r="AL249">
        <v>3</v>
      </c>
      <c r="AM249">
        <v>5</v>
      </c>
      <c r="AN249">
        <f>INT(Table1[[#This Row],[reject_prod]]/Table1[[#This Row],[part_weight]] * 1000)</f>
        <v>33</v>
      </c>
    </row>
    <row r="250" spans="1:40">
      <c r="A250" s="1">
        <v>46031</v>
      </c>
      <c r="B250">
        <v>1</v>
      </c>
      <c r="C250">
        <v>7</v>
      </c>
      <c r="D250" t="s">
        <v>235</v>
      </c>
      <c r="E250" t="s">
        <v>34</v>
      </c>
      <c r="F250">
        <v>322435</v>
      </c>
      <c r="G250">
        <v>0</v>
      </c>
      <c r="H250" t="s">
        <v>216</v>
      </c>
      <c r="I250">
        <v>10682760</v>
      </c>
      <c r="J250">
        <v>4</v>
      </c>
      <c r="K250">
        <v>34.5</v>
      </c>
      <c r="L250">
        <v>34.5</v>
      </c>
      <c r="M250">
        <v>1904</v>
      </c>
      <c r="N250" s="2">
        <v>17640</v>
      </c>
      <c r="O250">
        <v>0</v>
      </c>
      <c r="P250">
        <v>0</v>
      </c>
      <c r="Q250" s="2">
        <v>7616</v>
      </c>
      <c r="R250" s="2">
        <v>7350</v>
      </c>
      <c r="S250">
        <v>254</v>
      </c>
      <c r="T250" s="2">
        <v>16170</v>
      </c>
      <c r="U250" s="2">
        <v>1470</v>
      </c>
      <c r="V250">
        <v>263</v>
      </c>
      <c r="W250">
        <v>0</v>
      </c>
      <c r="X250">
        <v>0</v>
      </c>
      <c r="Y250">
        <v>0</v>
      </c>
      <c r="Z250">
        <v>9.1999999999999993</v>
      </c>
      <c r="AA250">
        <v>3.5014006E-2</v>
      </c>
      <c r="AB250">
        <v>22.5</v>
      </c>
      <c r="AC250">
        <v>11.9</v>
      </c>
      <c r="AD250">
        <v>22</v>
      </c>
      <c r="AI250">
        <f>12 - Table1[[#This Row],[production_running]] - Table1[[#This Row],[ change_full_set ]] - Table1[[#This Row],[ change_half_set ]] - Table1[[#This Row],[ change_parts ]] - Table1[[#This Row],[ maintenance_dt ]] - Table1[[#This Row],[production_dt]]</f>
        <v>9.9999999999999645E-2</v>
      </c>
      <c r="AK250" t="s">
        <v>236</v>
      </c>
      <c r="AN250">
        <f>INT(Table1[[#This Row],[reject_prod]]/Table1[[#This Row],[part_weight]] * 1000)</f>
        <v>266</v>
      </c>
    </row>
    <row r="251" spans="1:40">
      <c r="A251" s="1">
        <v>46031</v>
      </c>
      <c r="B251">
        <v>1</v>
      </c>
      <c r="C251">
        <v>8</v>
      </c>
      <c r="D251" t="s">
        <v>143</v>
      </c>
      <c r="E251" t="s">
        <v>34</v>
      </c>
      <c r="F251">
        <v>323102</v>
      </c>
      <c r="G251">
        <v>0</v>
      </c>
      <c r="H251" t="s">
        <v>45</v>
      </c>
      <c r="I251">
        <v>10683894</v>
      </c>
      <c r="J251">
        <v>4</v>
      </c>
      <c r="K251">
        <v>56.9</v>
      </c>
      <c r="L251">
        <v>56.9</v>
      </c>
      <c r="M251">
        <v>1571</v>
      </c>
      <c r="N251" s="2">
        <v>38400</v>
      </c>
      <c r="O251">
        <v>160</v>
      </c>
      <c r="P251">
        <v>0</v>
      </c>
      <c r="Q251" s="2">
        <v>6284</v>
      </c>
      <c r="R251" s="2">
        <v>6400</v>
      </c>
      <c r="S251">
        <v>364</v>
      </c>
      <c r="T251" s="2">
        <v>17920</v>
      </c>
      <c r="U251" s="2">
        <v>20480</v>
      </c>
      <c r="V251">
        <v>358</v>
      </c>
      <c r="W251">
        <v>0</v>
      </c>
      <c r="X251">
        <v>0</v>
      </c>
      <c r="Y251">
        <v>0</v>
      </c>
      <c r="Z251">
        <v>1.5</v>
      </c>
      <c r="AA251">
        <v>4.1951050000000002E-3</v>
      </c>
      <c r="AB251">
        <v>27.5</v>
      </c>
      <c r="AC251">
        <v>12</v>
      </c>
      <c r="AD251">
        <v>26</v>
      </c>
      <c r="AI251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251" t="s">
        <v>75</v>
      </c>
      <c r="AN251">
        <f>INT(Table1[[#This Row],[reject_prod]]/Table1[[#This Row],[part_weight]] * 1000)</f>
        <v>26</v>
      </c>
    </row>
    <row r="252" spans="1:40">
      <c r="A252" s="1">
        <v>46031</v>
      </c>
      <c r="B252">
        <v>1</v>
      </c>
      <c r="C252">
        <v>9</v>
      </c>
      <c r="D252" t="s">
        <v>67</v>
      </c>
      <c r="E252" t="s">
        <v>46</v>
      </c>
      <c r="F252">
        <v>586276</v>
      </c>
      <c r="G252">
        <v>0</v>
      </c>
      <c r="H252" t="s">
        <v>47</v>
      </c>
      <c r="I252">
        <v>10682923</v>
      </c>
      <c r="J252">
        <v>6</v>
      </c>
      <c r="K252">
        <v>12.3</v>
      </c>
      <c r="L252">
        <v>12.3</v>
      </c>
      <c r="M252">
        <v>1601</v>
      </c>
      <c r="N252" s="2">
        <v>162000</v>
      </c>
      <c r="O252" s="2">
        <v>5670</v>
      </c>
      <c r="P252" s="2">
        <v>6885</v>
      </c>
      <c r="Q252" s="2">
        <v>9606</v>
      </c>
      <c r="R252" s="2">
        <v>8100</v>
      </c>
      <c r="S252">
        <v>100</v>
      </c>
      <c r="T252" s="2">
        <v>160785</v>
      </c>
      <c r="U252" s="2">
        <v>1215</v>
      </c>
      <c r="V252">
        <v>118</v>
      </c>
      <c r="W252">
        <v>0</v>
      </c>
      <c r="X252">
        <v>0</v>
      </c>
      <c r="Y252">
        <v>0</v>
      </c>
      <c r="Z252">
        <v>2.1</v>
      </c>
      <c r="AA252">
        <v>1.7773443999999999E-2</v>
      </c>
      <c r="AB252">
        <v>26.2</v>
      </c>
      <c r="AC252">
        <v>11.65172222</v>
      </c>
      <c r="AD252">
        <v>26</v>
      </c>
      <c r="AI252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0.34827778000000009</v>
      </c>
      <c r="AK252" t="s">
        <v>237</v>
      </c>
      <c r="AL252">
        <v>1</v>
      </c>
      <c r="AM252">
        <v>1</v>
      </c>
      <c r="AN252">
        <f>INT(Table1[[#This Row],[reject_prod]]/Table1[[#This Row],[part_weight]] * 1000)</f>
        <v>170</v>
      </c>
    </row>
    <row r="253" spans="1:40">
      <c r="A253" s="1">
        <v>46031</v>
      </c>
      <c r="B253">
        <v>1</v>
      </c>
      <c r="C253">
        <v>10</v>
      </c>
      <c r="D253" t="s">
        <v>238</v>
      </c>
      <c r="E253" t="s">
        <v>41</v>
      </c>
      <c r="F253">
        <v>593537</v>
      </c>
      <c r="G253">
        <v>0</v>
      </c>
      <c r="H253" t="s">
        <v>48</v>
      </c>
      <c r="I253">
        <v>10682925</v>
      </c>
      <c r="J253">
        <v>4</v>
      </c>
      <c r="K253">
        <v>56.5</v>
      </c>
      <c r="L253">
        <v>56.8</v>
      </c>
      <c r="M253">
        <v>1336</v>
      </c>
      <c r="N253" s="2">
        <v>69000</v>
      </c>
      <c r="O253">
        <v>345</v>
      </c>
      <c r="P253">
        <v>345</v>
      </c>
      <c r="Q253" s="2">
        <v>5344</v>
      </c>
      <c r="R253" s="2">
        <v>5175</v>
      </c>
      <c r="S253">
        <v>294</v>
      </c>
      <c r="T253" s="2">
        <v>54050</v>
      </c>
      <c r="U253" s="2">
        <v>14950</v>
      </c>
      <c r="V253">
        <v>304</v>
      </c>
      <c r="W253">
        <v>0</v>
      </c>
      <c r="X253">
        <v>0</v>
      </c>
      <c r="Y253">
        <v>0</v>
      </c>
      <c r="Z253">
        <v>9.5</v>
      </c>
      <c r="AA253">
        <v>3.1297440000000003E-2</v>
      </c>
      <c r="AB253">
        <v>31.7</v>
      </c>
      <c r="AC253">
        <v>11.764222220000001</v>
      </c>
      <c r="AD253">
        <v>28.5</v>
      </c>
      <c r="AI253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0.23577777999999938</v>
      </c>
      <c r="AK253" t="s">
        <v>197</v>
      </c>
      <c r="AM253">
        <v>2</v>
      </c>
      <c r="AN253">
        <f>INT(Table1[[#This Row],[reject_prod]]/Table1[[#This Row],[part_weight]] * 1000)</f>
        <v>167</v>
      </c>
    </row>
    <row r="254" spans="1:40">
      <c r="A254" s="1">
        <v>46031</v>
      </c>
      <c r="B254">
        <v>1</v>
      </c>
      <c r="C254">
        <v>11</v>
      </c>
      <c r="D254" t="s">
        <v>61</v>
      </c>
      <c r="E254" t="s">
        <v>46</v>
      </c>
      <c r="F254">
        <v>552181</v>
      </c>
      <c r="G254">
        <v>1</v>
      </c>
      <c r="H254" t="s">
        <v>49</v>
      </c>
      <c r="I254">
        <v>10682927</v>
      </c>
      <c r="J254">
        <v>6</v>
      </c>
      <c r="K254">
        <v>18.8</v>
      </c>
      <c r="L254">
        <v>18.8</v>
      </c>
      <c r="M254">
        <v>1535</v>
      </c>
      <c r="N254" s="2">
        <v>108000</v>
      </c>
      <c r="O254" s="2">
        <v>9990</v>
      </c>
      <c r="P254" s="2">
        <v>13500</v>
      </c>
      <c r="Q254" s="2">
        <v>9210</v>
      </c>
      <c r="R254" s="2">
        <v>5400</v>
      </c>
      <c r="S254">
        <v>102</v>
      </c>
      <c r="T254" s="2">
        <v>62100</v>
      </c>
      <c r="U254" s="2">
        <v>45900</v>
      </c>
      <c r="V254">
        <v>173</v>
      </c>
      <c r="W254">
        <v>0</v>
      </c>
      <c r="X254">
        <v>0</v>
      </c>
      <c r="Y254">
        <v>0</v>
      </c>
      <c r="Z254">
        <v>4.5</v>
      </c>
      <c r="AA254">
        <v>2.5989327E-2</v>
      </c>
      <c r="AB254">
        <v>27.6</v>
      </c>
      <c r="AC254">
        <v>11.768333330000001</v>
      </c>
      <c r="AD254">
        <v>27</v>
      </c>
      <c r="AI254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0.23166666999999919</v>
      </c>
      <c r="AK254" t="s">
        <v>239</v>
      </c>
      <c r="AN254">
        <f>INT(Table1[[#This Row],[reject_prod]]/Table1[[#This Row],[part_weight]] * 1000)</f>
        <v>239</v>
      </c>
    </row>
    <row r="255" spans="1:40">
      <c r="A255" s="1">
        <v>46031</v>
      </c>
      <c r="B255">
        <v>1</v>
      </c>
      <c r="C255">
        <v>12</v>
      </c>
      <c r="D255" t="s">
        <v>40</v>
      </c>
      <c r="E255" t="s">
        <v>34</v>
      </c>
      <c r="F255">
        <v>620599</v>
      </c>
      <c r="G255">
        <v>0</v>
      </c>
      <c r="H255" t="s">
        <v>50</v>
      </c>
      <c r="I255">
        <v>10682928</v>
      </c>
      <c r="J255">
        <v>4</v>
      </c>
      <c r="K255">
        <v>55</v>
      </c>
      <c r="L255">
        <v>55</v>
      </c>
      <c r="M255">
        <v>1529</v>
      </c>
      <c r="N255" s="2">
        <v>72000</v>
      </c>
      <c r="O255">
        <v>900</v>
      </c>
      <c r="P255" s="2">
        <v>1125</v>
      </c>
      <c r="Q255" s="2">
        <v>6116</v>
      </c>
      <c r="R255" s="2">
        <v>5400</v>
      </c>
      <c r="S255">
        <v>297</v>
      </c>
      <c r="T255" s="2">
        <v>58725</v>
      </c>
      <c r="U255" s="2">
        <v>13275</v>
      </c>
      <c r="V255">
        <v>336</v>
      </c>
      <c r="W255">
        <v>0</v>
      </c>
      <c r="X255">
        <v>0</v>
      </c>
      <c r="Y255">
        <v>0</v>
      </c>
      <c r="Z255">
        <v>32.5</v>
      </c>
      <c r="AA255">
        <v>9.6616920999999995E-2</v>
      </c>
      <c r="AB255">
        <v>28</v>
      </c>
      <c r="AC255">
        <v>11.892222220000001</v>
      </c>
      <c r="AD255">
        <v>28</v>
      </c>
      <c r="AI255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0.10777777999999927</v>
      </c>
      <c r="AK255" t="s">
        <v>240</v>
      </c>
      <c r="AN255">
        <f>INT(Table1[[#This Row],[reject_prod]]/Table1[[#This Row],[part_weight]] * 1000)</f>
        <v>590</v>
      </c>
    </row>
    <row r="256" spans="1:40">
      <c r="A256" s="1">
        <v>46031</v>
      </c>
      <c r="B256">
        <v>1</v>
      </c>
      <c r="C256">
        <v>13</v>
      </c>
      <c r="D256" t="s">
        <v>61</v>
      </c>
      <c r="E256" t="s">
        <v>46</v>
      </c>
      <c r="F256">
        <v>586276</v>
      </c>
      <c r="G256">
        <v>0</v>
      </c>
      <c r="H256" t="s">
        <v>47</v>
      </c>
      <c r="I256">
        <v>10682930</v>
      </c>
      <c r="J256">
        <v>6</v>
      </c>
      <c r="K256">
        <v>12.3</v>
      </c>
      <c r="L256">
        <v>12.3</v>
      </c>
      <c r="M256">
        <v>1612</v>
      </c>
      <c r="N256" s="2">
        <v>162000</v>
      </c>
      <c r="O256" s="2">
        <v>2025</v>
      </c>
      <c r="P256" s="2">
        <v>3240</v>
      </c>
      <c r="Q256" s="2">
        <v>9672</v>
      </c>
      <c r="R256" s="2">
        <v>8100</v>
      </c>
      <c r="S256">
        <v>100</v>
      </c>
      <c r="T256" s="2">
        <v>100440</v>
      </c>
      <c r="U256" s="2">
        <v>61560</v>
      </c>
      <c r="V256">
        <v>119</v>
      </c>
      <c r="W256">
        <v>0</v>
      </c>
      <c r="X256">
        <v>0</v>
      </c>
      <c r="Y256">
        <v>0</v>
      </c>
      <c r="Z256">
        <v>2.1</v>
      </c>
      <c r="AA256">
        <v>1.7652161999999999E-2</v>
      </c>
      <c r="AB256">
        <v>26.4</v>
      </c>
      <c r="AC256">
        <v>11.82133333</v>
      </c>
      <c r="AD256">
        <v>26</v>
      </c>
      <c r="AI25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0.17866667000000014</v>
      </c>
      <c r="AK256" t="s">
        <v>51</v>
      </c>
      <c r="AN256">
        <f>INT(Table1[[#This Row],[reject_prod]]/Table1[[#This Row],[part_weight]] * 1000)</f>
        <v>170</v>
      </c>
    </row>
    <row r="257" spans="1:40">
      <c r="A257" s="1">
        <v>46031</v>
      </c>
      <c r="B257">
        <v>1</v>
      </c>
      <c r="C257">
        <v>14</v>
      </c>
      <c r="D257" t="s">
        <v>231</v>
      </c>
      <c r="E257" t="s">
        <v>46</v>
      </c>
      <c r="F257">
        <v>555979</v>
      </c>
      <c r="G257">
        <v>1</v>
      </c>
      <c r="H257" t="s">
        <v>52</v>
      </c>
      <c r="I257">
        <v>10682932</v>
      </c>
      <c r="J257">
        <v>6</v>
      </c>
      <c r="K257">
        <v>28</v>
      </c>
      <c r="L257">
        <v>28</v>
      </c>
      <c r="M257">
        <v>953</v>
      </c>
      <c r="N257" s="2">
        <v>100800</v>
      </c>
      <c r="O257" s="2">
        <v>3192</v>
      </c>
      <c r="P257" s="2">
        <v>2016</v>
      </c>
      <c r="Q257" s="2">
        <v>5718</v>
      </c>
      <c r="R257" s="2">
        <v>6720</v>
      </c>
      <c r="S257">
        <v>188</v>
      </c>
      <c r="T257" s="2">
        <v>15456</v>
      </c>
      <c r="U257" s="2">
        <v>85344</v>
      </c>
      <c r="V257">
        <v>160</v>
      </c>
      <c r="W257">
        <v>0</v>
      </c>
      <c r="X257">
        <v>0</v>
      </c>
      <c r="Y257">
        <v>0</v>
      </c>
      <c r="Z257">
        <v>4.3</v>
      </c>
      <c r="AA257">
        <v>2.6857543000000001E-2</v>
      </c>
      <c r="AB257">
        <v>44.1</v>
      </c>
      <c r="AC257">
        <v>11.674250000000001</v>
      </c>
      <c r="AD257">
        <v>42</v>
      </c>
      <c r="AI257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0.32574999999999932</v>
      </c>
      <c r="AK257" t="s">
        <v>241</v>
      </c>
      <c r="AN257">
        <f>INT(Table1[[#This Row],[reject_prod]]/Table1[[#This Row],[part_weight]] * 1000)</f>
        <v>153</v>
      </c>
    </row>
    <row r="258" spans="1:40">
      <c r="A258" s="1">
        <v>46031</v>
      </c>
      <c r="B258">
        <v>1</v>
      </c>
      <c r="C258">
        <v>15</v>
      </c>
      <c r="D258" t="s">
        <v>61</v>
      </c>
      <c r="E258" t="s">
        <v>46</v>
      </c>
      <c r="F258">
        <v>552181</v>
      </c>
      <c r="G258">
        <v>2</v>
      </c>
      <c r="H258" t="s">
        <v>49</v>
      </c>
      <c r="I258">
        <v>10682934</v>
      </c>
      <c r="J258">
        <v>6</v>
      </c>
      <c r="K258">
        <v>18.8</v>
      </c>
      <c r="L258">
        <v>18.8</v>
      </c>
      <c r="M258">
        <v>1356</v>
      </c>
      <c r="N258" s="2">
        <v>108000</v>
      </c>
      <c r="O258" s="2">
        <v>14040</v>
      </c>
      <c r="P258" s="2">
        <v>11340</v>
      </c>
      <c r="Q258" s="2">
        <v>8136</v>
      </c>
      <c r="R258" s="2">
        <v>10800</v>
      </c>
      <c r="S258">
        <v>203</v>
      </c>
      <c r="T258" s="2">
        <v>43740</v>
      </c>
      <c r="U258" s="2">
        <v>64260</v>
      </c>
      <c r="V258">
        <v>153</v>
      </c>
      <c r="W258">
        <v>0</v>
      </c>
      <c r="X258">
        <v>0</v>
      </c>
      <c r="Y258">
        <v>0</v>
      </c>
      <c r="Z258">
        <v>1.2</v>
      </c>
      <c r="AA258">
        <v>7.8453519999999999E-3</v>
      </c>
      <c r="AB258">
        <v>31.3</v>
      </c>
      <c r="AC258">
        <v>11.789666670000001</v>
      </c>
      <c r="AD258">
        <v>27</v>
      </c>
      <c r="AI258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0.21033332999999921</v>
      </c>
      <c r="AK258" t="s">
        <v>51</v>
      </c>
      <c r="AN258">
        <f>INT(Table1[[#This Row],[reject_prod]]/Table1[[#This Row],[part_weight]] * 1000)</f>
        <v>63</v>
      </c>
    </row>
    <row r="259" spans="1:40">
      <c r="A259" s="1">
        <v>46031</v>
      </c>
      <c r="B259">
        <v>2</v>
      </c>
      <c r="C259">
        <v>16</v>
      </c>
      <c r="D259" t="s">
        <v>221</v>
      </c>
      <c r="E259" t="s">
        <v>46</v>
      </c>
      <c r="F259">
        <v>555979</v>
      </c>
      <c r="G259">
        <v>2</v>
      </c>
      <c r="H259" t="s">
        <v>52</v>
      </c>
      <c r="I259">
        <v>10682935</v>
      </c>
      <c r="J259">
        <v>6</v>
      </c>
      <c r="K259">
        <v>28</v>
      </c>
      <c r="L259">
        <v>28</v>
      </c>
      <c r="M259">
        <v>961</v>
      </c>
      <c r="N259" s="2">
        <v>100800</v>
      </c>
      <c r="O259" s="2">
        <v>2856</v>
      </c>
      <c r="P259" s="2">
        <v>1848</v>
      </c>
      <c r="Q259" s="2">
        <v>5766</v>
      </c>
      <c r="R259" s="2">
        <v>6720</v>
      </c>
      <c r="S259">
        <v>188</v>
      </c>
      <c r="T259" s="2">
        <v>58968</v>
      </c>
      <c r="U259" s="2">
        <v>41832</v>
      </c>
      <c r="V259">
        <v>161</v>
      </c>
      <c r="W259">
        <v>0</v>
      </c>
      <c r="X259">
        <v>0</v>
      </c>
      <c r="Y259">
        <v>0</v>
      </c>
      <c r="Z259">
        <v>1.1000000000000001</v>
      </c>
      <c r="AA259">
        <v>6.8133389999999999E-3</v>
      </c>
      <c r="AB259">
        <v>43.7</v>
      </c>
      <c r="AC259">
        <v>11.66547222</v>
      </c>
      <c r="AD259">
        <v>42</v>
      </c>
      <c r="AI259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0.33452778000000016</v>
      </c>
      <c r="AK259" t="s">
        <v>51</v>
      </c>
      <c r="AM259">
        <v>4</v>
      </c>
      <c r="AN259">
        <f>INT(Table1[[#This Row],[reject_prod]]/Table1[[#This Row],[part_weight]] * 1000)</f>
        <v>39</v>
      </c>
    </row>
    <row r="260" spans="1:40">
      <c r="A260" s="1">
        <v>46031</v>
      </c>
      <c r="B260">
        <v>2</v>
      </c>
      <c r="C260">
        <v>1</v>
      </c>
      <c r="D260" t="s">
        <v>56</v>
      </c>
      <c r="E260" t="s">
        <v>34</v>
      </c>
      <c r="F260">
        <v>365091</v>
      </c>
      <c r="G260">
        <v>0</v>
      </c>
      <c r="H260" t="s">
        <v>189</v>
      </c>
      <c r="I260">
        <v>10682753</v>
      </c>
      <c r="J260">
        <v>4</v>
      </c>
      <c r="K260">
        <v>44</v>
      </c>
      <c r="L260">
        <v>44</v>
      </c>
      <c r="M260">
        <v>1575</v>
      </c>
      <c r="N260" s="2">
        <v>66885</v>
      </c>
      <c r="O260">
        <v>105</v>
      </c>
      <c r="P260">
        <v>105</v>
      </c>
      <c r="Q260" s="2">
        <v>6300</v>
      </c>
      <c r="R260" s="2">
        <v>6300</v>
      </c>
      <c r="S260">
        <v>277</v>
      </c>
      <c r="T260" s="2">
        <v>23940</v>
      </c>
      <c r="U260" s="2">
        <v>42945</v>
      </c>
      <c r="V260">
        <v>277</v>
      </c>
      <c r="W260">
        <v>0</v>
      </c>
      <c r="X260">
        <v>0</v>
      </c>
      <c r="Y260">
        <v>0</v>
      </c>
      <c r="Z260">
        <v>1.8</v>
      </c>
      <c r="AA260">
        <v>6.4935059999999996E-3</v>
      </c>
      <c r="AB260">
        <v>27.5</v>
      </c>
      <c r="AC260">
        <v>12</v>
      </c>
      <c r="AD260">
        <v>28.64</v>
      </c>
      <c r="AI260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260" t="s">
        <v>75</v>
      </c>
      <c r="AN260">
        <f>INT(Table1[[#This Row],[reject_prod]]/Table1[[#This Row],[part_weight]] * 1000)</f>
        <v>40</v>
      </c>
    </row>
    <row r="261" spans="1:40">
      <c r="A261" s="1">
        <v>46031</v>
      </c>
      <c r="B261">
        <v>2</v>
      </c>
      <c r="C261">
        <v>2</v>
      </c>
      <c r="D261" t="s">
        <v>167</v>
      </c>
      <c r="E261" t="s">
        <v>34</v>
      </c>
      <c r="F261">
        <v>423215</v>
      </c>
      <c r="G261">
        <v>0</v>
      </c>
      <c r="H261" t="s">
        <v>156</v>
      </c>
      <c r="I261">
        <v>10682755</v>
      </c>
      <c r="J261">
        <v>4</v>
      </c>
      <c r="K261">
        <v>24</v>
      </c>
      <c r="L261">
        <v>24</v>
      </c>
      <c r="M261">
        <v>1600</v>
      </c>
      <c r="N261" s="2">
        <v>89112</v>
      </c>
      <c r="O261" s="2">
        <v>3102</v>
      </c>
      <c r="P261" s="2">
        <v>2820</v>
      </c>
      <c r="Q261" s="2">
        <v>6400</v>
      </c>
      <c r="R261" s="2">
        <v>6768</v>
      </c>
      <c r="S261">
        <v>162</v>
      </c>
      <c r="T261" s="2">
        <v>50196</v>
      </c>
      <c r="U261" s="2">
        <v>38916</v>
      </c>
      <c r="V261">
        <v>154</v>
      </c>
      <c r="W261">
        <v>0</v>
      </c>
      <c r="X261">
        <v>0</v>
      </c>
      <c r="Y261">
        <v>0</v>
      </c>
      <c r="Z261">
        <v>0.5</v>
      </c>
      <c r="AA261">
        <v>3.2552079999999999E-3</v>
      </c>
      <c r="AB261">
        <v>27.3</v>
      </c>
      <c r="AC261">
        <v>12</v>
      </c>
      <c r="AD261">
        <v>22</v>
      </c>
      <c r="AI261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261" t="s">
        <v>214</v>
      </c>
      <c r="AN261">
        <f>INT(Table1[[#This Row],[reject_prod]]/Table1[[#This Row],[part_weight]] * 1000)</f>
        <v>20</v>
      </c>
    </row>
    <row r="262" spans="1:40">
      <c r="A262" s="1">
        <v>46031</v>
      </c>
      <c r="B262">
        <v>2</v>
      </c>
      <c r="C262">
        <v>3</v>
      </c>
      <c r="D262" t="s">
        <v>89</v>
      </c>
      <c r="E262" t="s">
        <v>34</v>
      </c>
      <c r="F262">
        <v>442034</v>
      </c>
      <c r="G262">
        <v>0</v>
      </c>
      <c r="H262" t="s">
        <v>37</v>
      </c>
      <c r="I262">
        <v>10681183</v>
      </c>
      <c r="J262">
        <v>4</v>
      </c>
      <c r="K262">
        <v>23</v>
      </c>
      <c r="L262">
        <v>23</v>
      </c>
      <c r="M262">
        <v>1560</v>
      </c>
      <c r="N262" s="2">
        <v>139776</v>
      </c>
      <c r="O262" s="2">
        <v>1536</v>
      </c>
      <c r="P262" s="2">
        <v>3072</v>
      </c>
      <c r="Q262" s="2">
        <v>6240</v>
      </c>
      <c r="R262" s="2">
        <v>4608</v>
      </c>
      <c r="S262">
        <v>106</v>
      </c>
      <c r="T262" s="2">
        <v>48384</v>
      </c>
      <c r="U262" s="2">
        <v>91392</v>
      </c>
      <c r="V262">
        <v>144</v>
      </c>
      <c r="W262">
        <v>0</v>
      </c>
      <c r="X262">
        <v>0</v>
      </c>
      <c r="Y262">
        <v>0</v>
      </c>
      <c r="Z262">
        <v>3.8</v>
      </c>
      <c r="AA262">
        <v>2.6477146E-2</v>
      </c>
      <c r="AB262">
        <v>26.78</v>
      </c>
      <c r="AC262">
        <v>11.60466667</v>
      </c>
      <c r="AD262">
        <v>22</v>
      </c>
      <c r="AI262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0.39533332999999971</v>
      </c>
      <c r="AK262" t="s">
        <v>75</v>
      </c>
      <c r="AN262">
        <f>INT(Table1[[#This Row],[reject_prod]]/Table1[[#This Row],[part_weight]] * 1000)</f>
        <v>165</v>
      </c>
    </row>
    <row r="263" spans="1:40">
      <c r="A263" s="1">
        <v>46031</v>
      </c>
      <c r="B263">
        <v>2</v>
      </c>
      <c r="C263">
        <v>4</v>
      </c>
      <c r="F263">
        <v>123456</v>
      </c>
      <c r="G263">
        <v>0</v>
      </c>
      <c r="M263">
        <v>0</v>
      </c>
      <c r="N263">
        <v>0</v>
      </c>
      <c r="O263">
        <v>0</v>
      </c>
      <c r="P263">
        <v>0</v>
      </c>
      <c r="R263">
        <v>0</v>
      </c>
      <c r="T263">
        <v>0</v>
      </c>
      <c r="X263">
        <v>0</v>
      </c>
      <c r="Z263">
        <v>0</v>
      </c>
      <c r="AB263">
        <v>0</v>
      </c>
      <c r="AC263">
        <v>0</v>
      </c>
      <c r="AD263">
        <v>22.5</v>
      </c>
      <c r="AI263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263">
        <v>12</v>
      </c>
      <c r="AK263" t="s">
        <v>116</v>
      </c>
      <c r="AN263">
        <v>0</v>
      </c>
    </row>
    <row r="264" spans="1:40">
      <c r="A264" s="1">
        <v>46031</v>
      </c>
      <c r="B264">
        <v>2</v>
      </c>
      <c r="C264">
        <v>5</v>
      </c>
      <c r="D264" t="s">
        <v>117</v>
      </c>
      <c r="E264" t="s">
        <v>34</v>
      </c>
      <c r="F264">
        <v>611949</v>
      </c>
      <c r="G264">
        <v>0</v>
      </c>
      <c r="H264" t="s">
        <v>38</v>
      </c>
      <c r="I264">
        <v>10680235</v>
      </c>
      <c r="J264">
        <v>4</v>
      </c>
      <c r="K264">
        <v>20</v>
      </c>
      <c r="L264">
        <v>20</v>
      </c>
      <c r="M264">
        <v>1788</v>
      </c>
      <c r="N264" s="2">
        <v>83600</v>
      </c>
      <c r="O264" s="2">
        <v>4400</v>
      </c>
      <c r="P264" s="2">
        <v>4950</v>
      </c>
      <c r="Q264" s="2">
        <v>7152</v>
      </c>
      <c r="R264" s="2">
        <v>6600</v>
      </c>
      <c r="S264">
        <v>132</v>
      </c>
      <c r="T264" s="2">
        <v>77550</v>
      </c>
      <c r="U264" s="2">
        <v>6050</v>
      </c>
      <c r="V264">
        <v>143</v>
      </c>
      <c r="W264">
        <v>0</v>
      </c>
      <c r="X264">
        <v>0</v>
      </c>
      <c r="Y264">
        <v>0</v>
      </c>
      <c r="Z264">
        <v>2</v>
      </c>
      <c r="AA264">
        <v>1.3982102999999999E-2</v>
      </c>
      <c r="AB264">
        <v>23.6</v>
      </c>
      <c r="AC264">
        <v>11.72133333</v>
      </c>
      <c r="AD264">
        <v>21.64</v>
      </c>
      <c r="AI264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0.27866666999999978</v>
      </c>
      <c r="AK264" t="s">
        <v>193</v>
      </c>
      <c r="AN264">
        <f>INT(Table1[[#This Row],[reject_prod]]/Table1[[#This Row],[part_weight]] * 1000)</f>
        <v>100</v>
      </c>
    </row>
    <row r="265" spans="1:40">
      <c r="A265" s="1">
        <v>46031</v>
      </c>
      <c r="B265">
        <v>2</v>
      </c>
      <c r="C265">
        <v>6</v>
      </c>
      <c r="D265" t="s">
        <v>242</v>
      </c>
      <c r="E265" t="s">
        <v>34</v>
      </c>
      <c r="F265">
        <v>532981</v>
      </c>
      <c r="G265">
        <v>0</v>
      </c>
      <c r="H265" t="s">
        <v>233</v>
      </c>
      <c r="I265">
        <v>10682758</v>
      </c>
      <c r="J265">
        <v>4</v>
      </c>
      <c r="K265">
        <v>24.45</v>
      </c>
      <c r="L265">
        <v>24</v>
      </c>
      <c r="M265">
        <v>2020</v>
      </c>
      <c r="N265" s="2">
        <v>87552</v>
      </c>
      <c r="O265">
        <v>912</v>
      </c>
      <c r="P265" s="2">
        <v>3648</v>
      </c>
      <c r="Q265" s="2">
        <v>8080</v>
      </c>
      <c r="R265" s="2">
        <v>5472</v>
      </c>
      <c r="S265">
        <v>131</v>
      </c>
      <c r="T265" s="2">
        <v>9120</v>
      </c>
      <c r="U265" s="2">
        <v>78432</v>
      </c>
      <c r="V265">
        <v>194</v>
      </c>
      <c r="W265">
        <v>4</v>
      </c>
      <c r="X265">
        <v>0</v>
      </c>
      <c r="Y265">
        <v>0</v>
      </c>
      <c r="Z265">
        <v>1.8</v>
      </c>
      <c r="AA265">
        <v>9.2821780000000003E-3</v>
      </c>
      <c r="AB265">
        <v>21.7</v>
      </c>
      <c r="AC265">
        <v>12</v>
      </c>
      <c r="AD265">
        <v>20</v>
      </c>
      <c r="AI265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265" t="s">
        <v>243</v>
      </c>
      <c r="AN265">
        <f>INT(Table1[[#This Row],[reject_prod]]/Table1[[#This Row],[part_weight]] * 1000)</f>
        <v>75</v>
      </c>
    </row>
    <row r="266" spans="1:40">
      <c r="A266" s="1">
        <v>46031</v>
      </c>
      <c r="B266">
        <v>2</v>
      </c>
      <c r="C266">
        <v>7</v>
      </c>
      <c r="D266" t="s">
        <v>244</v>
      </c>
      <c r="E266" t="s">
        <v>34</v>
      </c>
      <c r="F266">
        <v>322435</v>
      </c>
      <c r="G266">
        <v>0</v>
      </c>
      <c r="H266" t="s">
        <v>216</v>
      </c>
      <c r="I266">
        <v>10682760</v>
      </c>
      <c r="J266">
        <v>4</v>
      </c>
      <c r="K266">
        <v>34.5</v>
      </c>
      <c r="L266">
        <v>34.5</v>
      </c>
      <c r="M266">
        <v>368</v>
      </c>
      <c r="N266" s="2">
        <v>17640</v>
      </c>
      <c r="O266">
        <v>0</v>
      </c>
      <c r="P266">
        <v>0</v>
      </c>
      <c r="Q266" s="2">
        <v>1472</v>
      </c>
      <c r="R266" s="2">
        <v>1470</v>
      </c>
      <c r="S266">
        <v>51</v>
      </c>
      <c r="T266" s="2">
        <v>17640</v>
      </c>
      <c r="U266">
        <v>0</v>
      </c>
      <c r="V266">
        <v>51</v>
      </c>
      <c r="W266">
        <v>0</v>
      </c>
      <c r="X266">
        <v>0</v>
      </c>
      <c r="Y266">
        <v>0</v>
      </c>
      <c r="Z266">
        <v>1</v>
      </c>
      <c r="AA266">
        <v>1.9691241000000002E-2</v>
      </c>
      <c r="AB266">
        <v>22.5</v>
      </c>
      <c r="AC266">
        <v>2.2999999999999998</v>
      </c>
      <c r="AD266">
        <v>22</v>
      </c>
      <c r="AI266">
        <f>12 - Table1[[#This Row],[production_running]] - Table1[[#This Row],[ change_full_set ]] - Table1[[#This Row],[ change_half_set ]] - Table1[[#This Row],[ change_parts ]] - Table1[[#This Row],[ maintenance_dt ]] - Table1[[#This Row],[production_dt]]</f>
        <v>9.6999999999999993</v>
      </c>
      <c r="AK266" t="s">
        <v>245</v>
      </c>
      <c r="AN266">
        <f>INT(Table1[[#This Row],[reject_prod]]/Table1[[#This Row],[part_weight]] * 1000)</f>
        <v>28</v>
      </c>
    </row>
    <row r="267" spans="1:40">
      <c r="A267" s="1">
        <v>46031</v>
      </c>
      <c r="B267">
        <v>2</v>
      </c>
      <c r="C267">
        <v>7</v>
      </c>
      <c r="D267" t="s">
        <v>244</v>
      </c>
      <c r="E267" t="s">
        <v>34</v>
      </c>
      <c r="F267">
        <v>324177</v>
      </c>
      <c r="G267">
        <v>0</v>
      </c>
      <c r="H267" t="s">
        <v>246</v>
      </c>
      <c r="I267">
        <v>10682801</v>
      </c>
      <c r="J267">
        <v>4</v>
      </c>
      <c r="K267">
        <v>34.5</v>
      </c>
      <c r="L267">
        <v>34.5</v>
      </c>
      <c r="M267">
        <v>380</v>
      </c>
      <c r="N267" s="2">
        <v>62400</v>
      </c>
      <c r="O267">
        <v>0</v>
      </c>
      <c r="P267">
        <v>936</v>
      </c>
      <c r="Q267" s="2">
        <v>1520</v>
      </c>
      <c r="R267">
        <v>0</v>
      </c>
      <c r="S267">
        <v>0</v>
      </c>
      <c r="T267">
        <v>936</v>
      </c>
      <c r="U267" s="2">
        <v>61464</v>
      </c>
      <c r="V267">
        <v>52</v>
      </c>
      <c r="W267">
        <v>0</v>
      </c>
      <c r="X267">
        <v>13</v>
      </c>
      <c r="Y267">
        <v>0.24790236500000001</v>
      </c>
      <c r="Z267">
        <v>2</v>
      </c>
      <c r="AA267">
        <v>3.8138825000000001E-2</v>
      </c>
      <c r="AB267">
        <v>21.43</v>
      </c>
      <c r="AC267">
        <v>2.262055556</v>
      </c>
      <c r="AD267">
        <v>22</v>
      </c>
      <c r="AG267">
        <v>1.5</v>
      </c>
      <c r="AI267">
        <f>12 - Table1[[#This Row],[production_running]] - Table1[[#This Row],[ change_full_set ]] - Table1[[#This Row],[ change_half_set ]] - Table1[[#This Row],[ change_parts ]] - Table1[[#This Row],[ maintenance_dt ]] - Table1[[#This Row],[production_dt]]</f>
        <v>8.237944444</v>
      </c>
      <c r="AK267" t="s">
        <v>247</v>
      </c>
      <c r="AN267">
        <f>INT(Table1[[#This Row],[reject_prod]]/Table1[[#This Row],[part_weight]] * 1000)</f>
        <v>57</v>
      </c>
    </row>
    <row r="268" spans="1:40">
      <c r="A268" s="1">
        <v>46031</v>
      </c>
      <c r="B268">
        <v>2</v>
      </c>
      <c r="C268">
        <v>8</v>
      </c>
      <c r="D268" t="s">
        <v>53</v>
      </c>
      <c r="E268" t="s">
        <v>34</v>
      </c>
      <c r="F268">
        <v>323102</v>
      </c>
      <c r="G268">
        <v>0</v>
      </c>
      <c r="H268" t="s">
        <v>45</v>
      </c>
      <c r="I268">
        <v>10683894</v>
      </c>
      <c r="J268">
        <v>4</v>
      </c>
      <c r="K268">
        <v>56.9</v>
      </c>
      <c r="L268">
        <v>56.9</v>
      </c>
      <c r="M268">
        <v>1560</v>
      </c>
      <c r="N268" s="2">
        <v>38400</v>
      </c>
      <c r="O268">
        <v>0</v>
      </c>
      <c r="P268">
        <v>160</v>
      </c>
      <c r="Q268" s="2">
        <v>6240</v>
      </c>
      <c r="R268" s="2">
        <v>6080</v>
      </c>
      <c r="S268">
        <v>346</v>
      </c>
      <c r="T268" s="2">
        <v>24160</v>
      </c>
      <c r="U268" s="2">
        <v>14240</v>
      </c>
      <c r="V268">
        <v>355</v>
      </c>
      <c r="W268">
        <v>0</v>
      </c>
      <c r="X268">
        <v>0</v>
      </c>
      <c r="Y268">
        <v>0</v>
      </c>
      <c r="Z268">
        <v>1.5</v>
      </c>
      <c r="AA268">
        <v>4.2246860000000001E-3</v>
      </c>
      <c r="AB268">
        <v>27.9</v>
      </c>
      <c r="AC268">
        <v>12</v>
      </c>
      <c r="AD268">
        <v>26</v>
      </c>
      <c r="AI268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268" t="s">
        <v>227</v>
      </c>
      <c r="AN268">
        <f>INT(Table1[[#This Row],[reject_prod]]/Table1[[#This Row],[part_weight]] * 1000)</f>
        <v>26</v>
      </c>
    </row>
    <row r="269" spans="1:40">
      <c r="A269" s="1">
        <v>46031</v>
      </c>
      <c r="B269">
        <v>2</v>
      </c>
      <c r="C269">
        <v>9</v>
      </c>
      <c r="D269" t="s">
        <v>208</v>
      </c>
      <c r="E269" t="s">
        <v>46</v>
      </c>
      <c r="F269">
        <v>586276</v>
      </c>
      <c r="G269">
        <v>0</v>
      </c>
      <c r="H269" t="s">
        <v>47</v>
      </c>
      <c r="I269">
        <v>10682923</v>
      </c>
      <c r="J269">
        <v>6</v>
      </c>
      <c r="K269">
        <v>12.3</v>
      </c>
      <c r="L269">
        <v>12.3</v>
      </c>
      <c r="M269">
        <v>203</v>
      </c>
      <c r="N269" s="2">
        <v>162000</v>
      </c>
      <c r="O269" s="2">
        <v>6885</v>
      </c>
      <c r="P269">
        <v>0</v>
      </c>
      <c r="Q269" s="2">
        <v>1218</v>
      </c>
      <c r="R269" s="2">
        <v>8100</v>
      </c>
      <c r="S269">
        <v>100</v>
      </c>
      <c r="T269" s="2">
        <v>162000</v>
      </c>
      <c r="U269">
        <v>0</v>
      </c>
      <c r="V269">
        <v>15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26.2</v>
      </c>
      <c r="AC269">
        <v>1.477388889</v>
      </c>
      <c r="AD269">
        <v>26</v>
      </c>
      <c r="AI269">
        <f>12 - Table1[[#This Row],[production_running]] - Table1[[#This Row],[ change_full_set ]] - Table1[[#This Row],[ change_half_set ]] - Table1[[#This Row],[ change_parts ]] - Table1[[#This Row],[ maintenance_dt ]] - Table1[[#This Row],[production_dt]]</f>
        <v>10.522611111</v>
      </c>
      <c r="AK269" t="s">
        <v>248</v>
      </c>
      <c r="AN269">
        <f>INT(Table1[[#This Row],[reject_prod]]/Table1[[#This Row],[part_weight]] * 1000)</f>
        <v>0</v>
      </c>
    </row>
    <row r="270" spans="1:40">
      <c r="A270" s="1">
        <v>46031</v>
      </c>
      <c r="B270">
        <v>2</v>
      </c>
      <c r="C270">
        <v>9</v>
      </c>
      <c r="D270" t="s">
        <v>208</v>
      </c>
      <c r="E270" t="s">
        <v>46</v>
      </c>
      <c r="F270">
        <v>586276</v>
      </c>
      <c r="G270">
        <v>0</v>
      </c>
      <c r="H270" t="s">
        <v>47</v>
      </c>
      <c r="I270">
        <v>10682924</v>
      </c>
      <c r="J270">
        <v>6</v>
      </c>
      <c r="K270">
        <v>12.3</v>
      </c>
      <c r="L270">
        <v>12.3</v>
      </c>
      <c r="M270">
        <v>1418</v>
      </c>
      <c r="N270" s="2">
        <v>162000</v>
      </c>
      <c r="O270">
        <v>0</v>
      </c>
      <c r="P270">
        <v>405</v>
      </c>
      <c r="Q270" s="2">
        <v>8508</v>
      </c>
      <c r="R270" s="2">
        <v>8100</v>
      </c>
      <c r="S270">
        <v>100</v>
      </c>
      <c r="T270" s="2">
        <v>8505</v>
      </c>
      <c r="U270" s="2">
        <v>153495</v>
      </c>
      <c r="V270">
        <v>105</v>
      </c>
      <c r="W270">
        <v>0</v>
      </c>
      <c r="X270">
        <v>0</v>
      </c>
      <c r="Y270">
        <v>0</v>
      </c>
      <c r="Z270">
        <v>2</v>
      </c>
      <c r="AA270">
        <v>1.9111616000000001E-2</v>
      </c>
      <c r="AB270">
        <v>26.2</v>
      </c>
      <c r="AC270">
        <v>10.31988889</v>
      </c>
      <c r="AD270">
        <v>26</v>
      </c>
      <c r="AI270">
        <f>12 - Table1[[#This Row],[production_running]] - Table1[[#This Row],[ change_full_set ]] - Table1[[#This Row],[ change_half_set ]] - Table1[[#This Row],[ change_parts ]] - Table1[[#This Row],[ maintenance_dt ]] - Table1[[#This Row],[production_dt]]</f>
        <v>1.6801111100000004</v>
      </c>
      <c r="AK270" t="s">
        <v>51</v>
      </c>
      <c r="AN270">
        <f>INT(Table1[[#This Row],[reject_prod]]/Table1[[#This Row],[part_weight]] * 1000)</f>
        <v>162</v>
      </c>
    </row>
    <row r="271" spans="1:40">
      <c r="A271" s="1">
        <v>46031</v>
      </c>
      <c r="B271">
        <v>2</v>
      </c>
      <c r="C271">
        <v>10</v>
      </c>
      <c r="D271" t="s">
        <v>249</v>
      </c>
      <c r="E271" t="s">
        <v>41</v>
      </c>
      <c r="F271">
        <v>593537</v>
      </c>
      <c r="G271">
        <v>0</v>
      </c>
      <c r="H271" t="s">
        <v>48</v>
      </c>
      <c r="I271">
        <v>10682925</v>
      </c>
      <c r="J271">
        <v>4</v>
      </c>
      <c r="K271">
        <v>56.5</v>
      </c>
      <c r="L271">
        <v>56.8</v>
      </c>
      <c r="M271">
        <v>1345</v>
      </c>
      <c r="N271" s="2">
        <v>69000</v>
      </c>
      <c r="O271">
        <v>345</v>
      </c>
      <c r="P271">
        <v>575</v>
      </c>
      <c r="Q271" s="2">
        <v>5380</v>
      </c>
      <c r="R271" s="2">
        <v>5175</v>
      </c>
      <c r="S271">
        <v>294</v>
      </c>
      <c r="T271" s="2">
        <v>59800</v>
      </c>
      <c r="U271" s="2">
        <v>9200</v>
      </c>
      <c r="V271">
        <v>306</v>
      </c>
      <c r="W271">
        <v>-2</v>
      </c>
      <c r="X271">
        <v>0</v>
      </c>
      <c r="Y271">
        <v>0</v>
      </c>
      <c r="Z271">
        <v>4.8</v>
      </c>
      <c r="AA271">
        <v>1.5707629000000001E-2</v>
      </c>
      <c r="AB271">
        <v>31.7</v>
      </c>
      <c r="AC271">
        <v>11.843472220000001</v>
      </c>
      <c r="AD271">
        <v>28.5</v>
      </c>
      <c r="AI271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0.15652777999999934</v>
      </c>
      <c r="AK271" t="s">
        <v>229</v>
      </c>
      <c r="AN271">
        <f>INT(Table1[[#This Row],[reject_prod]]/Table1[[#This Row],[part_weight]] * 1000)</f>
        <v>84</v>
      </c>
    </row>
    <row r="272" spans="1:40">
      <c r="A272" s="1">
        <v>46031</v>
      </c>
      <c r="B272">
        <v>2</v>
      </c>
      <c r="C272">
        <v>11</v>
      </c>
      <c r="D272" t="s">
        <v>59</v>
      </c>
      <c r="E272" t="s">
        <v>46</v>
      </c>
      <c r="F272">
        <v>552181</v>
      </c>
      <c r="G272">
        <v>1</v>
      </c>
      <c r="H272" t="s">
        <v>49</v>
      </c>
      <c r="I272">
        <v>10682927</v>
      </c>
      <c r="J272">
        <v>6</v>
      </c>
      <c r="K272">
        <v>18.8</v>
      </c>
      <c r="L272">
        <v>18.8</v>
      </c>
      <c r="M272">
        <v>1560</v>
      </c>
      <c r="N272" s="2">
        <v>108000</v>
      </c>
      <c r="O272" s="2">
        <v>13500</v>
      </c>
      <c r="P272" s="2">
        <v>11880</v>
      </c>
      <c r="Q272" s="2">
        <v>9360</v>
      </c>
      <c r="R272" s="2">
        <v>10800</v>
      </c>
      <c r="S272">
        <v>203</v>
      </c>
      <c r="T272" s="2">
        <v>71280</v>
      </c>
      <c r="U272" s="2">
        <v>36720</v>
      </c>
      <c r="V272">
        <v>176</v>
      </c>
      <c r="W272">
        <v>0</v>
      </c>
      <c r="X272">
        <v>0</v>
      </c>
      <c r="Y272">
        <v>0</v>
      </c>
      <c r="Z272">
        <v>1</v>
      </c>
      <c r="AA272">
        <v>5.682851E-3</v>
      </c>
      <c r="AB272">
        <v>27.6</v>
      </c>
      <c r="AC272">
        <v>11.96</v>
      </c>
      <c r="AD272">
        <v>27</v>
      </c>
      <c r="AI272">
        <f>12 - Table1[[#This Row],[production_running]] - Table1[[#This Row],[ change_full_set ]] - Table1[[#This Row],[ change_half_set ]] - Table1[[#This Row],[ change_parts ]] - Table1[[#This Row],[ maintenance_dt ]] - Table1[[#This Row],[production_dt]]</f>
        <v>3.9999999999999147E-2</v>
      </c>
      <c r="AK272" t="s">
        <v>51</v>
      </c>
      <c r="AN272">
        <f>INT(Table1[[#This Row],[reject_prod]]/Table1[[#This Row],[part_weight]] * 1000)</f>
        <v>53</v>
      </c>
    </row>
    <row r="273" spans="1:40">
      <c r="A273" s="1">
        <v>46031</v>
      </c>
      <c r="B273">
        <v>2</v>
      </c>
      <c r="C273">
        <v>12</v>
      </c>
      <c r="D273" t="s">
        <v>54</v>
      </c>
      <c r="E273" t="s">
        <v>34</v>
      </c>
      <c r="F273">
        <v>620599</v>
      </c>
      <c r="G273">
        <v>0</v>
      </c>
      <c r="H273" t="s">
        <v>50</v>
      </c>
      <c r="I273">
        <v>10682928</v>
      </c>
      <c r="J273">
        <v>4</v>
      </c>
      <c r="K273">
        <v>55</v>
      </c>
      <c r="L273">
        <v>55</v>
      </c>
      <c r="M273">
        <v>1400</v>
      </c>
      <c r="N273" s="2">
        <v>72000</v>
      </c>
      <c r="O273" s="2">
        <v>1125</v>
      </c>
      <c r="P273" s="2">
        <v>1125</v>
      </c>
      <c r="Q273" s="2">
        <v>5600</v>
      </c>
      <c r="R273" s="2">
        <v>5400</v>
      </c>
      <c r="S273">
        <v>297</v>
      </c>
      <c r="T273" s="2">
        <v>64125</v>
      </c>
      <c r="U273" s="2">
        <v>7875</v>
      </c>
      <c r="V273">
        <v>308</v>
      </c>
      <c r="W273">
        <v>0</v>
      </c>
      <c r="X273">
        <v>0</v>
      </c>
      <c r="Y273">
        <v>0</v>
      </c>
      <c r="Z273">
        <v>34</v>
      </c>
      <c r="AA273">
        <v>0.11038961</v>
      </c>
      <c r="AB273">
        <v>28</v>
      </c>
      <c r="AC273">
        <v>10.88888889</v>
      </c>
      <c r="AD273">
        <v>28</v>
      </c>
      <c r="AI273">
        <f>12 - Table1[[#This Row],[production_running]] - Table1[[#This Row],[ change_full_set ]] - Table1[[#This Row],[ change_half_set ]] - Table1[[#This Row],[ change_parts ]] - Table1[[#This Row],[ maintenance_dt ]] - Table1[[#This Row],[production_dt]]</f>
        <v>1.1111111099999995</v>
      </c>
      <c r="AK273" t="s">
        <v>250</v>
      </c>
      <c r="AN273">
        <f>INT(Table1[[#This Row],[reject_prod]]/Table1[[#This Row],[part_weight]] * 1000)</f>
        <v>618</v>
      </c>
    </row>
    <row r="274" spans="1:40">
      <c r="A274" s="1">
        <v>46031</v>
      </c>
      <c r="B274">
        <v>2</v>
      </c>
      <c r="C274">
        <v>13</v>
      </c>
      <c r="D274" t="s">
        <v>59</v>
      </c>
      <c r="E274" t="s">
        <v>46</v>
      </c>
      <c r="F274">
        <v>586276</v>
      </c>
      <c r="G274">
        <v>0</v>
      </c>
      <c r="H274" t="s">
        <v>47</v>
      </c>
      <c r="I274">
        <v>10682930</v>
      </c>
      <c r="J274">
        <v>6</v>
      </c>
      <c r="K274">
        <v>12.3</v>
      </c>
      <c r="L274">
        <v>12.3</v>
      </c>
      <c r="M274">
        <v>1620</v>
      </c>
      <c r="N274" s="2">
        <v>162000</v>
      </c>
      <c r="O274" s="2">
        <v>3240</v>
      </c>
      <c r="P274" s="2">
        <v>4860</v>
      </c>
      <c r="Q274" s="2">
        <v>9720</v>
      </c>
      <c r="R274" s="2">
        <v>8100</v>
      </c>
      <c r="S274">
        <v>100</v>
      </c>
      <c r="T274" s="2">
        <v>110160</v>
      </c>
      <c r="U274" s="2">
        <v>51840</v>
      </c>
      <c r="V274">
        <v>120</v>
      </c>
      <c r="W274">
        <v>0</v>
      </c>
      <c r="X274">
        <v>0</v>
      </c>
      <c r="Y274">
        <v>0</v>
      </c>
      <c r="Z274">
        <v>1</v>
      </c>
      <c r="AA274">
        <v>8.3642809999999995E-3</v>
      </c>
      <c r="AB274">
        <v>26.43</v>
      </c>
      <c r="AC274">
        <v>11.8935</v>
      </c>
      <c r="AD274">
        <v>26</v>
      </c>
      <c r="AI274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0.10650000000000048</v>
      </c>
      <c r="AK274" t="s">
        <v>51</v>
      </c>
      <c r="AN274">
        <f>INT(Table1[[#This Row],[reject_prod]]/Table1[[#This Row],[part_weight]] * 1000)</f>
        <v>81</v>
      </c>
    </row>
    <row r="275" spans="1:40">
      <c r="A275" s="1">
        <v>46031</v>
      </c>
      <c r="B275">
        <v>2</v>
      </c>
      <c r="C275">
        <v>14</v>
      </c>
      <c r="D275" t="s">
        <v>244</v>
      </c>
      <c r="E275" t="s">
        <v>46</v>
      </c>
      <c r="F275">
        <v>555979</v>
      </c>
      <c r="G275">
        <v>1</v>
      </c>
      <c r="H275" t="s">
        <v>52</v>
      </c>
      <c r="I275">
        <v>10682932</v>
      </c>
      <c r="J275">
        <v>6</v>
      </c>
      <c r="K275">
        <v>28</v>
      </c>
      <c r="L275">
        <v>28</v>
      </c>
      <c r="M275">
        <v>920</v>
      </c>
      <c r="N275" s="2">
        <v>100800</v>
      </c>
      <c r="O275" s="2">
        <v>2016</v>
      </c>
      <c r="P275" s="2">
        <v>1176</v>
      </c>
      <c r="Q275" s="2">
        <v>5520</v>
      </c>
      <c r="R275" s="2">
        <v>6720</v>
      </c>
      <c r="S275">
        <v>188</v>
      </c>
      <c r="T275" s="2">
        <v>21336</v>
      </c>
      <c r="U275" s="2">
        <v>79464</v>
      </c>
      <c r="V275">
        <v>155</v>
      </c>
      <c r="W275">
        <v>0</v>
      </c>
      <c r="X275">
        <v>0</v>
      </c>
      <c r="Y275">
        <v>0</v>
      </c>
      <c r="Z275">
        <v>12.8</v>
      </c>
      <c r="AA275">
        <v>8.2815735000000001E-2</v>
      </c>
      <c r="AB275">
        <v>44.1</v>
      </c>
      <c r="AC275">
        <v>11.27</v>
      </c>
      <c r="AD275">
        <v>42</v>
      </c>
      <c r="AI275">
        <f>12 - Table1[[#This Row],[production_running]] - Table1[[#This Row],[ change_full_set ]] - Table1[[#This Row],[ change_half_set ]] - Table1[[#This Row],[ change_parts ]] - Table1[[#This Row],[ maintenance_dt ]] - Table1[[#This Row],[production_dt]]</f>
        <v>0.73000000000000043</v>
      </c>
      <c r="AK275" t="s">
        <v>251</v>
      </c>
      <c r="AN275">
        <f>INT(Table1[[#This Row],[reject_prod]]/Table1[[#This Row],[part_weight]] * 1000)</f>
        <v>457</v>
      </c>
    </row>
    <row r="276" spans="1:40">
      <c r="A276" s="1">
        <v>46031</v>
      </c>
      <c r="B276">
        <v>2</v>
      </c>
      <c r="C276">
        <v>15</v>
      </c>
      <c r="D276" t="s">
        <v>59</v>
      </c>
      <c r="E276" t="s">
        <v>46</v>
      </c>
      <c r="F276">
        <v>552181</v>
      </c>
      <c r="G276">
        <v>2</v>
      </c>
      <c r="H276" t="s">
        <v>49</v>
      </c>
      <c r="I276">
        <v>10682934</v>
      </c>
      <c r="J276">
        <v>6</v>
      </c>
      <c r="K276">
        <v>18.8</v>
      </c>
      <c r="L276">
        <v>18.8</v>
      </c>
      <c r="M276">
        <v>1360</v>
      </c>
      <c r="N276" s="2">
        <v>108000</v>
      </c>
      <c r="O276" s="2">
        <v>11340</v>
      </c>
      <c r="P276" s="2">
        <v>14040</v>
      </c>
      <c r="Q276" s="2">
        <v>8160</v>
      </c>
      <c r="R276" s="2">
        <v>5400</v>
      </c>
      <c r="S276">
        <v>102</v>
      </c>
      <c r="T276" s="2">
        <v>51840</v>
      </c>
      <c r="U276" s="2">
        <v>56160</v>
      </c>
      <c r="V276">
        <v>153</v>
      </c>
      <c r="W276">
        <v>0</v>
      </c>
      <c r="X276">
        <v>0</v>
      </c>
      <c r="Y276">
        <v>0</v>
      </c>
      <c r="Z276">
        <v>1</v>
      </c>
      <c r="AA276">
        <v>6.5185649999999996E-3</v>
      </c>
      <c r="AB276">
        <v>31.2</v>
      </c>
      <c r="AC276">
        <v>11.786666670000001</v>
      </c>
      <c r="AD276">
        <v>27</v>
      </c>
      <c r="AI27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0.21333332999999932</v>
      </c>
      <c r="AK276" t="s">
        <v>51</v>
      </c>
      <c r="AN276">
        <f>INT(Table1[[#This Row],[reject_prod]]/Table1[[#This Row],[part_weight]] * 1000)</f>
        <v>53</v>
      </c>
    </row>
    <row r="277" spans="1:40">
      <c r="A277" s="1">
        <v>46031</v>
      </c>
      <c r="B277">
        <v>2</v>
      </c>
      <c r="C277">
        <v>16</v>
      </c>
      <c r="D277" t="s">
        <v>88</v>
      </c>
      <c r="E277" t="s">
        <v>46</v>
      </c>
      <c r="F277">
        <v>555979</v>
      </c>
      <c r="G277">
        <v>2</v>
      </c>
      <c r="H277" t="s">
        <v>52</v>
      </c>
      <c r="I277">
        <v>10682935</v>
      </c>
      <c r="J277">
        <v>6</v>
      </c>
      <c r="K277">
        <v>28</v>
      </c>
      <c r="L277">
        <v>28</v>
      </c>
      <c r="M277">
        <v>990</v>
      </c>
      <c r="N277" s="2">
        <v>100800</v>
      </c>
      <c r="O277" s="2">
        <v>1848</v>
      </c>
      <c r="P277" s="2">
        <v>1008</v>
      </c>
      <c r="Q277" s="2">
        <v>5940</v>
      </c>
      <c r="R277" s="2">
        <v>6720</v>
      </c>
      <c r="S277">
        <v>188</v>
      </c>
      <c r="T277" s="2">
        <v>68208</v>
      </c>
      <c r="U277" s="2">
        <v>32592</v>
      </c>
      <c r="V277">
        <v>166</v>
      </c>
      <c r="W277">
        <v>0</v>
      </c>
      <c r="X277">
        <v>0</v>
      </c>
      <c r="Y277">
        <v>0</v>
      </c>
      <c r="Z277">
        <v>1.2</v>
      </c>
      <c r="AA277">
        <v>7.2150069999999998E-3</v>
      </c>
      <c r="AB277">
        <v>43.7</v>
      </c>
      <c r="AC277">
        <v>12</v>
      </c>
      <c r="AD277">
        <v>42</v>
      </c>
      <c r="AI277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277" t="s">
        <v>51</v>
      </c>
      <c r="AN277">
        <f>INT(Table1[[#This Row],[reject_prod]]/Table1[[#This Row],[part_weight]] * 1000)</f>
        <v>42</v>
      </c>
    </row>
    <row r="278" spans="1:40">
      <c r="A278" s="1">
        <v>46032</v>
      </c>
      <c r="B278">
        <v>1</v>
      </c>
      <c r="C278">
        <v>1</v>
      </c>
      <c r="D278" t="s">
        <v>61</v>
      </c>
      <c r="E278" t="s">
        <v>34</v>
      </c>
      <c r="F278">
        <v>365091</v>
      </c>
      <c r="G278">
        <v>0</v>
      </c>
      <c r="H278" t="s">
        <v>189</v>
      </c>
      <c r="I278">
        <v>10682753</v>
      </c>
      <c r="J278">
        <v>4</v>
      </c>
      <c r="K278">
        <v>44</v>
      </c>
      <c r="L278">
        <v>44</v>
      </c>
      <c r="M278">
        <v>1422</v>
      </c>
      <c r="N278" s="2">
        <v>66885</v>
      </c>
      <c r="O278">
        <v>105</v>
      </c>
      <c r="P278">
        <v>630</v>
      </c>
      <c r="Q278" s="2">
        <v>5688</v>
      </c>
      <c r="R278" s="2">
        <v>5040</v>
      </c>
      <c r="S278">
        <v>222</v>
      </c>
      <c r="T278" s="2">
        <v>30870</v>
      </c>
      <c r="U278" s="2">
        <v>36015</v>
      </c>
      <c r="V278">
        <v>250</v>
      </c>
      <c r="W278">
        <v>0</v>
      </c>
      <c r="X278">
        <v>0</v>
      </c>
      <c r="Y278">
        <v>0</v>
      </c>
      <c r="Z278">
        <v>3</v>
      </c>
      <c r="AA278">
        <v>1.1986958000000001E-2</v>
      </c>
      <c r="AB278">
        <v>27.5</v>
      </c>
      <c r="AC278">
        <v>10.862500000000001</v>
      </c>
      <c r="AD278">
        <v>28.64</v>
      </c>
      <c r="AI278">
        <f>12 - Table1[[#This Row],[production_running]] - Table1[[#This Row],[ change_full_set ]] - Table1[[#This Row],[ change_half_set ]] - Table1[[#This Row],[ change_parts ]] - Table1[[#This Row],[ maintenance_dt ]] - Table1[[#This Row],[production_dt]]</f>
        <v>1.1374999999999993</v>
      </c>
      <c r="AK278" t="s">
        <v>75</v>
      </c>
      <c r="AN278">
        <f>INT(Table1[[#This Row],[reject_prod]]/Table1[[#This Row],[part_weight]] * 1000)</f>
        <v>68</v>
      </c>
    </row>
    <row r="279" spans="1:40">
      <c r="A279" s="1">
        <v>46032</v>
      </c>
      <c r="B279">
        <v>1</v>
      </c>
      <c r="C279">
        <v>2</v>
      </c>
      <c r="D279" t="s">
        <v>141</v>
      </c>
      <c r="E279" t="s">
        <v>34</v>
      </c>
      <c r="F279">
        <v>423215</v>
      </c>
      <c r="G279">
        <v>0</v>
      </c>
      <c r="H279" t="s">
        <v>156</v>
      </c>
      <c r="I279">
        <v>10682755</v>
      </c>
      <c r="J279">
        <v>4</v>
      </c>
      <c r="K279">
        <v>24</v>
      </c>
      <c r="L279">
        <v>24</v>
      </c>
      <c r="M279">
        <v>1563</v>
      </c>
      <c r="N279" s="2">
        <v>89112</v>
      </c>
      <c r="O279" s="2">
        <v>2820</v>
      </c>
      <c r="P279" s="2">
        <v>2256</v>
      </c>
      <c r="Q279" s="2">
        <v>6252</v>
      </c>
      <c r="R279" s="2">
        <v>6768</v>
      </c>
      <c r="S279">
        <v>162</v>
      </c>
      <c r="T279" s="2">
        <v>56400</v>
      </c>
      <c r="U279" s="2">
        <v>32712</v>
      </c>
      <c r="V279">
        <v>150</v>
      </c>
      <c r="W279">
        <v>0</v>
      </c>
      <c r="X279">
        <v>0</v>
      </c>
      <c r="Y279">
        <v>0</v>
      </c>
      <c r="Z279">
        <v>1</v>
      </c>
      <c r="AA279">
        <v>6.6645339999999997E-3</v>
      </c>
      <c r="AB279">
        <v>27.3</v>
      </c>
      <c r="AC279">
        <v>11.85275</v>
      </c>
      <c r="AD279">
        <v>22</v>
      </c>
      <c r="AI279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0.14724999999999966</v>
      </c>
      <c r="AK279" t="s">
        <v>214</v>
      </c>
      <c r="AN279">
        <f>INT(Table1[[#This Row],[reject_prod]]/Table1[[#This Row],[part_weight]] * 1000)</f>
        <v>41</v>
      </c>
    </row>
    <row r="280" spans="1:40">
      <c r="A280" s="1">
        <v>46032</v>
      </c>
      <c r="B280">
        <v>1</v>
      </c>
      <c r="C280">
        <v>3</v>
      </c>
      <c r="D280" t="s">
        <v>43</v>
      </c>
      <c r="E280" t="s">
        <v>34</v>
      </c>
      <c r="F280">
        <v>442034</v>
      </c>
      <c r="G280">
        <v>0</v>
      </c>
      <c r="H280" t="s">
        <v>37</v>
      </c>
      <c r="I280">
        <v>10681183</v>
      </c>
      <c r="J280">
        <v>4</v>
      </c>
      <c r="K280">
        <v>23</v>
      </c>
      <c r="L280">
        <v>23</v>
      </c>
      <c r="M280">
        <v>1466</v>
      </c>
      <c r="N280" s="2">
        <v>139776</v>
      </c>
      <c r="O280" s="2">
        <v>3072</v>
      </c>
      <c r="P280" s="2">
        <v>3840</v>
      </c>
      <c r="Q280" s="2">
        <v>5864</v>
      </c>
      <c r="R280" s="2">
        <v>4608</v>
      </c>
      <c r="S280">
        <v>106</v>
      </c>
      <c r="T280" s="2">
        <v>54528</v>
      </c>
      <c r="U280" s="2">
        <v>85248</v>
      </c>
      <c r="V280">
        <v>135</v>
      </c>
      <c r="W280">
        <v>0</v>
      </c>
      <c r="X280">
        <v>0</v>
      </c>
      <c r="Y280">
        <v>0</v>
      </c>
      <c r="Z280">
        <v>6.5</v>
      </c>
      <c r="AA280">
        <v>4.8193843E-2</v>
      </c>
      <c r="AB280">
        <v>26.9</v>
      </c>
      <c r="AC280">
        <v>10.95427778</v>
      </c>
      <c r="AD280">
        <v>22</v>
      </c>
      <c r="AI280">
        <f>12 - Table1[[#This Row],[production_running]] - Table1[[#This Row],[ change_full_set ]] - Table1[[#This Row],[ change_half_set ]] - Table1[[#This Row],[ change_parts ]] - Table1[[#This Row],[ maintenance_dt ]] - Table1[[#This Row],[production_dt]]</f>
        <v>1.04572222</v>
      </c>
      <c r="AK280" t="s">
        <v>252</v>
      </c>
      <c r="AN280">
        <f>INT(Table1[[#This Row],[reject_prod]]/Table1[[#This Row],[part_weight]] * 1000)</f>
        <v>282</v>
      </c>
    </row>
    <row r="281" spans="1:40">
      <c r="A281" s="1">
        <v>46032</v>
      </c>
      <c r="B281">
        <v>1</v>
      </c>
      <c r="C281">
        <v>4</v>
      </c>
      <c r="F281">
        <v>123456</v>
      </c>
      <c r="G281">
        <v>0</v>
      </c>
      <c r="M281">
        <v>0</v>
      </c>
      <c r="N281">
        <v>0</v>
      </c>
      <c r="O281">
        <v>0</v>
      </c>
      <c r="P281">
        <v>0</v>
      </c>
      <c r="R281">
        <v>0</v>
      </c>
      <c r="T281">
        <v>0</v>
      </c>
      <c r="X281">
        <v>0</v>
      </c>
      <c r="Z281">
        <v>0</v>
      </c>
      <c r="AB281">
        <v>0</v>
      </c>
      <c r="AC281">
        <v>0</v>
      </c>
      <c r="AD281">
        <v>22.5</v>
      </c>
      <c r="AI281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281">
        <v>12</v>
      </c>
      <c r="AK281" t="s">
        <v>116</v>
      </c>
      <c r="AN281">
        <v>0</v>
      </c>
    </row>
    <row r="282" spans="1:40">
      <c r="A282" s="1">
        <v>46032</v>
      </c>
      <c r="B282">
        <v>1</v>
      </c>
      <c r="C282">
        <v>5</v>
      </c>
      <c r="D282" t="s">
        <v>143</v>
      </c>
      <c r="E282" t="s">
        <v>34</v>
      </c>
      <c r="F282">
        <v>611949</v>
      </c>
      <c r="G282">
        <v>0</v>
      </c>
      <c r="H282" t="s">
        <v>38</v>
      </c>
      <c r="I282">
        <v>10680235</v>
      </c>
      <c r="J282">
        <v>4</v>
      </c>
      <c r="K282">
        <v>20</v>
      </c>
      <c r="L282">
        <v>20</v>
      </c>
      <c r="M282">
        <v>1511</v>
      </c>
      <c r="N282" s="2">
        <v>83600</v>
      </c>
      <c r="O282" s="2">
        <v>4950</v>
      </c>
      <c r="P282">
        <v>0</v>
      </c>
      <c r="Q282" s="2">
        <v>6044</v>
      </c>
      <c r="R282" s="2">
        <v>11000</v>
      </c>
      <c r="S282">
        <v>220</v>
      </c>
      <c r="T282" s="2">
        <v>83600</v>
      </c>
      <c r="U282">
        <v>0</v>
      </c>
      <c r="V282">
        <v>121</v>
      </c>
      <c r="W282">
        <v>0</v>
      </c>
      <c r="X282">
        <v>0</v>
      </c>
      <c r="Y282">
        <v>0</v>
      </c>
      <c r="Z282">
        <v>4</v>
      </c>
      <c r="AA282">
        <v>3.3090667999999997E-2</v>
      </c>
      <c r="AB282">
        <v>23.6</v>
      </c>
      <c r="AC282">
        <v>9.9054444440000005</v>
      </c>
      <c r="AD282">
        <v>21.64</v>
      </c>
      <c r="AI282">
        <f>12 - Table1[[#This Row],[production_running]] - Table1[[#This Row],[ change_full_set ]] - Table1[[#This Row],[ change_half_set ]] - Table1[[#This Row],[ change_parts ]] - Table1[[#This Row],[ maintenance_dt ]] - Table1[[#This Row],[production_dt]]</f>
        <v>2.0945555559999995</v>
      </c>
      <c r="AK282" t="s">
        <v>253</v>
      </c>
      <c r="AN282">
        <f>INT(Table1[[#This Row],[reject_prod]]/Table1[[#This Row],[part_weight]] * 1000)</f>
        <v>200</v>
      </c>
    </row>
    <row r="283" spans="1:40">
      <c r="A283" s="1">
        <v>46032</v>
      </c>
      <c r="B283">
        <v>1</v>
      </c>
      <c r="C283">
        <v>6</v>
      </c>
      <c r="D283" t="s">
        <v>152</v>
      </c>
      <c r="E283" t="s">
        <v>34</v>
      </c>
      <c r="F283">
        <v>532981</v>
      </c>
      <c r="G283">
        <v>0</v>
      </c>
      <c r="H283" t="s">
        <v>233</v>
      </c>
      <c r="I283">
        <v>10682758</v>
      </c>
      <c r="J283">
        <v>4</v>
      </c>
      <c r="K283">
        <v>24.45</v>
      </c>
      <c r="L283">
        <v>24</v>
      </c>
      <c r="M283">
        <v>1956</v>
      </c>
      <c r="N283" s="2">
        <v>87552</v>
      </c>
      <c r="O283" s="2">
        <v>3648</v>
      </c>
      <c r="P283">
        <v>456</v>
      </c>
      <c r="Q283" s="2">
        <v>7824</v>
      </c>
      <c r="R283" s="2">
        <v>10944</v>
      </c>
      <c r="S283">
        <v>263</v>
      </c>
      <c r="T283" s="2">
        <v>16872</v>
      </c>
      <c r="U283" s="2">
        <v>70680</v>
      </c>
      <c r="V283">
        <v>188</v>
      </c>
      <c r="W283">
        <v>0</v>
      </c>
      <c r="X283">
        <v>0</v>
      </c>
      <c r="Y283">
        <v>0</v>
      </c>
      <c r="Z283">
        <v>3</v>
      </c>
      <c r="AA283">
        <v>1.5976483E-2</v>
      </c>
      <c r="AB283">
        <v>21.9</v>
      </c>
      <c r="AC283">
        <v>11.898999999999999</v>
      </c>
      <c r="AD283">
        <v>20</v>
      </c>
      <c r="AI283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0.10100000000000087</v>
      </c>
      <c r="AK283" t="s">
        <v>214</v>
      </c>
      <c r="AN283">
        <f>INT(Table1[[#This Row],[reject_prod]]/Table1[[#This Row],[part_weight]] * 1000)</f>
        <v>125</v>
      </c>
    </row>
    <row r="284" spans="1:40">
      <c r="A284" s="1">
        <v>46032</v>
      </c>
      <c r="B284">
        <v>1</v>
      </c>
      <c r="C284">
        <v>7</v>
      </c>
      <c r="D284" t="s">
        <v>254</v>
      </c>
      <c r="E284" t="s">
        <v>34</v>
      </c>
      <c r="F284">
        <v>324177</v>
      </c>
      <c r="G284">
        <v>0</v>
      </c>
      <c r="H284" t="s">
        <v>246</v>
      </c>
      <c r="I284">
        <v>10682801</v>
      </c>
      <c r="J284">
        <v>4</v>
      </c>
      <c r="K284">
        <v>34.5</v>
      </c>
      <c r="L284">
        <v>34.5</v>
      </c>
      <c r="M284">
        <v>1228</v>
      </c>
      <c r="N284" s="2">
        <v>62400</v>
      </c>
      <c r="O284">
        <v>936</v>
      </c>
      <c r="P284">
        <v>312</v>
      </c>
      <c r="Q284" s="2">
        <v>4912</v>
      </c>
      <c r="R284" s="2">
        <v>4680</v>
      </c>
      <c r="S284">
        <v>161</v>
      </c>
      <c r="T284" s="2">
        <v>4992</v>
      </c>
      <c r="U284" s="2">
        <v>57408</v>
      </c>
      <c r="V284">
        <v>169</v>
      </c>
      <c r="W284">
        <v>0</v>
      </c>
      <c r="X284">
        <v>18.600000000000001</v>
      </c>
      <c r="Y284">
        <v>0.109757825</v>
      </c>
      <c r="Z284">
        <v>0</v>
      </c>
      <c r="AA284">
        <v>0</v>
      </c>
      <c r="AB284">
        <v>21.43</v>
      </c>
      <c r="AC284">
        <v>7.3100111109999997</v>
      </c>
      <c r="AD284">
        <v>22</v>
      </c>
      <c r="AI284">
        <f>12 - Table1[[#This Row],[production_running]] - Table1[[#This Row],[ change_full_set ]] - Table1[[#This Row],[ change_half_set ]] - Table1[[#This Row],[ change_parts ]] - Table1[[#This Row],[ maintenance_dt ]] - Table1[[#This Row],[production_dt]]</f>
        <v>4.6899888890000003</v>
      </c>
      <c r="AK284" t="s">
        <v>255</v>
      </c>
      <c r="AN284">
        <f>INT(Table1[[#This Row],[reject_prod]]/Table1[[#This Row],[part_weight]] * 1000)</f>
        <v>0</v>
      </c>
    </row>
    <row r="285" spans="1:40">
      <c r="A285" s="1">
        <v>46032</v>
      </c>
      <c r="B285">
        <v>1</v>
      </c>
      <c r="C285">
        <v>8</v>
      </c>
      <c r="D285" t="s">
        <v>129</v>
      </c>
      <c r="E285" t="s">
        <v>34</v>
      </c>
      <c r="F285">
        <v>323102</v>
      </c>
      <c r="G285">
        <v>0</v>
      </c>
      <c r="H285" t="s">
        <v>45</v>
      </c>
      <c r="I285">
        <v>10683894</v>
      </c>
      <c r="J285">
        <v>4</v>
      </c>
      <c r="K285">
        <v>56.9</v>
      </c>
      <c r="L285">
        <v>56.9</v>
      </c>
      <c r="M285">
        <v>395</v>
      </c>
      <c r="N285" s="2">
        <v>38400</v>
      </c>
      <c r="O285">
        <v>160</v>
      </c>
      <c r="P285">
        <v>0</v>
      </c>
      <c r="Q285" s="2">
        <v>1580</v>
      </c>
      <c r="R285" s="2">
        <v>1600</v>
      </c>
      <c r="S285">
        <v>91</v>
      </c>
      <c r="T285" s="2">
        <v>25600</v>
      </c>
      <c r="U285" s="2">
        <v>12800</v>
      </c>
      <c r="V285">
        <v>90</v>
      </c>
      <c r="W285">
        <v>0</v>
      </c>
      <c r="X285">
        <v>0</v>
      </c>
      <c r="Y285">
        <v>0</v>
      </c>
      <c r="Z285">
        <v>4.3</v>
      </c>
      <c r="AA285">
        <v>4.7829859000000002E-2</v>
      </c>
      <c r="AB285">
        <v>27.5</v>
      </c>
      <c r="AC285">
        <v>3.017361111</v>
      </c>
      <c r="AD285">
        <v>26</v>
      </c>
      <c r="AI285">
        <f>12 - Table1[[#This Row],[production_running]] - Table1[[#This Row],[ change_full_set ]] - Table1[[#This Row],[ change_half_set ]] - Table1[[#This Row],[ change_parts ]] - Table1[[#This Row],[ maintenance_dt ]] - Table1[[#This Row],[production_dt]]</f>
        <v>8.9826388890000004</v>
      </c>
      <c r="AK285" t="s">
        <v>256</v>
      </c>
      <c r="AN285">
        <f>INT(Table1[[#This Row],[reject_prod]]/Table1[[#This Row],[part_weight]] * 1000)</f>
        <v>75</v>
      </c>
    </row>
    <row r="286" spans="1:40">
      <c r="A286" s="1">
        <v>46032</v>
      </c>
      <c r="B286">
        <v>1</v>
      </c>
      <c r="C286">
        <v>9</v>
      </c>
      <c r="D286" t="s">
        <v>257</v>
      </c>
      <c r="E286" t="s">
        <v>46</v>
      </c>
      <c r="F286">
        <v>586276</v>
      </c>
      <c r="G286">
        <v>0</v>
      </c>
      <c r="H286" t="s">
        <v>47</v>
      </c>
      <c r="I286">
        <v>10682924</v>
      </c>
      <c r="J286">
        <v>6</v>
      </c>
      <c r="K286">
        <v>12.3</v>
      </c>
      <c r="L286">
        <v>12.3</v>
      </c>
      <c r="M286">
        <v>1624</v>
      </c>
      <c r="N286" s="2">
        <v>162000</v>
      </c>
      <c r="O286">
        <v>405</v>
      </c>
      <c r="P286" s="2">
        <v>2025</v>
      </c>
      <c r="Q286" s="2">
        <v>9744</v>
      </c>
      <c r="R286" s="2">
        <v>8100</v>
      </c>
      <c r="S286">
        <v>100</v>
      </c>
      <c r="T286" s="2">
        <v>18225</v>
      </c>
      <c r="U286" s="2">
        <v>143775</v>
      </c>
      <c r="V286">
        <v>120</v>
      </c>
      <c r="W286">
        <v>0</v>
      </c>
      <c r="X286">
        <v>0</v>
      </c>
      <c r="Y286">
        <v>0</v>
      </c>
      <c r="Z286">
        <v>1</v>
      </c>
      <c r="AA286">
        <v>8.3436789999999997E-3</v>
      </c>
      <c r="AB286">
        <v>26.2</v>
      </c>
      <c r="AC286">
        <v>11.81911111</v>
      </c>
      <c r="AD286">
        <v>26</v>
      </c>
      <c r="AI28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0.1808888900000003</v>
      </c>
      <c r="AK286" t="s">
        <v>51</v>
      </c>
      <c r="AN286">
        <f>INT(Table1[[#This Row],[reject_prod]]/Table1[[#This Row],[part_weight]] * 1000)</f>
        <v>81</v>
      </c>
    </row>
    <row r="287" spans="1:40">
      <c r="A287" s="1">
        <v>46032</v>
      </c>
      <c r="B287">
        <v>1</v>
      </c>
      <c r="C287">
        <v>10</v>
      </c>
      <c r="D287" t="s">
        <v>254</v>
      </c>
      <c r="E287" t="s">
        <v>41</v>
      </c>
      <c r="F287">
        <v>593537</v>
      </c>
      <c r="G287">
        <v>0</v>
      </c>
      <c r="H287" t="s">
        <v>48</v>
      </c>
      <c r="I287">
        <v>10682925</v>
      </c>
      <c r="J287">
        <v>4</v>
      </c>
      <c r="K287">
        <v>56.5</v>
      </c>
      <c r="L287">
        <v>56.8</v>
      </c>
      <c r="M287">
        <v>1379</v>
      </c>
      <c r="N287" s="2">
        <v>69000</v>
      </c>
      <c r="O287">
        <v>575</v>
      </c>
      <c r="P287">
        <v>0</v>
      </c>
      <c r="Q287" s="2">
        <v>5516</v>
      </c>
      <c r="R287" s="2">
        <v>5750</v>
      </c>
      <c r="S287">
        <v>327</v>
      </c>
      <c r="T287" s="2">
        <v>64975</v>
      </c>
      <c r="U287" s="2">
        <v>4025</v>
      </c>
      <c r="V287">
        <v>313</v>
      </c>
      <c r="W287">
        <v>0</v>
      </c>
      <c r="X287">
        <v>0</v>
      </c>
      <c r="Y287">
        <v>0</v>
      </c>
      <c r="Z287">
        <v>1</v>
      </c>
      <c r="AA287">
        <v>3.1917389999999999E-3</v>
      </c>
      <c r="AB287">
        <v>31.7</v>
      </c>
      <c r="AC287">
        <v>12</v>
      </c>
      <c r="AD287">
        <v>28.5</v>
      </c>
      <c r="AI287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287" t="s">
        <v>51</v>
      </c>
      <c r="AN287">
        <f>INT(Table1[[#This Row],[reject_prod]]/Table1[[#This Row],[part_weight]] * 1000)</f>
        <v>17</v>
      </c>
    </row>
    <row r="288" spans="1:40">
      <c r="A288" s="1">
        <v>46032</v>
      </c>
      <c r="B288">
        <v>1</v>
      </c>
      <c r="C288">
        <v>11</v>
      </c>
      <c r="D288" t="s">
        <v>112</v>
      </c>
      <c r="E288" t="s">
        <v>46</v>
      </c>
      <c r="F288">
        <v>552181</v>
      </c>
      <c r="G288">
        <v>1</v>
      </c>
      <c r="H288" t="s">
        <v>49</v>
      </c>
      <c r="I288">
        <v>10682927</v>
      </c>
      <c r="J288">
        <v>6</v>
      </c>
      <c r="K288">
        <v>18.8</v>
      </c>
      <c r="L288">
        <v>18.8</v>
      </c>
      <c r="M288">
        <v>1503</v>
      </c>
      <c r="N288" s="2">
        <v>108000</v>
      </c>
      <c r="O288" s="2">
        <v>11880</v>
      </c>
      <c r="P288" s="2">
        <v>12420</v>
      </c>
      <c r="Q288" s="2">
        <v>9018</v>
      </c>
      <c r="R288" s="2">
        <v>10800</v>
      </c>
      <c r="S288">
        <v>203</v>
      </c>
      <c r="T288" s="2">
        <v>82620</v>
      </c>
      <c r="U288" s="2">
        <v>25380</v>
      </c>
      <c r="V288">
        <v>170</v>
      </c>
      <c r="W288">
        <v>0</v>
      </c>
      <c r="X288">
        <v>0</v>
      </c>
      <c r="Y288">
        <v>0</v>
      </c>
      <c r="Z288">
        <v>4</v>
      </c>
      <c r="AA288">
        <v>2.3593474999999999E-2</v>
      </c>
      <c r="AB288">
        <v>27.6</v>
      </c>
      <c r="AC288">
        <v>11.523</v>
      </c>
      <c r="AD288">
        <v>27</v>
      </c>
      <c r="AI288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0.47700000000000031</v>
      </c>
      <c r="AK288" t="s">
        <v>239</v>
      </c>
      <c r="AN288">
        <f>INT(Table1[[#This Row],[reject_prod]]/Table1[[#This Row],[part_weight]] * 1000)</f>
        <v>212</v>
      </c>
    </row>
    <row r="289" spans="1:40">
      <c r="A289" s="1">
        <v>46032</v>
      </c>
      <c r="B289">
        <v>1</v>
      </c>
      <c r="C289">
        <v>12</v>
      </c>
      <c r="D289" t="s">
        <v>65</v>
      </c>
      <c r="E289" t="s">
        <v>34</v>
      </c>
      <c r="F289">
        <v>620599</v>
      </c>
      <c r="G289">
        <v>0</v>
      </c>
      <c r="H289" t="s">
        <v>50</v>
      </c>
      <c r="I289">
        <v>10682928</v>
      </c>
      <c r="J289">
        <v>4</v>
      </c>
      <c r="K289">
        <v>55</v>
      </c>
      <c r="L289">
        <v>55</v>
      </c>
      <c r="M289">
        <v>1363</v>
      </c>
      <c r="N289" s="2">
        <v>72000</v>
      </c>
      <c r="O289" s="2">
        <v>1125</v>
      </c>
      <c r="P289">
        <v>900</v>
      </c>
      <c r="Q289" s="2">
        <v>5452</v>
      </c>
      <c r="R289" s="2">
        <v>5400</v>
      </c>
      <c r="S289">
        <v>297</v>
      </c>
      <c r="T289" s="2">
        <v>69300</v>
      </c>
      <c r="U289" s="2">
        <v>2700</v>
      </c>
      <c r="V289">
        <v>300</v>
      </c>
      <c r="W289">
        <v>0</v>
      </c>
      <c r="X289">
        <v>0</v>
      </c>
      <c r="Y289">
        <v>0</v>
      </c>
      <c r="Z289">
        <v>14.5</v>
      </c>
      <c r="AA289">
        <v>4.8355899000000001E-2</v>
      </c>
      <c r="AB289">
        <v>28</v>
      </c>
      <c r="AC289">
        <v>10.60111111</v>
      </c>
      <c r="AD289">
        <v>28</v>
      </c>
      <c r="AI289">
        <f>12 - Table1[[#This Row],[production_running]] - Table1[[#This Row],[ change_full_set ]] - Table1[[#This Row],[ change_half_set ]] - Table1[[#This Row],[ change_parts ]] - Table1[[#This Row],[ maintenance_dt ]] - Table1[[#This Row],[production_dt]]</f>
        <v>1.3988888900000003</v>
      </c>
      <c r="AK289" t="s">
        <v>258</v>
      </c>
      <c r="AN289">
        <f>INT(Table1[[#This Row],[reject_prod]]/Table1[[#This Row],[part_weight]] * 1000)</f>
        <v>263</v>
      </c>
    </row>
    <row r="290" spans="1:40">
      <c r="A290" s="1">
        <v>46032</v>
      </c>
      <c r="B290">
        <v>1</v>
      </c>
      <c r="C290">
        <v>13</v>
      </c>
      <c r="D290" t="s">
        <v>112</v>
      </c>
      <c r="E290" t="s">
        <v>46</v>
      </c>
      <c r="F290">
        <v>586276</v>
      </c>
      <c r="G290">
        <v>0</v>
      </c>
      <c r="H290" t="s">
        <v>47</v>
      </c>
      <c r="I290">
        <v>10682930</v>
      </c>
      <c r="J290">
        <v>6</v>
      </c>
      <c r="K290">
        <v>12.3</v>
      </c>
      <c r="L290">
        <v>12.3</v>
      </c>
      <c r="M290">
        <v>1608</v>
      </c>
      <c r="N290" s="2">
        <v>162000</v>
      </c>
      <c r="O290" s="2">
        <v>4860</v>
      </c>
      <c r="P290" s="2">
        <v>6480</v>
      </c>
      <c r="Q290" s="2">
        <v>9648</v>
      </c>
      <c r="R290" s="2">
        <v>8100</v>
      </c>
      <c r="S290">
        <v>100</v>
      </c>
      <c r="T290" s="2">
        <v>119880</v>
      </c>
      <c r="U290" s="2">
        <v>42120</v>
      </c>
      <c r="V290">
        <v>119</v>
      </c>
      <c r="W290">
        <v>0</v>
      </c>
      <c r="X290">
        <v>0</v>
      </c>
      <c r="Y290">
        <v>0</v>
      </c>
      <c r="Z290">
        <v>2.1</v>
      </c>
      <c r="AA290">
        <v>1.7696072E-2</v>
      </c>
      <c r="AB290">
        <v>26.4</v>
      </c>
      <c r="AC290">
        <v>11.792</v>
      </c>
      <c r="AD290">
        <v>26</v>
      </c>
      <c r="AI290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0.20800000000000018</v>
      </c>
      <c r="AK290" t="s">
        <v>51</v>
      </c>
      <c r="AN290">
        <f>INT(Table1[[#This Row],[reject_prod]]/Table1[[#This Row],[part_weight]] * 1000)</f>
        <v>170</v>
      </c>
    </row>
    <row r="291" spans="1:40">
      <c r="A291" s="1">
        <v>46032</v>
      </c>
      <c r="B291">
        <v>1</v>
      </c>
      <c r="C291">
        <v>14</v>
      </c>
      <c r="D291" t="s">
        <v>259</v>
      </c>
      <c r="E291" t="s">
        <v>46</v>
      </c>
      <c r="F291">
        <v>555979</v>
      </c>
      <c r="G291">
        <v>1</v>
      </c>
      <c r="H291" t="s">
        <v>52</v>
      </c>
      <c r="I291">
        <v>10682932</v>
      </c>
      <c r="J291">
        <v>6</v>
      </c>
      <c r="K291">
        <v>28</v>
      </c>
      <c r="L291">
        <v>28</v>
      </c>
      <c r="M291">
        <v>990</v>
      </c>
      <c r="N291" s="2">
        <v>100800</v>
      </c>
      <c r="O291" s="2">
        <v>1176</v>
      </c>
      <c r="P291" s="2">
        <v>2856</v>
      </c>
      <c r="Q291" s="2">
        <v>5940</v>
      </c>
      <c r="R291" s="2">
        <v>3360</v>
      </c>
      <c r="S291">
        <v>94</v>
      </c>
      <c r="T291" s="2">
        <v>26376</v>
      </c>
      <c r="U291" s="2">
        <v>74424</v>
      </c>
      <c r="V291">
        <v>166</v>
      </c>
      <c r="W291">
        <v>0</v>
      </c>
      <c r="X291">
        <v>0</v>
      </c>
      <c r="Y291">
        <v>0</v>
      </c>
      <c r="Z291">
        <v>1.2</v>
      </c>
      <c r="AA291">
        <v>7.2150069999999998E-3</v>
      </c>
      <c r="AB291">
        <v>44.1</v>
      </c>
      <c r="AC291">
        <v>12</v>
      </c>
      <c r="AD291">
        <v>42</v>
      </c>
      <c r="AI291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291" t="s">
        <v>260</v>
      </c>
      <c r="AN291">
        <f>INT(Table1[[#This Row],[reject_prod]]/Table1[[#This Row],[part_weight]] * 1000)</f>
        <v>42</v>
      </c>
    </row>
    <row r="292" spans="1:40">
      <c r="A292" s="1">
        <v>46032</v>
      </c>
      <c r="B292">
        <v>1</v>
      </c>
      <c r="C292">
        <v>15</v>
      </c>
      <c r="D292" t="s">
        <v>112</v>
      </c>
      <c r="E292" t="s">
        <v>46</v>
      </c>
      <c r="F292">
        <v>552181</v>
      </c>
      <c r="G292">
        <v>2</v>
      </c>
      <c r="H292" t="s">
        <v>49</v>
      </c>
      <c r="I292">
        <v>10682934</v>
      </c>
      <c r="J292">
        <v>6</v>
      </c>
      <c r="K292">
        <v>18.8</v>
      </c>
      <c r="L292">
        <v>18.8</v>
      </c>
      <c r="M292">
        <v>1359</v>
      </c>
      <c r="N292" s="2">
        <v>108000</v>
      </c>
      <c r="O292" s="2">
        <v>14040</v>
      </c>
      <c r="P292" s="2">
        <v>15660</v>
      </c>
      <c r="Q292" s="2">
        <v>8154</v>
      </c>
      <c r="R292" s="2">
        <v>10800</v>
      </c>
      <c r="S292">
        <v>203</v>
      </c>
      <c r="T292" s="2">
        <v>64260</v>
      </c>
      <c r="U292" s="2">
        <v>43740</v>
      </c>
      <c r="V292">
        <v>153</v>
      </c>
      <c r="W292">
        <v>0</v>
      </c>
      <c r="X292">
        <v>0</v>
      </c>
      <c r="Y292">
        <v>0</v>
      </c>
      <c r="Z292">
        <v>3.4</v>
      </c>
      <c r="AA292">
        <v>2.2179429000000001E-2</v>
      </c>
      <c r="AB292">
        <v>31.3</v>
      </c>
      <c r="AC292">
        <v>11.81575</v>
      </c>
      <c r="AD292">
        <v>27</v>
      </c>
      <c r="AI292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0.18425000000000047</v>
      </c>
      <c r="AK292" t="s">
        <v>51</v>
      </c>
      <c r="AN292">
        <f>INT(Table1[[#This Row],[reject_prod]]/Table1[[#This Row],[part_weight]] * 1000)</f>
        <v>180</v>
      </c>
    </row>
    <row r="293" spans="1:40">
      <c r="A293" s="1">
        <v>46032</v>
      </c>
      <c r="B293">
        <v>1</v>
      </c>
      <c r="C293">
        <v>16</v>
      </c>
      <c r="D293" t="s">
        <v>261</v>
      </c>
      <c r="E293" t="s">
        <v>46</v>
      </c>
      <c r="F293">
        <v>555979</v>
      </c>
      <c r="G293">
        <v>2</v>
      </c>
      <c r="H293" t="s">
        <v>52</v>
      </c>
      <c r="I293">
        <v>10682935</v>
      </c>
      <c r="J293">
        <v>6</v>
      </c>
      <c r="K293">
        <v>28</v>
      </c>
      <c r="L293">
        <v>28</v>
      </c>
      <c r="M293">
        <v>973</v>
      </c>
      <c r="N293" s="2">
        <v>100800</v>
      </c>
      <c r="O293" s="2">
        <v>1008</v>
      </c>
      <c r="P293">
        <v>0</v>
      </c>
      <c r="Q293" s="2">
        <v>5838</v>
      </c>
      <c r="R293" s="2">
        <v>6720</v>
      </c>
      <c r="S293">
        <v>188</v>
      </c>
      <c r="T293" s="2">
        <v>70560</v>
      </c>
      <c r="U293" s="2">
        <v>30240</v>
      </c>
      <c r="V293">
        <v>163</v>
      </c>
      <c r="W293">
        <v>0</v>
      </c>
      <c r="X293">
        <v>0</v>
      </c>
      <c r="Y293">
        <v>0</v>
      </c>
      <c r="Z293">
        <v>4.3</v>
      </c>
      <c r="AA293">
        <v>2.6305485999999999E-2</v>
      </c>
      <c r="AB293">
        <v>43.7</v>
      </c>
      <c r="AC293">
        <v>11.811138890000001</v>
      </c>
      <c r="AD293">
        <v>42</v>
      </c>
      <c r="AI293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0.1888611099999995</v>
      </c>
      <c r="AK293" t="s">
        <v>51</v>
      </c>
      <c r="AN293">
        <f>INT(Table1[[#This Row],[reject_prod]]/Table1[[#This Row],[part_weight]] * 1000)</f>
        <v>153</v>
      </c>
    </row>
    <row r="294" spans="1:40">
      <c r="A294" s="1">
        <v>46032</v>
      </c>
      <c r="B294">
        <v>2</v>
      </c>
      <c r="C294">
        <v>1</v>
      </c>
      <c r="F294">
        <v>123456</v>
      </c>
      <c r="G294">
        <v>0</v>
      </c>
      <c r="M294">
        <v>0</v>
      </c>
      <c r="N294">
        <v>0</v>
      </c>
      <c r="O294">
        <v>0</v>
      </c>
      <c r="P294">
        <v>0</v>
      </c>
      <c r="R294">
        <v>0</v>
      </c>
      <c r="T294">
        <v>0</v>
      </c>
      <c r="X294">
        <v>0</v>
      </c>
      <c r="Z294">
        <v>0</v>
      </c>
      <c r="AB294">
        <v>0</v>
      </c>
      <c r="AC294">
        <v>0</v>
      </c>
      <c r="AD294">
        <v>22.5</v>
      </c>
      <c r="AI294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294">
        <v>12</v>
      </c>
      <c r="AK294" t="s">
        <v>116</v>
      </c>
      <c r="AN294">
        <v>0</v>
      </c>
    </row>
    <row r="295" spans="1:40">
      <c r="A295" s="1">
        <v>46032</v>
      </c>
      <c r="B295">
        <v>2</v>
      </c>
      <c r="C295">
        <v>2</v>
      </c>
      <c r="D295" t="s">
        <v>117</v>
      </c>
      <c r="E295" t="s">
        <v>34</v>
      </c>
      <c r="F295">
        <v>423215</v>
      </c>
      <c r="G295">
        <v>0</v>
      </c>
      <c r="H295" t="s">
        <v>156</v>
      </c>
      <c r="I295">
        <v>10682755</v>
      </c>
      <c r="J295">
        <v>4</v>
      </c>
      <c r="K295">
        <v>24</v>
      </c>
      <c r="L295">
        <v>24</v>
      </c>
      <c r="M295">
        <v>1605</v>
      </c>
      <c r="N295" s="2">
        <v>89112</v>
      </c>
      <c r="O295" s="2">
        <v>2256</v>
      </c>
      <c r="P295" s="2">
        <v>1974</v>
      </c>
      <c r="Q295" s="2">
        <v>6420</v>
      </c>
      <c r="R295" s="2">
        <v>6768</v>
      </c>
      <c r="S295">
        <v>162</v>
      </c>
      <c r="T295" s="2">
        <v>62886</v>
      </c>
      <c r="U295" s="2">
        <v>26226</v>
      </c>
      <c r="V295">
        <v>154</v>
      </c>
      <c r="W295">
        <v>0</v>
      </c>
      <c r="X295">
        <v>0</v>
      </c>
      <c r="Y295">
        <v>0</v>
      </c>
      <c r="Z295">
        <v>1</v>
      </c>
      <c r="AA295">
        <v>6.4901350000000002E-3</v>
      </c>
      <c r="AB295">
        <v>27.2</v>
      </c>
      <c r="AC295">
        <v>12</v>
      </c>
      <c r="AD295">
        <v>22</v>
      </c>
      <c r="AI295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295" t="s">
        <v>214</v>
      </c>
      <c r="AN295">
        <f>INT(Table1[[#This Row],[reject_prod]]/Table1[[#This Row],[part_weight]] * 1000)</f>
        <v>41</v>
      </c>
    </row>
    <row r="296" spans="1:40">
      <c r="A296" s="1">
        <v>46032</v>
      </c>
      <c r="B296">
        <v>2</v>
      </c>
      <c r="C296">
        <v>3</v>
      </c>
      <c r="D296" t="s">
        <v>139</v>
      </c>
      <c r="E296" t="s">
        <v>34</v>
      </c>
      <c r="F296">
        <v>442034</v>
      </c>
      <c r="G296">
        <v>0</v>
      </c>
      <c r="H296" t="s">
        <v>37</v>
      </c>
      <c r="I296">
        <v>10681183</v>
      </c>
      <c r="J296">
        <v>4</v>
      </c>
      <c r="K296">
        <v>23</v>
      </c>
      <c r="L296">
        <v>23</v>
      </c>
      <c r="M296">
        <v>1550</v>
      </c>
      <c r="N296" s="2">
        <v>139776</v>
      </c>
      <c r="O296" s="2">
        <v>3840</v>
      </c>
      <c r="P296">
        <v>768</v>
      </c>
      <c r="Q296" s="2">
        <v>6200</v>
      </c>
      <c r="R296" s="2">
        <v>9216</v>
      </c>
      <c r="S296">
        <v>212</v>
      </c>
      <c r="T296" s="2">
        <v>65280</v>
      </c>
      <c r="U296" s="2">
        <v>74496</v>
      </c>
      <c r="V296">
        <v>143</v>
      </c>
      <c r="W296">
        <v>0</v>
      </c>
      <c r="X296">
        <v>0</v>
      </c>
      <c r="Y296">
        <v>0</v>
      </c>
      <c r="Z296">
        <v>5</v>
      </c>
      <c r="AA296">
        <v>3.5063113999999999E-2</v>
      </c>
      <c r="AB296">
        <v>26.78</v>
      </c>
      <c r="AC296">
        <v>11.53027778</v>
      </c>
      <c r="AD296">
        <v>22</v>
      </c>
      <c r="AI29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0.46972221999999952</v>
      </c>
      <c r="AK296" t="s">
        <v>262</v>
      </c>
      <c r="AN296">
        <f>INT(Table1[[#This Row],[reject_prod]]/Table1[[#This Row],[part_weight]] * 1000)</f>
        <v>217</v>
      </c>
    </row>
    <row r="297" spans="1:40">
      <c r="A297" s="1">
        <v>46032</v>
      </c>
      <c r="B297">
        <v>2</v>
      </c>
      <c r="C297">
        <v>4</v>
      </c>
      <c r="F297">
        <v>123456</v>
      </c>
      <c r="G297">
        <v>0</v>
      </c>
      <c r="M297">
        <v>0</v>
      </c>
      <c r="N297">
        <v>0</v>
      </c>
      <c r="O297">
        <v>0</v>
      </c>
      <c r="P297">
        <v>0</v>
      </c>
      <c r="R297">
        <v>0</v>
      </c>
      <c r="T297">
        <v>0</v>
      </c>
      <c r="X297">
        <v>0</v>
      </c>
      <c r="Z297">
        <v>0</v>
      </c>
      <c r="AB297">
        <v>0</v>
      </c>
      <c r="AC297">
        <v>0</v>
      </c>
      <c r="AD297">
        <v>22.5</v>
      </c>
      <c r="AI297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297">
        <v>12</v>
      </c>
      <c r="AK297" t="s">
        <v>116</v>
      </c>
      <c r="AN297">
        <v>0</v>
      </c>
    </row>
    <row r="298" spans="1:40">
      <c r="A298" s="1">
        <v>46032</v>
      </c>
      <c r="B298">
        <v>2</v>
      </c>
      <c r="C298">
        <v>5</v>
      </c>
      <c r="F298">
        <v>123456</v>
      </c>
      <c r="G298">
        <v>0</v>
      </c>
      <c r="M298">
        <v>0</v>
      </c>
      <c r="N298">
        <v>0</v>
      </c>
      <c r="O298">
        <v>0</v>
      </c>
      <c r="P298">
        <v>0</v>
      </c>
      <c r="R298">
        <v>0</v>
      </c>
      <c r="T298">
        <v>0</v>
      </c>
      <c r="X298">
        <v>0</v>
      </c>
      <c r="Z298">
        <v>0</v>
      </c>
      <c r="AB298">
        <v>0</v>
      </c>
      <c r="AC298">
        <v>0</v>
      </c>
      <c r="AD298">
        <v>22.5</v>
      </c>
      <c r="AI298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298">
        <v>12</v>
      </c>
      <c r="AK298" t="s">
        <v>116</v>
      </c>
      <c r="AN298">
        <v>0</v>
      </c>
    </row>
    <row r="299" spans="1:40">
      <c r="A299" s="1">
        <v>46032</v>
      </c>
      <c r="B299">
        <v>2</v>
      </c>
      <c r="C299">
        <v>6</v>
      </c>
      <c r="D299" t="s">
        <v>208</v>
      </c>
      <c r="E299" t="s">
        <v>34</v>
      </c>
      <c r="F299">
        <v>532981</v>
      </c>
      <c r="G299">
        <v>0</v>
      </c>
      <c r="H299" t="s">
        <v>233</v>
      </c>
      <c r="I299">
        <v>10682758</v>
      </c>
      <c r="J299">
        <v>4</v>
      </c>
      <c r="K299">
        <v>24.45</v>
      </c>
      <c r="L299">
        <v>24</v>
      </c>
      <c r="M299">
        <v>1990</v>
      </c>
      <c r="N299" s="2">
        <v>87552</v>
      </c>
      <c r="O299">
        <v>456</v>
      </c>
      <c r="P299" s="2">
        <v>2900</v>
      </c>
      <c r="Q299" s="2">
        <v>7960</v>
      </c>
      <c r="R299" s="2">
        <v>5472</v>
      </c>
      <c r="S299">
        <v>131</v>
      </c>
      <c r="T299" s="2">
        <v>24788</v>
      </c>
      <c r="U299" s="2">
        <v>62764</v>
      </c>
      <c r="V299">
        <v>191</v>
      </c>
      <c r="W299">
        <v>4</v>
      </c>
      <c r="X299">
        <v>0</v>
      </c>
      <c r="Y299">
        <v>0</v>
      </c>
      <c r="Z299">
        <v>1</v>
      </c>
      <c r="AA299">
        <v>5.2345059999999999E-3</v>
      </c>
      <c r="AB299">
        <v>21.7</v>
      </c>
      <c r="AC299">
        <v>11.99527778</v>
      </c>
      <c r="AD299">
        <v>20</v>
      </c>
      <c r="AI299">
        <f>12 - Table1[[#This Row],[production_running]] - Table1[[#This Row],[ change_full_set ]] - Table1[[#This Row],[ change_half_set ]] - Table1[[#This Row],[ change_parts ]] - Table1[[#This Row],[ maintenance_dt ]] - Table1[[#This Row],[production_dt]]</f>
        <v>4.7222199999996661E-3</v>
      </c>
      <c r="AK299" t="s">
        <v>214</v>
      </c>
      <c r="AN299">
        <f>INT(Table1[[#This Row],[reject_prod]]/Table1[[#This Row],[part_weight]] * 1000)</f>
        <v>41</v>
      </c>
    </row>
    <row r="300" spans="1:40">
      <c r="A300" s="1">
        <v>46032</v>
      </c>
      <c r="B300">
        <v>2</v>
      </c>
      <c r="C300">
        <v>7</v>
      </c>
      <c r="D300" t="s">
        <v>53</v>
      </c>
      <c r="E300" t="s">
        <v>34</v>
      </c>
      <c r="F300">
        <v>324177</v>
      </c>
      <c r="G300">
        <v>0</v>
      </c>
      <c r="H300" t="s">
        <v>246</v>
      </c>
      <c r="I300">
        <v>10682801</v>
      </c>
      <c r="J300">
        <v>4</v>
      </c>
      <c r="K300">
        <v>34.5</v>
      </c>
      <c r="L300">
        <v>34.5</v>
      </c>
      <c r="M300">
        <v>1872</v>
      </c>
      <c r="N300" s="2">
        <v>62400</v>
      </c>
      <c r="O300">
        <v>312</v>
      </c>
      <c r="P300" s="2">
        <v>1560</v>
      </c>
      <c r="Q300" s="2">
        <v>7488</v>
      </c>
      <c r="R300" s="2">
        <v>6240</v>
      </c>
      <c r="S300">
        <v>215</v>
      </c>
      <c r="T300" s="2">
        <v>12480</v>
      </c>
      <c r="U300" s="2">
        <v>49920</v>
      </c>
      <c r="V300">
        <v>258</v>
      </c>
      <c r="W300">
        <v>0</v>
      </c>
      <c r="X300">
        <v>0</v>
      </c>
      <c r="Y300">
        <v>0</v>
      </c>
      <c r="Z300">
        <v>17</v>
      </c>
      <c r="AA300">
        <v>6.5805771999999998E-2</v>
      </c>
      <c r="AB300">
        <v>21.43</v>
      </c>
      <c r="AC300">
        <v>11.143599999999999</v>
      </c>
      <c r="AD300">
        <v>22</v>
      </c>
      <c r="AI300">
        <f>12 - Table1[[#This Row],[production_running]] - Table1[[#This Row],[ change_full_set ]] - Table1[[#This Row],[ change_half_set ]] - Table1[[#This Row],[ change_parts ]] - Table1[[#This Row],[ maintenance_dt ]] - Table1[[#This Row],[production_dt]]</f>
        <v>0.85640000000000072</v>
      </c>
      <c r="AK300" t="s">
        <v>263</v>
      </c>
      <c r="AN300">
        <f>INT(Table1[[#This Row],[reject_prod]]/Table1[[#This Row],[part_weight]] * 1000)</f>
        <v>492</v>
      </c>
    </row>
    <row r="301" spans="1:40">
      <c r="A301" s="1">
        <v>46032</v>
      </c>
      <c r="B301">
        <v>2</v>
      </c>
      <c r="C301">
        <v>8</v>
      </c>
      <c r="F301">
        <v>123456</v>
      </c>
      <c r="G301">
        <v>0</v>
      </c>
      <c r="M301">
        <v>0</v>
      </c>
      <c r="N301">
        <v>0</v>
      </c>
      <c r="O301">
        <v>0</v>
      </c>
      <c r="P301">
        <v>0</v>
      </c>
      <c r="R301">
        <v>0</v>
      </c>
      <c r="T301">
        <v>0</v>
      </c>
      <c r="X301">
        <v>0</v>
      </c>
      <c r="Z301">
        <v>0</v>
      </c>
      <c r="AB301">
        <v>0</v>
      </c>
      <c r="AC301">
        <v>0</v>
      </c>
      <c r="AD301">
        <v>22.5</v>
      </c>
      <c r="AI301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301">
        <v>12</v>
      </c>
      <c r="AK301" t="s">
        <v>116</v>
      </c>
      <c r="AN301">
        <v>0</v>
      </c>
    </row>
    <row r="302" spans="1:40">
      <c r="A302" s="1">
        <v>46032</v>
      </c>
      <c r="B302">
        <v>2</v>
      </c>
      <c r="C302">
        <v>9</v>
      </c>
      <c r="D302" t="s">
        <v>264</v>
      </c>
      <c r="E302" t="s">
        <v>46</v>
      </c>
      <c r="F302">
        <v>586276</v>
      </c>
      <c r="G302">
        <v>0</v>
      </c>
      <c r="H302" t="s">
        <v>47</v>
      </c>
      <c r="I302">
        <v>10682924</v>
      </c>
      <c r="J302">
        <v>6</v>
      </c>
      <c r="K302">
        <v>12.3</v>
      </c>
      <c r="L302">
        <v>12.3</v>
      </c>
      <c r="M302">
        <v>1620</v>
      </c>
      <c r="N302" s="2">
        <v>162000</v>
      </c>
      <c r="O302" s="2">
        <v>2025</v>
      </c>
      <c r="P302" s="2">
        <v>3645</v>
      </c>
      <c r="Q302" s="2">
        <v>9720</v>
      </c>
      <c r="R302" s="2">
        <v>8100</v>
      </c>
      <c r="S302">
        <v>100</v>
      </c>
      <c r="T302" s="2">
        <v>27945</v>
      </c>
      <c r="U302" s="2">
        <v>134055</v>
      </c>
      <c r="V302">
        <v>120</v>
      </c>
      <c r="W302">
        <v>0</v>
      </c>
      <c r="X302">
        <v>0</v>
      </c>
      <c r="Y302">
        <v>0</v>
      </c>
      <c r="Z302">
        <v>1</v>
      </c>
      <c r="AA302">
        <v>8.3642809999999995E-3</v>
      </c>
      <c r="AB302">
        <v>26.2</v>
      </c>
      <c r="AC302">
        <v>11.79</v>
      </c>
      <c r="AD302">
        <v>26</v>
      </c>
      <c r="AI302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0.21000000000000085</v>
      </c>
      <c r="AK302" t="s">
        <v>51</v>
      </c>
      <c r="AN302">
        <f>INT(Table1[[#This Row],[reject_prod]]/Table1[[#This Row],[part_weight]] * 1000)</f>
        <v>81</v>
      </c>
    </row>
    <row r="303" spans="1:40">
      <c r="A303" s="1">
        <v>46032</v>
      </c>
      <c r="B303">
        <v>2</v>
      </c>
      <c r="C303">
        <v>10</v>
      </c>
      <c r="D303" t="s">
        <v>265</v>
      </c>
      <c r="E303" t="s">
        <v>41</v>
      </c>
      <c r="F303">
        <v>593537</v>
      </c>
      <c r="G303">
        <v>0</v>
      </c>
      <c r="H303" t="s">
        <v>48</v>
      </c>
      <c r="I303">
        <v>10682925</v>
      </c>
      <c r="J303">
        <v>4</v>
      </c>
      <c r="K303">
        <v>56.5</v>
      </c>
      <c r="L303">
        <v>56.8</v>
      </c>
      <c r="M303">
        <v>1010</v>
      </c>
      <c r="N303" s="2">
        <v>69000</v>
      </c>
      <c r="O303">
        <v>0</v>
      </c>
      <c r="P303">
        <v>0</v>
      </c>
      <c r="Q303" s="2">
        <v>4040</v>
      </c>
      <c r="R303" s="2">
        <v>4025</v>
      </c>
      <c r="S303">
        <v>229</v>
      </c>
      <c r="T303" s="2">
        <v>69000</v>
      </c>
      <c r="U303">
        <v>0</v>
      </c>
      <c r="V303">
        <v>229</v>
      </c>
      <c r="W303">
        <v>-1</v>
      </c>
      <c r="X303">
        <v>0</v>
      </c>
      <c r="Y303">
        <v>0</v>
      </c>
      <c r="Z303">
        <v>5</v>
      </c>
      <c r="AA303">
        <v>2.1789151E-2</v>
      </c>
      <c r="AB303">
        <v>31.7</v>
      </c>
      <c r="AC303">
        <v>8.8936111110000002</v>
      </c>
      <c r="AD303">
        <v>28.5</v>
      </c>
      <c r="AI303">
        <f>12 - Table1[[#This Row],[production_running]] - Table1[[#This Row],[ change_full_set ]] - Table1[[#This Row],[ change_half_set ]] - Table1[[#This Row],[ change_parts ]] - Table1[[#This Row],[ maintenance_dt ]] - Table1[[#This Row],[production_dt]]</f>
        <v>3.1063888889999998</v>
      </c>
      <c r="AK303" t="s">
        <v>51</v>
      </c>
      <c r="AN303">
        <f>INT(Table1[[#This Row],[reject_prod]]/Table1[[#This Row],[part_weight]] * 1000)</f>
        <v>88</v>
      </c>
    </row>
    <row r="304" spans="1:40">
      <c r="A304" s="1">
        <v>46032</v>
      </c>
      <c r="B304">
        <v>2</v>
      </c>
      <c r="C304">
        <v>10</v>
      </c>
      <c r="D304" t="s">
        <v>265</v>
      </c>
      <c r="E304" t="s">
        <v>41</v>
      </c>
      <c r="F304">
        <v>593537</v>
      </c>
      <c r="G304">
        <v>0</v>
      </c>
      <c r="H304" t="s">
        <v>48</v>
      </c>
      <c r="I304">
        <v>10682926</v>
      </c>
      <c r="J304">
        <v>4</v>
      </c>
      <c r="K304">
        <v>56.5</v>
      </c>
      <c r="L304">
        <v>56.8</v>
      </c>
      <c r="M304">
        <v>330</v>
      </c>
      <c r="N304" s="2">
        <v>69000</v>
      </c>
      <c r="O304">
        <v>0</v>
      </c>
      <c r="P304">
        <v>230</v>
      </c>
      <c r="Q304" s="2">
        <v>1320</v>
      </c>
      <c r="R304" s="2">
        <v>1150</v>
      </c>
      <c r="S304">
        <v>65</v>
      </c>
      <c r="T304" s="2">
        <v>1150</v>
      </c>
      <c r="U304" s="2">
        <v>67850</v>
      </c>
      <c r="V304">
        <v>75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31.7</v>
      </c>
      <c r="AC304">
        <v>2.9058333329999999</v>
      </c>
      <c r="AD304">
        <v>28.5</v>
      </c>
      <c r="AI304">
        <f>12 - Table1[[#This Row],[production_running]] - Table1[[#This Row],[ change_full_set ]] - Table1[[#This Row],[ change_half_set ]] - Table1[[#This Row],[ change_parts ]] - Table1[[#This Row],[ maintenance_dt ]] - Table1[[#This Row],[production_dt]]</f>
        <v>9.0941666669999996</v>
      </c>
      <c r="AK304" t="s">
        <v>51</v>
      </c>
      <c r="AN304">
        <f>INT(Table1[[#This Row],[reject_prod]]/Table1[[#This Row],[part_weight]] * 1000)</f>
        <v>0</v>
      </c>
    </row>
    <row r="305" spans="1:40">
      <c r="A305" s="1">
        <v>46032</v>
      </c>
      <c r="B305">
        <v>2</v>
      </c>
      <c r="C305">
        <v>11</v>
      </c>
      <c r="D305" t="s">
        <v>59</v>
      </c>
      <c r="E305" t="s">
        <v>46</v>
      </c>
      <c r="F305">
        <v>552181</v>
      </c>
      <c r="G305">
        <v>1</v>
      </c>
      <c r="H305" t="s">
        <v>49</v>
      </c>
      <c r="I305">
        <v>10682927</v>
      </c>
      <c r="J305">
        <v>6</v>
      </c>
      <c r="K305">
        <v>18.8</v>
      </c>
      <c r="L305">
        <v>18.8</v>
      </c>
      <c r="M305">
        <v>1580</v>
      </c>
      <c r="N305" s="2">
        <v>108000</v>
      </c>
      <c r="O305" s="2">
        <v>12420</v>
      </c>
      <c r="P305" s="2">
        <v>3360</v>
      </c>
      <c r="Q305" s="2">
        <v>9480</v>
      </c>
      <c r="R305" s="2">
        <v>5400</v>
      </c>
      <c r="S305">
        <v>102</v>
      </c>
      <c r="T305" s="2">
        <v>78960</v>
      </c>
      <c r="U305" s="2">
        <v>29040</v>
      </c>
      <c r="V305">
        <v>178</v>
      </c>
      <c r="W305">
        <v>0</v>
      </c>
      <c r="X305">
        <v>0</v>
      </c>
      <c r="Y305">
        <v>0</v>
      </c>
      <c r="Z305">
        <v>0.5</v>
      </c>
      <c r="AA305">
        <v>2.8054579999999998E-3</v>
      </c>
      <c r="AB305">
        <v>27.6</v>
      </c>
      <c r="AC305">
        <v>12</v>
      </c>
      <c r="AD305">
        <v>27</v>
      </c>
      <c r="AI305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305" t="s">
        <v>51</v>
      </c>
      <c r="AN305">
        <f>INT(Table1[[#This Row],[reject_prod]]/Table1[[#This Row],[part_weight]] * 1000)</f>
        <v>26</v>
      </c>
    </row>
    <row r="306" spans="1:40">
      <c r="A306" s="1">
        <v>46032</v>
      </c>
      <c r="B306">
        <v>2</v>
      </c>
      <c r="C306">
        <v>12</v>
      </c>
      <c r="F306">
        <v>123456</v>
      </c>
      <c r="G306">
        <v>0</v>
      </c>
      <c r="M306">
        <v>0</v>
      </c>
      <c r="N306">
        <v>0</v>
      </c>
      <c r="O306">
        <v>0</v>
      </c>
      <c r="P306">
        <v>0</v>
      </c>
      <c r="R306">
        <v>0</v>
      </c>
      <c r="T306">
        <v>0</v>
      </c>
      <c r="X306">
        <v>0</v>
      </c>
      <c r="Z306">
        <v>0</v>
      </c>
      <c r="AB306">
        <v>0</v>
      </c>
      <c r="AC306">
        <v>0</v>
      </c>
      <c r="AD306">
        <v>22.5</v>
      </c>
      <c r="AI30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306">
        <v>12</v>
      </c>
      <c r="AK306" t="s">
        <v>116</v>
      </c>
      <c r="AN306">
        <v>0</v>
      </c>
    </row>
    <row r="307" spans="1:40">
      <c r="A307" s="1">
        <v>46032</v>
      </c>
      <c r="B307">
        <v>2</v>
      </c>
      <c r="C307">
        <v>13</v>
      </c>
      <c r="D307" t="s">
        <v>59</v>
      </c>
      <c r="E307" t="s">
        <v>46</v>
      </c>
      <c r="F307">
        <v>586276</v>
      </c>
      <c r="G307">
        <v>0</v>
      </c>
      <c r="H307" t="s">
        <v>47</v>
      </c>
      <c r="I307">
        <v>10682930</v>
      </c>
      <c r="J307">
        <v>6</v>
      </c>
      <c r="K307">
        <v>12.3</v>
      </c>
      <c r="L307">
        <v>12.3</v>
      </c>
      <c r="M307">
        <v>1620</v>
      </c>
      <c r="N307" s="2">
        <v>162000</v>
      </c>
      <c r="O307" s="2">
        <v>6480</v>
      </c>
      <c r="P307">
        <v>0</v>
      </c>
      <c r="Q307" s="2">
        <v>9720</v>
      </c>
      <c r="R307" s="2">
        <v>16200</v>
      </c>
      <c r="S307">
        <v>199</v>
      </c>
      <c r="T307" s="2">
        <v>129600</v>
      </c>
      <c r="U307" s="2">
        <v>32400</v>
      </c>
      <c r="V307">
        <v>120</v>
      </c>
      <c r="W307">
        <v>0</v>
      </c>
      <c r="X307">
        <v>0</v>
      </c>
      <c r="Y307">
        <v>0</v>
      </c>
      <c r="Z307">
        <v>1</v>
      </c>
      <c r="AA307">
        <v>8.3642809999999995E-3</v>
      </c>
      <c r="AB307">
        <v>26.43</v>
      </c>
      <c r="AC307">
        <v>11.8935</v>
      </c>
      <c r="AD307">
        <v>26</v>
      </c>
      <c r="AI307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0.10650000000000048</v>
      </c>
      <c r="AK307" t="s">
        <v>51</v>
      </c>
      <c r="AN307">
        <f>INT(Table1[[#This Row],[reject_prod]]/Table1[[#This Row],[part_weight]] * 1000)</f>
        <v>81</v>
      </c>
    </row>
    <row r="308" spans="1:40">
      <c r="A308" s="1">
        <v>46032</v>
      </c>
      <c r="B308">
        <v>2</v>
      </c>
      <c r="C308">
        <v>14</v>
      </c>
      <c r="D308" t="s">
        <v>266</v>
      </c>
      <c r="E308" t="s">
        <v>46</v>
      </c>
      <c r="F308">
        <v>555979</v>
      </c>
      <c r="G308">
        <v>1</v>
      </c>
      <c r="H308" t="s">
        <v>52</v>
      </c>
      <c r="I308">
        <v>10682932</v>
      </c>
      <c r="J308">
        <v>6</v>
      </c>
      <c r="K308">
        <v>28</v>
      </c>
      <c r="L308">
        <v>28</v>
      </c>
      <c r="M308">
        <v>990</v>
      </c>
      <c r="N308" s="2">
        <v>100800</v>
      </c>
      <c r="O308" s="2">
        <v>2856</v>
      </c>
      <c r="P308" s="2">
        <v>2016</v>
      </c>
      <c r="Q308" s="2">
        <v>5940</v>
      </c>
      <c r="R308" s="2">
        <v>6720</v>
      </c>
      <c r="S308">
        <v>188</v>
      </c>
      <c r="T308" s="2">
        <v>32256</v>
      </c>
      <c r="U308" s="2">
        <v>68544</v>
      </c>
      <c r="V308">
        <v>166</v>
      </c>
      <c r="W308">
        <v>0</v>
      </c>
      <c r="X308">
        <v>0</v>
      </c>
      <c r="Y308">
        <v>0</v>
      </c>
      <c r="Z308">
        <v>1</v>
      </c>
      <c r="AA308">
        <v>6.0125059999999999E-3</v>
      </c>
      <c r="AB308">
        <v>44.1</v>
      </c>
      <c r="AC308">
        <v>12</v>
      </c>
      <c r="AD308">
        <v>42</v>
      </c>
      <c r="AI308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308" t="s">
        <v>51</v>
      </c>
      <c r="AN308">
        <f>INT(Table1[[#This Row],[reject_prod]]/Table1[[#This Row],[part_weight]] * 1000)</f>
        <v>35</v>
      </c>
    </row>
    <row r="309" spans="1:40">
      <c r="A309" s="1">
        <v>46032</v>
      </c>
      <c r="B309">
        <v>2</v>
      </c>
      <c r="C309">
        <v>15</v>
      </c>
      <c r="D309" t="s">
        <v>59</v>
      </c>
      <c r="E309" t="s">
        <v>46</v>
      </c>
      <c r="F309">
        <v>552181</v>
      </c>
      <c r="G309">
        <v>2</v>
      </c>
      <c r="H309" t="s">
        <v>49</v>
      </c>
      <c r="I309">
        <v>10682934</v>
      </c>
      <c r="J309">
        <v>6</v>
      </c>
      <c r="K309">
        <v>18.8</v>
      </c>
      <c r="L309">
        <v>18.8</v>
      </c>
      <c r="M309">
        <v>1380</v>
      </c>
      <c r="N309" s="2">
        <v>108000</v>
      </c>
      <c r="O309" s="2">
        <v>15660</v>
      </c>
      <c r="P309" s="2">
        <v>9720</v>
      </c>
      <c r="Q309" s="2">
        <v>8280</v>
      </c>
      <c r="R309" s="2">
        <v>10800</v>
      </c>
      <c r="S309">
        <v>203</v>
      </c>
      <c r="T309" s="2">
        <v>69120</v>
      </c>
      <c r="U309" s="2">
        <v>38880</v>
      </c>
      <c r="V309">
        <v>156</v>
      </c>
      <c r="W309">
        <v>0</v>
      </c>
      <c r="X309">
        <v>0</v>
      </c>
      <c r="Y309">
        <v>0</v>
      </c>
      <c r="Z309">
        <v>0.5</v>
      </c>
      <c r="AA309">
        <v>3.2120460000000001E-3</v>
      </c>
      <c r="AB309">
        <v>31.2</v>
      </c>
      <c r="AC309">
        <v>11.96</v>
      </c>
      <c r="AD309">
        <v>27</v>
      </c>
      <c r="AI309">
        <f>12 - Table1[[#This Row],[production_running]] - Table1[[#This Row],[ change_full_set ]] - Table1[[#This Row],[ change_half_set ]] - Table1[[#This Row],[ change_parts ]] - Table1[[#This Row],[ maintenance_dt ]] - Table1[[#This Row],[production_dt]]</f>
        <v>3.9999999999999147E-2</v>
      </c>
      <c r="AK309" t="s">
        <v>51</v>
      </c>
      <c r="AN309">
        <f>INT(Table1[[#This Row],[reject_prod]]/Table1[[#This Row],[part_weight]] * 1000)</f>
        <v>26</v>
      </c>
    </row>
    <row r="310" spans="1:40">
      <c r="A310" s="1">
        <v>46032</v>
      </c>
      <c r="B310">
        <v>2</v>
      </c>
      <c r="C310">
        <v>16</v>
      </c>
      <c r="D310" t="s">
        <v>60</v>
      </c>
      <c r="E310" t="s">
        <v>46</v>
      </c>
      <c r="F310">
        <v>555979</v>
      </c>
      <c r="G310">
        <v>2</v>
      </c>
      <c r="H310" t="s">
        <v>52</v>
      </c>
      <c r="I310">
        <v>10682935</v>
      </c>
      <c r="J310">
        <v>6</v>
      </c>
      <c r="K310">
        <v>28</v>
      </c>
      <c r="L310">
        <v>28</v>
      </c>
      <c r="M310">
        <v>990</v>
      </c>
      <c r="N310" s="2">
        <v>100800</v>
      </c>
      <c r="O310">
        <v>0</v>
      </c>
      <c r="P310" s="2">
        <v>2520</v>
      </c>
      <c r="Q310" s="2">
        <v>5940</v>
      </c>
      <c r="R310" s="2">
        <v>3360</v>
      </c>
      <c r="S310">
        <v>94</v>
      </c>
      <c r="T310" s="2">
        <v>76440</v>
      </c>
      <c r="U310" s="2">
        <v>24360</v>
      </c>
      <c r="V310">
        <v>166</v>
      </c>
      <c r="W310">
        <v>0</v>
      </c>
      <c r="X310">
        <v>0</v>
      </c>
      <c r="Y310">
        <v>0</v>
      </c>
      <c r="Z310">
        <v>0.5</v>
      </c>
      <c r="AA310">
        <v>3.006253E-3</v>
      </c>
      <c r="AB310">
        <v>43.7</v>
      </c>
      <c r="AC310">
        <v>12</v>
      </c>
      <c r="AD310">
        <v>42</v>
      </c>
      <c r="AI310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310" t="s">
        <v>51</v>
      </c>
      <c r="AN310">
        <f>INT(Table1[[#This Row],[reject_prod]]/Table1[[#This Row],[part_weight]] * 1000)</f>
        <v>17</v>
      </c>
    </row>
    <row r="311" spans="1:40">
      <c r="A311" s="1">
        <v>46033</v>
      </c>
      <c r="B311">
        <v>1</v>
      </c>
      <c r="C311">
        <v>1</v>
      </c>
      <c r="F311">
        <v>123456</v>
      </c>
      <c r="G311">
        <v>0</v>
      </c>
      <c r="M311">
        <v>0</v>
      </c>
      <c r="N311">
        <v>0</v>
      </c>
      <c r="O311">
        <v>0</v>
      </c>
      <c r="P311">
        <v>0</v>
      </c>
      <c r="R311">
        <v>0</v>
      </c>
      <c r="T311">
        <v>0</v>
      </c>
      <c r="X311">
        <v>0</v>
      </c>
      <c r="Z311">
        <v>0</v>
      </c>
      <c r="AB311">
        <v>0</v>
      </c>
      <c r="AC311">
        <v>0</v>
      </c>
      <c r="AD311">
        <v>22.5</v>
      </c>
      <c r="AI311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311">
        <v>12</v>
      </c>
      <c r="AK311" t="s">
        <v>116</v>
      </c>
      <c r="AN311">
        <v>0</v>
      </c>
    </row>
    <row r="312" spans="1:40">
      <c r="A312" s="1">
        <v>46033</v>
      </c>
      <c r="B312">
        <v>1</v>
      </c>
      <c r="C312">
        <v>2</v>
      </c>
      <c r="D312" t="s">
        <v>115</v>
      </c>
      <c r="E312" t="s">
        <v>34</v>
      </c>
      <c r="F312">
        <v>423215</v>
      </c>
      <c r="G312">
        <v>0</v>
      </c>
      <c r="H312" t="s">
        <v>156</v>
      </c>
      <c r="I312">
        <v>10682755</v>
      </c>
      <c r="J312">
        <v>4</v>
      </c>
      <c r="K312">
        <v>24</v>
      </c>
      <c r="L312">
        <v>24</v>
      </c>
      <c r="M312">
        <v>1560</v>
      </c>
      <c r="N312" s="2">
        <v>89112</v>
      </c>
      <c r="O312" s="2">
        <v>1974</v>
      </c>
      <c r="P312" s="2">
        <v>1692</v>
      </c>
      <c r="Q312" s="2">
        <v>6240</v>
      </c>
      <c r="R312" s="2">
        <v>6768</v>
      </c>
      <c r="S312">
        <v>162</v>
      </c>
      <c r="T312" s="2">
        <v>69372</v>
      </c>
      <c r="U312" s="2">
        <v>19740</v>
      </c>
      <c r="V312">
        <v>150</v>
      </c>
      <c r="W312">
        <v>0</v>
      </c>
      <c r="X312">
        <v>0</v>
      </c>
      <c r="Y312">
        <v>0</v>
      </c>
      <c r="Z312">
        <v>1.5</v>
      </c>
      <c r="AA312">
        <v>1.0016026000000001E-2</v>
      </c>
      <c r="AB312">
        <v>27.3</v>
      </c>
      <c r="AC312">
        <v>11.83</v>
      </c>
      <c r="AD312">
        <v>22</v>
      </c>
      <c r="AI312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0.16999999999999993</v>
      </c>
      <c r="AK312" t="s">
        <v>214</v>
      </c>
      <c r="AN312">
        <f>INT(Table1[[#This Row],[reject_prod]]/Table1[[#This Row],[part_weight]] * 1000)</f>
        <v>62</v>
      </c>
    </row>
    <row r="313" spans="1:40">
      <c r="A313" s="1">
        <v>46033</v>
      </c>
      <c r="B313">
        <v>1</v>
      </c>
      <c r="C313">
        <v>3</v>
      </c>
      <c r="D313" t="s">
        <v>43</v>
      </c>
      <c r="E313" t="s">
        <v>34</v>
      </c>
      <c r="F313">
        <v>442034</v>
      </c>
      <c r="G313">
        <v>0</v>
      </c>
      <c r="H313" t="s">
        <v>37</v>
      </c>
      <c r="I313">
        <v>10681183</v>
      </c>
      <c r="J313">
        <v>4</v>
      </c>
      <c r="K313">
        <v>23</v>
      </c>
      <c r="L313">
        <v>23</v>
      </c>
      <c r="M313">
        <v>1581</v>
      </c>
      <c r="N313" s="2">
        <v>139776</v>
      </c>
      <c r="O313">
        <v>768</v>
      </c>
      <c r="P313" s="2">
        <v>2688</v>
      </c>
      <c r="Q313" s="2">
        <v>6324</v>
      </c>
      <c r="R313" s="2">
        <v>4608</v>
      </c>
      <c r="S313">
        <v>106</v>
      </c>
      <c r="T313" s="2">
        <v>67200</v>
      </c>
      <c r="U313" s="2">
        <v>72576</v>
      </c>
      <c r="V313">
        <v>145</v>
      </c>
      <c r="W313">
        <v>0</v>
      </c>
      <c r="X313">
        <v>0</v>
      </c>
      <c r="Y313">
        <v>0</v>
      </c>
      <c r="Z313">
        <v>4.5999999999999996</v>
      </c>
      <c r="AA313">
        <v>3.1625553000000001E-2</v>
      </c>
      <c r="AB313">
        <v>26.9</v>
      </c>
      <c r="AC313">
        <v>11.81358333</v>
      </c>
      <c r="AD313">
        <v>22</v>
      </c>
      <c r="AI313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0.18641666999999984</v>
      </c>
      <c r="AK313" t="s">
        <v>103</v>
      </c>
      <c r="AN313">
        <f>INT(Table1[[#This Row],[reject_prod]]/Table1[[#This Row],[part_weight]] * 1000)</f>
        <v>200</v>
      </c>
    </row>
    <row r="314" spans="1:40">
      <c r="A314" s="1">
        <v>46033</v>
      </c>
      <c r="B314">
        <v>1</v>
      </c>
      <c r="C314">
        <v>4</v>
      </c>
      <c r="F314">
        <v>123456</v>
      </c>
      <c r="G314">
        <v>0</v>
      </c>
      <c r="M314">
        <v>0</v>
      </c>
      <c r="N314">
        <v>0</v>
      </c>
      <c r="O314">
        <v>0</v>
      </c>
      <c r="P314">
        <v>0</v>
      </c>
      <c r="R314">
        <v>0</v>
      </c>
      <c r="T314">
        <v>0</v>
      </c>
      <c r="X314">
        <v>0</v>
      </c>
      <c r="Z314">
        <v>0</v>
      </c>
      <c r="AB314">
        <v>0</v>
      </c>
      <c r="AC314">
        <v>0</v>
      </c>
      <c r="AD314">
        <v>22.5</v>
      </c>
      <c r="AI314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314">
        <v>12</v>
      </c>
      <c r="AK314" t="s">
        <v>116</v>
      </c>
      <c r="AN314">
        <v>0</v>
      </c>
    </row>
    <row r="315" spans="1:40">
      <c r="A315" s="1">
        <v>46033</v>
      </c>
      <c r="B315">
        <v>1</v>
      </c>
      <c r="C315">
        <v>5</v>
      </c>
      <c r="F315">
        <v>123456</v>
      </c>
      <c r="G315">
        <v>0</v>
      </c>
      <c r="M315">
        <v>0</v>
      </c>
      <c r="N315">
        <v>0</v>
      </c>
      <c r="O315">
        <v>0</v>
      </c>
      <c r="P315">
        <v>0</v>
      </c>
      <c r="R315">
        <v>0</v>
      </c>
      <c r="T315">
        <v>0</v>
      </c>
      <c r="X315">
        <v>0</v>
      </c>
      <c r="Z315">
        <v>0</v>
      </c>
      <c r="AB315">
        <v>0</v>
      </c>
      <c r="AC315">
        <v>0</v>
      </c>
      <c r="AD315">
        <v>22.5</v>
      </c>
      <c r="AI315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315">
        <v>12</v>
      </c>
      <c r="AK315" t="s">
        <v>116</v>
      </c>
      <c r="AN315">
        <v>0</v>
      </c>
    </row>
    <row r="316" spans="1:40">
      <c r="A316" s="1">
        <v>46033</v>
      </c>
      <c r="B316">
        <v>1</v>
      </c>
      <c r="C316">
        <v>6</v>
      </c>
      <c r="D316" t="s">
        <v>40</v>
      </c>
      <c r="E316" t="s">
        <v>34</v>
      </c>
      <c r="F316">
        <v>532981</v>
      </c>
      <c r="G316">
        <v>0</v>
      </c>
      <c r="H316" t="s">
        <v>233</v>
      </c>
      <c r="I316">
        <v>10682758</v>
      </c>
      <c r="J316">
        <v>4</v>
      </c>
      <c r="K316">
        <v>24.45</v>
      </c>
      <c r="L316">
        <v>24</v>
      </c>
      <c r="M316">
        <v>1960</v>
      </c>
      <c r="N316" s="2">
        <v>87552</v>
      </c>
      <c r="O316" s="2">
        <v>2900</v>
      </c>
      <c r="P316" s="2">
        <v>5016</v>
      </c>
      <c r="Q316" s="2">
        <v>7840</v>
      </c>
      <c r="R316" s="2">
        <v>5472</v>
      </c>
      <c r="S316">
        <v>131</v>
      </c>
      <c r="T316" s="2">
        <v>32391</v>
      </c>
      <c r="U316" s="2">
        <v>55161</v>
      </c>
      <c r="V316">
        <v>188</v>
      </c>
      <c r="W316">
        <v>0</v>
      </c>
      <c r="X316">
        <v>0</v>
      </c>
      <c r="Y316">
        <v>0</v>
      </c>
      <c r="Z316">
        <v>3.4</v>
      </c>
      <c r="AA316">
        <v>1.8069728E-2</v>
      </c>
      <c r="AB316">
        <v>21.7</v>
      </c>
      <c r="AC316">
        <v>11.814444440000001</v>
      </c>
      <c r="AD316">
        <v>20</v>
      </c>
      <c r="AI31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0.18555555999999918</v>
      </c>
      <c r="AK316" t="s">
        <v>103</v>
      </c>
      <c r="AN316">
        <f>INT(Table1[[#This Row],[reject_prod]]/Table1[[#This Row],[part_weight]] * 1000)</f>
        <v>141</v>
      </c>
    </row>
    <row r="317" spans="1:40">
      <c r="A317" s="1">
        <v>46033</v>
      </c>
      <c r="B317">
        <v>1</v>
      </c>
      <c r="C317">
        <v>7</v>
      </c>
      <c r="D317" t="s">
        <v>267</v>
      </c>
      <c r="E317" t="s">
        <v>34</v>
      </c>
      <c r="F317">
        <v>324177</v>
      </c>
      <c r="G317">
        <v>0</v>
      </c>
      <c r="H317" t="s">
        <v>246</v>
      </c>
      <c r="I317">
        <v>10682801</v>
      </c>
      <c r="J317">
        <v>4</v>
      </c>
      <c r="K317">
        <v>34.5</v>
      </c>
      <c r="L317">
        <v>34.5</v>
      </c>
      <c r="M317">
        <v>1860</v>
      </c>
      <c r="N317" s="2">
        <v>62400</v>
      </c>
      <c r="O317" s="2">
        <v>1560</v>
      </c>
      <c r="P317">
        <v>312</v>
      </c>
      <c r="Q317" s="2">
        <v>7440</v>
      </c>
      <c r="R317" s="2">
        <v>7800</v>
      </c>
      <c r="S317">
        <v>269</v>
      </c>
      <c r="T317" s="2">
        <v>19032</v>
      </c>
      <c r="U317" s="2">
        <v>43368</v>
      </c>
      <c r="V317">
        <v>257</v>
      </c>
      <c r="W317">
        <v>0</v>
      </c>
      <c r="X317">
        <v>0</v>
      </c>
      <c r="Y317">
        <v>0</v>
      </c>
      <c r="Z317">
        <v>17.600000000000001</v>
      </c>
      <c r="AA317">
        <v>6.8567867000000005E-2</v>
      </c>
      <c r="AB317">
        <v>21.43</v>
      </c>
      <c r="AC317">
        <v>11.07216667</v>
      </c>
      <c r="AD317">
        <v>22</v>
      </c>
      <c r="AI317">
        <f>12 - Table1[[#This Row],[production_running]] - Table1[[#This Row],[ change_full_set ]] - Table1[[#This Row],[ change_half_set ]] - Table1[[#This Row],[ change_parts ]] - Table1[[#This Row],[ maintenance_dt ]] - Table1[[#This Row],[production_dt]]</f>
        <v>0.92783333000000034</v>
      </c>
      <c r="AK317" t="s">
        <v>268</v>
      </c>
      <c r="AN317">
        <f>INT(Table1[[#This Row],[reject_prod]]/Table1[[#This Row],[part_weight]] * 1000)</f>
        <v>510</v>
      </c>
    </row>
    <row r="318" spans="1:40">
      <c r="A318" s="1">
        <v>46033</v>
      </c>
      <c r="B318">
        <v>1</v>
      </c>
      <c r="C318">
        <v>8</v>
      </c>
      <c r="F318">
        <v>123456</v>
      </c>
      <c r="G318">
        <v>0</v>
      </c>
      <c r="M318">
        <v>0</v>
      </c>
      <c r="N318">
        <v>0</v>
      </c>
      <c r="O318">
        <v>0</v>
      </c>
      <c r="P318">
        <v>0</v>
      </c>
      <c r="R318">
        <v>0</v>
      </c>
      <c r="T318">
        <v>0</v>
      </c>
      <c r="X318">
        <v>0</v>
      </c>
      <c r="Z318">
        <v>0</v>
      </c>
      <c r="AB318">
        <v>0</v>
      </c>
      <c r="AC318">
        <v>0</v>
      </c>
      <c r="AD318">
        <v>22.5</v>
      </c>
      <c r="AI318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318">
        <v>12</v>
      </c>
      <c r="AK318" t="s">
        <v>116</v>
      </c>
      <c r="AN318">
        <v>0</v>
      </c>
    </row>
    <row r="319" spans="1:40">
      <c r="A319" s="1">
        <v>46033</v>
      </c>
      <c r="B319">
        <v>1</v>
      </c>
      <c r="C319">
        <v>9</v>
      </c>
      <c r="D319" t="s">
        <v>143</v>
      </c>
      <c r="E319" t="s">
        <v>46</v>
      </c>
      <c r="F319">
        <v>586276</v>
      </c>
      <c r="G319">
        <v>0</v>
      </c>
      <c r="H319" t="s">
        <v>47</v>
      </c>
      <c r="I319">
        <v>10682924</v>
      </c>
      <c r="J319">
        <v>6</v>
      </c>
      <c r="K319">
        <v>12.3</v>
      </c>
      <c r="L319">
        <v>12.3</v>
      </c>
      <c r="M319">
        <v>1587</v>
      </c>
      <c r="N319" s="2">
        <v>162000</v>
      </c>
      <c r="O319" s="2">
        <v>3645</v>
      </c>
      <c r="P319" s="2">
        <v>5265</v>
      </c>
      <c r="Q319" s="2">
        <v>9522</v>
      </c>
      <c r="R319" s="2">
        <v>8100</v>
      </c>
      <c r="S319">
        <v>100</v>
      </c>
      <c r="T319" s="2">
        <v>37665</v>
      </c>
      <c r="U319" s="2">
        <v>124335</v>
      </c>
      <c r="V319">
        <v>117</v>
      </c>
      <c r="W319">
        <v>0</v>
      </c>
      <c r="X319">
        <v>0</v>
      </c>
      <c r="Y319">
        <v>0</v>
      </c>
      <c r="Z319">
        <v>1.2</v>
      </c>
      <c r="AA319">
        <v>1.0245849E-2</v>
      </c>
      <c r="AB319">
        <v>26.2</v>
      </c>
      <c r="AC319">
        <v>11.54983333</v>
      </c>
      <c r="AD319">
        <v>26</v>
      </c>
      <c r="AI319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0.45016666999999977</v>
      </c>
      <c r="AK319" t="s">
        <v>51</v>
      </c>
      <c r="AN319">
        <f>INT(Table1[[#This Row],[reject_prod]]/Table1[[#This Row],[part_weight]] * 1000)</f>
        <v>97</v>
      </c>
    </row>
    <row r="320" spans="1:40">
      <c r="A320" s="1">
        <v>46033</v>
      </c>
      <c r="B320">
        <v>1</v>
      </c>
      <c r="C320">
        <v>10</v>
      </c>
      <c r="D320" t="s">
        <v>269</v>
      </c>
      <c r="E320" t="s">
        <v>41</v>
      </c>
      <c r="F320">
        <v>593537</v>
      </c>
      <c r="G320">
        <v>0</v>
      </c>
      <c r="H320" t="s">
        <v>48</v>
      </c>
      <c r="I320">
        <v>10682926</v>
      </c>
      <c r="J320">
        <v>4</v>
      </c>
      <c r="K320">
        <v>56.5</v>
      </c>
      <c r="L320">
        <v>56.8</v>
      </c>
      <c r="M320">
        <v>1359</v>
      </c>
      <c r="N320" s="2">
        <v>69000</v>
      </c>
      <c r="O320">
        <v>230</v>
      </c>
      <c r="P320">
        <v>0</v>
      </c>
      <c r="Q320" s="2">
        <v>5436</v>
      </c>
      <c r="R320" s="2">
        <v>5750</v>
      </c>
      <c r="S320">
        <v>327</v>
      </c>
      <c r="T320" s="2">
        <v>6900</v>
      </c>
      <c r="U320" s="2">
        <v>62100</v>
      </c>
      <c r="V320">
        <v>309</v>
      </c>
      <c r="W320">
        <v>0</v>
      </c>
      <c r="X320">
        <v>0</v>
      </c>
      <c r="Y320">
        <v>0</v>
      </c>
      <c r="Z320">
        <v>2.2999999999999998</v>
      </c>
      <c r="AA320">
        <v>7.449036E-3</v>
      </c>
      <c r="AB320">
        <v>31.7</v>
      </c>
      <c r="AC320">
        <v>11.966749999999999</v>
      </c>
      <c r="AD320">
        <v>28.5</v>
      </c>
      <c r="AI320">
        <f>12 - Table1[[#This Row],[production_running]] - Table1[[#This Row],[ change_full_set ]] - Table1[[#This Row],[ change_half_set ]] - Table1[[#This Row],[ change_parts ]] - Table1[[#This Row],[ maintenance_dt ]] - Table1[[#This Row],[production_dt]]</f>
        <v>3.3250000000000668E-2</v>
      </c>
      <c r="AK320" t="s">
        <v>51</v>
      </c>
      <c r="AN320">
        <f>INT(Table1[[#This Row],[reject_prod]]/Table1[[#This Row],[part_weight]] * 1000)</f>
        <v>40</v>
      </c>
    </row>
    <row r="321" spans="1:40">
      <c r="A321" s="1">
        <v>46033</v>
      </c>
      <c r="B321">
        <v>1</v>
      </c>
      <c r="C321">
        <v>11</v>
      </c>
      <c r="D321" t="s">
        <v>61</v>
      </c>
      <c r="E321" t="s">
        <v>46</v>
      </c>
      <c r="F321">
        <v>552181</v>
      </c>
      <c r="G321">
        <v>1</v>
      </c>
      <c r="H321" t="s">
        <v>49</v>
      </c>
      <c r="I321">
        <v>10682927</v>
      </c>
      <c r="J321">
        <v>6</v>
      </c>
      <c r="K321">
        <v>18.8</v>
      </c>
      <c r="L321">
        <v>18.8</v>
      </c>
      <c r="M321">
        <v>1565</v>
      </c>
      <c r="N321" s="2">
        <v>108000</v>
      </c>
      <c r="O321" s="2">
        <v>3360</v>
      </c>
      <c r="P321" s="2">
        <v>2430</v>
      </c>
      <c r="Q321" s="2">
        <v>9390</v>
      </c>
      <c r="R321" s="2">
        <v>10800</v>
      </c>
      <c r="S321">
        <v>203</v>
      </c>
      <c r="T321" s="2">
        <v>88830</v>
      </c>
      <c r="U321" s="2">
        <v>19170</v>
      </c>
      <c r="V321">
        <v>177</v>
      </c>
      <c r="W321">
        <v>0</v>
      </c>
      <c r="X321">
        <v>0</v>
      </c>
      <c r="Y321">
        <v>0</v>
      </c>
      <c r="Z321">
        <v>3.4</v>
      </c>
      <c r="AA321">
        <v>1.9259964000000001E-2</v>
      </c>
      <c r="AB321">
        <v>27.6</v>
      </c>
      <c r="AC321">
        <v>11.998333329999999</v>
      </c>
      <c r="AD321">
        <v>27</v>
      </c>
      <c r="AI321">
        <f>12 - Table1[[#This Row],[production_running]] - Table1[[#This Row],[ change_full_set ]] - Table1[[#This Row],[ change_half_set ]] - Table1[[#This Row],[ change_parts ]] - Table1[[#This Row],[ maintenance_dt ]] - Table1[[#This Row],[production_dt]]</f>
        <v>1.6666700000005363E-3</v>
      </c>
      <c r="AK321" t="s">
        <v>270</v>
      </c>
      <c r="AN321">
        <f>INT(Table1[[#This Row],[reject_prod]]/Table1[[#This Row],[part_weight]] * 1000)</f>
        <v>180</v>
      </c>
    </row>
    <row r="322" spans="1:40">
      <c r="A322" s="1">
        <v>46033</v>
      </c>
      <c r="B322">
        <v>1</v>
      </c>
      <c r="C322">
        <v>12</v>
      </c>
      <c r="F322">
        <v>123456</v>
      </c>
      <c r="G322">
        <v>0</v>
      </c>
      <c r="M322">
        <v>0</v>
      </c>
      <c r="N322">
        <v>0</v>
      </c>
      <c r="O322">
        <v>0</v>
      </c>
      <c r="P322">
        <v>0</v>
      </c>
      <c r="R322">
        <v>0</v>
      </c>
      <c r="T322">
        <v>0</v>
      </c>
      <c r="X322">
        <v>0</v>
      </c>
      <c r="Z322">
        <v>0</v>
      </c>
      <c r="AB322">
        <v>0</v>
      </c>
      <c r="AC322">
        <v>0</v>
      </c>
      <c r="AD322">
        <v>22.5</v>
      </c>
      <c r="AI322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322">
        <v>12</v>
      </c>
      <c r="AK322" t="s">
        <v>116</v>
      </c>
      <c r="AN322">
        <v>0</v>
      </c>
    </row>
    <row r="323" spans="1:40">
      <c r="A323" s="1">
        <v>46033</v>
      </c>
      <c r="B323">
        <v>1</v>
      </c>
      <c r="C323">
        <v>13</v>
      </c>
      <c r="D323" t="s">
        <v>61</v>
      </c>
      <c r="E323" t="s">
        <v>46</v>
      </c>
      <c r="F323">
        <v>586276</v>
      </c>
      <c r="G323">
        <v>0</v>
      </c>
      <c r="H323" t="s">
        <v>47</v>
      </c>
      <c r="I323">
        <v>10682930</v>
      </c>
      <c r="J323">
        <v>6</v>
      </c>
      <c r="K323">
        <v>12.3</v>
      </c>
      <c r="L323">
        <v>12.3</v>
      </c>
      <c r="M323">
        <v>1605</v>
      </c>
      <c r="N323" s="2">
        <v>162000</v>
      </c>
      <c r="O323">
        <v>0</v>
      </c>
      <c r="P323" s="2">
        <v>1620</v>
      </c>
      <c r="Q323" s="2">
        <v>9630</v>
      </c>
      <c r="R323" s="2">
        <v>8100</v>
      </c>
      <c r="S323">
        <v>100</v>
      </c>
      <c r="T323" s="2">
        <v>139320</v>
      </c>
      <c r="U323" s="2">
        <v>22680</v>
      </c>
      <c r="V323">
        <v>118</v>
      </c>
      <c r="W323">
        <v>0</v>
      </c>
      <c r="X323">
        <v>0</v>
      </c>
      <c r="Y323">
        <v>0</v>
      </c>
      <c r="Z323">
        <v>1</v>
      </c>
      <c r="AA323">
        <v>8.4424519999999996E-3</v>
      </c>
      <c r="AB323">
        <v>26.4</v>
      </c>
      <c r="AC323">
        <v>11.77</v>
      </c>
      <c r="AD323">
        <v>26</v>
      </c>
      <c r="AI323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0.23000000000000043</v>
      </c>
      <c r="AK323" t="s">
        <v>51</v>
      </c>
      <c r="AN323">
        <f>INT(Table1[[#This Row],[reject_prod]]/Table1[[#This Row],[part_weight]] * 1000)</f>
        <v>81</v>
      </c>
    </row>
    <row r="324" spans="1:40">
      <c r="A324" s="1">
        <v>46033</v>
      </c>
      <c r="B324">
        <v>1</v>
      </c>
      <c r="C324">
        <v>14</v>
      </c>
      <c r="D324" t="s">
        <v>271</v>
      </c>
      <c r="E324" t="s">
        <v>46</v>
      </c>
      <c r="F324">
        <v>555979</v>
      </c>
      <c r="G324">
        <v>1</v>
      </c>
      <c r="H324" t="s">
        <v>52</v>
      </c>
      <c r="I324">
        <v>10682932</v>
      </c>
      <c r="J324">
        <v>6</v>
      </c>
      <c r="K324">
        <v>28</v>
      </c>
      <c r="L324">
        <v>28</v>
      </c>
      <c r="M324">
        <v>969</v>
      </c>
      <c r="N324" s="2">
        <v>100800</v>
      </c>
      <c r="O324" s="2">
        <v>2016</v>
      </c>
      <c r="P324">
        <v>336</v>
      </c>
      <c r="Q324" s="2">
        <v>5814</v>
      </c>
      <c r="R324" s="2">
        <v>6720</v>
      </c>
      <c r="S324">
        <v>188</v>
      </c>
      <c r="T324" s="2">
        <v>37296</v>
      </c>
      <c r="U324" s="2">
        <v>63504</v>
      </c>
      <c r="V324">
        <v>163</v>
      </c>
      <c r="W324">
        <v>0</v>
      </c>
      <c r="X324">
        <v>0</v>
      </c>
      <c r="Y324">
        <v>0</v>
      </c>
      <c r="Z324">
        <v>2.5</v>
      </c>
      <c r="AA324">
        <v>1.5357020000000001E-2</v>
      </c>
      <c r="AB324">
        <v>44.1</v>
      </c>
      <c r="AC324">
        <v>11.87025</v>
      </c>
      <c r="AD324">
        <v>42</v>
      </c>
      <c r="AI324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0.12974999999999959</v>
      </c>
      <c r="AK324" t="s">
        <v>272</v>
      </c>
      <c r="AN324">
        <f>INT(Table1[[#This Row],[reject_prod]]/Table1[[#This Row],[part_weight]] * 1000)</f>
        <v>89</v>
      </c>
    </row>
    <row r="325" spans="1:40">
      <c r="A325" s="1">
        <v>46033</v>
      </c>
      <c r="B325">
        <v>1</v>
      </c>
      <c r="C325">
        <v>15</v>
      </c>
      <c r="D325" t="s">
        <v>61</v>
      </c>
      <c r="E325" t="s">
        <v>46</v>
      </c>
      <c r="F325">
        <v>552181</v>
      </c>
      <c r="G325">
        <v>2</v>
      </c>
      <c r="H325" t="s">
        <v>49</v>
      </c>
      <c r="I325">
        <v>10682934</v>
      </c>
      <c r="J325">
        <v>6</v>
      </c>
      <c r="K325">
        <v>18.8</v>
      </c>
      <c r="L325">
        <v>18.8</v>
      </c>
      <c r="M325">
        <v>1362</v>
      </c>
      <c r="N325" s="2">
        <v>108000</v>
      </c>
      <c r="O325" s="2">
        <v>9720</v>
      </c>
      <c r="P325" s="2">
        <v>2700</v>
      </c>
      <c r="Q325" s="2">
        <v>8172</v>
      </c>
      <c r="R325" s="2">
        <v>5400</v>
      </c>
      <c r="S325">
        <v>102</v>
      </c>
      <c r="T325" s="2">
        <v>67500</v>
      </c>
      <c r="U325" s="2">
        <v>40500</v>
      </c>
      <c r="V325">
        <v>154</v>
      </c>
      <c r="W325">
        <v>0</v>
      </c>
      <c r="X325">
        <v>0</v>
      </c>
      <c r="Y325">
        <v>0</v>
      </c>
      <c r="Z325">
        <v>3.4</v>
      </c>
      <c r="AA325">
        <v>2.2130575999999999E-2</v>
      </c>
      <c r="AB325">
        <v>31.3</v>
      </c>
      <c r="AC325">
        <v>11.84183333</v>
      </c>
      <c r="AD325">
        <v>27</v>
      </c>
      <c r="AI325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0.15816666999999995</v>
      </c>
      <c r="AK325" t="s">
        <v>51</v>
      </c>
      <c r="AN325">
        <f>INT(Table1[[#This Row],[reject_prod]]/Table1[[#This Row],[part_weight]] * 1000)</f>
        <v>180</v>
      </c>
    </row>
    <row r="326" spans="1:40">
      <c r="A326" s="1">
        <v>46033</v>
      </c>
      <c r="B326">
        <v>2</v>
      </c>
      <c r="C326">
        <v>16</v>
      </c>
      <c r="D326" t="s">
        <v>273</v>
      </c>
      <c r="E326" t="s">
        <v>46</v>
      </c>
      <c r="F326">
        <v>555979</v>
      </c>
      <c r="G326">
        <v>2</v>
      </c>
      <c r="H326" t="s">
        <v>52</v>
      </c>
      <c r="I326">
        <v>10682935</v>
      </c>
      <c r="J326">
        <v>6</v>
      </c>
      <c r="K326">
        <v>28</v>
      </c>
      <c r="L326">
        <v>28</v>
      </c>
      <c r="M326">
        <v>979</v>
      </c>
      <c r="N326" s="2">
        <v>100800</v>
      </c>
      <c r="O326" s="2">
        <v>2520</v>
      </c>
      <c r="P326" s="2">
        <v>1512</v>
      </c>
      <c r="Q326" s="2">
        <v>5874</v>
      </c>
      <c r="R326" s="2">
        <v>6720</v>
      </c>
      <c r="S326">
        <v>188</v>
      </c>
      <c r="T326" s="2">
        <v>82152</v>
      </c>
      <c r="U326" s="2">
        <v>18648</v>
      </c>
      <c r="V326">
        <v>164</v>
      </c>
      <c r="W326">
        <v>0</v>
      </c>
      <c r="X326">
        <v>0</v>
      </c>
      <c r="Y326">
        <v>0</v>
      </c>
      <c r="Z326">
        <v>2.2999999999999998</v>
      </c>
      <c r="AA326">
        <v>1.3984142999999999E-2</v>
      </c>
      <c r="AB326">
        <v>43.7</v>
      </c>
      <c r="AC326">
        <v>11.88397222</v>
      </c>
      <c r="AD326">
        <v>42</v>
      </c>
      <c r="AI32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0.11602777999999958</v>
      </c>
      <c r="AK326" t="s">
        <v>51</v>
      </c>
      <c r="AN326">
        <f>INT(Table1[[#This Row],[reject_prod]]/Table1[[#This Row],[part_weight]] * 1000)</f>
        <v>82</v>
      </c>
    </row>
    <row r="327" spans="1:40">
      <c r="A327" s="1">
        <v>46033</v>
      </c>
      <c r="B327">
        <v>2</v>
      </c>
      <c r="C327">
        <v>1</v>
      </c>
      <c r="F327">
        <v>123456</v>
      </c>
      <c r="G327">
        <v>0</v>
      </c>
      <c r="M327">
        <v>0</v>
      </c>
      <c r="N327">
        <v>0</v>
      </c>
      <c r="O327">
        <v>0</v>
      </c>
      <c r="P327">
        <v>0</v>
      </c>
      <c r="R327">
        <v>0</v>
      </c>
      <c r="T327">
        <v>0</v>
      </c>
      <c r="X327">
        <v>0</v>
      </c>
      <c r="Z327">
        <v>0</v>
      </c>
      <c r="AB327">
        <v>0</v>
      </c>
      <c r="AC327">
        <v>0</v>
      </c>
      <c r="AD327">
        <v>22.5</v>
      </c>
      <c r="AI327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327">
        <v>12</v>
      </c>
      <c r="AK327" t="s">
        <v>116</v>
      </c>
      <c r="AN327">
        <v>0</v>
      </c>
    </row>
    <row r="328" spans="1:40">
      <c r="A328" s="1">
        <v>46033</v>
      </c>
      <c r="B328">
        <v>2</v>
      </c>
      <c r="C328">
        <v>2</v>
      </c>
      <c r="D328" t="s">
        <v>274</v>
      </c>
      <c r="E328" t="s">
        <v>34</v>
      </c>
      <c r="F328">
        <v>423215</v>
      </c>
      <c r="G328">
        <v>0</v>
      </c>
      <c r="H328" t="s">
        <v>156</v>
      </c>
      <c r="I328">
        <v>10682755</v>
      </c>
      <c r="J328">
        <v>4</v>
      </c>
      <c r="K328">
        <v>24</v>
      </c>
      <c r="L328">
        <v>24</v>
      </c>
      <c r="M328">
        <v>1575</v>
      </c>
      <c r="N328" s="2">
        <v>89112</v>
      </c>
      <c r="O328" s="2">
        <v>1692</v>
      </c>
      <c r="P328" s="2">
        <v>1410</v>
      </c>
      <c r="Q328" s="2">
        <v>6300</v>
      </c>
      <c r="R328" s="2">
        <v>6768</v>
      </c>
      <c r="S328">
        <v>162</v>
      </c>
      <c r="T328" s="2">
        <v>75858</v>
      </c>
      <c r="U328" s="2">
        <v>13254</v>
      </c>
      <c r="V328">
        <v>151</v>
      </c>
      <c r="W328">
        <v>0</v>
      </c>
      <c r="X328">
        <v>0</v>
      </c>
      <c r="Y328">
        <v>0</v>
      </c>
      <c r="Z328">
        <v>1</v>
      </c>
      <c r="AA328">
        <v>6.6137569999999996E-3</v>
      </c>
      <c r="AB328">
        <v>27.2</v>
      </c>
      <c r="AC328">
        <v>11.9</v>
      </c>
      <c r="AD328">
        <v>22</v>
      </c>
      <c r="AI328">
        <f>12 - Table1[[#This Row],[production_running]] - Table1[[#This Row],[ change_full_set ]] - Table1[[#This Row],[ change_half_set ]] - Table1[[#This Row],[ change_parts ]] - Table1[[#This Row],[ maintenance_dt ]] - Table1[[#This Row],[production_dt]]</f>
        <v>9.9999999999999645E-2</v>
      </c>
      <c r="AK328" t="s">
        <v>214</v>
      </c>
      <c r="AN328">
        <f>INT(Table1[[#This Row],[reject_prod]]/Table1[[#This Row],[part_weight]] * 1000)</f>
        <v>41</v>
      </c>
    </row>
    <row r="329" spans="1:40">
      <c r="A329" s="1">
        <v>46033</v>
      </c>
      <c r="B329">
        <v>2</v>
      </c>
      <c r="C329">
        <v>3</v>
      </c>
      <c r="D329" t="s">
        <v>117</v>
      </c>
      <c r="E329" t="s">
        <v>34</v>
      </c>
      <c r="F329">
        <v>442034</v>
      </c>
      <c r="G329">
        <v>0</v>
      </c>
      <c r="H329" t="s">
        <v>37</v>
      </c>
      <c r="I329">
        <v>10681183</v>
      </c>
      <c r="J329">
        <v>4</v>
      </c>
      <c r="K329">
        <v>23</v>
      </c>
      <c r="L329">
        <v>23</v>
      </c>
      <c r="M329">
        <v>1612</v>
      </c>
      <c r="N329" s="2">
        <v>139776</v>
      </c>
      <c r="O329" s="2">
        <v>2688</v>
      </c>
      <c r="Q329" s="2">
        <v>6448</v>
      </c>
      <c r="R329" s="2">
        <v>9216</v>
      </c>
      <c r="S329">
        <v>212</v>
      </c>
      <c r="T329" s="2">
        <v>73728</v>
      </c>
      <c r="U329" s="2">
        <v>66048</v>
      </c>
      <c r="V329">
        <v>148</v>
      </c>
      <c r="W329">
        <v>0</v>
      </c>
      <c r="X329">
        <v>0</v>
      </c>
      <c r="Y329">
        <v>0</v>
      </c>
      <c r="Z329">
        <v>4</v>
      </c>
      <c r="AA329">
        <v>2.6971625999999999E-2</v>
      </c>
      <c r="AB329">
        <v>26.78</v>
      </c>
      <c r="AC329">
        <v>11.991488889999999</v>
      </c>
      <c r="AD329">
        <v>22</v>
      </c>
      <c r="AI329">
        <f>12 - Table1[[#This Row],[production_running]] - Table1[[#This Row],[ change_full_set ]] - Table1[[#This Row],[ change_half_set ]] - Table1[[#This Row],[ change_parts ]] - Table1[[#This Row],[ maintenance_dt ]] - Table1[[#This Row],[production_dt]]</f>
        <v>8.511110000000599E-3</v>
      </c>
      <c r="AK329" t="s">
        <v>118</v>
      </c>
      <c r="AN329">
        <f>INT(Table1[[#This Row],[reject_prod]]/Table1[[#This Row],[part_weight]] * 1000)</f>
        <v>173</v>
      </c>
    </row>
    <row r="330" spans="1:40">
      <c r="A330" s="1">
        <v>46033</v>
      </c>
      <c r="B330">
        <v>2</v>
      </c>
      <c r="C330">
        <v>4</v>
      </c>
      <c r="F330">
        <v>123456</v>
      </c>
      <c r="G330">
        <v>0</v>
      </c>
      <c r="M330">
        <v>0</v>
      </c>
      <c r="N330">
        <v>0</v>
      </c>
      <c r="O330">
        <v>0</v>
      </c>
      <c r="P330">
        <v>0</v>
      </c>
      <c r="R330">
        <v>0</v>
      </c>
      <c r="T330">
        <v>0</v>
      </c>
      <c r="X330">
        <v>0</v>
      </c>
      <c r="Z330">
        <v>0</v>
      </c>
      <c r="AB330">
        <v>0</v>
      </c>
      <c r="AC330">
        <v>0</v>
      </c>
      <c r="AD330">
        <v>22.5</v>
      </c>
      <c r="AI330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330">
        <v>12</v>
      </c>
      <c r="AK330" t="s">
        <v>116</v>
      </c>
      <c r="AN330">
        <v>0</v>
      </c>
    </row>
    <row r="331" spans="1:40">
      <c r="A331" s="1">
        <v>46033</v>
      </c>
      <c r="B331">
        <v>2</v>
      </c>
      <c r="C331">
        <v>5</v>
      </c>
      <c r="F331">
        <v>123456</v>
      </c>
      <c r="G331">
        <v>0</v>
      </c>
      <c r="M331">
        <v>0</v>
      </c>
      <c r="N331">
        <v>0</v>
      </c>
      <c r="O331">
        <v>0</v>
      </c>
      <c r="P331">
        <v>0</v>
      </c>
      <c r="R331">
        <v>0</v>
      </c>
      <c r="T331">
        <v>0</v>
      </c>
      <c r="X331">
        <v>0</v>
      </c>
      <c r="Z331">
        <v>0</v>
      </c>
      <c r="AB331">
        <v>0</v>
      </c>
      <c r="AC331">
        <v>0</v>
      </c>
      <c r="AD331">
        <v>22.5</v>
      </c>
      <c r="AI331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331">
        <v>12</v>
      </c>
      <c r="AK331" t="s">
        <v>116</v>
      </c>
      <c r="AN331">
        <v>0</v>
      </c>
    </row>
    <row r="332" spans="1:40">
      <c r="A332" s="1">
        <v>46033</v>
      </c>
      <c r="B332">
        <v>2</v>
      </c>
      <c r="C332">
        <v>6</v>
      </c>
      <c r="D332" t="s">
        <v>275</v>
      </c>
      <c r="E332" t="s">
        <v>34</v>
      </c>
      <c r="F332">
        <v>532981</v>
      </c>
      <c r="G332">
        <v>0</v>
      </c>
      <c r="H332" t="s">
        <v>233</v>
      </c>
      <c r="I332">
        <v>10682758</v>
      </c>
      <c r="J332">
        <v>4</v>
      </c>
      <c r="K332">
        <v>24.45</v>
      </c>
      <c r="L332">
        <v>24</v>
      </c>
      <c r="M332">
        <v>1985</v>
      </c>
      <c r="N332" s="2">
        <v>87552</v>
      </c>
      <c r="O332" s="2">
        <v>5016</v>
      </c>
      <c r="P332" s="2">
        <v>2280</v>
      </c>
      <c r="Q332" s="2">
        <v>7940</v>
      </c>
      <c r="R332" s="2">
        <v>10944</v>
      </c>
      <c r="S332">
        <v>263</v>
      </c>
      <c r="T332" s="2">
        <v>40584</v>
      </c>
      <c r="U332" s="2">
        <v>46968</v>
      </c>
      <c r="V332">
        <v>191</v>
      </c>
      <c r="W332">
        <v>4</v>
      </c>
      <c r="X332">
        <v>0</v>
      </c>
      <c r="Y332">
        <v>0</v>
      </c>
      <c r="Z332">
        <v>1</v>
      </c>
      <c r="AA332">
        <v>5.2476909999999996E-3</v>
      </c>
      <c r="AB332">
        <v>21.7</v>
      </c>
      <c r="AC332">
        <v>11.96513889</v>
      </c>
      <c r="AD332">
        <v>20</v>
      </c>
      <c r="AI332">
        <f>12 - Table1[[#This Row],[production_running]] - Table1[[#This Row],[ change_full_set ]] - Table1[[#This Row],[ change_half_set ]] - Table1[[#This Row],[ change_parts ]] - Table1[[#This Row],[ maintenance_dt ]] - Table1[[#This Row],[production_dt]]</f>
        <v>3.4861109999999584E-2</v>
      </c>
      <c r="AK332" t="s">
        <v>118</v>
      </c>
      <c r="AN332">
        <f>INT(Table1[[#This Row],[reject_prod]]/Table1[[#This Row],[part_weight]] * 1000)</f>
        <v>41</v>
      </c>
    </row>
    <row r="333" spans="1:40">
      <c r="A333" s="1">
        <v>46033</v>
      </c>
      <c r="B333">
        <v>2</v>
      </c>
      <c r="C333">
        <v>7</v>
      </c>
      <c r="D333" t="s">
        <v>274</v>
      </c>
      <c r="E333" t="s">
        <v>34</v>
      </c>
      <c r="F333">
        <v>324177</v>
      </c>
      <c r="G333">
        <v>0</v>
      </c>
      <c r="H333" t="s">
        <v>246</v>
      </c>
      <c r="I333">
        <v>10682801</v>
      </c>
      <c r="J333">
        <v>4</v>
      </c>
      <c r="K333">
        <v>34.5</v>
      </c>
      <c r="L333">
        <v>34.5</v>
      </c>
      <c r="M333">
        <v>135</v>
      </c>
      <c r="N333" s="2">
        <v>62400</v>
      </c>
      <c r="O333">
        <v>312</v>
      </c>
      <c r="P333">
        <v>780</v>
      </c>
      <c r="Q333">
        <v>540</v>
      </c>
      <c r="S333">
        <v>0</v>
      </c>
      <c r="T333" s="2">
        <v>19500</v>
      </c>
      <c r="U333" s="2">
        <v>42900</v>
      </c>
      <c r="V333">
        <v>19</v>
      </c>
      <c r="W333">
        <v>0</v>
      </c>
      <c r="X333">
        <v>0</v>
      </c>
      <c r="Y333">
        <v>0</v>
      </c>
      <c r="Z333">
        <v>13</v>
      </c>
      <c r="AA333">
        <v>0.69779924900000001</v>
      </c>
      <c r="AB333">
        <v>21.43</v>
      </c>
      <c r="AC333">
        <v>0.80362500000000003</v>
      </c>
      <c r="AD333">
        <v>22</v>
      </c>
      <c r="AH333">
        <v>1.2</v>
      </c>
      <c r="AI333">
        <f>12 - Table1[[#This Row],[production_running]] - Table1[[#This Row],[ change_full_set ]] - Table1[[#This Row],[ change_half_set ]] - Table1[[#This Row],[ change_parts ]] - Table1[[#This Row],[ maintenance_dt ]] - Table1[[#This Row],[production_dt]]</f>
        <v>9.9963750000000005</v>
      </c>
      <c r="AK333" t="s">
        <v>276</v>
      </c>
      <c r="AN333">
        <f>INT(Table1[[#This Row],[reject_prod]]/Table1[[#This Row],[part_weight]] * 1000)</f>
        <v>376</v>
      </c>
    </row>
    <row r="334" spans="1:40">
      <c r="A334" s="1">
        <v>46033</v>
      </c>
      <c r="B334">
        <v>2</v>
      </c>
      <c r="C334">
        <v>8</v>
      </c>
      <c r="F334">
        <v>123456</v>
      </c>
      <c r="G334">
        <v>0</v>
      </c>
      <c r="M334">
        <v>0</v>
      </c>
      <c r="N334">
        <v>0</v>
      </c>
      <c r="O334">
        <v>0</v>
      </c>
      <c r="P334">
        <v>0</v>
      </c>
      <c r="R334">
        <v>0</v>
      </c>
      <c r="T334">
        <v>0</v>
      </c>
      <c r="X334">
        <v>0</v>
      </c>
      <c r="Z334">
        <v>0</v>
      </c>
      <c r="AB334">
        <v>0</v>
      </c>
      <c r="AC334">
        <v>0</v>
      </c>
      <c r="AD334">
        <v>22.5</v>
      </c>
      <c r="AI334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334">
        <v>12</v>
      </c>
      <c r="AK334" t="s">
        <v>116</v>
      </c>
      <c r="AN334">
        <v>0</v>
      </c>
    </row>
    <row r="335" spans="1:40">
      <c r="A335" s="1">
        <v>46033</v>
      </c>
      <c r="B335">
        <v>2</v>
      </c>
      <c r="C335">
        <v>9</v>
      </c>
      <c r="D335" t="s">
        <v>89</v>
      </c>
      <c r="E335" t="s">
        <v>46</v>
      </c>
      <c r="F335">
        <v>586276</v>
      </c>
      <c r="G335">
        <v>0</v>
      </c>
      <c r="H335" t="s">
        <v>47</v>
      </c>
      <c r="I335">
        <v>10682924</v>
      </c>
      <c r="J335">
        <v>6</v>
      </c>
      <c r="K335">
        <v>12.3</v>
      </c>
      <c r="L335">
        <v>12.3</v>
      </c>
      <c r="M335">
        <v>1613</v>
      </c>
      <c r="N335" s="2">
        <v>162000</v>
      </c>
      <c r="O335" s="2">
        <v>5265</v>
      </c>
      <c r="P335" s="2">
        <v>6885</v>
      </c>
      <c r="Q335" s="2">
        <v>9678</v>
      </c>
      <c r="R335" s="2">
        <v>8100</v>
      </c>
      <c r="S335">
        <v>100</v>
      </c>
      <c r="T335" s="2">
        <v>47385</v>
      </c>
      <c r="U335" s="2">
        <v>114615</v>
      </c>
      <c r="V335">
        <v>119</v>
      </c>
      <c r="W335">
        <v>0</v>
      </c>
      <c r="X335">
        <v>0</v>
      </c>
      <c r="Y335">
        <v>0</v>
      </c>
      <c r="Z335">
        <v>1</v>
      </c>
      <c r="AA335">
        <v>8.4005799999999995E-3</v>
      </c>
      <c r="AB335">
        <v>26.2</v>
      </c>
      <c r="AC335">
        <v>11.739055560000001</v>
      </c>
      <c r="AD335">
        <v>26</v>
      </c>
      <c r="AI335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0.26094443999999939</v>
      </c>
      <c r="AK335" t="s">
        <v>51</v>
      </c>
      <c r="AN335">
        <f>INT(Table1[[#This Row],[reject_prod]]/Table1[[#This Row],[part_weight]] * 1000)</f>
        <v>81</v>
      </c>
    </row>
    <row r="336" spans="1:40">
      <c r="A336" s="1">
        <v>46033</v>
      </c>
      <c r="B336">
        <v>2</v>
      </c>
      <c r="C336">
        <v>10</v>
      </c>
      <c r="D336" t="s">
        <v>53</v>
      </c>
      <c r="E336" t="s">
        <v>41</v>
      </c>
      <c r="F336">
        <v>593537</v>
      </c>
      <c r="G336">
        <v>0</v>
      </c>
      <c r="H336" t="s">
        <v>48</v>
      </c>
      <c r="I336">
        <v>10682926</v>
      </c>
      <c r="J336">
        <v>4</v>
      </c>
      <c r="K336">
        <v>56.5</v>
      </c>
      <c r="L336">
        <v>56.8</v>
      </c>
      <c r="M336">
        <v>1368</v>
      </c>
      <c r="N336" s="2">
        <v>69000</v>
      </c>
      <c r="P336">
        <v>180</v>
      </c>
      <c r="Q336" s="2">
        <v>5472</v>
      </c>
      <c r="R336" s="2">
        <v>5175</v>
      </c>
      <c r="S336">
        <v>294</v>
      </c>
      <c r="T336" s="2">
        <v>12255</v>
      </c>
      <c r="U336" s="2">
        <v>56745</v>
      </c>
      <c r="V336">
        <v>311</v>
      </c>
      <c r="W336">
        <v>-2</v>
      </c>
      <c r="X336">
        <v>0</v>
      </c>
      <c r="Y336">
        <v>0</v>
      </c>
      <c r="Z336">
        <v>4</v>
      </c>
      <c r="AA336">
        <v>1.2869614999999999E-2</v>
      </c>
      <c r="AB336">
        <v>31.7</v>
      </c>
      <c r="AC336">
        <v>12</v>
      </c>
      <c r="AD336">
        <v>28.5</v>
      </c>
      <c r="AI33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336" t="s">
        <v>277</v>
      </c>
      <c r="AN336">
        <f>INT(Table1[[#This Row],[reject_prod]]/Table1[[#This Row],[part_weight]] * 1000)</f>
        <v>70</v>
      </c>
    </row>
    <row r="337" spans="1:40">
      <c r="A337" s="1">
        <v>46033</v>
      </c>
      <c r="B337">
        <v>2</v>
      </c>
      <c r="C337">
        <v>11</v>
      </c>
      <c r="D337" t="s">
        <v>59</v>
      </c>
      <c r="E337" t="s">
        <v>46</v>
      </c>
      <c r="F337">
        <v>552181</v>
      </c>
      <c r="G337">
        <v>1</v>
      </c>
      <c r="H337" t="s">
        <v>49</v>
      </c>
      <c r="I337">
        <v>10682927</v>
      </c>
      <c r="J337">
        <v>6</v>
      </c>
      <c r="K337">
        <v>18.8</v>
      </c>
      <c r="L337">
        <v>18.8</v>
      </c>
      <c r="M337">
        <v>1560</v>
      </c>
      <c r="N337" s="2">
        <v>108000</v>
      </c>
      <c r="O337" s="2">
        <v>2430</v>
      </c>
      <c r="P337">
        <v>270</v>
      </c>
      <c r="Q337" s="2">
        <v>9360</v>
      </c>
      <c r="R337" s="2">
        <v>10800</v>
      </c>
      <c r="S337">
        <v>203</v>
      </c>
      <c r="T337" s="2">
        <v>97470</v>
      </c>
      <c r="U337" s="2">
        <v>10530</v>
      </c>
      <c r="V337">
        <v>176</v>
      </c>
      <c r="W337">
        <v>0</v>
      </c>
      <c r="X337">
        <v>0</v>
      </c>
      <c r="Y337">
        <v>0</v>
      </c>
      <c r="Z337">
        <v>1</v>
      </c>
      <c r="AA337">
        <v>5.682851E-3</v>
      </c>
      <c r="AB337">
        <v>27.6</v>
      </c>
      <c r="AC337">
        <v>11.96</v>
      </c>
      <c r="AD337">
        <v>27</v>
      </c>
      <c r="AI337">
        <f>12 - Table1[[#This Row],[production_running]] - Table1[[#This Row],[ change_full_set ]] - Table1[[#This Row],[ change_half_set ]] - Table1[[#This Row],[ change_parts ]] - Table1[[#This Row],[ maintenance_dt ]] - Table1[[#This Row],[production_dt]]</f>
        <v>3.9999999999999147E-2</v>
      </c>
      <c r="AK337" t="s">
        <v>51</v>
      </c>
      <c r="AN337">
        <f>INT(Table1[[#This Row],[reject_prod]]/Table1[[#This Row],[part_weight]] * 1000)</f>
        <v>53</v>
      </c>
    </row>
    <row r="338" spans="1:40">
      <c r="A338" s="1">
        <v>46033</v>
      </c>
      <c r="B338">
        <v>2</v>
      </c>
      <c r="C338">
        <v>12</v>
      </c>
      <c r="F338">
        <v>123456</v>
      </c>
      <c r="G338">
        <v>0</v>
      </c>
      <c r="M338">
        <v>0</v>
      </c>
      <c r="N338">
        <v>0</v>
      </c>
      <c r="O338">
        <v>0</v>
      </c>
      <c r="P338">
        <v>0</v>
      </c>
      <c r="R338">
        <v>0</v>
      </c>
      <c r="T338">
        <v>0</v>
      </c>
      <c r="X338">
        <v>0</v>
      </c>
      <c r="Z338">
        <v>0</v>
      </c>
      <c r="AB338">
        <v>0</v>
      </c>
      <c r="AC338">
        <v>0</v>
      </c>
      <c r="AD338">
        <v>22.5</v>
      </c>
      <c r="AI338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338">
        <v>12</v>
      </c>
      <c r="AK338" t="s">
        <v>116</v>
      </c>
      <c r="AN338">
        <v>0</v>
      </c>
    </row>
    <row r="339" spans="1:40">
      <c r="A339" s="1">
        <v>46033</v>
      </c>
      <c r="B339">
        <v>2</v>
      </c>
      <c r="C339">
        <v>13</v>
      </c>
      <c r="D339" t="s">
        <v>59</v>
      </c>
      <c r="E339" t="s">
        <v>46</v>
      </c>
      <c r="F339">
        <v>586276</v>
      </c>
      <c r="G339">
        <v>0</v>
      </c>
      <c r="H339" t="s">
        <v>47</v>
      </c>
      <c r="I339">
        <v>10682930</v>
      </c>
      <c r="J339">
        <v>6</v>
      </c>
      <c r="K339">
        <v>12.3</v>
      </c>
      <c r="L339">
        <v>12.3</v>
      </c>
      <c r="M339">
        <v>1618</v>
      </c>
      <c r="N339" s="2">
        <v>162000</v>
      </c>
      <c r="O339" s="2">
        <v>1620</v>
      </c>
      <c r="P339" s="2">
        <v>2835</v>
      </c>
      <c r="Q339" s="2">
        <v>9708</v>
      </c>
      <c r="R339" s="2">
        <v>8100</v>
      </c>
      <c r="S339">
        <v>100</v>
      </c>
      <c r="T339" s="2">
        <v>148635</v>
      </c>
      <c r="U339" s="2">
        <v>13365</v>
      </c>
      <c r="V339">
        <v>119</v>
      </c>
      <c r="W339">
        <v>0</v>
      </c>
      <c r="X339">
        <v>0</v>
      </c>
      <c r="Y339">
        <v>0</v>
      </c>
      <c r="Z339">
        <v>1</v>
      </c>
      <c r="AA339">
        <v>8.3746199999999993E-3</v>
      </c>
      <c r="AB339">
        <v>26.43</v>
      </c>
      <c r="AC339">
        <v>11.878816670000001</v>
      </c>
      <c r="AD339">
        <v>26</v>
      </c>
      <c r="AI339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0.12118332999999915</v>
      </c>
      <c r="AK339" t="s">
        <v>51</v>
      </c>
      <c r="AN339">
        <f>INT(Table1[[#This Row],[reject_prod]]/Table1[[#This Row],[part_weight]] * 1000)</f>
        <v>81</v>
      </c>
    </row>
    <row r="340" spans="1:40">
      <c r="A340" s="1">
        <v>46033</v>
      </c>
      <c r="B340">
        <v>2</v>
      </c>
      <c r="C340">
        <v>14</v>
      </c>
      <c r="D340" t="s">
        <v>139</v>
      </c>
      <c r="E340" t="s">
        <v>46</v>
      </c>
      <c r="F340">
        <v>555979</v>
      </c>
      <c r="G340">
        <v>1</v>
      </c>
      <c r="H340" t="s">
        <v>52</v>
      </c>
      <c r="I340">
        <v>10682932</v>
      </c>
      <c r="J340">
        <v>6</v>
      </c>
      <c r="K340">
        <v>28</v>
      </c>
      <c r="L340">
        <v>28</v>
      </c>
      <c r="M340">
        <v>984</v>
      </c>
      <c r="N340" s="2">
        <v>100800</v>
      </c>
      <c r="O340">
        <v>336</v>
      </c>
      <c r="P340" s="2">
        <v>2688</v>
      </c>
      <c r="Q340" s="2">
        <v>5904</v>
      </c>
      <c r="R340" s="2">
        <v>3360</v>
      </c>
      <c r="S340">
        <v>94</v>
      </c>
      <c r="T340" s="2">
        <v>43008</v>
      </c>
      <c r="U340" s="2">
        <v>57792</v>
      </c>
      <c r="V340">
        <v>165</v>
      </c>
      <c r="W340">
        <v>0</v>
      </c>
      <c r="X340">
        <v>0</v>
      </c>
      <c r="Y340">
        <v>0</v>
      </c>
      <c r="Z340">
        <v>1</v>
      </c>
      <c r="AA340">
        <v>6.0491679999999997E-3</v>
      </c>
      <c r="AB340">
        <v>44.1</v>
      </c>
      <c r="AC340">
        <v>12</v>
      </c>
      <c r="AD340">
        <v>42</v>
      </c>
      <c r="AI340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340" t="s">
        <v>51</v>
      </c>
      <c r="AN340">
        <f>INT(Table1[[#This Row],[reject_prod]]/Table1[[#This Row],[part_weight]] * 1000)</f>
        <v>35</v>
      </c>
    </row>
    <row r="341" spans="1:40">
      <c r="A341" s="1">
        <v>46033</v>
      </c>
      <c r="B341">
        <v>2</v>
      </c>
      <c r="C341">
        <v>15</v>
      </c>
      <c r="D341" t="s">
        <v>59</v>
      </c>
      <c r="E341" t="s">
        <v>46</v>
      </c>
      <c r="F341">
        <v>552181</v>
      </c>
      <c r="G341">
        <v>2</v>
      </c>
      <c r="H341" t="s">
        <v>49</v>
      </c>
      <c r="I341">
        <v>10682934</v>
      </c>
      <c r="J341">
        <v>6</v>
      </c>
      <c r="K341">
        <v>18.8</v>
      </c>
      <c r="L341">
        <v>18.8</v>
      </c>
      <c r="M341">
        <v>1369</v>
      </c>
      <c r="N341" s="2">
        <v>108000</v>
      </c>
      <c r="O341" s="2">
        <v>2700</v>
      </c>
      <c r="P341">
        <v>270</v>
      </c>
      <c r="Q341" s="2">
        <v>8214</v>
      </c>
      <c r="R341" s="2">
        <v>10800</v>
      </c>
      <c r="S341">
        <v>203</v>
      </c>
      <c r="T341" s="2">
        <v>75870</v>
      </c>
      <c r="U341" s="2">
        <v>32130</v>
      </c>
      <c r="V341">
        <v>154</v>
      </c>
      <c r="W341">
        <v>0</v>
      </c>
      <c r="X341">
        <v>0</v>
      </c>
      <c r="Y341">
        <v>0</v>
      </c>
      <c r="Z341">
        <v>1</v>
      </c>
      <c r="AA341">
        <v>6.4757110000000003E-3</v>
      </c>
      <c r="AB341">
        <v>31.2</v>
      </c>
      <c r="AC341">
        <v>11.86466667</v>
      </c>
      <c r="AD341">
        <v>27</v>
      </c>
      <c r="AI341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0.13533332999999992</v>
      </c>
      <c r="AK341" t="s">
        <v>51</v>
      </c>
      <c r="AN341">
        <f>INT(Table1[[#This Row],[reject_prod]]/Table1[[#This Row],[part_weight]] * 1000)</f>
        <v>53</v>
      </c>
    </row>
    <row r="342" spans="1:40" s="4" customFormat="1">
      <c r="A342" s="3">
        <v>46033</v>
      </c>
      <c r="B342" s="4">
        <v>2</v>
      </c>
      <c r="C342" s="4">
        <v>16</v>
      </c>
      <c r="D342" s="4" t="s">
        <v>140</v>
      </c>
      <c r="E342" s="4" t="s">
        <v>46</v>
      </c>
      <c r="F342" s="4">
        <v>555979</v>
      </c>
      <c r="G342" s="4">
        <v>2</v>
      </c>
      <c r="H342" s="4" t="s">
        <v>52</v>
      </c>
      <c r="I342" s="4">
        <v>10682935</v>
      </c>
      <c r="J342" s="4">
        <v>6</v>
      </c>
      <c r="K342" s="4">
        <v>28</v>
      </c>
      <c r="L342" s="4">
        <v>28</v>
      </c>
      <c r="M342" s="4">
        <v>998</v>
      </c>
      <c r="N342" s="5">
        <v>100800</v>
      </c>
      <c r="O342" s="5">
        <v>1512</v>
      </c>
      <c r="P342" s="4">
        <v>672</v>
      </c>
      <c r="Q342" s="5">
        <v>5988</v>
      </c>
      <c r="R342" s="5">
        <v>6720</v>
      </c>
      <c r="S342" s="4">
        <v>188</v>
      </c>
      <c r="T342" s="5">
        <v>88032</v>
      </c>
      <c r="U342" s="5">
        <v>12768</v>
      </c>
      <c r="V342" s="4">
        <v>168</v>
      </c>
      <c r="W342" s="4">
        <v>0</v>
      </c>
      <c r="X342" s="4">
        <v>0</v>
      </c>
      <c r="Y342" s="4">
        <v>0</v>
      </c>
      <c r="Z342" s="4">
        <v>3</v>
      </c>
      <c r="AA342" s="4">
        <v>1.7892928999999998E-2</v>
      </c>
      <c r="AB342" s="4">
        <v>43.7</v>
      </c>
      <c r="AC342" s="4">
        <v>12</v>
      </c>
      <c r="AD342" s="4">
        <v>42</v>
      </c>
      <c r="AI342" s="4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342" s="4" t="s">
        <v>51</v>
      </c>
      <c r="AN342" s="4">
        <f>INT(Table1[[#This Row],[reject_prod]]/Table1[[#This Row],[part_weight]] * 1000)</f>
        <v>107</v>
      </c>
    </row>
    <row r="343" spans="1:40">
      <c r="A343" s="1">
        <v>46034</v>
      </c>
      <c r="B343">
        <v>1</v>
      </c>
      <c r="C343">
        <v>1</v>
      </c>
      <c r="D343" t="s">
        <v>278</v>
      </c>
      <c r="E343" t="s">
        <v>34</v>
      </c>
      <c r="F343">
        <v>365091</v>
      </c>
      <c r="G343">
        <v>0</v>
      </c>
      <c r="H343" t="s">
        <v>189</v>
      </c>
      <c r="I343">
        <v>10682753</v>
      </c>
      <c r="J343">
        <v>4</v>
      </c>
      <c r="K343">
        <v>44</v>
      </c>
      <c r="L343">
        <v>44</v>
      </c>
      <c r="M343">
        <v>1283</v>
      </c>
      <c r="N343" s="2">
        <v>66885</v>
      </c>
      <c r="O343">
        <v>630</v>
      </c>
      <c r="P343">
        <v>315</v>
      </c>
      <c r="Q343" s="2">
        <v>5132</v>
      </c>
      <c r="R343" s="2">
        <v>5040</v>
      </c>
      <c r="S343">
        <v>222</v>
      </c>
      <c r="T343" s="2">
        <v>34335</v>
      </c>
      <c r="U343" s="2">
        <v>32550</v>
      </c>
      <c r="V343">
        <v>226</v>
      </c>
      <c r="W343">
        <v>0</v>
      </c>
      <c r="X343">
        <v>3.4</v>
      </c>
      <c r="Y343">
        <v>1.5057040000000001E-2</v>
      </c>
      <c r="Z343">
        <v>0</v>
      </c>
      <c r="AA343">
        <v>0</v>
      </c>
      <c r="AB343">
        <v>27.3</v>
      </c>
      <c r="AC343">
        <v>9.7294166670000006</v>
      </c>
      <c r="AD343">
        <v>28.64</v>
      </c>
      <c r="AI343">
        <f>12 - Table1[[#This Row],[production_running]] - Table1[[#This Row],[ change_full_set ]] - Table1[[#This Row],[ change_half_set ]] - Table1[[#This Row],[ change_parts ]] - Table1[[#This Row],[ maintenance_dt ]] - Table1[[#This Row],[production_dt]]</f>
        <v>2.2705833329999994</v>
      </c>
      <c r="AK343" t="s">
        <v>214</v>
      </c>
      <c r="AN343">
        <f>INT(Table1[[#This Row],[reject_prod]]/Table1[[#This Row],[part_weight]] * 1000)</f>
        <v>0</v>
      </c>
    </row>
    <row r="344" spans="1:40">
      <c r="A344" s="1">
        <v>46034</v>
      </c>
      <c r="B344">
        <v>1</v>
      </c>
      <c r="C344">
        <v>2</v>
      </c>
      <c r="D344" t="s">
        <v>67</v>
      </c>
      <c r="E344" t="s">
        <v>34</v>
      </c>
      <c r="F344">
        <v>423215</v>
      </c>
      <c r="G344">
        <v>0</v>
      </c>
      <c r="H344" t="s">
        <v>156</v>
      </c>
      <c r="I344">
        <v>10682755</v>
      </c>
      <c r="J344">
        <v>4</v>
      </c>
      <c r="K344">
        <v>24</v>
      </c>
      <c r="L344">
        <v>24</v>
      </c>
      <c r="M344">
        <v>1561</v>
      </c>
      <c r="N344" s="2">
        <v>89112</v>
      </c>
      <c r="O344" s="2">
        <v>1410</v>
      </c>
      <c r="P344">
        <v>564</v>
      </c>
      <c r="Q344" s="2">
        <v>6244</v>
      </c>
      <c r="R344" s="2">
        <v>6768</v>
      </c>
      <c r="S344">
        <v>162</v>
      </c>
      <c r="T344" s="2">
        <v>81780</v>
      </c>
      <c r="U344" s="2">
        <v>7332</v>
      </c>
      <c r="V344">
        <v>150</v>
      </c>
      <c r="W344">
        <v>0</v>
      </c>
      <c r="X344">
        <v>0</v>
      </c>
      <c r="Y344">
        <v>0</v>
      </c>
      <c r="Z344">
        <v>2.1</v>
      </c>
      <c r="AA344">
        <v>1.4013453E-2</v>
      </c>
      <c r="AB344">
        <v>27.3</v>
      </c>
      <c r="AC344">
        <v>11.837583329999999</v>
      </c>
      <c r="AD344">
        <v>22</v>
      </c>
      <c r="AI344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0.16241667000000071</v>
      </c>
      <c r="AK344" t="s">
        <v>214</v>
      </c>
      <c r="AN344">
        <f>INT(Table1[[#This Row],[reject_prod]]/Table1[[#This Row],[part_weight]] * 1000)</f>
        <v>87</v>
      </c>
    </row>
    <row r="345" spans="1:40">
      <c r="A345" s="1">
        <v>46034</v>
      </c>
      <c r="B345">
        <v>1</v>
      </c>
      <c r="C345">
        <v>3</v>
      </c>
      <c r="D345" t="s">
        <v>152</v>
      </c>
      <c r="E345" t="s">
        <v>34</v>
      </c>
      <c r="F345">
        <v>442034</v>
      </c>
      <c r="G345">
        <v>0</v>
      </c>
      <c r="H345" t="s">
        <v>37</v>
      </c>
      <c r="I345">
        <v>10681183</v>
      </c>
      <c r="J345">
        <v>4</v>
      </c>
      <c r="K345">
        <v>23</v>
      </c>
      <c r="L345">
        <v>23</v>
      </c>
      <c r="M345">
        <v>1577</v>
      </c>
      <c r="N345" s="2">
        <v>139776</v>
      </c>
      <c r="O345">
        <v>0</v>
      </c>
      <c r="P345">
        <v>384</v>
      </c>
      <c r="Q345" s="2">
        <v>6308</v>
      </c>
      <c r="R345" s="2">
        <v>4608</v>
      </c>
      <c r="S345">
        <v>106</v>
      </c>
      <c r="T345" s="2">
        <v>78720</v>
      </c>
      <c r="U345" s="2">
        <v>61056</v>
      </c>
      <c r="V345">
        <v>145</v>
      </c>
      <c r="W345">
        <v>0</v>
      </c>
      <c r="X345">
        <v>0</v>
      </c>
      <c r="Y345">
        <v>0</v>
      </c>
      <c r="Z345">
        <v>18.600000000000001</v>
      </c>
      <c r="AA345">
        <v>0.128201594</v>
      </c>
      <c r="AB345">
        <v>26.9</v>
      </c>
      <c r="AC345">
        <v>11.78369444</v>
      </c>
      <c r="AD345">
        <v>22</v>
      </c>
      <c r="AI345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0.21630556000000034</v>
      </c>
      <c r="AK345" t="s">
        <v>75</v>
      </c>
      <c r="AN345">
        <f>INT(Table1[[#This Row],[reject_prod]]/Table1[[#This Row],[part_weight]] * 1000)</f>
        <v>808</v>
      </c>
    </row>
    <row r="346" spans="1:40">
      <c r="A346" s="1">
        <v>46034</v>
      </c>
      <c r="B346">
        <v>1</v>
      </c>
      <c r="C346">
        <v>4</v>
      </c>
      <c r="F346">
        <v>123456</v>
      </c>
      <c r="G346">
        <v>0</v>
      </c>
      <c r="M346">
        <v>0</v>
      </c>
      <c r="N346">
        <v>0</v>
      </c>
      <c r="O346">
        <v>0</v>
      </c>
      <c r="P346">
        <v>0</v>
      </c>
      <c r="R346">
        <v>0</v>
      </c>
      <c r="T346">
        <v>0</v>
      </c>
      <c r="X346">
        <v>0</v>
      </c>
      <c r="Z346">
        <v>0</v>
      </c>
      <c r="AB346">
        <v>0</v>
      </c>
      <c r="AC346">
        <v>0</v>
      </c>
      <c r="AD346">
        <v>22.5</v>
      </c>
      <c r="AI34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346">
        <v>12</v>
      </c>
      <c r="AK346" t="s">
        <v>116</v>
      </c>
      <c r="AN346">
        <v>0</v>
      </c>
    </row>
    <row r="347" spans="1:40">
      <c r="A347" s="1">
        <v>46034</v>
      </c>
      <c r="B347">
        <v>1</v>
      </c>
      <c r="C347">
        <v>5</v>
      </c>
      <c r="D347" t="s">
        <v>69</v>
      </c>
      <c r="E347" t="s">
        <v>34</v>
      </c>
      <c r="F347">
        <v>597507</v>
      </c>
      <c r="G347">
        <v>0</v>
      </c>
      <c r="H347" t="s">
        <v>279</v>
      </c>
      <c r="I347">
        <v>10682757</v>
      </c>
      <c r="J347">
        <v>4</v>
      </c>
      <c r="K347">
        <v>23</v>
      </c>
      <c r="L347">
        <v>23</v>
      </c>
      <c r="M347">
        <v>0</v>
      </c>
      <c r="N347" s="2">
        <v>64680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 s="2">
        <v>64680</v>
      </c>
      <c r="V347">
        <v>0</v>
      </c>
      <c r="W347">
        <v>0</v>
      </c>
      <c r="X347">
        <v>14.6</v>
      </c>
      <c r="Y347" t="e">
        <v>#DIV/0!</v>
      </c>
      <c r="Z347">
        <v>0</v>
      </c>
      <c r="AA347" t="e">
        <v>#DIV/0!</v>
      </c>
      <c r="AB347">
        <v>26.9</v>
      </c>
      <c r="AC347">
        <v>0</v>
      </c>
      <c r="AD347">
        <v>22</v>
      </c>
      <c r="AI347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347" t="s">
        <v>280</v>
      </c>
      <c r="AN347">
        <f>INT(Table1[[#This Row],[reject_prod]]/Table1[[#This Row],[part_weight]] * 1000)</f>
        <v>0</v>
      </c>
    </row>
    <row r="348" spans="1:40">
      <c r="A348" s="1">
        <v>46034</v>
      </c>
      <c r="B348">
        <v>1</v>
      </c>
      <c r="C348">
        <v>6</v>
      </c>
      <c r="D348" t="s">
        <v>40</v>
      </c>
      <c r="E348" t="s">
        <v>34</v>
      </c>
      <c r="F348">
        <v>532981</v>
      </c>
      <c r="G348">
        <v>0</v>
      </c>
      <c r="H348" t="s">
        <v>233</v>
      </c>
      <c r="I348">
        <v>10682758</v>
      </c>
      <c r="J348">
        <v>4</v>
      </c>
      <c r="K348">
        <v>24.45</v>
      </c>
      <c r="L348">
        <v>24</v>
      </c>
      <c r="M348">
        <v>1952</v>
      </c>
      <c r="N348" s="2">
        <v>87552</v>
      </c>
      <c r="O348" s="2">
        <v>2280</v>
      </c>
      <c r="P348" s="2">
        <v>4560</v>
      </c>
      <c r="Q348" s="2">
        <v>7808</v>
      </c>
      <c r="R348" s="2">
        <v>5472</v>
      </c>
      <c r="S348">
        <v>131</v>
      </c>
      <c r="T348" s="2">
        <v>48336</v>
      </c>
      <c r="U348" s="2">
        <v>39216</v>
      </c>
      <c r="V348">
        <v>187</v>
      </c>
      <c r="W348">
        <v>0</v>
      </c>
      <c r="X348">
        <v>0</v>
      </c>
      <c r="Y348">
        <v>0</v>
      </c>
      <c r="Z348">
        <v>2.5</v>
      </c>
      <c r="AA348">
        <v>1.3341018E-2</v>
      </c>
      <c r="AB348">
        <v>21.7</v>
      </c>
      <c r="AC348">
        <v>11.76622222</v>
      </c>
      <c r="AD348">
        <v>20</v>
      </c>
      <c r="AI348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0.23377778000000049</v>
      </c>
      <c r="AK348" t="s">
        <v>103</v>
      </c>
      <c r="AN348">
        <f>INT(Table1[[#This Row],[reject_prod]]/Table1[[#This Row],[part_weight]] * 1000)</f>
        <v>104</v>
      </c>
    </row>
    <row r="349" spans="1:40">
      <c r="A349" s="1">
        <v>46034</v>
      </c>
      <c r="B349">
        <v>1</v>
      </c>
      <c r="C349">
        <v>7</v>
      </c>
      <c r="D349" t="s">
        <v>281</v>
      </c>
      <c r="E349" t="s">
        <v>34</v>
      </c>
      <c r="F349">
        <v>324177</v>
      </c>
      <c r="G349">
        <v>0</v>
      </c>
      <c r="H349" t="s">
        <v>246</v>
      </c>
      <c r="I349">
        <v>10682801</v>
      </c>
      <c r="J349">
        <v>4</v>
      </c>
      <c r="K349">
        <v>34.5</v>
      </c>
      <c r="L349">
        <v>34.5</v>
      </c>
      <c r="M349">
        <v>585</v>
      </c>
      <c r="N349" s="2">
        <v>62400</v>
      </c>
      <c r="O349">
        <v>780</v>
      </c>
      <c r="P349">
        <v>0</v>
      </c>
      <c r="Q349" s="2">
        <v>2340</v>
      </c>
      <c r="R349" s="2">
        <v>2340</v>
      </c>
      <c r="S349">
        <v>81</v>
      </c>
      <c r="T349" s="2">
        <v>21060</v>
      </c>
      <c r="U349" s="2">
        <v>41340</v>
      </c>
      <c r="V349">
        <v>81</v>
      </c>
      <c r="W349">
        <v>0</v>
      </c>
      <c r="X349">
        <v>0</v>
      </c>
      <c r="Y349">
        <v>0</v>
      </c>
      <c r="Z349">
        <v>26</v>
      </c>
      <c r="AA349">
        <v>0.322061192</v>
      </c>
      <c r="AB349">
        <v>21.43</v>
      </c>
      <c r="AC349">
        <v>3.4823750000000002</v>
      </c>
      <c r="AD349">
        <v>22</v>
      </c>
      <c r="AI349">
        <f>12 - Table1[[#This Row],[production_running]] - Table1[[#This Row],[ change_full_set ]] - Table1[[#This Row],[ change_half_set ]] - Table1[[#This Row],[ change_parts ]] - Table1[[#This Row],[ maintenance_dt ]] - Table1[[#This Row],[production_dt]]</f>
        <v>8.5176249999999989</v>
      </c>
      <c r="AK349" t="s">
        <v>282</v>
      </c>
      <c r="AN349">
        <f>INT(Table1[[#This Row],[reject_prod]]/Table1[[#This Row],[part_weight]] * 1000)</f>
        <v>753</v>
      </c>
    </row>
    <row r="350" spans="1:40">
      <c r="A350" s="1">
        <v>46034</v>
      </c>
      <c r="B350">
        <v>1</v>
      </c>
      <c r="C350">
        <v>8</v>
      </c>
      <c r="D350" t="s">
        <v>40</v>
      </c>
      <c r="E350" t="s">
        <v>34</v>
      </c>
      <c r="F350">
        <v>323102</v>
      </c>
      <c r="G350">
        <v>0</v>
      </c>
      <c r="H350" t="s">
        <v>45</v>
      </c>
      <c r="I350">
        <v>10683894</v>
      </c>
      <c r="J350">
        <v>4</v>
      </c>
      <c r="K350">
        <v>56.9</v>
      </c>
      <c r="L350">
        <v>56.9</v>
      </c>
      <c r="M350">
        <v>1232</v>
      </c>
      <c r="N350" s="2">
        <v>38400</v>
      </c>
      <c r="O350">
        <v>0</v>
      </c>
      <c r="P350">
        <v>0</v>
      </c>
      <c r="Q350" s="2">
        <v>4928</v>
      </c>
      <c r="R350" s="2">
        <v>4800</v>
      </c>
      <c r="S350">
        <v>273</v>
      </c>
      <c r="T350" s="2">
        <v>30400</v>
      </c>
      <c r="U350" s="2">
        <v>8000</v>
      </c>
      <c r="V350">
        <v>280</v>
      </c>
      <c r="W350">
        <v>0</v>
      </c>
      <c r="X350">
        <v>3</v>
      </c>
      <c r="Y350">
        <v>1.0698879E-2</v>
      </c>
      <c r="Z350">
        <v>0</v>
      </c>
      <c r="AA350">
        <v>0</v>
      </c>
      <c r="AB350">
        <v>27.8</v>
      </c>
      <c r="AC350">
        <v>9.5137777779999997</v>
      </c>
      <c r="AD350">
        <v>26</v>
      </c>
      <c r="AI350">
        <f>12 - Table1[[#This Row],[production_running]] - Table1[[#This Row],[ change_full_set ]] - Table1[[#This Row],[ change_half_set ]] - Table1[[#This Row],[ change_parts ]] - Table1[[#This Row],[ maintenance_dt ]] - Table1[[#This Row],[production_dt]]</f>
        <v>2.4862222220000003</v>
      </c>
      <c r="AK350" t="s">
        <v>283</v>
      </c>
      <c r="AN350">
        <f>INT(Table1[[#This Row],[reject_prod]]/Table1[[#This Row],[part_weight]] * 1000)</f>
        <v>0</v>
      </c>
    </row>
    <row r="351" spans="1:40">
      <c r="A351" s="1">
        <v>46034</v>
      </c>
      <c r="B351">
        <v>1</v>
      </c>
      <c r="C351">
        <v>9</v>
      </c>
      <c r="D351" t="s">
        <v>284</v>
      </c>
      <c r="E351" t="s">
        <v>46</v>
      </c>
      <c r="F351">
        <v>586276</v>
      </c>
      <c r="G351">
        <v>0</v>
      </c>
      <c r="H351" t="s">
        <v>47</v>
      </c>
      <c r="I351">
        <v>10682924</v>
      </c>
      <c r="J351">
        <v>6</v>
      </c>
      <c r="K351">
        <v>12.3</v>
      </c>
      <c r="L351">
        <v>12.3</v>
      </c>
      <c r="M351">
        <v>1648</v>
      </c>
      <c r="N351" s="2">
        <v>162000</v>
      </c>
      <c r="O351" s="2">
        <v>6885</v>
      </c>
      <c r="P351">
        <v>0</v>
      </c>
      <c r="Q351" s="2">
        <v>9888</v>
      </c>
      <c r="R351" s="2">
        <v>16200</v>
      </c>
      <c r="S351">
        <v>199</v>
      </c>
      <c r="T351" s="2">
        <v>56700</v>
      </c>
      <c r="U351" s="2">
        <v>105300</v>
      </c>
      <c r="V351">
        <v>122</v>
      </c>
      <c r="W351">
        <v>0</v>
      </c>
      <c r="X351">
        <v>0</v>
      </c>
      <c r="Y351">
        <v>0</v>
      </c>
      <c r="Z351">
        <v>1</v>
      </c>
      <c r="AA351">
        <v>8.2221700000000009E-3</v>
      </c>
      <c r="AB351">
        <v>26.2</v>
      </c>
      <c r="AC351">
        <v>11.99377778</v>
      </c>
      <c r="AD351">
        <v>26</v>
      </c>
      <c r="AI351">
        <f>12 - Table1[[#This Row],[production_running]] - Table1[[#This Row],[ change_full_set ]] - Table1[[#This Row],[ change_half_set ]] - Table1[[#This Row],[ change_parts ]] - Table1[[#This Row],[ maintenance_dt ]] - Table1[[#This Row],[production_dt]]</f>
        <v>6.222219999999723E-3</v>
      </c>
      <c r="AK351" t="s">
        <v>51</v>
      </c>
      <c r="AN351">
        <f>INT(Table1[[#This Row],[reject_prod]]/Table1[[#This Row],[part_weight]] * 1000)</f>
        <v>81</v>
      </c>
    </row>
    <row r="352" spans="1:40">
      <c r="A352" s="1">
        <v>46034</v>
      </c>
      <c r="B352">
        <v>1</v>
      </c>
      <c r="C352">
        <v>10</v>
      </c>
      <c r="D352" t="s">
        <v>141</v>
      </c>
      <c r="E352" t="s">
        <v>41</v>
      </c>
      <c r="F352">
        <v>593537</v>
      </c>
      <c r="G352">
        <v>0</v>
      </c>
      <c r="H352" t="s">
        <v>48</v>
      </c>
      <c r="I352">
        <v>10682926</v>
      </c>
      <c r="J352">
        <v>4</v>
      </c>
      <c r="K352">
        <v>56.5</v>
      </c>
      <c r="L352">
        <v>56.8</v>
      </c>
      <c r="M352">
        <v>1356</v>
      </c>
      <c r="N352" s="2">
        <v>69000</v>
      </c>
      <c r="O352">
        <v>180</v>
      </c>
      <c r="P352">
        <v>230</v>
      </c>
      <c r="Q352" s="2">
        <v>5424</v>
      </c>
      <c r="R352" s="2">
        <v>5175</v>
      </c>
      <c r="S352">
        <v>294</v>
      </c>
      <c r="T352" s="2">
        <v>17480</v>
      </c>
      <c r="U352" s="2">
        <v>51520</v>
      </c>
      <c r="V352">
        <v>308</v>
      </c>
      <c r="W352">
        <v>0</v>
      </c>
      <c r="X352">
        <v>0</v>
      </c>
      <c r="Y352">
        <v>0</v>
      </c>
      <c r="Z352">
        <v>3</v>
      </c>
      <c r="AA352">
        <v>9.7376289999999994E-3</v>
      </c>
      <c r="AB352">
        <v>31.7</v>
      </c>
      <c r="AC352">
        <v>11.94033333</v>
      </c>
      <c r="AD352">
        <v>28.5</v>
      </c>
      <c r="AI352">
        <f>12 - Table1[[#This Row],[production_running]] - Table1[[#This Row],[ change_full_set ]] - Table1[[#This Row],[ change_half_set ]] - Table1[[#This Row],[ change_parts ]] - Table1[[#This Row],[ maintenance_dt ]] - Table1[[#This Row],[production_dt]]</f>
        <v>5.9666670000000366E-2</v>
      </c>
      <c r="AK352" t="s">
        <v>285</v>
      </c>
      <c r="AN352">
        <f>INT(Table1[[#This Row],[reject_prod]]/Table1[[#This Row],[part_weight]] * 1000)</f>
        <v>52</v>
      </c>
    </row>
    <row r="353" spans="1:40">
      <c r="A353" s="1">
        <v>46034</v>
      </c>
      <c r="B353">
        <v>1</v>
      </c>
      <c r="C353">
        <v>11</v>
      </c>
      <c r="D353" t="s">
        <v>61</v>
      </c>
      <c r="E353" t="s">
        <v>46</v>
      </c>
      <c r="F353">
        <v>552181</v>
      </c>
      <c r="G353">
        <v>1</v>
      </c>
      <c r="H353" t="s">
        <v>49</v>
      </c>
      <c r="I353">
        <v>10682927</v>
      </c>
      <c r="J353">
        <v>6</v>
      </c>
      <c r="K353">
        <v>18.8</v>
      </c>
      <c r="L353">
        <v>18.8</v>
      </c>
      <c r="M353">
        <v>1565</v>
      </c>
      <c r="N353" s="2">
        <v>108000</v>
      </c>
      <c r="O353">
        <v>270</v>
      </c>
      <c r="P353" s="2">
        <v>4050</v>
      </c>
      <c r="Q353" s="2">
        <v>9390</v>
      </c>
      <c r="R353" s="2">
        <v>5400</v>
      </c>
      <c r="S353">
        <v>102</v>
      </c>
      <c r="T353" s="2">
        <v>106650</v>
      </c>
      <c r="U353" s="2">
        <v>1350</v>
      </c>
      <c r="V353">
        <v>177</v>
      </c>
      <c r="W353">
        <v>0</v>
      </c>
      <c r="X353">
        <v>0</v>
      </c>
      <c r="Y353">
        <v>0</v>
      </c>
      <c r="Z353">
        <v>2.6</v>
      </c>
      <c r="AA353">
        <v>1.4728208E-2</v>
      </c>
      <c r="AB353">
        <v>27.6</v>
      </c>
      <c r="AC353">
        <v>11.998333329999999</v>
      </c>
      <c r="AD353">
        <v>27</v>
      </c>
      <c r="AI353">
        <f>12 - Table1[[#This Row],[production_running]] - Table1[[#This Row],[ change_full_set ]] - Table1[[#This Row],[ change_half_set ]] - Table1[[#This Row],[ change_parts ]] - Table1[[#This Row],[ maintenance_dt ]] - Table1[[#This Row],[production_dt]]</f>
        <v>1.6666700000005363E-3</v>
      </c>
      <c r="AK353" t="s">
        <v>270</v>
      </c>
      <c r="AN353">
        <f>INT(Table1[[#This Row],[reject_prod]]/Table1[[#This Row],[part_weight]] * 1000)</f>
        <v>138</v>
      </c>
    </row>
    <row r="354" spans="1:40">
      <c r="A354" s="1">
        <v>46034</v>
      </c>
      <c r="B354">
        <v>1</v>
      </c>
      <c r="C354">
        <v>12</v>
      </c>
      <c r="D354" t="s">
        <v>112</v>
      </c>
      <c r="E354" t="s">
        <v>34</v>
      </c>
      <c r="F354">
        <v>620599</v>
      </c>
      <c r="G354">
        <v>0</v>
      </c>
      <c r="H354" t="s">
        <v>50</v>
      </c>
      <c r="I354">
        <v>10682928</v>
      </c>
      <c r="J354">
        <v>4</v>
      </c>
      <c r="K354">
        <v>55</v>
      </c>
      <c r="L354">
        <v>55</v>
      </c>
      <c r="M354">
        <v>675</v>
      </c>
      <c r="N354" s="2">
        <v>72000</v>
      </c>
      <c r="O354">
        <v>900</v>
      </c>
      <c r="P354">
        <v>0</v>
      </c>
      <c r="Q354" s="2">
        <v>2700</v>
      </c>
      <c r="R354" s="2">
        <v>3600</v>
      </c>
      <c r="S354">
        <v>198</v>
      </c>
      <c r="T354" s="2">
        <v>72000</v>
      </c>
      <c r="U354">
        <v>0</v>
      </c>
      <c r="V354">
        <v>149</v>
      </c>
      <c r="W354">
        <v>0</v>
      </c>
      <c r="X354">
        <v>5.5</v>
      </c>
      <c r="Y354">
        <v>3.7037037000000002E-2</v>
      </c>
      <c r="Z354">
        <v>0</v>
      </c>
      <c r="AA354">
        <v>0</v>
      </c>
      <c r="AB354">
        <v>28</v>
      </c>
      <c r="AC354">
        <v>5.25</v>
      </c>
      <c r="AD354">
        <v>28</v>
      </c>
      <c r="AI354">
        <f>12 - Table1[[#This Row],[production_running]] - Table1[[#This Row],[ change_full_set ]] - Table1[[#This Row],[ change_half_set ]] - Table1[[#This Row],[ change_parts ]] - Table1[[#This Row],[ maintenance_dt ]] - Table1[[#This Row],[production_dt]]</f>
        <v>6.75</v>
      </c>
      <c r="AK354" t="s">
        <v>286</v>
      </c>
      <c r="AN354">
        <f>INT(Table1[[#This Row],[reject_prod]]/Table1[[#This Row],[part_weight]] * 1000)</f>
        <v>0</v>
      </c>
    </row>
    <row r="355" spans="1:40">
      <c r="A355" s="1">
        <v>46034</v>
      </c>
      <c r="B355">
        <v>1</v>
      </c>
      <c r="C355">
        <v>12</v>
      </c>
      <c r="D355" t="s">
        <v>112</v>
      </c>
      <c r="E355" t="s">
        <v>34</v>
      </c>
      <c r="F355">
        <v>620599</v>
      </c>
      <c r="G355">
        <v>0</v>
      </c>
      <c r="H355" t="s">
        <v>50</v>
      </c>
      <c r="I355">
        <v>10682929</v>
      </c>
      <c r="J355">
        <v>4</v>
      </c>
      <c r="K355">
        <v>55</v>
      </c>
      <c r="L355">
        <v>55</v>
      </c>
      <c r="M355">
        <v>490</v>
      </c>
      <c r="N355" s="2">
        <v>72000</v>
      </c>
      <c r="O355">
        <v>0</v>
      </c>
      <c r="P355">
        <v>0</v>
      </c>
      <c r="Q355" s="2">
        <v>1960</v>
      </c>
      <c r="R355" s="2">
        <v>1800</v>
      </c>
      <c r="S355">
        <v>99</v>
      </c>
      <c r="T355" s="2">
        <v>1800</v>
      </c>
      <c r="U355" s="2">
        <v>70200</v>
      </c>
      <c r="V355">
        <v>108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28</v>
      </c>
      <c r="AC355">
        <v>3.8111111110000002</v>
      </c>
      <c r="AD355">
        <v>28</v>
      </c>
      <c r="AI355">
        <f>12 - Table1[[#This Row],[production_running]] - Table1[[#This Row],[ change_full_set ]] - Table1[[#This Row],[ change_half_set ]] - Table1[[#This Row],[ change_parts ]] - Table1[[#This Row],[ maintenance_dt ]] - Table1[[#This Row],[production_dt]]</f>
        <v>8.1888888889999993</v>
      </c>
      <c r="AK355" t="s">
        <v>270</v>
      </c>
      <c r="AN355">
        <f>INT(Table1[[#This Row],[reject_prod]]/Table1[[#This Row],[part_weight]] * 1000)</f>
        <v>0</v>
      </c>
    </row>
    <row r="356" spans="1:40">
      <c r="A356" s="1">
        <v>46034</v>
      </c>
      <c r="B356">
        <v>1</v>
      </c>
      <c r="C356">
        <v>13</v>
      </c>
      <c r="D356" t="s">
        <v>61</v>
      </c>
      <c r="E356" t="s">
        <v>46</v>
      </c>
      <c r="F356">
        <v>586276</v>
      </c>
      <c r="G356">
        <v>0</v>
      </c>
      <c r="H356" t="s">
        <v>47</v>
      </c>
      <c r="I356">
        <v>10682930</v>
      </c>
      <c r="J356">
        <v>6</v>
      </c>
      <c r="K356">
        <v>12.3</v>
      </c>
      <c r="L356">
        <v>12.3</v>
      </c>
      <c r="M356">
        <v>1628</v>
      </c>
      <c r="N356" s="2">
        <v>162000</v>
      </c>
      <c r="O356" s="2">
        <v>2855</v>
      </c>
      <c r="P356" s="2">
        <v>4455</v>
      </c>
      <c r="Q356" s="2">
        <v>9768</v>
      </c>
      <c r="R356" s="2">
        <v>8100</v>
      </c>
      <c r="S356">
        <v>100</v>
      </c>
      <c r="T356" s="2">
        <v>158355</v>
      </c>
      <c r="U356" s="2">
        <v>3645</v>
      </c>
      <c r="V356">
        <v>120</v>
      </c>
      <c r="W356">
        <v>0</v>
      </c>
      <c r="X356">
        <v>0</v>
      </c>
      <c r="Y356">
        <v>0</v>
      </c>
      <c r="Z356">
        <v>2.5</v>
      </c>
      <c r="AA356">
        <v>2.0807948E-2</v>
      </c>
      <c r="AB356">
        <v>26.4</v>
      </c>
      <c r="AC356">
        <v>11.93866667</v>
      </c>
      <c r="AD356">
        <v>26</v>
      </c>
      <c r="AI356">
        <f>12 - Table1[[#This Row],[production_running]] - Table1[[#This Row],[ change_full_set ]] - Table1[[#This Row],[ change_half_set ]] - Table1[[#This Row],[ change_parts ]] - Table1[[#This Row],[ maintenance_dt ]] - Table1[[#This Row],[production_dt]]</f>
        <v>6.1333330000000075E-2</v>
      </c>
      <c r="AK356" t="s">
        <v>51</v>
      </c>
      <c r="AN356">
        <f>INT(Table1[[#This Row],[reject_prod]]/Table1[[#This Row],[part_weight]] * 1000)</f>
        <v>203</v>
      </c>
    </row>
    <row r="357" spans="1:40">
      <c r="A357" s="1">
        <v>46034</v>
      </c>
      <c r="B357">
        <v>1</v>
      </c>
      <c r="C357">
        <v>14</v>
      </c>
      <c r="D357" t="s">
        <v>287</v>
      </c>
      <c r="E357" t="s">
        <v>46</v>
      </c>
      <c r="F357">
        <v>555979</v>
      </c>
      <c r="G357">
        <v>1</v>
      </c>
      <c r="H357" t="s">
        <v>52</v>
      </c>
      <c r="I357">
        <v>10682932</v>
      </c>
      <c r="J357">
        <v>6</v>
      </c>
      <c r="K357">
        <v>28</v>
      </c>
      <c r="L357">
        <v>28</v>
      </c>
      <c r="M357">
        <v>948</v>
      </c>
      <c r="N357" s="2">
        <v>100800</v>
      </c>
      <c r="O357" s="2">
        <v>2688</v>
      </c>
      <c r="P357" s="2">
        <v>1680</v>
      </c>
      <c r="Q357" s="2">
        <v>5688</v>
      </c>
      <c r="R357" s="2">
        <v>6720</v>
      </c>
      <c r="S357">
        <v>188</v>
      </c>
      <c r="T357" s="2">
        <v>48720</v>
      </c>
      <c r="U357" s="2">
        <v>52080</v>
      </c>
      <c r="V357">
        <v>159</v>
      </c>
      <c r="W357">
        <v>0</v>
      </c>
      <c r="X357">
        <v>0</v>
      </c>
      <c r="Y357">
        <v>0</v>
      </c>
      <c r="Z357">
        <v>3.5</v>
      </c>
      <c r="AA357">
        <v>2.197609E-2</v>
      </c>
      <c r="AB357">
        <v>44.1</v>
      </c>
      <c r="AC357">
        <v>11.613</v>
      </c>
      <c r="AD357">
        <v>42</v>
      </c>
      <c r="AI357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0.38700000000000045</v>
      </c>
      <c r="AK357" t="s">
        <v>272</v>
      </c>
      <c r="AN357">
        <f>INT(Table1[[#This Row],[reject_prod]]/Table1[[#This Row],[part_weight]] * 1000)</f>
        <v>125</v>
      </c>
    </row>
    <row r="358" spans="1:40">
      <c r="A358" s="1">
        <v>46034</v>
      </c>
      <c r="B358">
        <v>1</v>
      </c>
      <c r="C358">
        <v>15</v>
      </c>
      <c r="D358" t="s">
        <v>61</v>
      </c>
      <c r="E358" t="s">
        <v>46</v>
      </c>
      <c r="F358">
        <v>552181</v>
      </c>
      <c r="G358">
        <v>2</v>
      </c>
      <c r="H358" t="s">
        <v>49</v>
      </c>
      <c r="I358">
        <v>10682934</v>
      </c>
      <c r="J358">
        <v>6</v>
      </c>
      <c r="K358">
        <v>18.8</v>
      </c>
      <c r="L358">
        <v>18.8</v>
      </c>
      <c r="M358">
        <v>1363</v>
      </c>
      <c r="N358" s="2">
        <v>108000</v>
      </c>
      <c r="O358">
        <v>270</v>
      </c>
      <c r="P358" s="2">
        <v>2700</v>
      </c>
      <c r="Q358" s="2">
        <v>8178</v>
      </c>
      <c r="R358" s="2">
        <v>5400</v>
      </c>
      <c r="S358">
        <v>102</v>
      </c>
      <c r="T358" s="2">
        <v>83700</v>
      </c>
      <c r="U358" s="2">
        <v>24300</v>
      </c>
      <c r="V358">
        <v>154</v>
      </c>
      <c r="W358">
        <v>0</v>
      </c>
      <c r="X358">
        <v>0</v>
      </c>
      <c r="Y358">
        <v>0</v>
      </c>
      <c r="Z358">
        <v>3</v>
      </c>
      <c r="AA358">
        <v>1.9512651999999998E-2</v>
      </c>
      <c r="AB358">
        <v>31.3</v>
      </c>
      <c r="AC358">
        <v>11.85052778</v>
      </c>
      <c r="AD358">
        <v>27</v>
      </c>
      <c r="AI358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0.14947221999999982</v>
      </c>
      <c r="AK358" t="s">
        <v>51</v>
      </c>
      <c r="AN358">
        <f>INT(Table1[[#This Row],[reject_prod]]/Table1[[#This Row],[part_weight]] * 1000)</f>
        <v>159</v>
      </c>
    </row>
    <row r="359" spans="1:40" s="4" customFormat="1">
      <c r="A359" s="3">
        <v>46034</v>
      </c>
      <c r="B359" s="4">
        <v>1</v>
      </c>
      <c r="C359" s="4">
        <v>16</v>
      </c>
      <c r="D359" s="4" t="s">
        <v>288</v>
      </c>
      <c r="E359" s="4" t="s">
        <v>46</v>
      </c>
      <c r="F359" s="4">
        <v>555979</v>
      </c>
      <c r="G359" s="4">
        <v>2</v>
      </c>
      <c r="H359" s="4" t="s">
        <v>52</v>
      </c>
      <c r="I359" s="4">
        <v>10682935</v>
      </c>
      <c r="J359" s="4">
        <v>6</v>
      </c>
      <c r="K359" s="4">
        <v>28</v>
      </c>
      <c r="L359" s="4">
        <v>28</v>
      </c>
      <c r="M359" s="4">
        <v>997</v>
      </c>
      <c r="N359" s="5">
        <v>100800</v>
      </c>
      <c r="O359" s="4">
        <v>672</v>
      </c>
      <c r="P359" s="4">
        <v>0</v>
      </c>
      <c r="Q359" s="5">
        <v>5982</v>
      </c>
      <c r="R359" s="5">
        <v>6720</v>
      </c>
      <c r="S359" s="4">
        <v>188</v>
      </c>
      <c r="T359" s="5">
        <v>94080</v>
      </c>
      <c r="U359" s="5">
        <v>6720</v>
      </c>
      <c r="V359" s="4">
        <v>167</v>
      </c>
      <c r="W359" s="4">
        <v>0</v>
      </c>
      <c r="X359" s="4">
        <v>0</v>
      </c>
      <c r="Y359" s="4">
        <v>0</v>
      </c>
      <c r="Z359" s="4">
        <v>2</v>
      </c>
      <c r="AA359" s="4">
        <v>1.1940584000000001E-2</v>
      </c>
      <c r="AB359" s="4">
        <v>43.7</v>
      </c>
      <c r="AC359" s="4">
        <v>12</v>
      </c>
      <c r="AD359" s="4">
        <v>42</v>
      </c>
      <c r="AI359" s="4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359" s="4" t="s">
        <v>51</v>
      </c>
      <c r="AN359" s="4">
        <f>INT(Table1[[#This Row],[reject_prod]]/Table1[[#This Row],[part_weight]] * 1000)</f>
        <v>71</v>
      </c>
    </row>
    <row r="360" spans="1:40">
      <c r="A360" s="1">
        <v>46034</v>
      </c>
      <c r="B360">
        <v>2</v>
      </c>
      <c r="C360">
        <v>1</v>
      </c>
      <c r="D360" t="s">
        <v>53</v>
      </c>
      <c r="E360" t="s">
        <v>34</v>
      </c>
      <c r="F360">
        <v>365091</v>
      </c>
      <c r="G360">
        <v>0</v>
      </c>
      <c r="H360" t="s">
        <v>189</v>
      </c>
      <c r="I360">
        <v>10682753</v>
      </c>
      <c r="J360">
        <v>4</v>
      </c>
      <c r="K360">
        <v>44</v>
      </c>
      <c r="L360">
        <v>44</v>
      </c>
      <c r="M360">
        <v>1680</v>
      </c>
      <c r="N360" s="2">
        <v>66885</v>
      </c>
      <c r="O360">
        <v>315</v>
      </c>
      <c r="P360">
        <v>735</v>
      </c>
      <c r="Q360" s="2">
        <v>6720</v>
      </c>
      <c r="R360" s="2">
        <v>6300</v>
      </c>
      <c r="S360">
        <v>277</v>
      </c>
      <c r="T360" s="2">
        <v>41055</v>
      </c>
      <c r="U360" s="2">
        <v>25830</v>
      </c>
      <c r="V360">
        <v>296</v>
      </c>
      <c r="W360">
        <v>0</v>
      </c>
      <c r="X360">
        <v>0</v>
      </c>
      <c r="Y360">
        <v>0</v>
      </c>
      <c r="Z360">
        <v>2.4</v>
      </c>
      <c r="AA360">
        <v>8.1168830000000001E-3</v>
      </c>
      <c r="AB360">
        <v>25.8</v>
      </c>
      <c r="AC360">
        <v>12</v>
      </c>
      <c r="AD360">
        <v>28.64</v>
      </c>
      <c r="AI360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360" t="s">
        <v>214</v>
      </c>
      <c r="AN360">
        <f>INT(Table1[[#This Row],[reject_prod]]/Table1[[#This Row],[part_weight]] * 1000)</f>
        <v>54</v>
      </c>
    </row>
    <row r="361" spans="1:40">
      <c r="A361" s="1">
        <v>46034</v>
      </c>
      <c r="B361">
        <v>2</v>
      </c>
      <c r="C361">
        <v>2</v>
      </c>
      <c r="D361" t="s">
        <v>289</v>
      </c>
      <c r="E361" t="s">
        <v>34</v>
      </c>
      <c r="F361">
        <v>423215</v>
      </c>
      <c r="G361">
        <v>0</v>
      </c>
      <c r="H361" t="s">
        <v>156</v>
      </c>
      <c r="I361">
        <v>10682755</v>
      </c>
      <c r="J361">
        <v>4</v>
      </c>
      <c r="K361">
        <v>24</v>
      </c>
      <c r="L361">
        <v>24</v>
      </c>
      <c r="M361">
        <v>1621</v>
      </c>
      <c r="N361" s="2">
        <v>89112</v>
      </c>
      <c r="O361">
        <v>564</v>
      </c>
      <c r="P361">
        <v>282</v>
      </c>
      <c r="Q361" s="2">
        <v>6484</v>
      </c>
      <c r="R361" s="2">
        <v>6768</v>
      </c>
      <c r="S361">
        <v>162</v>
      </c>
      <c r="T361" s="2">
        <v>88266</v>
      </c>
      <c r="U361">
        <v>846</v>
      </c>
      <c r="V361">
        <v>156</v>
      </c>
      <c r="W361">
        <v>0</v>
      </c>
      <c r="X361">
        <v>0</v>
      </c>
      <c r="Y361">
        <v>0</v>
      </c>
      <c r="Z361">
        <v>1</v>
      </c>
      <c r="AA361">
        <v>6.4260740000000004E-3</v>
      </c>
      <c r="AB361">
        <v>26.33</v>
      </c>
      <c r="AC361">
        <v>11.85581389</v>
      </c>
      <c r="AD361">
        <v>22</v>
      </c>
      <c r="AI361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0.1441861099999997</v>
      </c>
      <c r="AK361" t="s">
        <v>214</v>
      </c>
      <c r="AN361">
        <f>INT(Table1[[#This Row],[reject_prod]]/Table1[[#This Row],[part_weight]] * 1000)</f>
        <v>41</v>
      </c>
    </row>
    <row r="362" spans="1:40">
      <c r="A362" s="1">
        <v>46034</v>
      </c>
      <c r="B362">
        <v>2</v>
      </c>
      <c r="C362">
        <v>3</v>
      </c>
      <c r="D362" t="s">
        <v>54</v>
      </c>
      <c r="E362" t="s">
        <v>34</v>
      </c>
      <c r="F362">
        <v>442034</v>
      </c>
      <c r="G362">
        <v>0</v>
      </c>
      <c r="H362" t="s">
        <v>37</v>
      </c>
      <c r="I362">
        <v>10681183</v>
      </c>
      <c r="J362">
        <v>4</v>
      </c>
      <c r="K362">
        <v>23</v>
      </c>
      <c r="L362">
        <v>23</v>
      </c>
      <c r="M362">
        <v>1632</v>
      </c>
      <c r="N362" s="2">
        <v>139776</v>
      </c>
      <c r="O362">
        <v>384</v>
      </c>
      <c r="P362" s="2">
        <v>2304</v>
      </c>
      <c r="Q362" s="2">
        <v>6528</v>
      </c>
      <c r="R362" s="2">
        <v>4608</v>
      </c>
      <c r="S362">
        <v>106</v>
      </c>
      <c r="T362" s="2">
        <v>85248</v>
      </c>
      <c r="U362" s="2">
        <v>54528</v>
      </c>
      <c r="V362">
        <v>150</v>
      </c>
      <c r="W362">
        <v>0</v>
      </c>
      <c r="X362">
        <v>0</v>
      </c>
      <c r="Y362">
        <v>0</v>
      </c>
      <c r="Z362">
        <v>1.2</v>
      </c>
      <c r="AA362">
        <v>7.9923270000000005E-3</v>
      </c>
      <c r="AB362">
        <v>26.55</v>
      </c>
      <c r="AC362">
        <v>12</v>
      </c>
      <c r="AD362">
        <v>22</v>
      </c>
      <c r="AI362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362" t="s">
        <v>75</v>
      </c>
      <c r="AN362">
        <f>INT(Table1[[#This Row],[reject_prod]]/Table1[[#This Row],[part_weight]] * 1000)</f>
        <v>52</v>
      </c>
    </row>
    <row r="363" spans="1:40">
      <c r="A363" s="1">
        <v>46034</v>
      </c>
      <c r="B363">
        <v>2</v>
      </c>
      <c r="C363">
        <v>4</v>
      </c>
      <c r="F363">
        <v>123456</v>
      </c>
      <c r="G363">
        <v>0</v>
      </c>
      <c r="M363">
        <v>0</v>
      </c>
      <c r="N363">
        <v>0</v>
      </c>
      <c r="O363">
        <v>0</v>
      </c>
      <c r="P363">
        <v>0</v>
      </c>
      <c r="R363">
        <v>0</v>
      </c>
      <c r="T363">
        <v>0</v>
      </c>
      <c r="X363">
        <v>0</v>
      </c>
      <c r="Z363">
        <v>0</v>
      </c>
      <c r="AB363">
        <v>0</v>
      </c>
      <c r="AC363">
        <v>0</v>
      </c>
      <c r="AD363">
        <v>22.5</v>
      </c>
      <c r="AI363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363">
        <v>12</v>
      </c>
      <c r="AK363" t="s">
        <v>116</v>
      </c>
      <c r="AN363">
        <v>0</v>
      </c>
    </row>
    <row r="364" spans="1:40">
      <c r="A364" s="1">
        <v>46034</v>
      </c>
      <c r="B364">
        <v>2</v>
      </c>
      <c r="C364">
        <v>5</v>
      </c>
      <c r="D364" t="s">
        <v>33</v>
      </c>
      <c r="E364" t="s">
        <v>34</v>
      </c>
      <c r="F364">
        <v>597507</v>
      </c>
      <c r="G364">
        <v>0</v>
      </c>
      <c r="H364" t="s">
        <v>279</v>
      </c>
      <c r="I364">
        <v>10682757</v>
      </c>
      <c r="J364">
        <v>4</v>
      </c>
      <c r="K364">
        <v>23</v>
      </c>
      <c r="L364">
        <v>23</v>
      </c>
      <c r="M364">
        <v>140</v>
      </c>
      <c r="N364" s="2">
        <v>64680</v>
      </c>
      <c r="O364">
        <v>0</v>
      </c>
      <c r="P364">
        <v>308</v>
      </c>
      <c r="Q364">
        <v>560</v>
      </c>
      <c r="R364">
        <v>0</v>
      </c>
      <c r="S364">
        <v>0</v>
      </c>
      <c r="T364">
        <v>0</v>
      </c>
      <c r="U364" s="2">
        <v>64680</v>
      </c>
      <c r="V364">
        <v>13</v>
      </c>
      <c r="W364">
        <v>0</v>
      </c>
      <c r="X364">
        <v>27.5</v>
      </c>
      <c r="Y364">
        <v>2.135093168</v>
      </c>
      <c r="Z364">
        <v>0</v>
      </c>
      <c r="AA364">
        <v>0</v>
      </c>
      <c r="AB364">
        <v>26.9</v>
      </c>
      <c r="AC364">
        <v>1.0461111110000001</v>
      </c>
      <c r="AD364">
        <v>22</v>
      </c>
      <c r="AI364">
        <f>12 - Table1[[#This Row],[production_running]] - Table1[[#This Row],[ change_full_set ]] - Table1[[#This Row],[ change_half_set ]] - Table1[[#This Row],[ change_parts ]] - Table1[[#This Row],[ maintenance_dt ]] - Table1[[#This Row],[production_dt]]</f>
        <v>10.953888889</v>
      </c>
      <c r="AK364" t="s">
        <v>290</v>
      </c>
      <c r="AN364">
        <f>INT(Table1[[#This Row],[reject_prod]]/Table1[[#This Row],[part_weight]] * 1000)</f>
        <v>0</v>
      </c>
    </row>
    <row r="365" spans="1:40">
      <c r="A365" s="1">
        <v>46034</v>
      </c>
      <c r="B365">
        <v>2</v>
      </c>
      <c r="C365">
        <v>6</v>
      </c>
      <c r="D365" t="s">
        <v>291</v>
      </c>
      <c r="E365" t="s">
        <v>34</v>
      </c>
      <c r="F365">
        <v>532981</v>
      </c>
      <c r="G365">
        <v>0</v>
      </c>
      <c r="H365" t="s">
        <v>233</v>
      </c>
      <c r="I365">
        <v>10682758</v>
      </c>
      <c r="J365">
        <v>4</v>
      </c>
      <c r="K365">
        <v>24.45</v>
      </c>
      <c r="L365">
        <v>24</v>
      </c>
      <c r="M365">
        <v>1938</v>
      </c>
      <c r="N365" s="2">
        <v>87552</v>
      </c>
      <c r="O365" s="2">
        <v>4560</v>
      </c>
      <c r="P365" s="2">
        <v>1368</v>
      </c>
      <c r="Q365" s="2">
        <v>7752</v>
      </c>
      <c r="R365" s="2">
        <v>10944</v>
      </c>
      <c r="S365">
        <v>263</v>
      </c>
      <c r="T365" s="2">
        <v>56088</v>
      </c>
      <c r="U365" s="2">
        <v>31464</v>
      </c>
      <c r="V365">
        <v>186</v>
      </c>
      <c r="W365">
        <v>0</v>
      </c>
      <c r="X365">
        <v>0</v>
      </c>
      <c r="Y365">
        <v>0</v>
      </c>
      <c r="Z365">
        <v>1.6</v>
      </c>
      <c r="AA365">
        <v>8.5999309999999999E-3</v>
      </c>
      <c r="AB365">
        <v>21.87</v>
      </c>
      <c r="AC365">
        <v>11.773350000000001</v>
      </c>
      <c r="AD365">
        <v>20</v>
      </c>
      <c r="AI365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0.22664999999999935</v>
      </c>
      <c r="AK365" t="s">
        <v>103</v>
      </c>
      <c r="AN365">
        <f>INT(Table1[[#This Row],[reject_prod]]/Table1[[#This Row],[part_weight]] * 1000)</f>
        <v>66</v>
      </c>
    </row>
    <row r="366" spans="1:40">
      <c r="A366" s="1">
        <v>46034</v>
      </c>
      <c r="B366">
        <v>2</v>
      </c>
      <c r="C366">
        <v>7</v>
      </c>
      <c r="D366" t="s">
        <v>33</v>
      </c>
      <c r="E366" t="s">
        <v>34</v>
      </c>
      <c r="F366">
        <v>324177</v>
      </c>
      <c r="G366">
        <v>0</v>
      </c>
      <c r="H366" t="s">
        <v>246</v>
      </c>
      <c r="I366">
        <v>10682801</v>
      </c>
      <c r="J366">
        <v>4</v>
      </c>
      <c r="K366">
        <v>34.5</v>
      </c>
      <c r="L366">
        <v>34.5</v>
      </c>
      <c r="M366">
        <v>0</v>
      </c>
      <c r="N366" s="2">
        <v>62400</v>
      </c>
      <c r="O366">
        <v>0</v>
      </c>
      <c r="P366">
        <v>0</v>
      </c>
      <c r="Q366">
        <v>0</v>
      </c>
      <c r="R366">
        <v>0</v>
      </c>
      <c r="S366">
        <v>0</v>
      </c>
      <c r="T366" s="2">
        <v>21060</v>
      </c>
      <c r="U366" s="2">
        <v>41340</v>
      </c>
      <c r="V366">
        <v>0</v>
      </c>
      <c r="W366">
        <v>0</v>
      </c>
      <c r="X366">
        <v>11.3</v>
      </c>
      <c r="Y366" t="e">
        <v>#DIV/0!</v>
      </c>
      <c r="Z366">
        <v>0</v>
      </c>
      <c r="AA366" t="e">
        <v>#DIV/0!</v>
      </c>
      <c r="AB366">
        <v>0</v>
      </c>
      <c r="AC366">
        <v>0</v>
      </c>
      <c r="AD366">
        <v>22</v>
      </c>
      <c r="AI36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366" t="s">
        <v>292</v>
      </c>
      <c r="AN366">
        <f>INT(Table1[[#This Row],[reject_prod]]/Table1[[#This Row],[part_weight]] * 1000)</f>
        <v>0</v>
      </c>
    </row>
    <row r="367" spans="1:40">
      <c r="A367" s="1">
        <v>46034</v>
      </c>
      <c r="B367">
        <v>2</v>
      </c>
      <c r="C367">
        <v>8</v>
      </c>
      <c r="D367" t="s">
        <v>124</v>
      </c>
      <c r="E367" t="s">
        <v>34</v>
      </c>
      <c r="F367">
        <v>323102</v>
      </c>
      <c r="G367">
        <v>0</v>
      </c>
      <c r="H367" t="s">
        <v>45</v>
      </c>
      <c r="I367">
        <v>10683894</v>
      </c>
      <c r="J367">
        <v>4</v>
      </c>
      <c r="K367">
        <v>56.9</v>
      </c>
      <c r="L367">
        <v>56.9</v>
      </c>
      <c r="M367">
        <v>1560</v>
      </c>
      <c r="N367" s="2">
        <v>38400</v>
      </c>
      <c r="O367">
        <v>0</v>
      </c>
      <c r="P367">
        <v>160</v>
      </c>
      <c r="Q367" s="2">
        <v>6240</v>
      </c>
      <c r="R367" s="2">
        <v>6080</v>
      </c>
      <c r="S367">
        <v>346</v>
      </c>
      <c r="T367" s="2">
        <v>36640</v>
      </c>
      <c r="U367" s="2">
        <v>1760</v>
      </c>
      <c r="V367">
        <v>355</v>
      </c>
      <c r="W367">
        <v>0</v>
      </c>
      <c r="X367">
        <v>0</v>
      </c>
      <c r="Y367">
        <v>0</v>
      </c>
      <c r="Z367">
        <v>4</v>
      </c>
      <c r="AA367">
        <v>1.1265828E-2</v>
      </c>
      <c r="AB367">
        <v>27.31</v>
      </c>
      <c r="AC367">
        <v>11.83433333</v>
      </c>
      <c r="AD367">
        <v>26</v>
      </c>
      <c r="AI367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0.16566667000000024</v>
      </c>
      <c r="AK367" t="s">
        <v>227</v>
      </c>
      <c r="AN367">
        <f>INT(Table1[[#This Row],[reject_prod]]/Table1[[#This Row],[part_weight]] * 1000)</f>
        <v>70</v>
      </c>
    </row>
    <row r="368" spans="1:40">
      <c r="A368" s="1">
        <v>46034</v>
      </c>
      <c r="B368">
        <v>2</v>
      </c>
      <c r="C368">
        <v>9</v>
      </c>
      <c r="D368" t="s">
        <v>293</v>
      </c>
      <c r="E368" t="s">
        <v>46</v>
      </c>
      <c r="F368">
        <v>586276</v>
      </c>
      <c r="G368">
        <v>0</v>
      </c>
      <c r="H368" t="s">
        <v>47</v>
      </c>
      <c r="I368">
        <v>10682924</v>
      </c>
      <c r="J368">
        <v>6</v>
      </c>
      <c r="K368">
        <v>12.3</v>
      </c>
      <c r="L368">
        <v>12.3</v>
      </c>
      <c r="M368">
        <v>1620</v>
      </c>
      <c r="N368" s="2">
        <v>162000</v>
      </c>
      <c r="O368">
        <v>0</v>
      </c>
      <c r="P368" s="2">
        <v>1620</v>
      </c>
      <c r="Q368" s="2">
        <v>9720</v>
      </c>
      <c r="R368" s="2">
        <v>8100</v>
      </c>
      <c r="S368">
        <v>100</v>
      </c>
      <c r="T368" s="2">
        <v>103060</v>
      </c>
      <c r="U368" s="2">
        <v>58940</v>
      </c>
      <c r="V368">
        <v>120</v>
      </c>
      <c r="W368">
        <v>0</v>
      </c>
      <c r="X368">
        <v>0</v>
      </c>
      <c r="Y368">
        <v>0</v>
      </c>
      <c r="Z368">
        <v>1</v>
      </c>
      <c r="AA368">
        <v>8.3642809999999995E-3</v>
      </c>
      <c r="AB368">
        <v>26.2</v>
      </c>
      <c r="AC368">
        <v>11.79</v>
      </c>
      <c r="AD368">
        <v>26</v>
      </c>
      <c r="AI368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0.21000000000000085</v>
      </c>
      <c r="AK368" t="s">
        <v>51</v>
      </c>
      <c r="AN368">
        <f>INT(Table1[[#This Row],[reject_prod]]/Table1[[#This Row],[part_weight]] * 1000)</f>
        <v>81</v>
      </c>
    </row>
    <row r="369" spans="1:40">
      <c r="A369" s="1">
        <v>46034</v>
      </c>
      <c r="B369">
        <v>2</v>
      </c>
      <c r="C369">
        <v>10</v>
      </c>
      <c r="D369" t="s">
        <v>84</v>
      </c>
      <c r="E369" t="s">
        <v>41</v>
      </c>
      <c r="F369">
        <v>593537</v>
      </c>
      <c r="G369">
        <v>0</v>
      </c>
      <c r="H369" t="s">
        <v>48</v>
      </c>
      <c r="I369">
        <v>10682926</v>
      </c>
      <c r="J369">
        <v>4</v>
      </c>
      <c r="K369">
        <v>56.5</v>
      </c>
      <c r="L369">
        <v>56.8</v>
      </c>
      <c r="M369">
        <v>1330</v>
      </c>
      <c r="N369" s="2">
        <v>69000</v>
      </c>
      <c r="O369">
        <v>230</v>
      </c>
      <c r="P369">
        <v>345</v>
      </c>
      <c r="Q369" s="2">
        <v>5320</v>
      </c>
      <c r="R369" s="2">
        <v>5175</v>
      </c>
      <c r="S369">
        <v>294</v>
      </c>
      <c r="T369" s="2">
        <v>22770</v>
      </c>
      <c r="U369" s="2">
        <v>46230</v>
      </c>
      <c r="V369">
        <v>302</v>
      </c>
      <c r="W369">
        <v>0</v>
      </c>
      <c r="X369">
        <v>0</v>
      </c>
      <c r="Y369">
        <v>0</v>
      </c>
      <c r="Z369">
        <v>4.4000000000000004</v>
      </c>
      <c r="AA369">
        <v>1.4561051E-2</v>
      </c>
      <c r="AB369">
        <v>31.7</v>
      </c>
      <c r="AC369">
        <v>11.71138889</v>
      </c>
      <c r="AD369">
        <v>28.5</v>
      </c>
      <c r="AI369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0.28861110999999973</v>
      </c>
      <c r="AK369" t="s">
        <v>178</v>
      </c>
      <c r="AN369">
        <f>INT(Table1[[#This Row],[reject_prod]]/Table1[[#This Row],[part_weight]] * 1000)</f>
        <v>77</v>
      </c>
    </row>
    <row r="370" spans="1:40">
      <c r="A370" s="1">
        <v>46034</v>
      </c>
      <c r="B370">
        <v>2</v>
      </c>
      <c r="C370">
        <v>11</v>
      </c>
      <c r="D370" t="s">
        <v>59</v>
      </c>
      <c r="E370" t="s">
        <v>46</v>
      </c>
      <c r="F370">
        <v>552181</v>
      </c>
      <c r="G370">
        <v>1</v>
      </c>
      <c r="H370" t="s">
        <v>49</v>
      </c>
      <c r="I370">
        <v>10682927</v>
      </c>
      <c r="J370">
        <v>6</v>
      </c>
      <c r="K370">
        <v>18.8</v>
      </c>
      <c r="L370">
        <v>18.8</v>
      </c>
      <c r="M370">
        <v>270</v>
      </c>
      <c r="N370" s="2">
        <v>108000</v>
      </c>
      <c r="O370" s="2">
        <v>4050</v>
      </c>
      <c r="P370">
        <v>0</v>
      </c>
      <c r="Q370" s="2">
        <v>1620</v>
      </c>
      <c r="R370" s="2">
        <v>5400</v>
      </c>
      <c r="S370">
        <v>102</v>
      </c>
      <c r="T370" s="2">
        <v>108000</v>
      </c>
      <c r="U370">
        <v>0</v>
      </c>
      <c r="V370">
        <v>30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27.6</v>
      </c>
      <c r="AC370">
        <v>2.0699999999999998</v>
      </c>
      <c r="AD370">
        <v>27</v>
      </c>
      <c r="AI370">
        <f>12 - Table1[[#This Row],[production_running]] - Table1[[#This Row],[ change_full_set ]] - Table1[[#This Row],[ change_half_set ]] - Table1[[#This Row],[ change_parts ]] - Table1[[#This Row],[ maintenance_dt ]] - Table1[[#This Row],[production_dt]]</f>
        <v>9.93</v>
      </c>
      <c r="AK370" t="s">
        <v>102</v>
      </c>
      <c r="AN370">
        <f>INT(Table1[[#This Row],[reject_prod]]/Table1[[#This Row],[part_weight]] * 1000)</f>
        <v>0</v>
      </c>
    </row>
    <row r="371" spans="1:40">
      <c r="A371" s="1">
        <v>46034</v>
      </c>
      <c r="B371">
        <v>2</v>
      </c>
      <c r="C371">
        <v>11</v>
      </c>
      <c r="D371" t="s">
        <v>59</v>
      </c>
      <c r="E371" t="s">
        <v>46</v>
      </c>
      <c r="F371">
        <v>552181</v>
      </c>
      <c r="G371">
        <v>1</v>
      </c>
      <c r="H371" t="s">
        <v>49</v>
      </c>
      <c r="I371">
        <v>10683782</v>
      </c>
      <c r="J371">
        <v>6</v>
      </c>
      <c r="K371">
        <v>18.8</v>
      </c>
      <c r="L371">
        <v>18.8</v>
      </c>
      <c r="M371">
        <v>1250</v>
      </c>
      <c r="N371" s="2">
        <v>108000</v>
      </c>
      <c r="O371">
        <v>0</v>
      </c>
      <c r="P371" s="2">
        <v>1890</v>
      </c>
      <c r="Q371" s="2">
        <v>7500</v>
      </c>
      <c r="R371" s="2">
        <v>5400</v>
      </c>
      <c r="S371">
        <v>102</v>
      </c>
      <c r="T371" s="2">
        <v>7290</v>
      </c>
      <c r="U371" s="2">
        <v>100710</v>
      </c>
      <c r="V371">
        <v>141</v>
      </c>
      <c r="W371">
        <v>0</v>
      </c>
      <c r="X371">
        <v>0</v>
      </c>
      <c r="Y371">
        <v>0</v>
      </c>
      <c r="Z371">
        <v>1</v>
      </c>
      <c r="AA371">
        <v>7.0921990000000004E-3</v>
      </c>
      <c r="AB371">
        <v>27.6</v>
      </c>
      <c r="AC371">
        <v>9.5833333330000006</v>
      </c>
      <c r="AD371">
        <v>27</v>
      </c>
      <c r="AI371">
        <f>12 - Table1[[#This Row],[production_running]] - Table1[[#This Row],[ change_full_set ]] - Table1[[#This Row],[ change_half_set ]] - Table1[[#This Row],[ change_parts ]] - Table1[[#This Row],[ maintenance_dt ]] - Table1[[#This Row],[production_dt]]</f>
        <v>2.4166666669999994</v>
      </c>
      <c r="AK371" t="s">
        <v>51</v>
      </c>
      <c r="AN371">
        <f>INT(Table1[[#This Row],[reject_prod]]/Table1[[#This Row],[part_weight]] * 1000)</f>
        <v>53</v>
      </c>
    </row>
    <row r="372" spans="1:40">
      <c r="A372" s="1">
        <v>46034</v>
      </c>
      <c r="B372">
        <v>2</v>
      </c>
      <c r="C372">
        <v>12</v>
      </c>
      <c r="D372" t="s">
        <v>56</v>
      </c>
      <c r="E372" t="s">
        <v>34</v>
      </c>
      <c r="F372">
        <v>620599</v>
      </c>
      <c r="G372">
        <v>0</v>
      </c>
      <c r="H372" t="s">
        <v>50</v>
      </c>
      <c r="I372">
        <v>10682929</v>
      </c>
      <c r="J372">
        <v>4</v>
      </c>
      <c r="K372">
        <v>55</v>
      </c>
      <c r="L372">
        <v>55</v>
      </c>
      <c r="M372">
        <v>1475</v>
      </c>
      <c r="N372" s="2">
        <v>72000</v>
      </c>
      <c r="O372">
        <v>0</v>
      </c>
      <c r="P372">
        <v>450</v>
      </c>
      <c r="Q372" s="2">
        <v>5900</v>
      </c>
      <c r="R372" s="2">
        <v>5400</v>
      </c>
      <c r="S372">
        <v>297</v>
      </c>
      <c r="T372" s="2">
        <v>7650</v>
      </c>
      <c r="U372" s="2">
        <v>64350</v>
      </c>
      <c r="V372">
        <v>325</v>
      </c>
      <c r="W372">
        <v>0</v>
      </c>
      <c r="X372">
        <v>0</v>
      </c>
      <c r="Y372">
        <v>0</v>
      </c>
      <c r="Z372">
        <v>12.3</v>
      </c>
      <c r="AA372">
        <v>3.7904467999999997E-2</v>
      </c>
      <c r="AB372">
        <v>28</v>
      </c>
      <c r="AC372">
        <v>11.472222220000001</v>
      </c>
      <c r="AD372">
        <v>28</v>
      </c>
      <c r="AI372">
        <f>12 - Table1[[#This Row],[production_running]] - Table1[[#This Row],[ change_full_set ]] - Table1[[#This Row],[ change_half_set ]] - Table1[[#This Row],[ change_parts ]] - Table1[[#This Row],[ maintenance_dt ]] - Table1[[#This Row],[production_dt]]</f>
        <v>0.5277777799999992</v>
      </c>
      <c r="AK372" t="s">
        <v>294</v>
      </c>
      <c r="AN372">
        <f>INT(Table1[[#This Row],[reject_prod]]/Table1[[#This Row],[part_weight]] * 1000)</f>
        <v>223</v>
      </c>
    </row>
    <row r="373" spans="1:40">
      <c r="A373" s="1">
        <v>46034</v>
      </c>
      <c r="B373">
        <v>2</v>
      </c>
      <c r="C373">
        <v>13</v>
      </c>
      <c r="D373" t="s">
        <v>59</v>
      </c>
      <c r="E373" t="s">
        <v>46</v>
      </c>
      <c r="F373">
        <v>586276</v>
      </c>
      <c r="G373">
        <v>0</v>
      </c>
      <c r="H373" t="s">
        <v>47</v>
      </c>
      <c r="I373">
        <v>10682930</v>
      </c>
      <c r="J373">
        <v>6</v>
      </c>
      <c r="K373">
        <v>12.3</v>
      </c>
      <c r="L373">
        <v>12.3</v>
      </c>
      <c r="M373">
        <v>607</v>
      </c>
      <c r="N373" s="2">
        <v>162000</v>
      </c>
      <c r="O373" s="2">
        <v>4455</v>
      </c>
      <c r="P373">
        <v>0</v>
      </c>
      <c r="Q373" s="2">
        <v>3642</v>
      </c>
      <c r="R373" s="2">
        <v>8100</v>
      </c>
      <c r="S373">
        <v>100</v>
      </c>
      <c r="T373" s="2">
        <v>162000</v>
      </c>
      <c r="U373">
        <v>0</v>
      </c>
      <c r="V373">
        <v>45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26.4</v>
      </c>
      <c r="AC373">
        <v>4.451333333</v>
      </c>
      <c r="AD373">
        <v>26</v>
      </c>
      <c r="AI37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7.548666667</v>
      </c>
      <c r="AK373" t="s">
        <v>102</v>
      </c>
      <c r="AN373">
        <f>INT(Table1[[#This Row],[reject_prod]]/Table1[[#This Row],[part_weight]] * 1000)</f>
        <v>0</v>
      </c>
    </row>
    <row r="374" spans="1:40">
      <c r="A374" s="1">
        <v>46034</v>
      </c>
      <c r="B374">
        <v>2</v>
      </c>
      <c r="C374">
        <v>13</v>
      </c>
      <c r="D374" t="s">
        <v>59</v>
      </c>
      <c r="E374" t="s">
        <v>46</v>
      </c>
      <c r="F374">
        <v>586276</v>
      </c>
      <c r="G374">
        <v>0</v>
      </c>
      <c r="H374" t="s">
        <v>47</v>
      </c>
      <c r="I374">
        <v>10683784</v>
      </c>
      <c r="J374">
        <v>6</v>
      </c>
      <c r="K374">
        <v>12.3</v>
      </c>
      <c r="L374">
        <v>12.3</v>
      </c>
      <c r="M374">
        <v>1015</v>
      </c>
      <c r="N374" s="2">
        <v>162000</v>
      </c>
      <c r="O374">
        <v>0</v>
      </c>
      <c r="P374" s="2">
        <v>6075</v>
      </c>
      <c r="Q374" s="2">
        <v>6090</v>
      </c>
      <c r="R374">
        <v>0</v>
      </c>
      <c r="S374">
        <v>0</v>
      </c>
      <c r="T374" s="2">
        <v>6075</v>
      </c>
      <c r="U374" s="2">
        <v>155925</v>
      </c>
      <c r="V374">
        <v>75</v>
      </c>
      <c r="W374">
        <v>0</v>
      </c>
      <c r="X374">
        <v>0</v>
      </c>
      <c r="Y374">
        <v>0</v>
      </c>
      <c r="Z374">
        <v>1.3</v>
      </c>
      <c r="AA374">
        <v>1.7354853E-2</v>
      </c>
      <c r="AB374">
        <v>26.4</v>
      </c>
      <c r="AC374">
        <v>7.443333333</v>
      </c>
      <c r="AD374">
        <v>26</v>
      </c>
      <c r="AI37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4.556666667</v>
      </c>
      <c r="AK374" t="s">
        <v>51</v>
      </c>
      <c r="AN374">
        <f>INT(Table1[[#This Row],[reject_prod]]/Table1[[#This Row],[part_weight]] * 1000)</f>
        <v>105</v>
      </c>
    </row>
    <row r="375" spans="1:40">
      <c r="A375" s="1">
        <v>46034</v>
      </c>
      <c r="B375">
        <v>2</v>
      </c>
      <c r="C375">
        <v>14</v>
      </c>
      <c r="D375" t="s">
        <v>167</v>
      </c>
      <c r="E375" t="s">
        <v>46</v>
      </c>
      <c r="F375">
        <v>555979</v>
      </c>
      <c r="G375">
        <v>1</v>
      </c>
      <c r="H375" t="s">
        <v>52</v>
      </c>
      <c r="I375">
        <v>10682932</v>
      </c>
      <c r="J375">
        <v>6</v>
      </c>
      <c r="K375">
        <v>28</v>
      </c>
      <c r="L375">
        <v>28</v>
      </c>
      <c r="M375">
        <v>980</v>
      </c>
      <c r="N375" s="2">
        <v>100800</v>
      </c>
      <c r="O375" s="2">
        <v>1680</v>
      </c>
      <c r="P375">
        <v>840</v>
      </c>
      <c r="Q375" s="2">
        <v>5880</v>
      </c>
      <c r="R375" s="2">
        <v>6720</v>
      </c>
      <c r="S375">
        <v>188</v>
      </c>
      <c r="T375" s="2">
        <v>54600</v>
      </c>
      <c r="U375" s="2">
        <v>46200</v>
      </c>
      <c r="V375">
        <v>165</v>
      </c>
      <c r="W375">
        <v>0</v>
      </c>
      <c r="X375">
        <v>0</v>
      </c>
      <c r="Y375">
        <v>0</v>
      </c>
      <c r="Z375">
        <v>2</v>
      </c>
      <c r="AA375">
        <v>1.2147715999999999E-2</v>
      </c>
      <c r="AB375">
        <v>44.1</v>
      </c>
      <c r="AC375">
        <v>12</v>
      </c>
      <c r="AD375">
        <v>42</v>
      </c>
      <c r="AI37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375" t="s">
        <v>51</v>
      </c>
      <c r="AN375">
        <f>INT(Table1[[#This Row],[reject_prod]]/Table1[[#This Row],[part_weight]] * 1000)</f>
        <v>71</v>
      </c>
    </row>
    <row r="376" spans="1:40">
      <c r="A376" s="1">
        <v>46034</v>
      </c>
      <c r="B376">
        <v>2</v>
      </c>
      <c r="C376">
        <v>15</v>
      </c>
      <c r="D376" t="s">
        <v>59</v>
      </c>
      <c r="E376" t="s">
        <v>46</v>
      </c>
      <c r="F376">
        <v>552181</v>
      </c>
      <c r="G376">
        <v>2</v>
      </c>
      <c r="H376" t="s">
        <v>49</v>
      </c>
      <c r="I376">
        <v>10682934</v>
      </c>
      <c r="J376">
        <v>6</v>
      </c>
      <c r="K376">
        <v>18.8</v>
      </c>
      <c r="L376">
        <v>18.8</v>
      </c>
      <c r="M376">
        <v>1395</v>
      </c>
      <c r="N376" s="2">
        <v>108000</v>
      </c>
      <c r="O376" s="2">
        <v>2700</v>
      </c>
      <c r="P376">
        <v>270</v>
      </c>
      <c r="Q376" s="2">
        <v>8370</v>
      </c>
      <c r="R376" s="2">
        <v>10800</v>
      </c>
      <c r="S376">
        <v>203</v>
      </c>
      <c r="T376" s="2">
        <v>92070</v>
      </c>
      <c r="U376" s="2">
        <v>15930</v>
      </c>
      <c r="V376">
        <v>157</v>
      </c>
      <c r="W376">
        <v>0</v>
      </c>
      <c r="X376">
        <v>0</v>
      </c>
      <c r="Y376">
        <v>0</v>
      </c>
      <c r="Z376">
        <v>1</v>
      </c>
      <c r="AA376">
        <v>6.3550170000000001E-3</v>
      </c>
      <c r="AB376">
        <v>31.3</v>
      </c>
      <c r="AC376">
        <v>12</v>
      </c>
      <c r="AD376">
        <v>27</v>
      </c>
      <c r="AI37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376" t="s">
        <v>51</v>
      </c>
      <c r="AN376">
        <f>INT(Table1[[#This Row],[reject_prod]]/Table1[[#This Row],[part_weight]] * 1000)</f>
        <v>53</v>
      </c>
    </row>
    <row r="377" spans="1:40" s="4" customFormat="1">
      <c r="A377" s="3">
        <v>46034</v>
      </c>
      <c r="B377" s="4">
        <v>2</v>
      </c>
      <c r="C377" s="4">
        <v>16</v>
      </c>
      <c r="D377" s="4" t="s">
        <v>295</v>
      </c>
      <c r="E377" s="4" t="s">
        <v>46</v>
      </c>
      <c r="F377" s="4">
        <v>555979</v>
      </c>
      <c r="G377" s="4">
        <v>2</v>
      </c>
      <c r="H377" s="4" t="s">
        <v>52</v>
      </c>
      <c r="I377" s="4">
        <v>10682935</v>
      </c>
      <c r="J377" s="4">
        <v>6</v>
      </c>
      <c r="K377" s="4">
        <v>28</v>
      </c>
      <c r="L377" s="4">
        <v>28</v>
      </c>
      <c r="M377" s="4">
        <v>970</v>
      </c>
      <c r="N377" s="5">
        <v>100800</v>
      </c>
      <c r="O377" s="4">
        <v>0</v>
      </c>
      <c r="P377" s="5">
        <v>2184</v>
      </c>
      <c r="Q377" s="5">
        <v>5820</v>
      </c>
      <c r="R377" s="5">
        <v>3360</v>
      </c>
      <c r="S377" s="4">
        <v>94</v>
      </c>
      <c r="T377" s="5">
        <v>99624</v>
      </c>
      <c r="U377" s="5">
        <v>1176</v>
      </c>
      <c r="V377" s="4">
        <v>163</v>
      </c>
      <c r="W377" s="4">
        <v>0</v>
      </c>
      <c r="X377" s="4">
        <v>0</v>
      </c>
      <c r="Y377" s="4">
        <v>0</v>
      </c>
      <c r="Z377" s="4">
        <v>1.2</v>
      </c>
      <c r="AA377" s="4">
        <v>7.3637700000000004E-3</v>
      </c>
      <c r="AB377" s="4">
        <v>43.7</v>
      </c>
      <c r="AC377" s="4">
        <v>11.774722219999999</v>
      </c>
      <c r="AD377" s="4">
        <v>42</v>
      </c>
      <c r="AI37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0.22527778000000076</v>
      </c>
      <c r="AK377" s="4" t="s">
        <v>51</v>
      </c>
      <c r="AN377" s="4">
        <f>INT(Table1[[#This Row],[reject_prod]]/Table1[[#This Row],[part_weight]] * 1000)</f>
        <v>42</v>
      </c>
    </row>
    <row r="378" spans="1:40">
      <c r="A378" s="1">
        <v>46035</v>
      </c>
      <c r="B378">
        <v>1</v>
      </c>
      <c r="C378">
        <v>1</v>
      </c>
      <c r="D378" t="s">
        <v>284</v>
      </c>
      <c r="E378" t="s">
        <v>34</v>
      </c>
      <c r="F378">
        <v>365091</v>
      </c>
      <c r="G378">
        <v>0</v>
      </c>
      <c r="H378" t="s">
        <v>189</v>
      </c>
      <c r="I378">
        <v>10682753</v>
      </c>
      <c r="J378">
        <v>4</v>
      </c>
      <c r="K378">
        <v>44</v>
      </c>
      <c r="L378">
        <v>44</v>
      </c>
      <c r="M378">
        <v>1643</v>
      </c>
      <c r="N378" s="2">
        <v>66885</v>
      </c>
      <c r="O378" s="2">
        <v>735</v>
      </c>
      <c r="P378" s="2">
        <v>945</v>
      </c>
      <c r="Q378" s="2">
        <v>6572</v>
      </c>
      <c r="R378" s="2">
        <v>6300</v>
      </c>
      <c r="S378">
        <v>277.2</v>
      </c>
      <c r="T378" s="2">
        <v>47565</v>
      </c>
      <c r="U378" s="2">
        <v>19320</v>
      </c>
      <c r="V378">
        <v>289.16800000000001</v>
      </c>
      <c r="W378">
        <v>0</v>
      </c>
      <c r="X378">
        <v>0</v>
      </c>
      <c r="Y378">
        <v>0</v>
      </c>
      <c r="Z378">
        <v>2.5</v>
      </c>
      <c r="AA378">
        <v>8.6454932772644273E-3</v>
      </c>
      <c r="AB378">
        <v>25.8</v>
      </c>
      <c r="AC378">
        <v>11.774833333333333</v>
      </c>
      <c r="AD378">
        <v>28.64</v>
      </c>
      <c r="AI37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0.22516666666666652</v>
      </c>
      <c r="AK378" t="s">
        <v>214</v>
      </c>
      <c r="AN378">
        <f>INT(Table1[[#This Row],[reject_prod]]/Table1[[#This Row],[part_weight]] * 1000)</f>
        <v>56</v>
      </c>
    </row>
    <row r="379" spans="1:40">
      <c r="A379" s="1">
        <v>46035</v>
      </c>
      <c r="B379">
        <v>1</v>
      </c>
      <c r="C379">
        <v>2</v>
      </c>
      <c r="D379" t="s">
        <v>33</v>
      </c>
      <c r="E379" t="s">
        <v>34</v>
      </c>
      <c r="F379">
        <v>423215</v>
      </c>
      <c r="G379">
        <v>0</v>
      </c>
      <c r="H379" t="s">
        <v>156</v>
      </c>
      <c r="I379">
        <v>10682755</v>
      </c>
      <c r="J379">
        <v>4</v>
      </c>
      <c r="K379">
        <v>24</v>
      </c>
      <c r="L379">
        <v>24</v>
      </c>
      <c r="M379">
        <v>0</v>
      </c>
      <c r="N379" s="2">
        <v>89112</v>
      </c>
      <c r="O379" s="2">
        <v>282</v>
      </c>
      <c r="P379" s="2">
        <v>0</v>
      </c>
      <c r="Q379" s="2">
        <v>0</v>
      </c>
      <c r="R379" s="2">
        <v>1128</v>
      </c>
      <c r="S379">
        <v>27.071999999999999</v>
      </c>
      <c r="T379" s="2">
        <v>89112</v>
      </c>
      <c r="U379" s="2">
        <v>0</v>
      </c>
      <c r="V379">
        <v>0</v>
      </c>
      <c r="W379">
        <v>0</v>
      </c>
      <c r="X379">
        <v>0</v>
      </c>
      <c r="Y379" t="e">
        <v>#DIV/0!</v>
      </c>
      <c r="Z379">
        <v>0</v>
      </c>
      <c r="AA379" t="e">
        <v>#DIV/0!</v>
      </c>
      <c r="AB379">
        <v>26.33</v>
      </c>
      <c r="AC379">
        <v>0</v>
      </c>
      <c r="AD379">
        <v>22</v>
      </c>
      <c r="AI37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379" t="s">
        <v>310</v>
      </c>
      <c r="AN379">
        <f>INT(Table1[[#This Row],[reject_prod]]/Table1[[#This Row],[part_weight]] * 1000)</f>
        <v>0</v>
      </c>
    </row>
    <row r="380" spans="1:40">
      <c r="A380" s="1">
        <v>46035</v>
      </c>
      <c r="B380">
        <v>1</v>
      </c>
      <c r="C380">
        <v>2</v>
      </c>
      <c r="D380" t="s">
        <v>33</v>
      </c>
      <c r="E380" t="s">
        <v>34</v>
      </c>
      <c r="F380">
        <v>416201</v>
      </c>
      <c r="G380">
        <v>0</v>
      </c>
      <c r="H380" t="s">
        <v>36</v>
      </c>
      <c r="I380">
        <v>10681779</v>
      </c>
      <c r="J380">
        <v>4</v>
      </c>
      <c r="K380">
        <v>20</v>
      </c>
      <c r="L380">
        <v>30</v>
      </c>
      <c r="M380">
        <v>0</v>
      </c>
      <c r="N380" s="2">
        <v>50400</v>
      </c>
      <c r="O380" s="2">
        <v>0</v>
      </c>
      <c r="P380" s="2">
        <v>0</v>
      </c>
      <c r="Q380" s="2">
        <v>0</v>
      </c>
      <c r="R380" s="2">
        <v>0</v>
      </c>
      <c r="S380">
        <v>0</v>
      </c>
      <c r="T380" s="2">
        <v>5040</v>
      </c>
      <c r="U380" s="2">
        <v>45360</v>
      </c>
      <c r="V380">
        <v>0</v>
      </c>
      <c r="W380">
        <v>0</v>
      </c>
      <c r="X380">
        <v>3.3</v>
      </c>
      <c r="Y380" t="e">
        <v>#DIV/0!</v>
      </c>
      <c r="Z380">
        <v>0</v>
      </c>
      <c r="AA380" t="e">
        <v>#DIV/0!</v>
      </c>
      <c r="AB380">
        <v>27.3</v>
      </c>
      <c r="AC380">
        <v>0</v>
      </c>
      <c r="AD380">
        <v>38.64</v>
      </c>
      <c r="AG380">
        <v>3</v>
      </c>
      <c r="AI38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9</v>
      </c>
      <c r="AK380" t="s">
        <v>311</v>
      </c>
      <c r="AN380">
        <f>INT(Table1[[#This Row],[reject_prod]]/Table1[[#This Row],[part_weight]] * 1000)</f>
        <v>0</v>
      </c>
    </row>
    <row r="381" spans="1:40">
      <c r="A381" s="1">
        <v>46035</v>
      </c>
      <c r="B381">
        <v>1</v>
      </c>
      <c r="C381">
        <v>3</v>
      </c>
      <c r="D381" t="s">
        <v>141</v>
      </c>
      <c r="E381" t="s">
        <v>34</v>
      </c>
      <c r="F381">
        <v>442034</v>
      </c>
      <c r="G381">
        <v>0</v>
      </c>
      <c r="H381" t="s">
        <v>37</v>
      </c>
      <c r="I381">
        <v>10681183</v>
      </c>
      <c r="J381">
        <v>4</v>
      </c>
      <c r="K381">
        <v>23</v>
      </c>
      <c r="L381">
        <v>23</v>
      </c>
      <c r="M381">
        <v>1584</v>
      </c>
      <c r="N381" s="2">
        <v>139776</v>
      </c>
      <c r="O381" s="2">
        <v>2304</v>
      </c>
      <c r="P381" s="2">
        <v>3840</v>
      </c>
      <c r="Q381" s="2">
        <v>6336</v>
      </c>
      <c r="R381" s="2">
        <v>4608</v>
      </c>
      <c r="S381">
        <v>105.98399999999999</v>
      </c>
      <c r="T381" s="2">
        <v>91392</v>
      </c>
      <c r="U381" s="2">
        <v>48384</v>
      </c>
      <c r="V381">
        <v>145.72800000000001</v>
      </c>
      <c r="W381">
        <v>0</v>
      </c>
      <c r="X381">
        <v>0</v>
      </c>
      <c r="Y381">
        <v>0</v>
      </c>
      <c r="Z381">
        <v>4.5</v>
      </c>
      <c r="AA381">
        <v>3.0879446640316204E-2</v>
      </c>
      <c r="AB381">
        <v>26.9</v>
      </c>
      <c r="AC381">
        <v>11.836</v>
      </c>
      <c r="AD381">
        <v>22</v>
      </c>
      <c r="AI38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0.1639999999999997</v>
      </c>
      <c r="AK381" t="s">
        <v>75</v>
      </c>
      <c r="AN381">
        <f>INT(Table1[[#This Row],[reject_prod]]/Table1[[#This Row],[part_weight]] * 1000)</f>
        <v>195</v>
      </c>
    </row>
    <row r="382" spans="1:40">
      <c r="A382" s="1">
        <v>46035</v>
      </c>
      <c r="B382">
        <v>1</v>
      </c>
      <c r="C382">
        <v>4</v>
      </c>
      <c r="F382">
        <v>123456</v>
      </c>
      <c r="G382">
        <v>0</v>
      </c>
      <c r="M382">
        <v>0</v>
      </c>
      <c r="N382">
        <v>0</v>
      </c>
      <c r="O382">
        <v>0</v>
      </c>
      <c r="P382">
        <v>0</v>
      </c>
      <c r="R382">
        <v>0</v>
      </c>
      <c r="T382">
        <v>0</v>
      </c>
      <c r="X382">
        <v>0</v>
      </c>
      <c r="Z382">
        <v>0</v>
      </c>
      <c r="AB382">
        <v>0</v>
      </c>
      <c r="AC382">
        <v>0</v>
      </c>
      <c r="AD382">
        <v>22.5</v>
      </c>
      <c r="AI38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382">
        <v>12</v>
      </c>
      <c r="AK382" t="s">
        <v>116</v>
      </c>
      <c r="AN382">
        <v>0</v>
      </c>
    </row>
    <row r="383" spans="1:40">
      <c r="A383" s="1">
        <v>46035</v>
      </c>
      <c r="B383">
        <v>1</v>
      </c>
      <c r="C383">
        <v>5</v>
      </c>
      <c r="D383" t="s">
        <v>40</v>
      </c>
      <c r="E383" t="s">
        <v>34</v>
      </c>
      <c r="F383">
        <v>597507</v>
      </c>
      <c r="G383">
        <v>0</v>
      </c>
      <c r="H383" t="s">
        <v>279</v>
      </c>
      <c r="I383">
        <v>10682757</v>
      </c>
      <c r="J383">
        <v>4</v>
      </c>
      <c r="K383">
        <v>23</v>
      </c>
      <c r="L383">
        <v>23</v>
      </c>
      <c r="M383">
        <v>1365</v>
      </c>
      <c r="N383" s="2">
        <v>64680</v>
      </c>
      <c r="O383" s="2">
        <v>308</v>
      </c>
      <c r="P383" s="2">
        <v>462</v>
      </c>
      <c r="Q383" s="2">
        <v>5460</v>
      </c>
      <c r="R383" s="2">
        <v>4312</v>
      </c>
      <c r="S383">
        <v>99.176000000000002</v>
      </c>
      <c r="T383" s="2">
        <v>4774</v>
      </c>
      <c r="U383" s="2">
        <v>59906</v>
      </c>
      <c r="V383">
        <v>125.58</v>
      </c>
      <c r="W383">
        <v>0</v>
      </c>
      <c r="X383">
        <v>0</v>
      </c>
      <c r="Y383">
        <v>0</v>
      </c>
      <c r="Z383">
        <v>14.6</v>
      </c>
      <c r="AA383">
        <v>0.11626055104315974</v>
      </c>
      <c r="AB383">
        <v>26.9</v>
      </c>
      <c r="AC383">
        <v>10.199583333333333</v>
      </c>
      <c r="AD383">
        <v>22</v>
      </c>
      <c r="AI38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1.800416666666667</v>
      </c>
      <c r="AK383" t="s">
        <v>312</v>
      </c>
      <c r="AN383">
        <f>INT(Table1[[#This Row],[reject_prod]]/Table1[[#This Row],[part_weight]] * 1000)</f>
        <v>634</v>
      </c>
    </row>
    <row r="384" spans="1:40">
      <c r="A384" s="1">
        <v>46035</v>
      </c>
      <c r="B384">
        <v>1</v>
      </c>
      <c r="C384">
        <v>6</v>
      </c>
      <c r="D384" t="s">
        <v>303</v>
      </c>
      <c r="E384" t="s">
        <v>34</v>
      </c>
      <c r="F384">
        <v>532981</v>
      </c>
      <c r="G384">
        <v>0</v>
      </c>
      <c r="H384" t="s">
        <v>233</v>
      </c>
      <c r="I384">
        <v>10682758</v>
      </c>
      <c r="J384">
        <v>4</v>
      </c>
      <c r="K384">
        <v>24.45</v>
      </c>
      <c r="L384">
        <v>24</v>
      </c>
      <c r="M384">
        <v>1968</v>
      </c>
      <c r="N384" s="2">
        <v>87552</v>
      </c>
      <c r="O384" s="2">
        <v>1368</v>
      </c>
      <c r="P384" s="2">
        <v>3648</v>
      </c>
      <c r="Q384" s="2">
        <v>7872</v>
      </c>
      <c r="R384" s="2">
        <v>5472</v>
      </c>
      <c r="S384">
        <v>131.328</v>
      </c>
      <c r="T384" s="2">
        <v>63840</v>
      </c>
      <c r="U384" s="2">
        <v>23712</v>
      </c>
      <c r="V384">
        <v>188.928</v>
      </c>
      <c r="W384">
        <v>0</v>
      </c>
      <c r="X384">
        <v>0</v>
      </c>
      <c r="Y384">
        <v>0</v>
      </c>
      <c r="Z384">
        <v>2</v>
      </c>
      <c r="AA384">
        <v>1.0586043360433605E-2</v>
      </c>
      <c r="AB384">
        <v>21.7</v>
      </c>
      <c r="AC384">
        <v>11.862666666666666</v>
      </c>
      <c r="AD384">
        <v>20</v>
      </c>
      <c r="AI38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0.1373333333333342</v>
      </c>
      <c r="AK384" t="s">
        <v>103</v>
      </c>
      <c r="AN384">
        <f>INT(Table1[[#This Row],[reject_prod]]/Table1[[#This Row],[part_weight]] * 1000)</f>
        <v>83</v>
      </c>
    </row>
    <row r="385" spans="1:40">
      <c r="A385" s="1">
        <v>46035</v>
      </c>
      <c r="B385">
        <v>1</v>
      </c>
      <c r="C385">
        <v>7</v>
      </c>
      <c r="D385" t="s">
        <v>304</v>
      </c>
      <c r="E385" t="s">
        <v>34</v>
      </c>
      <c r="F385">
        <v>324177</v>
      </c>
      <c r="G385">
        <v>0</v>
      </c>
      <c r="H385" t="s">
        <v>246</v>
      </c>
      <c r="I385">
        <v>10682801</v>
      </c>
      <c r="J385">
        <v>4</v>
      </c>
      <c r="K385">
        <v>34.5</v>
      </c>
      <c r="L385">
        <v>34.5</v>
      </c>
      <c r="M385">
        <v>813</v>
      </c>
      <c r="N385" s="2">
        <v>62400</v>
      </c>
      <c r="O385" s="2">
        <v>0</v>
      </c>
      <c r="P385" s="2">
        <v>312</v>
      </c>
      <c r="Q385" s="2">
        <v>3252</v>
      </c>
      <c r="R385" s="2">
        <v>2340</v>
      </c>
      <c r="S385">
        <v>80.73</v>
      </c>
      <c r="T385" s="2">
        <v>23712</v>
      </c>
      <c r="U385" s="2">
        <v>38688</v>
      </c>
      <c r="V385">
        <v>112.194</v>
      </c>
      <c r="W385">
        <v>0</v>
      </c>
      <c r="X385">
        <v>0</v>
      </c>
      <c r="Y385">
        <v>0</v>
      </c>
      <c r="Z385">
        <v>18.5</v>
      </c>
      <c r="AA385">
        <v>0.16489295327735887</v>
      </c>
      <c r="AB385">
        <v>21.43</v>
      </c>
      <c r="AC385">
        <v>4.8396083333333326</v>
      </c>
      <c r="AD385">
        <v>22</v>
      </c>
      <c r="AI38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7.1603916666666674</v>
      </c>
      <c r="AK385" t="s">
        <v>313</v>
      </c>
      <c r="AN385">
        <f>INT(Table1[[#This Row],[reject_prod]]/Table1[[#This Row],[part_weight]] * 1000)</f>
        <v>536</v>
      </c>
    </row>
    <row r="386" spans="1:40">
      <c r="A386" s="1">
        <v>46035</v>
      </c>
      <c r="B386">
        <v>1</v>
      </c>
      <c r="C386">
        <v>8</v>
      </c>
      <c r="D386" t="s">
        <v>115</v>
      </c>
      <c r="E386" t="s">
        <v>34</v>
      </c>
      <c r="F386">
        <v>323102</v>
      </c>
      <c r="G386">
        <v>0</v>
      </c>
      <c r="H386" t="s">
        <v>45</v>
      </c>
      <c r="I386">
        <v>10683894</v>
      </c>
      <c r="J386">
        <v>4</v>
      </c>
      <c r="K386">
        <v>56.9</v>
      </c>
      <c r="L386">
        <v>56.9</v>
      </c>
      <c r="M386">
        <v>466</v>
      </c>
      <c r="N386" s="2">
        <v>38400</v>
      </c>
      <c r="O386" s="2">
        <v>160</v>
      </c>
      <c r="P386" s="2">
        <v>0</v>
      </c>
      <c r="Q386" s="2">
        <v>1864</v>
      </c>
      <c r="R386" s="2">
        <v>1920</v>
      </c>
      <c r="S386">
        <v>109.248</v>
      </c>
      <c r="T386" s="2">
        <v>38400</v>
      </c>
      <c r="U386" s="2">
        <v>0</v>
      </c>
      <c r="V386">
        <v>106.06159999999998</v>
      </c>
      <c r="W386">
        <v>0</v>
      </c>
      <c r="X386">
        <v>0</v>
      </c>
      <c r="Y386">
        <v>0</v>
      </c>
      <c r="Z386">
        <v>6.7</v>
      </c>
      <c r="AA386">
        <v>6.3170836570445865E-2</v>
      </c>
      <c r="AB386">
        <v>27.8</v>
      </c>
      <c r="AC386">
        <v>3.5985555555555555</v>
      </c>
      <c r="AD386">
        <v>26</v>
      </c>
      <c r="AI38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8.4014444444444436</v>
      </c>
      <c r="AK386" t="s">
        <v>314</v>
      </c>
      <c r="AN386">
        <f>INT(Table1[[#This Row],[reject_prod]]/Table1[[#This Row],[part_weight]] * 1000)</f>
        <v>117</v>
      </c>
    </row>
    <row r="387" spans="1:40">
      <c r="A387" s="1">
        <v>46035</v>
      </c>
      <c r="B387">
        <v>1</v>
      </c>
      <c r="C387">
        <v>8</v>
      </c>
      <c r="D387" t="s">
        <v>33</v>
      </c>
      <c r="E387" t="s">
        <v>34</v>
      </c>
      <c r="F387">
        <v>442310</v>
      </c>
      <c r="G387">
        <v>0</v>
      </c>
      <c r="H387" t="s">
        <v>315</v>
      </c>
      <c r="I387">
        <v>10684380</v>
      </c>
      <c r="J387">
        <v>4</v>
      </c>
      <c r="K387">
        <v>68.8</v>
      </c>
      <c r="L387">
        <v>68.8</v>
      </c>
      <c r="M387">
        <v>0</v>
      </c>
      <c r="N387" s="2">
        <v>69000</v>
      </c>
      <c r="O387" s="2">
        <v>0</v>
      </c>
      <c r="P387" s="2">
        <v>0</v>
      </c>
      <c r="Q387" s="2">
        <v>0</v>
      </c>
      <c r="R387" s="2">
        <v>0</v>
      </c>
      <c r="S387">
        <v>0</v>
      </c>
      <c r="T387" s="2">
        <v>24725</v>
      </c>
      <c r="U387" s="2">
        <v>44275</v>
      </c>
      <c r="V387">
        <v>0</v>
      </c>
      <c r="W387">
        <v>0</v>
      </c>
      <c r="X387">
        <v>0</v>
      </c>
      <c r="Y387" t="e">
        <v>#DIV/0!</v>
      </c>
      <c r="Z387">
        <v>0</v>
      </c>
      <c r="AA387" t="e">
        <v>#DIV/0!</v>
      </c>
      <c r="AB387">
        <v>31.7</v>
      </c>
      <c r="AC387">
        <v>0</v>
      </c>
      <c r="AD387">
        <v>33.840000000000003</v>
      </c>
      <c r="AI38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387" t="s">
        <v>316</v>
      </c>
      <c r="AN387">
        <f>INT(Table1[[#This Row],[reject_prod]]/Table1[[#This Row],[part_weight]] * 1000)</f>
        <v>0</v>
      </c>
    </row>
    <row r="388" spans="1:40">
      <c r="A388" s="1">
        <v>46035</v>
      </c>
      <c r="B388">
        <v>1</v>
      </c>
      <c r="C388">
        <v>9</v>
      </c>
      <c r="D388" t="s">
        <v>305</v>
      </c>
      <c r="E388" t="s">
        <v>46</v>
      </c>
      <c r="F388">
        <v>586276</v>
      </c>
      <c r="G388">
        <v>0</v>
      </c>
      <c r="H388" t="s">
        <v>47</v>
      </c>
      <c r="I388">
        <v>10682924</v>
      </c>
      <c r="J388">
        <v>6</v>
      </c>
      <c r="K388">
        <v>12.3</v>
      </c>
      <c r="L388">
        <v>12.3</v>
      </c>
      <c r="M388">
        <v>824</v>
      </c>
      <c r="N388" s="2">
        <v>162000</v>
      </c>
      <c r="O388" s="2">
        <v>0</v>
      </c>
      <c r="P388" s="2">
        <v>4860</v>
      </c>
      <c r="Q388" s="2">
        <v>4944</v>
      </c>
      <c r="R388" s="2">
        <v>0</v>
      </c>
      <c r="S388">
        <v>0</v>
      </c>
      <c r="T388" s="2">
        <v>69660</v>
      </c>
      <c r="U388" s="2">
        <v>92340</v>
      </c>
      <c r="V388">
        <v>60.811200000000007</v>
      </c>
      <c r="W388">
        <v>0</v>
      </c>
      <c r="X388">
        <v>0</v>
      </c>
      <c r="Y388">
        <v>0</v>
      </c>
      <c r="Z388">
        <v>1</v>
      </c>
      <c r="AA388">
        <v>1.644433920067356E-2</v>
      </c>
      <c r="AB388">
        <v>26.2</v>
      </c>
      <c r="AC388">
        <v>5.9968888888888889</v>
      </c>
      <c r="AD388">
        <v>26</v>
      </c>
      <c r="AH388">
        <v>6</v>
      </c>
      <c r="AI38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3.1111111111110645E-3</v>
      </c>
      <c r="AK388" t="s">
        <v>317</v>
      </c>
      <c r="AN388">
        <f>INT(Table1[[#This Row],[reject_prod]]/Table1[[#This Row],[part_weight]] * 1000)</f>
        <v>81</v>
      </c>
    </row>
    <row r="389" spans="1:40">
      <c r="A389" s="1">
        <v>46035</v>
      </c>
      <c r="B389">
        <v>1</v>
      </c>
      <c r="C389">
        <v>10</v>
      </c>
      <c r="D389" t="s">
        <v>141</v>
      </c>
      <c r="E389" t="s">
        <v>41</v>
      </c>
      <c r="F389">
        <v>593537</v>
      </c>
      <c r="G389">
        <v>0</v>
      </c>
      <c r="H389" t="s">
        <v>48</v>
      </c>
      <c r="I389">
        <v>10682926</v>
      </c>
      <c r="J389">
        <v>4</v>
      </c>
      <c r="K389">
        <v>56.5</v>
      </c>
      <c r="L389">
        <v>56.8</v>
      </c>
      <c r="M389">
        <v>496</v>
      </c>
      <c r="N389" s="2">
        <v>69000</v>
      </c>
      <c r="O389" s="2">
        <v>0</v>
      </c>
      <c r="P389" s="2">
        <v>0</v>
      </c>
      <c r="Q389" s="2">
        <v>1984</v>
      </c>
      <c r="R389" s="2">
        <v>2300</v>
      </c>
      <c r="S389">
        <v>130.63999999999999</v>
      </c>
      <c r="T389" s="2">
        <v>24725</v>
      </c>
      <c r="U389" s="2">
        <v>44275</v>
      </c>
      <c r="V389">
        <v>112.69119999999999</v>
      </c>
      <c r="W389">
        <v>0</v>
      </c>
      <c r="X389">
        <v>0</v>
      </c>
      <c r="Y389">
        <v>0</v>
      </c>
      <c r="Z389">
        <v>1</v>
      </c>
      <c r="AA389">
        <v>8.8738073602907773E-3</v>
      </c>
      <c r="AB389">
        <v>31.7</v>
      </c>
      <c r="AC389">
        <v>4.3675555555555556</v>
      </c>
      <c r="AD389">
        <v>28.5</v>
      </c>
      <c r="AI38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7.6324444444444444</v>
      </c>
      <c r="AK389" t="s">
        <v>318</v>
      </c>
      <c r="AN389">
        <f>INT(Table1[[#This Row],[reject_prod]]/Table1[[#This Row],[part_weight]] * 1000)</f>
        <v>17</v>
      </c>
    </row>
    <row r="390" spans="1:40">
      <c r="A390" s="1">
        <v>46035</v>
      </c>
      <c r="B390">
        <v>1</v>
      </c>
      <c r="C390">
        <v>10</v>
      </c>
      <c r="D390" t="s">
        <v>33</v>
      </c>
      <c r="E390" t="s">
        <v>41</v>
      </c>
      <c r="F390">
        <v>593537</v>
      </c>
      <c r="G390">
        <v>0</v>
      </c>
      <c r="H390" t="s">
        <v>48</v>
      </c>
      <c r="I390">
        <v>10682926</v>
      </c>
      <c r="J390">
        <v>4</v>
      </c>
      <c r="K390">
        <v>56.5</v>
      </c>
      <c r="L390">
        <v>56.8</v>
      </c>
      <c r="M390">
        <v>0</v>
      </c>
      <c r="N390" s="2">
        <v>8008</v>
      </c>
      <c r="O390" s="2">
        <v>0</v>
      </c>
      <c r="P390" s="2">
        <v>0</v>
      </c>
      <c r="Q390" s="2">
        <v>0</v>
      </c>
      <c r="R390" s="2">
        <v>0</v>
      </c>
      <c r="S390">
        <v>0</v>
      </c>
      <c r="T390" s="2">
        <v>0</v>
      </c>
      <c r="U390" s="2">
        <v>8008</v>
      </c>
      <c r="V390">
        <v>0</v>
      </c>
      <c r="W390">
        <v>0</v>
      </c>
      <c r="X390">
        <v>0</v>
      </c>
      <c r="Y390" t="e">
        <v>#DIV/0!</v>
      </c>
      <c r="Z390">
        <v>0</v>
      </c>
      <c r="AA390" t="e">
        <v>#DIV/0!</v>
      </c>
      <c r="AB390">
        <v>31.7</v>
      </c>
      <c r="AC390">
        <v>0</v>
      </c>
      <c r="AD390">
        <v>28.5</v>
      </c>
      <c r="AI39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390" t="s">
        <v>73</v>
      </c>
      <c r="AN390">
        <f>INT(Table1[[#This Row],[reject_prod]]/Table1[[#This Row],[part_weight]] * 1000)</f>
        <v>0</v>
      </c>
    </row>
    <row r="391" spans="1:40">
      <c r="A391" s="1">
        <v>46035</v>
      </c>
      <c r="B391">
        <v>1</v>
      </c>
      <c r="C391">
        <v>11</v>
      </c>
      <c r="D391" t="s">
        <v>112</v>
      </c>
      <c r="E391" t="s">
        <v>46</v>
      </c>
      <c r="F391">
        <v>552181</v>
      </c>
      <c r="G391">
        <v>1</v>
      </c>
      <c r="H391" t="s">
        <v>49</v>
      </c>
      <c r="I391">
        <v>10683782</v>
      </c>
      <c r="J391">
        <v>6</v>
      </c>
      <c r="K391">
        <v>18.8</v>
      </c>
      <c r="L391">
        <v>18.8</v>
      </c>
      <c r="M391">
        <v>1566</v>
      </c>
      <c r="N391" s="2">
        <v>108000</v>
      </c>
      <c r="O391" s="2">
        <v>345</v>
      </c>
      <c r="P391" s="2">
        <v>0</v>
      </c>
      <c r="Q391" s="2">
        <v>9396</v>
      </c>
      <c r="R391" s="2">
        <v>10800</v>
      </c>
      <c r="S391">
        <v>203.04</v>
      </c>
      <c r="T391" s="2">
        <v>16200</v>
      </c>
      <c r="U391" s="2">
        <v>91800</v>
      </c>
      <c r="V391">
        <v>176.6448</v>
      </c>
      <c r="W391">
        <v>0</v>
      </c>
      <c r="X391">
        <v>0</v>
      </c>
      <c r="Y391">
        <v>0</v>
      </c>
      <c r="Z391">
        <v>2.5</v>
      </c>
      <c r="AA391">
        <v>1.4152695126038242E-2</v>
      </c>
      <c r="AB391">
        <v>27.6</v>
      </c>
      <c r="AC391">
        <v>12</v>
      </c>
      <c r="AD391">
        <v>27</v>
      </c>
      <c r="AI39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391" t="s">
        <v>270</v>
      </c>
      <c r="AN391">
        <f>INT(Table1[[#This Row],[reject_prod]]/Table1[[#This Row],[part_weight]] * 1000)</f>
        <v>132</v>
      </c>
    </row>
    <row r="392" spans="1:40">
      <c r="A392" s="1">
        <v>46035</v>
      </c>
      <c r="B392">
        <v>1</v>
      </c>
      <c r="C392">
        <v>12</v>
      </c>
      <c r="D392" t="s">
        <v>152</v>
      </c>
      <c r="E392" t="s">
        <v>34</v>
      </c>
      <c r="F392">
        <v>620599</v>
      </c>
      <c r="G392">
        <v>0</v>
      </c>
      <c r="H392" t="s">
        <v>50</v>
      </c>
      <c r="I392">
        <v>10682929</v>
      </c>
      <c r="J392">
        <v>4</v>
      </c>
      <c r="K392">
        <v>55</v>
      </c>
      <c r="L392">
        <v>55</v>
      </c>
      <c r="M392">
        <v>1473</v>
      </c>
      <c r="N392" s="2">
        <v>72000</v>
      </c>
      <c r="O392" s="2">
        <v>450</v>
      </c>
      <c r="P392" s="2">
        <v>675</v>
      </c>
      <c r="Q392" s="2">
        <v>5892</v>
      </c>
      <c r="R392" s="2">
        <v>5400</v>
      </c>
      <c r="S392">
        <v>297</v>
      </c>
      <c r="T392" s="2">
        <v>13275</v>
      </c>
      <c r="U392" s="2">
        <v>58725</v>
      </c>
      <c r="V392">
        <v>324.06</v>
      </c>
      <c r="W392">
        <v>0</v>
      </c>
      <c r="X392">
        <v>0</v>
      </c>
      <c r="Y392">
        <v>0</v>
      </c>
      <c r="Z392">
        <v>12.6</v>
      </c>
      <c r="AA392">
        <v>3.8881688576189594E-2</v>
      </c>
      <c r="AB392">
        <v>28</v>
      </c>
      <c r="AC392">
        <v>11.456666666666667</v>
      </c>
      <c r="AD392">
        <v>28</v>
      </c>
      <c r="AI39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0.543333333333333</v>
      </c>
      <c r="AK392" t="s">
        <v>270</v>
      </c>
      <c r="AN392">
        <f>INT(Table1[[#This Row],[reject_prod]]/Table1[[#This Row],[part_weight]] * 1000)</f>
        <v>229</v>
      </c>
    </row>
    <row r="393" spans="1:40">
      <c r="A393" s="1">
        <v>46035</v>
      </c>
      <c r="B393">
        <v>1</v>
      </c>
      <c r="C393">
        <v>13</v>
      </c>
      <c r="D393" t="s">
        <v>112</v>
      </c>
      <c r="E393" t="s">
        <v>46</v>
      </c>
      <c r="F393">
        <v>586276</v>
      </c>
      <c r="G393">
        <v>0</v>
      </c>
      <c r="H393" t="s">
        <v>47</v>
      </c>
      <c r="I393">
        <v>10683784</v>
      </c>
      <c r="J393">
        <v>6</v>
      </c>
      <c r="K393">
        <v>12.3</v>
      </c>
      <c r="L393">
        <v>12.3</v>
      </c>
      <c r="M393">
        <v>1599</v>
      </c>
      <c r="N393" s="2">
        <v>162000</v>
      </c>
      <c r="O393" s="2">
        <v>6075</v>
      </c>
      <c r="P393" s="2">
        <v>7290</v>
      </c>
      <c r="Q393" s="2">
        <v>9594</v>
      </c>
      <c r="R393" s="2">
        <v>8100</v>
      </c>
      <c r="S393">
        <v>99.63</v>
      </c>
      <c r="T393" s="2">
        <v>15390</v>
      </c>
      <c r="U393" s="2">
        <v>146610</v>
      </c>
      <c r="V393">
        <v>118.00620000000001</v>
      </c>
      <c r="W393">
        <v>0</v>
      </c>
      <c r="X393">
        <v>0</v>
      </c>
      <c r="Y393">
        <v>0</v>
      </c>
      <c r="Z393">
        <v>1.5</v>
      </c>
      <c r="AA393">
        <v>1.2711196530351795E-2</v>
      </c>
      <c r="AB393">
        <v>26.4</v>
      </c>
      <c r="AC393">
        <v>11.725999999999999</v>
      </c>
      <c r="AD393">
        <v>26</v>
      </c>
      <c r="AI39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0.27400000000000091</v>
      </c>
      <c r="AK393" t="s">
        <v>51</v>
      </c>
      <c r="AN393">
        <f>INT(Table1[[#This Row],[reject_prod]]/Table1[[#This Row],[part_weight]] * 1000)</f>
        <v>121</v>
      </c>
    </row>
    <row r="394" spans="1:40">
      <c r="A394" s="1">
        <v>46035</v>
      </c>
      <c r="B394">
        <v>1</v>
      </c>
      <c r="C394">
        <v>14</v>
      </c>
      <c r="D394" t="s">
        <v>67</v>
      </c>
      <c r="E394" t="s">
        <v>46</v>
      </c>
      <c r="F394">
        <v>555979</v>
      </c>
      <c r="G394">
        <v>1</v>
      </c>
      <c r="H394" t="s">
        <v>52</v>
      </c>
      <c r="I394">
        <v>10682932</v>
      </c>
      <c r="J394">
        <v>6</v>
      </c>
      <c r="K394">
        <v>28</v>
      </c>
      <c r="L394">
        <v>28</v>
      </c>
      <c r="M394">
        <v>982</v>
      </c>
      <c r="N394" s="2">
        <v>100800</v>
      </c>
      <c r="O394" s="2">
        <v>840</v>
      </c>
      <c r="P394" s="2">
        <v>0</v>
      </c>
      <c r="Q394" s="2">
        <v>5892</v>
      </c>
      <c r="R394" s="2">
        <v>6720</v>
      </c>
      <c r="S394">
        <v>188.16</v>
      </c>
      <c r="T394" s="2">
        <v>60480</v>
      </c>
      <c r="U394" s="2">
        <v>40320</v>
      </c>
      <c r="V394">
        <v>164.976</v>
      </c>
      <c r="W394">
        <v>0</v>
      </c>
      <c r="X394">
        <v>0</v>
      </c>
      <c r="Y394">
        <v>0</v>
      </c>
      <c r="Z394">
        <v>1.5</v>
      </c>
      <c r="AA394">
        <v>9.0922315973232474E-3</v>
      </c>
      <c r="AB394">
        <v>44.1</v>
      </c>
      <c r="AC394">
        <v>12</v>
      </c>
      <c r="AD394">
        <v>42</v>
      </c>
      <c r="AI39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394" t="s">
        <v>272</v>
      </c>
      <c r="AN394">
        <f>INT(Table1[[#This Row],[reject_prod]]/Table1[[#This Row],[part_weight]] * 1000)</f>
        <v>53</v>
      </c>
    </row>
    <row r="395" spans="1:40">
      <c r="A395" s="1">
        <v>46035</v>
      </c>
      <c r="B395">
        <v>1</v>
      </c>
      <c r="C395">
        <v>15</v>
      </c>
      <c r="D395" t="s">
        <v>112</v>
      </c>
      <c r="E395" t="s">
        <v>46</v>
      </c>
      <c r="F395">
        <v>552181</v>
      </c>
      <c r="G395">
        <v>2</v>
      </c>
      <c r="H395" t="s">
        <v>49</v>
      </c>
      <c r="I395">
        <v>10682934</v>
      </c>
      <c r="J395">
        <v>6</v>
      </c>
      <c r="K395">
        <v>18.8</v>
      </c>
      <c r="L395">
        <v>18.8</v>
      </c>
      <c r="M395">
        <v>1353</v>
      </c>
      <c r="N395" s="2">
        <v>108000</v>
      </c>
      <c r="O395" s="2">
        <v>270</v>
      </c>
      <c r="P395" s="2">
        <v>3240</v>
      </c>
      <c r="Q395" s="2">
        <v>8118</v>
      </c>
      <c r="R395" s="2">
        <v>5400</v>
      </c>
      <c r="S395">
        <v>101.52</v>
      </c>
      <c r="T395" s="2">
        <v>100440</v>
      </c>
      <c r="U395" s="2">
        <v>7560</v>
      </c>
      <c r="V395">
        <v>152.61840000000001</v>
      </c>
      <c r="W395">
        <v>0</v>
      </c>
      <c r="X395">
        <v>0</v>
      </c>
      <c r="Y395">
        <v>0</v>
      </c>
      <c r="Z395">
        <v>3.5</v>
      </c>
      <c r="AA395">
        <v>2.2933014629952876E-2</v>
      </c>
      <c r="AB395">
        <v>31.3</v>
      </c>
      <c r="AC395">
        <v>11.763583333333333</v>
      </c>
      <c r="AD395">
        <v>27</v>
      </c>
      <c r="AI39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0.23641666666666694</v>
      </c>
      <c r="AK395" t="s">
        <v>51</v>
      </c>
      <c r="AN395">
        <f>INT(Table1[[#This Row],[reject_prod]]/Table1[[#This Row],[part_weight]] * 1000)</f>
        <v>186</v>
      </c>
    </row>
    <row r="396" spans="1:40">
      <c r="A396" s="1">
        <v>46035</v>
      </c>
      <c r="B396">
        <v>1</v>
      </c>
      <c r="C396">
        <v>16</v>
      </c>
      <c r="D396" t="s">
        <v>306</v>
      </c>
      <c r="E396" t="s">
        <v>46</v>
      </c>
      <c r="F396">
        <v>555979</v>
      </c>
      <c r="G396" s="6">
        <v>2</v>
      </c>
      <c r="H396" t="s">
        <v>52</v>
      </c>
      <c r="I396">
        <v>10682935</v>
      </c>
      <c r="J396">
        <v>6</v>
      </c>
      <c r="K396">
        <v>28</v>
      </c>
      <c r="L396">
        <v>28</v>
      </c>
      <c r="M396">
        <v>294</v>
      </c>
      <c r="N396" s="2">
        <v>100800</v>
      </c>
      <c r="O396" s="2">
        <v>2184</v>
      </c>
      <c r="P396" s="2">
        <v>0</v>
      </c>
      <c r="Q396" s="2">
        <v>1764</v>
      </c>
      <c r="R396" s="2">
        <v>3360</v>
      </c>
      <c r="S396">
        <v>94.08</v>
      </c>
      <c r="T396" s="2">
        <v>100800</v>
      </c>
      <c r="U396" s="2">
        <v>0</v>
      </c>
      <c r="V396">
        <v>49.392000000000003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43.7</v>
      </c>
      <c r="AC396">
        <v>3.5688333333333335</v>
      </c>
      <c r="AD396">
        <v>42</v>
      </c>
      <c r="AI39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8.431166666666666</v>
      </c>
      <c r="AK396" t="s">
        <v>319</v>
      </c>
      <c r="AN396">
        <f>INT(Table1[[#This Row],[reject_prod]]/Table1[[#This Row],[part_weight]] * 1000)</f>
        <v>0</v>
      </c>
    </row>
    <row r="397" spans="1:40" s="4" customFormat="1">
      <c r="A397" s="3">
        <v>46035</v>
      </c>
      <c r="B397" s="4">
        <v>1</v>
      </c>
      <c r="C397" s="4">
        <v>16</v>
      </c>
      <c r="D397" s="4" t="s">
        <v>306</v>
      </c>
      <c r="E397" s="4" t="s">
        <v>46</v>
      </c>
      <c r="F397" s="4">
        <v>555979</v>
      </c>
      <c r="G397" s="4">
        <v>2</v>
      </c>
      <c r="H397" s="4" t="s">
        <v>52</v>
      </c>
      <c r="I397" s="4">
        <v>10683788</v>
      </c>
      <c r="J397" s="4">
        <v>6</v>
      </c>
      <c r="K397" s="4">
        <v>28</v>
      </c>
      <c r="L397" s="4">
        <v>28</v>
      </c>
      <c r="M397" s="4">
        <v>642</v>
      </c>
      <c r="N397" s="5">
        <v>100800</v>
      </c>
      <c r="O397" s="5">
        <v>0</v>
      </c>
      <c r="P397" s="5">
        <v>840</v>
      </c>
      <c r="Q397" s="5">
        <v>3852</v>
      </c>
      <c r="R397" s="5">
        <v>3360</v>
      </c>
      <c r="S397" s="4">
        <v>94.08</v>
      </c>
      <c r="T397" s="5">
        <v>4200</v>
      </c>
      <c r="U397" s="5">
        <v>96600</v>
      </c>
      <c r="V397" s="4">
        <v>107.85599999999999</v>
      </c>
      <c r="W397" s="4">
        <v>0</v>
      </c>
      <c r="X397" s="4">
        <v>0</v>
      </c>
      <c r="Y397" s="4">
        <v>0</v>
      </c>
      <c r="Z397" s="4">
        <v>2.5</v>
      </c>
      <c r="AA397" s="4">
        <v>2.3179053552885329E-2</v>
      </c>
      <c r="AB397" s="4">
        <v>43.7</v>
      </c>
      <c r="AC397" s="4">
        <v>7.793166666666667</v>
      </c>
      <c r="AD397" s="4">
        <v>42</v>
      </c>
      <c r="AI39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4.206833333333333</v>
      </c>
      <c r="AK397" s="4" t="s">
        <v>51</v>
      </c>
      <c r="AN397" s="4">
        <f>INT(Table1[[#This Row],[reject_prod]]/Table1[[#This Row],[part_weight]] * 1000)</f>
        <v>89</v>
      </c>
    </row>
    <row r="398" spans="1:40">
      <c r="A398" s="1">
        <v>46035</v>
      </c>
      <c r="B398">
        <v>2</v>
      </c>
      <c r="C398">
        <v>1</v>
      </c>
      <c r="D398" t="s">
        <v>59</v>
      </c>
      <c r="E398" t="s">
        <v>34</v>
      </c>
      <c r="F398">
        <v>365091</v>
      </c>
      <c r="G398">
        <v>0</v>
      </c>
      <c r="H398" t="s">
        <v>189</v>
      </c>
      <c r="I398">
        <v>10682753</v>
      </c>
      <c r="J398">
        <v>4</v>
      </c>
      <c r="K398">
        <v>44</v>
      </c>
      <c r="L398">
        <v>44</v>
      </c>
      <c r="M398">
        <v>1680</v>
      </c>
      <c r="N398" s="2">
        <v>66885</v>
      </c>
      <c r="O398" s="2">
        <v>945</v>
      </c>
      <c r="P398" s="2">
        <v>105</v>
      </c>
      <c r="Q398" s="2">
        <v>6720</v>
      </c>
      <c r="R398" s="2">
        <v>7560</v>
      </c>
      <c r="S398">
        <v>332.64</v>
      </c>
      <c r="T398" s="2">
        <v>54285</v>
      </c>
      <c r="U398" s="2">
        <v>12600</v>
      </c>
      <c r="V398">
        <v>295.68</v>
      </c>
      <c r="W398">
        <v>0</v>
      </c>
      <c r="X398">
        <v>0</v>
      </c>
      <c r="Y398">
        <v>0</v>
      </c>
      <c r="Z398">
        <v>2.6</v>
      </c>
      <c r="AA398">
        <v>8.7932900432900439E-3</v>
      </c>
      <c r="AB398">
        <v>25.8</v>
      </c>
      <c r="AC398">
        <v>12</v>
      </c>
      <c r="AD398">
        <v>28.64</v>
      </c>
      <c r="AI39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398" t="s">
        <v>214</v>
      </c>
      <c r="AN398">
        <f>INT(Table1[[#This Row],[reject_prod]]/Table1[[#This Row],[part_weight]] * 1000)</f>
        <v>59</v>
      </c>
    </row>
    <row r="399" spans="1:40">
      <c r="A399" s="1">
        <v>46035</v>
      </c>
      <c r="B399">
        <v>2</v>
      </c>
      <c r="C399">
        <v>2</v>
      </c>
      <c r="D399" t="s">
        <v>124</v>
      </c>
      <c r="E399" t="s">
        <v>34</v>
      </c>
      <c r="F399">
        <v>463202</v>
      </c>
      <c r="G399">
        <v>0</v>
      </c>
      <c r="H399" t="s">
        <v>320</v>
      </c>
      <c r="I399">
        <v>10684540</v>
      </c>
      <c r="J399">
        <v>4</v>
      </c>
      <c r="K399">
        <v>23</v>
      </c>
      <c r="L399">
        <v>23</v>
      </c>
      <c r="M399">
        <v>830</v>
      </c>
      <c r="N399" s="2">
        <v>40920</v>
      </c>
      <c r="O399" s="2">
        <v>0</v>
      </c>
      <c r="P399" s="2">
        <v>3255</v>
      </c>
      <c r="Q399" s="2">
        <v>3320</v>
      </c>
      <c r="R399" s="2">
        <v>0</v>
      </c>
      <c r="S399">
        <v>0</v>
      </c>
      <c r="T399" s="2">
        <v>3255</v>
      </c>
      <c r="U399" s="2">
        <v>37665</v>
      </c>
      <c r="V399">
        <v>76.36</v>
      </c>
      <c r="W399">
        <v>0</v>
      </c>
      <c r="X399">
        <v>8.1999999999999993</v>
      </c>
      <c r="Y399">
        <v>0.107386066003143</v>
      </c>
      <c r="Z399">
        <v>0</v>
      </c>
      <c r="AA399">
        <v>0</v>
      </c>
      <c r="AB399">
        <v>23.27</v>
      </c>
      <c r="AC399">
        <v>5.3650277777777777</v>
      </c>
      <c r="AD399">
        <v>22.92</v>
      </c>
      <c r="AI39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6.6349722222222223</v>
      </c>
      <c r="AK399" t="s">
        <v>321</v>
      </c>
      <c r="AN399">
        <f>INT(Table1[[#This Row],[reject_prod]]/Table1[[#This Row],[part_weight]] * 1000)</f>
        <v>0</v>
      </c>
    </row>
    <row r="400" spans="1:40">
      <c r="A400" s="1">
        <v>46035</v>
      </c>
      <c r="B400">
        <v>2</v>
      </c>
      <c r="C400">
        <v>3</v>
      </c>
      <c r="D400" t="s">
        <v>307</v>
      </c>
      <c r="E400" t="s">
        <v>34</v>
      </c>
      <c r="F400">
        <v>442034</v>
      </c>
      <c r="G400">
        <v>0</v>
      </c>
      <c r="H400" t="s">
        <v>37</v>
      </c>
      <c r="I400">
        <v>10681183</v>
      </c>
      <c r="J400">
        <v>4</v>
      </c>
      <c r="K400">
        <v>23</v>
      </c>
      <c r="L400">
        <v>23</v>
      </c>
      <c r="M400">
        <v>1632</v>
      </c>
      <c r="N400" s="2">
        <v>139776</v>
      </c>
      <c r="O400" s="2">
        <v>3840</v>
      </c>
      <c r="P400" s="2">
        <v>1152</v>
      </c>
      <c r="Q400" s="2">
        <v>6528</v>
      </c>
      <c r="R400" s="2">
        <v>9216</v>
      </c>
      <c r="S400">
        <v>211.96799999999999</v>
      </c>
      <c r="T400" s="2">
        <v>97920</v>
      </c>
      <c r="U400" s="2">
        <v>41856</v>
      </c>
      <c r="V400">
        <v>150.14400000000001</v>
      </c>
      <c r="W400">
        <v>0</v>
      </c>
      <c r="X400">
        <v>0</v>
      </c>
      <c r="Y400">
        <v>0</v>
      </c>
      <c r="Z400">
        <v>6.3</v>
      </c>
      <c r="AA400">
        <v>4.1959718670076723E-2</v>
      </c>
      <c r="AB400">
        <v>26.55</v>
      </c>
      <c r="AC400">
        <v>12</v>
      </c>
      <c r="AD400">
        <v>22</v>
      </c>
      <c r="AI40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400" t="s">
        <v>75</v>
      </c>
      <c r="AN400">
        <f>INT(Table1[[#This Row],[reject_prod]]/Table1[[#This Row],[part_weight]] * 1000)</f>
        <v>273</v>
      </c>
    </row>
    <row r="401" spans="1:40">
      <c r="A401" s="1">
        <v>46035</v>
      </c>
      <c r="B401">
        <v>2</v>
      </c>
      <c r="C401">
        <v>4</v>
      </c>
      <c r="F401">
        <v>123456</v>
      </c>
      <c r="G401">
        <v>0</v>
      </c>
      <c r="M401">
        <v>0</v>
      </c>
      <c r="N401">
        <v>0</v>
      </c>
      <c r="O401">
        <v>0</v>
      </c>
      <c r="P401">
        <v>0</v>
      </c>
      <c r="R401">
        <v>0</v>
      </c>
      <c r="T401">
        <v>0</v>
      </c>
      <c r="X401">
        <v>0</v>
      </c>
      <c r="Z401">
        <v>0</v>
      </c>
      <c r="AB401">
        <v>0</v>
      </c>
      <c r="AC401">
        <v>0</v>
      </c>
      <c r="AD401">
        <v>22.5</v>
      </c>
      <c r="AI40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401">
        <v>12</v>
      </c>
      <c r="AK401" t="s">
        <v>116</v>
      </c>
      <c r="AN401">
        <v>0</v>
      </c>
    </row>
    <row r="402" spans="1:40">
      <c r="A402" s="1">
        <v>46035</v>
      </c>
      <c r="B402">
        <v>2</v>
      </c>
      <c r="C402">
        <v>5</v>
      </c>
      <c r="D402" t="s">
        <v>56</v>
      </c>
      <c r="E402" t="s">
        <v>34</v>
      </c>
      <c r="F402">
        <v>597507</v>
      </c>
      <c r="G402">
        <v>0</v>
      </c>
      <c r="H402" t="s">
        <v>279</v>
      </c>
      <c r="I402">
        <v>10682757</v>
      </c>
      <c r="J402">
        <v>4</v>
      </c>
      <c r="K402">
        <v>23</v>
      </c>
      <c r="L402">
        <v>23</v>
      </c>
      <c r="M402">
        <v>1865</v>
      </c>
      <c r="N402" s="2">
        <v>64680</v>
      </c>
      <c r="O402" s="2">
        <v>462</v>
      </c>
      <c r="P402" s="2">
        <v>308</v>
      </c>
      <c r="Q402" s="2">
        <v>7460</v>
      </c>
      <c r="R402" s="2">
        <v>7546</v>
      </c>
      <c r="S402">
        <v>173.55799999999999</v>
      </c>
      <c r="T402" s="2">
        <v>12166</v>
      </c>
      <c r="U402" s="2">
        <v>52514</v>
      </c>
      <c r="V402">
        <v>171.58</v>
      </c>
      <c r="W402">
        <v>0</v>
      </c>
      <c r="X402">
        <v>0</v>
      </c>
      <c r="Y402">
        <v>0</v>
      </c>
      <c r="Z402">
        <v>5.3</v>
      </c>
      <c r="AA402">
        <v>3.0889381046742041E-2</v>
      </c>
      <c r="AB402">
        <v>22.16</v>
      </c>
      <c r="AC402">
        <v>11.48011111111111</v>
      </c>
      <c r="AD402">
        <v>22</v>
      </c>
      <c r="AI40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0.51988888888888951</v>
      </c>
      <c r="AK402" t="s">
        <v>322</v>
      </c>
      <c r="AN402">
        <f>INT(Table1[[#This Row],[reject_prod]]/Table1[[#This Row],[part_weight]] * 1000)</f>
        <v>230</v>
      </c>
    </row>
    <row r="403" spans="1:40">
      <c r="A403" s="1">
        <v>46035</v>
      </c>
      <c r="B403">
        <v>2</v>
      </c>
      <c r="C403">
        <v>6</v>
      </c>
      <c r="D403" t="s">
        <v>308</v>
      </c>
      <c r="E403" t="s">
        <v>34</v>
      </c>
      <c r="F403">
        <v>532981</v>
      </c>
      <c r="G403">
        <v>0</v>
      </c>
      <c r="H403" t="s">
        <v>233</v>
      </c>
      <c r="I403">
        <v>10682758</v>
      </c>
      <c r="J403">
        <v>4</v>
      </c>
      <c r="K403">
        <v>24.45</v>
      </c>
      <c r="L403">
        <v>24</v>
      </c>
      <c r="M403">
        <v>1940</v>
      </c>
      <c r="N403" s="2">
        <v>87552</v>
      </c>
      <c r="O403" s="2">
        <v>3648</v>
      </c>
      <c r="P403" s="2">
        <v>456</v>
      </c>
      <c r="Q403" s="2">
        <v>7760</v>
      </c>
      <c r="R403" s="2">
        <v>10944</v>
      </c>
      <c r="S403">
        <v>262.65600000000001</v>
      </c>
      <c r="T403" s="2">
        <v>71592</v>
      </c>
      <c r="U403" s="2">
        <v>15960</v>
      </c>
      <c r="V403">
        <v>186.24</v>
      </c>
      <c r="W403">
        <v>0</v>
      </c>
      <c r="X403">
        <v>0</v>
      </c>
      <c r="Y403">
        <v>0</v>
      </c>
      <c r="Z403">
        <v>1.2</v>
      </c>
      <c r="AA403">
        <v>6.4432989690721646E-3</v>
      </c>
      <c r="AB403">
        <v>21.87</v>
      </c>
      <c r="AC403">
        <v>11.785500000000001</v>
      </c>
      <c r="AD403">
        <v>20</v>
      </c>
      <c r="AI40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0.21449999999999925</v>
      </c>
      <c r="AK403" t="s">
        <v>103</v>
      </c>
      <c r="AN403">
        <f>INT(Table1[[#This Row],[reject_prod]]/Table1[[#This Row],[part_weight]] * 1000)</f>
        <v>50</v>
      </c>
    </row>
    <row r="404" spans="1:40">
      <c r="A404" s="1">
        <v>46035</v>
      </c>
      <c r="B404">
        <v>2</v>
      </c>
      <c r="C404">
        <v>7</v>
      </c>
      <c r="D404" t="s">
        <v>53</v>
      </c>
      <c r="E404" t="s">
        <v>34</v>
      </c>
      <c r="F404">
        <v>324177</v>
      </c>
      <c r="G404">
        <v>0</v>
      </c>
      <c r="H404" t="s">
        <v>246</v>
      </c>
      <c r="I404">
        <v>10682801</v>
      </c>
      <c r="J404">
        <v>4</v>
      </c>
      <c r="K404">
        <v>34.5</v>
      </c>
      <c r="L404">
        <v>34.5</v>
      </c>
      <c r="M404">
        <v>1760</v>
      </c>
      <c r="N404" s="2">
        <v>62400</v>
      </c>
      <c r="O404" s="2">
        <v>312</v>
      </c>
      <c r="P404" s="2">
        <v>1092</v>
      </c>
      <c r="Q404" s="2">
        <v>7040</v>
      </c>
      <c r="R404" s="2">
        <v>6240</v>
      </c>
      <c r="S404">
        <v>215.28</v>
      </c>
      <c r="T404" s="2">
        <v>30732</v>
      </c>
      <c r="U404" s="2">
        <v>31668</v>
      </c>
      <c r="V404">
        <v>242.88</v>
      </c>
      <c r="W404">
        <v>0</v>
      </c>
      <c r="X404">
        <v>0</v>
      </c>
      <c r="Y404">
        <v>0</v>
      </c>
      <c r="Z404">
        <v>6</v>
      </c>
      <c r="AA404">
        <v>2.4703557312252964E-2</v>
      </c>
      <c r="AB404">
        <v>22.24</v>
      </c>
      <c r="AC404">
        <v>10.872888888888889</v>
      </c>
      <c r="AD404">
        <v>22</v>
      </c>
      <c r="AI40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1.1271111111111107</v>
      </c>
      <c r="AK404" t="s">
        <v>323</v>
      </c>
      <c r="AN404">
        <f>INT(Table1[[#This Row],[reject_prod]]/Table1[[#This Row],[part_weight]] * 1000)</f>
        <v>173</v>
      </c>
    </row>
    <row r="405" spans="1:40">
      <c r="A405" s="1">
        <v>46035</v>
      </c>
      <c r="B405">
        <v>2</v>
      </c>
      <c r="C405">
        <v>8</v>
      </c>
      <c r="D405" t="s">
        <v>33</v>
      </c>
      <c r="E405" t="s">
        <v>41</v>
      </c>
      <c r="F405">
        <v>593537</v>
      </c>
      <c r="G405">
        <v>0</v>
      </c>
      <c r="H405" t="s">
        <v>48</v>
      </c>
      <c r="I405">
        <v>10682926</v>
      </c>
      <c r="J405">
        <v>4</v>
      </c>
      <c r="K405">
        <v>56.5</v>
      </c>
      <c r="L405">
        <v>56.8</v>
      </c>
      <c r="M405">
        <v>0</v>
      </c>
      <c r="N405" s="2">
        <v>69000</v>
      </c>
      <c r="O405" s="2">
        <v>0</v>
      </c>
      <c r="P405" s="2">
        <v>0</v>
      </c>
      <c r="Q405" s="2">
        <v>0</v>
      </c>
      <c r="R405" s="2">
        <v>0</v>
      </c>
      <c r="S405">
        <v>0</v>
      </c>
      <c r="T405" s="2">
        <v>24725</v>
      </c>
      <c r="U405" s="2">
        <v>44275</v>
      </c>
      <c r="V405">
        <v>0</v>
      </c>
      <c r="W405">
        <v>0</v>
      </c>
      <c r="X405">
        <v>0</v>
      </c>
      <c r="Y405" t="e">
        <v>#DIV/0!</v>
      </c>
      <c r="Z405">
        <v>0</v>
      </c>
      <c r="AA405" t="e">
        <v>#DIV/0!</v>
      </c>
      <c r="AB405">
        <v>27.31</v>
      </c>
      <c r="AC405">
        <v>0</v>
      </c>
      <c r="AD405">
        <v>28.5</v>
      </c>
      <c r="AE405">
        <v>5.5</v>
      </c>
      <c r="AI40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6.5</v>
      </c>
      <c r="AK405" t="s">
        <v>161</v>
      </c>
      <c r="AN405">
        <f>INT(Table1[[#This Row],[reject_prod]]/Table1[[#This Row],[part_weight]] * 1000)</f>
        <v>0</v>
      </c>
    </row>
    <row r="406" spans="1:40">
      <c r="A406" s="1">
        <v>46035</v>
      </c>
      <c r="B406">
        <v>2</v>
      </c>
      <c r="C406">
        <v>9</v>
      </c>
      <c r="D406" t="s">
        <v>54</v>
      </c>
      <c r="E406" t="s">
        <v>46</v>
      </c>
      <c r="F406">
        <v>586276</v>
      </c>
      <c r="G406">
        <v>0</v>
      </c>
      <c r="H406" t="s">
        <v>47</v>
      </c>
      <c r="I406">
        <v>10682924</v>
      </c>
      <c r="J406">
        <v>6</v>
      </c>
      <c r="K406">
        <v>12.3</v>
      </c>
      <c r="L406">
        <v>12.3</v>
      </c>
      <c r="M406">
        <v>1300</v>
      </c>
      <c r="N406" s="2">
        <v>162000</v>
      </c>
      <c r="O406" s="2">
        <v>4860</v>
      </c>
      <c r="P406" s="2">
        <v>4455</v>
      </c>
      <c r="Q406" s="2">
        <v>7800</v>
      </c>
      <c r="R406" s="2">
        <v>8100</v>
      </c>
      <c r="S406">
        <v>99.63</v>
      </c>
      <c r="T406" s="2">
        <v>77355</v>
      </c>
      <c r="U406" s="2">
        <v>84645</v>
      </c>
      <c r="V406">
        <v>95.94</v>
      </c>
      <c r="W406">
        <v>0</v>
      </c>
      <c r="X406">
        <v>1.8</v>
      </c>
      <c r="Y406">
        <v>1.8761726078799251E-2</v>
      </c>
      <c r="Z406">
        <v>0</v>
      </c>
      <c r="AA406">
        <v>0</v>
      </c>
      <c r="AB406">
        <v>26.2</v>
      </c>
      <c r="AC406">
        <v>9.4611111111111121</v>
      </c>
      <c r="AD406">
        <v>26</v>
      </c>
      <c r="AI40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2.5388888888888879</v>
      </c>
      <c r="AK406" t="s">
        <v>324</v>
      </c>
      <c r="AN406">
        <f>INT(Table1[[#This Row],[reject_prod]]/Table1[[#This Row],[part_weight]] * 1000)</f>
        <v>0</v>
      </c>
    </row>
    <row r="407" spans="1:40">
      <c r="A407" s="1">
        <v>46035</v>
      </c>
      <c r="B407">
        <v>2</v>
      </c>
      <c r="C407">
        <v>10</v>
      </c>
      <c r="D407" t="s">
        <v>33</v>
      </c>
      <c r="E407" t="s">
        <v>34</v>
      </c>
      <c r="F407">
        <v>442310</v>
      </c>
      <c r="G407">
        <v>0</v>
      </c>
      <c r="H407" t="s">
        <v>315</v>
      </c>
      <c r="I407">
        <v>10684380</v>
      </c>
      <c r="J407">
        <v>4</v>
      </c>
      <c r="K407">
        <v>68.8</v>
      </c>
      <c r="L407">
        <v>68.8</v>
      </c>
      <c r="M407">
        <v>0</v>
      </c>
      <c r="N407" s="2">
        <v>8008</v>
      </c>
      <c r="O407" s="2">
        <v>0</v>
      </c>
      <c r="P407" s="2">
        <v>0</v>
      </c>
      <c r="Q407" s="2">
        <v>0</v>
      </c>
      <c r="R407" s="2">
        <v>0</v>
      </c>
      <c r="S407">
        <v>0</v>
      </c>
      <c r="T407" s="2">
        <v>0</v>
      </c>
      <c r="U407" s="2">
        <v>8008</v>
      </c>
      <c r="V407">
        <v>0</v>
      </c>
      <c r="W407">
        <v>0</v>
      </c>
      <c r="X407">
        <v>27.3</v>
      </c>
      <c r="Y407" t="e">
        <v>#DIV/0!</v>
      </c>
      <c r="Z407">
        <v>0</v>
      </c>
      <c r="AA407" t="e">
        <v>#DIV/0!</v>
      </c>
      <c r="AB407">
        <v>31.7</v>
      </c>
      <c r="AC407">
        <v>0</v>
      </c>
      <c r="AD407">
        <v>33.840000000000003</v>
      </c>
      <c r="AE407">
        <v>5.5</v>
      </c>
      <c r="AI40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6.5</v>
      </c>
      <c r="AK407" t="s">
        <v>325</v>
      </c>
      <c r="AN407">
        <f>INT(Table1[[#This Row],[reject_prod]]/Table1[[#This Row],[part_weight]] * 1000)</f>
        <v>0</v>
      </c>
    </row>
    <row r="408" spans="1:40">
      <c r="A408" s="1">
        <v>46035</v>
      </c>
      <c r="B408">
        <v>2</v>
      </c>
      <c r="C408">
        <v>11</v>
      </c>
      <c r="D408" t="s">
        <v>139</v>
      </c>
      <c r="E408" t="s">
        <v>46</v>
      </c>
      <c r="F408">
        <v>552181</v>
      </c>
      <c r="G408">
        <v>1</v>
      </c>
      <c r="H408" t="s">
        <v>49</v>
      </c>
      <c r="I408">
        <v>10683782</v>
      </c>
      <c r="J408">
        <v>6</v>
      </c>
      <c r="K408">
        <v>18.8</v>
      </c>
      <c r="L408">
        <v>18.8</v>
      </c>
      <c r="M408">
        <v>1540</v>
      </c>
      <c r="N408" s="2">
        <v>108000</v>
      </c>
      <c r="O408" s="2">
        <v>0</v>
      </c>
      <c r="P408" s="2">
        <v>3780</v>
      </c>
      <c r="Q408" s="2">
        <v>9240</v>
      </c>
      <c r="R408" s="2">
        <v>5400</v>
      </c>
      <c r="S408">
        <v>101.52</v>
      </c>
      <c r="T408" s="2">
        <v>25380</v>
      </c>
      <c r="U408" s="2">
        <v>82620</v>
      </c>
      <c r="V408">
        <v>173.71199999999999</v>
      </c>
      <c r="W408">
        <v>0</v>
      </c>
      <c r="X408">
        <v>0</v>
      </c>
      <c r="Y408">
        <v>0</v>
      </c>
      <c r="Z408">
        <v>1.2</v>
      </c>
      <c r="AA408">
        <v>6.9079856313898867E-3</v>
      </c>
      <c r="AB408">
        <v>27.6</v>
      </c>
      <c r="AC408">
        <v>11.806666666666667</v>
      </c>
      <c r="AD408">
        <v>27</v>
      </c>
      <c r="AI40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0.19333333333333336</v>
      </c>
      <c r="AK408" t="s">
        <v>51</v>
      </c>
      <c r="AN408">
        <f>INT(Table1[[#This Row],[reject_prod]]/Table1[[#This Row],[part_weight]] * 1000)</f>
        <v>63</v>
      </c>
    </row>
    <row r="409" spans="1:40">
      <c r="A409" s="1">
        <v>46035</v>
      </c>
      <c r="B409">
        <v>2</v>
      </c>
      <c r="C409">
        <v>12</v>
      </c>
      <c r="D409" t="s">
        <v>84</v>
      </c>
      <c r="E409" t="s">
        <v>34</v>
      </c>
      <c r="F409">
        <v>620599</v>
      </c>
      <c r="G409">
        <v>0</v>
      </c>
      <c r="H409" t="s">
        <v>50</v>
      </c>
      <c r="I409">
        <v>10682929</v>
      </c>
      <c r="J409">
        <v>4</v>
      </c>
      <c r="K409">
        <v>55</v>
      </c>
      <c r="L409">
        <v>55</v>
      </c>
      <c r="M409">
        <v>1480</v>
      </c>
      <c r="N409" s="2">
        <v>72000</v>
      </c>
      <c r="O409" s="2">
        <v>675</v>
      </c>
      <c r="P409" s="2">
        <v>1125</v>
      </c>
      <c r="Q409" s="2">
        <v>5920</v>
      </c>
      <c r="R409" s="2">
        <v>5400</v>
      </c>
      <c r="S409">
        <v>297</v>
      </c>
      <c r="T409" s="2">
        <v>20025</v>
      </c>
      <c r="U409" s="2">
        <v>51975</v>
      </c>
      <c r="V409">
        <v>325.60000000000002</v>
      </c>
      <c r="W409">
        <v>0</v>
      </c>
      <c r="X409">
        <v>0</v>
      </c>
      <c r="Y409">
        <v>0</v>
      </c>
      <c r="Z409">
        <v>9.3000000000000007</v>
      </c>
      <c r="AA409">
        <v>2.8562653562653563E-2</v>
      </c>
      <c r="AB409">
        <v>28</v>
      </c>
      <c r="AC409">
        <v>11.511111111111111</v>
      </c>
      <c r="AD409">
        <v>28</v>
      </c>
      <c r="AI40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0.48888888888888893</v>
      </c>
      <c r="AK409" t="s">
        <v>326</v>
      </c>
      <c r="AN409">
        <f>INT(Table1[[#This Row],[reject_prod]]/Table1[[#This Row],[part_weight]] * 1000)</f>
        <v>169</v>
      </c>
    </row>
    <row r="410" spans="1:40">
      <c r="A410" s="1">
        <v>46035</v>
      </c>
      <c r="B410">
        <v>2</v>
      </c>
      <c r="C410">
        <v>13</v>
      </c>
      <c r="D410" t="s">
        <v>309</v>
      </c>
      <c r="E410" t="s">
        <v>46</v>
      </c>
      <c r="F410">
        <v>586276</v>
      </c>
      <c r="G410">
        <v>0</v>
      </c>
      <c r="H410" t="s">
        <v>47</v>
      </c>
      <c r="I410">
        <v>10683784</v>
      </c>
      <c r="J410">
        <v>6</v>
      </c>
      <c r="K410">
        <v>12.3</v>
      </c>
      <c r="L410">
        <v>12.3</v>
      </c>
      <c r="M410">
        <v>1620</v>
      </c>
      <c r="N410" s="2">
        <v>162000</v>
      </c>
      <c r="O410" s="2">
        <v>7290</v>
      </c>
      <c r="P410" s="2">
        <v>810</v>
      </c>
      <c r="Q410" s="2">
        <v>9720</v>
      </c>
      <c r="R410" s="2">
        <v>16200</v>
      </c>
      <c r="S410">
        <v>199.26</v>
      </c>
      <c r="T410" s="2">
        <v>25110</v>
      </c>
      <c r="U410" s="2">
        <v>136890</v>
      </c>
      <c r="V410">
        <v>119.556</v>
      </c>
      <c r="W410">
        <v>0</v>
      </c>
      <c r="X410">
        <v>0</v>
      </c>
      <c r="Y410">
        <v>0</v>
      </c>
      <c r="Z410">
        <v>1</v>
      </c>
      <c r="AA410">
        <v>8.3642811736759342E-3</v>
      </c>
      <c r="AB410">
        <v>26.4</v>
      </c>
      <c r="AC410">
        <v>11.879999999999999</v>
      </c>
      <c r="AD410">
        <v>26</v>
      </c>
      <c r="AI41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0.12000000000000099</v>
      </c>
      <c r="AK410" t="s">
        <v>51</v>
      </c>
      <c r="AN410">
        <f>INT(Table1[[#This Row],[reject_prod]]/Table1[[#This Row],[part_weight]] * 1000)</f>
        <v>81</v>
      </c>
    </row>
    <row r="411" spans="1:40">
      <c r="A411" s="1">
        <v>46035</v>
      </c>
      <c r="B411">
        <v>2</v>
      </c>
      <c r="C411">
        <v>14</v>
      </c>
      <c r="D411" t="s">
        <v>289</v>
      </c>
      <c r="E411" t="s">
        <v>46</v>
      </c>
      <c r="F411">
        <v>555979</v>
      </c>
      <c r="G411">
        <v>1</v>
      </c>
      <c r="H411" t="s">
        <v>52</v>
      </c>
      <c r="I411">
        <v>10682932</v>
      </c>
      <c r="J411">
        <v>6</v>
      </c>
      <c r="K411">
        <v>28</v>
      </c>
      <c r="L411">
        <v>28</v>
      </c>
      <c r="M411">
        <v>980</v>
      </c>
      <c r="N411" s="2">
        <v>100800</v>
      </c>
      <c r="O411" s="2">
        <v>0</v>
      </c>
      <c r="P411" s="2">
        <v>2520</v>
      </c>
      <c r="Q411" s="2">
        <v>5880</v>
      </c>
      <c r="R411" s="2">
        <v>3360</v>
      </c>
      <c r="S411">
        <v>94.08</v>
      </c>
      <c r="T411" s="2">
        <v>66360</v>
      </c>
      <c r="U411" s="2">
        <v>34440</v>
      </c>
      <c r="V411">
        <v>164.64</v>
      </c>
      <c r="W411">
        <v>0</v>
      </c>
      <c r="X411">
        <v>0</v>
      </c>
      <c r="Y411">
        <v>0</v>
      </c>
      <c r="Z411">
        <v>1</v>
      </c>
      <c r="AA411">
        <v>6.0738581146744415E-3</v>
      </c>
      <c r="AB411">
        <v>44.1</v>
      </c>
      <c r="AC411">
        <v>12</v>
      </c>
      <c r="AD411">
        <v>42</v>
      </c>
      <c r="AI41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411" t="s">
        <v>51</v>
      </c>
      <c r="AN411">
        <f>INT(Table1[[#This Row],[reject_prod]]/Table1[[#This Row],[part_weight]] * 1000)</f>
        <v>35</v>
      </c>
    </row>
    <row r="412" spans="1:40">
      <c r="A412" s="1">
        <v>46035</v>
      </c>
      <c r="B412">
        <v>2</v>
      </c>
      <c r="C412">
        <v>15</v>
      </c>
      <c r="D412" t="s">
        <v>139</v>
      </c>
      <c r="E412" t="s">
        <v>46</v>
      </c>
      <c r="F412">
        <v>552181</v>
      </c>
      <c r="G412">
        <v>2</v>
      </c>
      <c r="H412" t="s">
        <v>49</v>
      </c>
      <c r="I412">
        <v>10682934</v>
      </c>
      <c r="J412">
        <v>6</v>
      </c>
      <c r="K412">
        <v>18.8</v>
      </c>
      <c r="L412">
        <v>18.8</v>
      </c>
      <c r="M412">
        <v>1260</v>
      </c>
      <c r="N412" s="2">
        <v>108000</v>
      </c>
      <c r="O412" s="2">
        <v>3240</v>
      </c>
      <c r="P412" s="2">
        <v>0</v>
      </c>
      <c r="Q412" s="2">
        <v>7560</v>
      </c>
      <c r="R412" s="2">
        <v>10800</v>
      </c>
      <c r="S412">
        <v>203.04</v>
      </c>
      <c r="T412" s="2">
        <v>108000</v>
      </c>
      <c r="U412" s="2">
        <v>0</v>
      </c>
      <c r="V412">
        <v>142.12799999999999</v>
      </c>
      <c r="W412">
        <v>0</v>
      </c>
      <c r="X412">
        <v>0</v>
      </c>
      <c r="Y412">
        <v>0</v>
      </c>
      <c r="Z412">
        <v>1.2</v>
      </c>
      <c r="AA412">
        <v>8.443093549476529E-3</v>
      </c>
      <c r="AB412">
        <v>31.3</v>
      </c>
      <c r="AC412">
        <v>10.955</v>
      </c>
      <c r="AD412">
        <v>27</v>
      </c>
      <c r="AI41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1.0449999999999999</v>
      </c>
      <c r="AK412" t="s">
        <v>102</v>
      </c>
      <c r="AN412">
        <f>INT(Table1[[#This Row],[reject_prod]]/Table1[[#This Row],[part_weight]] * 1000)</f>
        <v>63</v>
      </c>
    </row>
    <row r="413" spans="1:40">
      <c r="A413" s="1">
        <v>46035</v>
      </c>
      <c r="B413">
        <v>2</v>
      </c>
      <c r="C413">
        <v>15</v>
      </c>
      <c r="D413" t="s">
        <v>139</v>
      </c>
      <c r="E413" t="s">
        <v>46</v>
      </c>
      <c r="F413">
        <v>552181</v>
      </c>
      <c r="G413" s="6">
        <v>2</v>
      </c>
      <c r="H413" t="s">
        <v>49</v>
      </c>
      <c r="I413">
        <v>10683786</v>
      </c>
      <c r="J413">
        <v>6</v>
      </c>
      <c r="K413">
        <v>18.8</v>
      </c>
      <c r="L413">
        <v>18.8</v>
      </c>
      <c r="M413">
        <v>135</v>
      </c>
      <c r="N413" s="2">
        <v>108000</v>
      </c>
      <c r="O413" s="2">
        <v>0</v>
      </c>
      <c r="P413" s="2">
        <v>810</v>
      </c>
      <c r="Q413" s="2">
        <v>810</v>
      </c>
      <c r="R413" s="2">
        <v>0</v>
      </c>
      <c r="S413">
        <v>0</v>
      </c>
      <c r="T413" s="2">
        <v>810</v>
      </c>
      <c r="U413" s="2">
        <v>107190</v>
      </c>
      <c r="V413">
        <v>15.228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31.3</v>
      </c>
      <c r="AC413">
        <v>1.1737499999999998</v>
      </c>
      <c r="AD413">
        <v>27</v>
      </c>
      <c r="AI41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10.82625</v>
      </c>
      <c r="AK413" t="s">
        <v>51</v>
      </c>
      <c r="AN413">
        <f>INT(Table1[[#This Row],[reject_prod]]/Table1[[#This Row],[part_weight]] * 1000)</f>
        <v>0</v>
      </c>
    </row>
    <row r="414" spans="1:40" s="4" customFormat="1">
      <c r="A414" s="3">
        <v>46035</v>
      </c>
      <c r="B414" s="4">
        <v>2</v>
      </c>
      <c r="C414" s="4">
        <v>16</v>
      </c>
      <c r="D414" s="4" t="s">
        <v>208</v>
      </c>
      <c r="E414" s="4" t="s">
        <v>46</v>
      </c>
      <c r="F414" s="4">
        <v>555979</v>
      </c>
      <c r="G414" s="4">
        <v>2</v>
      </c>
      <c r="H414" s="4" t="s">
        <v>52</v>
      </c>
      <c r="I414" s="4">
        <v>10683788</v>
      </c>
      <c r="J414" s="4">
        <v>6</v>
      </c>
      <c r="K414" s="4">
        <v>28</v>
      </c>
      <c r="L414" s="4">
        <v>28</v>
      </c>
      <c r="M414" s="4">
        <v>790</v>
      </c>
      <c r="N414" s="5">
        <v>100800</v>
      </c>
      <c r="O414" s="5">
        <v>840</v>
      </c>
      <c r="P414" s="5">
        <v>1680</v>
      </c>
      <c r="Q414" s="5">
        <v>4740</v>
      </c>
      <c r="R414" s="5">
        <v>3360</v>
      </c>
      <c r="S414" s="4">
        <v>94.08</v>
      </c>
      <c r="T414" s="5">
        <v>8400</v>
      </c>
      <c r="U414" s="5">
        <v>92400</v>
      </c>
      <c r="V414" s="4">
        <v>132.72</v>
      </c>
      <c r="W414" s="4">
        <v>0</v>
      </c>
      <c r="X414" s="4">
        <v>0</v>
      </c>
      <c r="Y414" s="4">
        <v>0</v>
      </c>
      <c r="Z414" s="4">
        <v>12.5</v>
      </c>
      <c r="AA414" s="4">
        <v>9.418324291742014E-2</v>
      </c>
      <c r="AB414" s="4">
        <v>43.7</v>
      </c>
      <c r="AC414" s="4">
        <v>9.5897222222222229</v>
      </c>
      <c r="AD414" s="4">
        <v>42</v>
      </c>
      <c r="AI41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2.4102777777777771</v>
      </c>
      <c r="AK414" s="4" t="s">
        <v>327</v>
      </c>
      <c r="AN414" s="4">
        <f>INT(Table1[[#This Row],[reject_prod]]/Table1[[#This Row],[part_weight]] * 1000)</f>
        <v>446</v>
      </c>
    </row>
    <row r="415" spans="1:40">
      <c r="A415" s="1">
        <v>46036</v>
      </c>
      <c r="B415">
        <v>1</v>
      </c>
      <c r="C415">
        <v>1</v>
      </c>
      <c r="D415" t="s">
        <v>141</v>
      </c>
      <c r="E415" t="s">
        <v>34</v>
      </c>
      <c r="F415">
        <v>365091</v>
      </c>
      <c r="G415">
        <v>0</v>
      </c>
      <c r="H415" t="s">
        <v>189</v>
      </c>
      <c r="I415">
        <v>10682753</v>
      </c>
      <c r="J415">
        <v>4</v>
      </c>
      <c r="K415">
        <v>44</v>
      </c>
      <c r="L415">
        <v>44</v>
      </c>
      <c r="M415">
        <v>1643</v>
      </c>
      <c r="N415" s="2">
        <v>66885</v>
      </c>
      <c r="O415" s="2">
        <v>105</v>
      </c>
      <c r="P415" s="2">
        <v>315</v>
      </c>
      <c r="Q415" s="2">
        <v>6572</v>
      </c>
      <c r="R415" s="2">
        <v>6300</v>
      </c>
      <c r="S415">
        <v>277.2</v>
      </c>
      <c r="T415" s="2">
        <v>60795</v>
      </c>
      <c r="U415" s="2">
        <v>6090</v>
      </c>
      <c r="V415">
        <v>289.16800000000001</v>
      </c>
      <c r="W415">
        <v>0</v>
      </c>
      <c r="X415">
        <v>0</v>
      </c>
      <c r="Y415">
        <v>0</v>
      </c>
      <c r="Z415">
        <v>2.5</v>
      </c>
      <c r="AA415">
        <v>8.6454932772644273E-3</v>
      </c>
      <c r="AB415">
        <v>25.8</v>
      </c>
      <c r="AC415">
        <v>11.774833333333333</v>
      </c>
      <c r="AD415">
        <v>28.64</v>
      </c>
      <c r="AI41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0.22516666666666652</v>
      </c>
      <c r="AK415" t="s">
        <v>214</v>
      </c>
      <c r="AN415">
        <f>INT(Table1[[#This Row],[reject_prod]]/Table1[[#This Row],[part_weight]] * 1000)</f>
        <v>56</v>
      </c>
    </row>
    <row r="416" spans="1:40">
      <c r="A416" s="1">
        <v>46036</v>
      </c>
      <c r="B416">
        <v>1</v>
      </c>
      <c r="C416">
        <v>2</v>
      </c>
      <c r="D416" t="s">
        <v>127</v>
      </c>
      <c r="E416" t="s">
        <v>34</v>
      </c>
      <c r="F416">
        <v>463202</v>
      </c>
      <c r="G416">
        <v>0</v>
      </c>
      <c r="H416" t="s">
        <v>320</v>
      </c>
      <c r="I416">
        <v>10684540</v>
      </c>
      <c r="J416">
        <v>4</v>
      </c>
      <c r="K416">
        <v>23</v>
      </c>
      <c r="L416">
        <v>23</v>
      </c>
      <c r="M416">
        <v>1761</v>
      </c>
      <c r="N416" s="2">
        <v>40920</v>
      </c>
      <c r="O416" s="2">
        <v>3255</v>
      </c>
      <c r="P416" s="2">
        <v>4650</v>
      </c>
      <c r="Q416" s="2">
        <v>7044</v>
      </c>
      <c r="R416" s="2">
        <v>5580</v>
      </c>
      <c r="S416">
        <v>128.34</v>
      </c>
      <c r="T416" s="2">
        <v>10230</v>
      </c>
      <c r="U416" s="2">
        <v>30690</v>
      </c>
      <c r="V416">
        <v>162.012</v>
      </c>
      <c r="W416">
        <v>0</v>
      </c>
      <c r="X416">
        <v>0</v>
      </c>
      <c r="Y416">
        <v>0</v>
      </c>
      <c r="Z416">
        <v>1.5</v>
      </c>
      <c r="AA416">
        <v>9.2585734390045176E-3</v>
      </c>
      <c r="AB416">
        <v>23.3</v>
      </c>
      <c r="AC416">
        <v>11.397583333333333</v>
      </c>
      <c r="AD416">
        <v>22.92</v>
      </c>
      <c r="AI41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0.6024166666666666</v>
      </c>
      <c r="AK416" t="s">
        <v>214</v>
      </c>
      <c r="AL416">
        <v>8</v>
      </c>
      <c r="AM416">
        <v>6</v>
      </c>
      <c r="AN416">
        <f>INT(Table1[[#This Row],[reject_prod]]/Table1[[#This Row],[part_weight]] * 1000)</f>
        <v>65</v>
      </c>
    </row>
    <row r="417" spans="1:40">
      <c r="A417" s="1">
        <v>46036</v>
      </c>
      <c r="B417">
        <v>1</v>
      </c>
      <c r="C417">
        <v>3</v>
      </c>
      <c r="D417" t="s">
        <v>112</v>
      </c>
      <c r="E417" t="s">
        <v>34</v>
      </c>
      <c r="F417">
        <v>442034</v>
      </c>
      <c r="G417">
        <v>0</v>
      </c>
      <c r="H417" t="s">
        <v>37</v>
      </c>
      <c r="I417">
        <v>10681183</v>
      </c>
      <c r="J417">
        <v>4</v>
      </c>
      <c r="K417">
        <v>23</v>
      </c>
      <c r="L417">
        <v>23</v>
      </c>
      <c r="M417">
        <v>1574</v>
      </c>
      <c r="N417" s="2">
        <v>139776</v>
      </c>
      <c r="O417" s="2">
        <v>1152</v>
      </c>
      <c r="P417" s="2">
        <v>2688</v>
      </c>
      <c r="Q417" s="2">
        <v>6296</v>
      </c>
      <c r="R417" s="2">
        <v>4608</v>
      </c>
      <c r="S417">
        <v>105.98399999999999</v>
      </c>
      <c r="T417" s="2">
        <v>104064</v>
      </c>
      <c r="U417" s="2">
        <v>35712</v>
      </c>
      <c r="V417">
        <v>144.80799999999999</v>
      </c>
      <c r="W417">
        <v>0</v>
      </c>
      <c r="X417">
        <v>0</v>
      </c>
      <c r="Y417">
        <v>0</v>
      </c>
      <c r="Z417">
        <v>3.5</v>
      </c>
      <c r="AA417">
        <v>2.4169935362687144E-2</v>
      </c>
      <c r="AB417">
        <v>26.6</v>
      </c>
      <c r="AC417">
        <v>11.630111111111113</v>
      </c>
      <c r="AD417">
        <v>22</v>
      </c>
      <c r="AI41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0.36988888888888738</v>
      </c>
      <c r="AK417" t="s">
        <v>75</v>
      </c>
      <c r="AN417">
        <f>INT(Table1[[#This Row],[reject_prod]]/Table1[[#This Row],[part_weight]] * 1000)</f>
        <v>152</v>
      </c>
    </row>
    <row r="418" spans="1:40">
      <c r="A418" s="1">
        <v>46036</v>
      </c>
      <c r="B418">
        <v>1</v>
      </c>
      <c r="C418">
        <v>4</v>
      </c>
      <c r="F418">
        <v>123456</v>
      </c>
      <c r="G418">
        <v>0</v>
      </c>
      <c r="M418">
        <v>0</v>
      </c>
      <c r="N418">
        <v>0</v>
      </c>
      <c r="O418">
        <v>0</v>
      </c>
      <c r="P418">
        <v>0</v>
      </c>
      <c r="R418">
        <v>0</v>
      </c>
      <c r="T418">
        <v>0</v>
      </c>
      <c r="X418">
        <v>0</v>
      </c>
      <c r="Z418">
        <v>0</v>
      </c>
      <c r="AB418">
        <v>0</v>
      </c>
      <c r="AC418">
        <v>0</v>
      </c>
      <c r="AD418">
        <v>22.5</v>
      </c>
      <c r="AI41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418">
        <v>12</v>
      </c>
      <c r="AK418" t="s">
        <v>116</v>
      </c>
      <c r="AN418">
        <v>0</v>
      </c>
    </row>
    <row r="419" spans="1:40">
      <c r="A419" s="1">
        <v>46036</v>
      </c>
      <c r="B419">
        <v>1</v>
      </c>
      <c r="C419">
        <v>5</v>
      </c>
      <c r="D419" t="s">
        <v>67</v>
      </c>
      <c r="E419" t="s">
        <v>34</v>
      </c>
      <c r="F419">
        <v>597507</v>
      </c>
      <c r="G419">
        <v>0</v>
      </c>
      <c r="H419" t="s">
        <v>279</v>
      </c>
      <c r="I419">
        <v>10682757</v>
      </c>
      <c r="J419">
        <v>4</v>
      </c>
      <c r="K419">
        <v>23</v>
      </c>
      <c r="L419">
        <v>23</v>
      </c>
      <c r="M419">
        <v>1870</v>
      </c>
      <c r="N419" s="2">
        <v>64680</v>
      </c>
      <c r="O419" s="2">
        <v>308</v>
      </c>
      <c r="P419" s="2">
        <v>0</v>
      </c>
      <c r="Q419" s="2">
        <v>7480</v>
      </c>
      <c r="R419" s="2">
        <v>7546</v>
      </c>
      <c r="S419">
        <v>173.55799999999999</v>
      </c>
      <c r="T419" s="2">
        <v>19404</v>
      </c>
      <c r="U419" s="2">
        <v>45276</v>
      </c>
      <c r="V419">
        <v>172.04</v>
      </c>
      <c r="W419">
        <v>0</v>
      </c>
      <c r="X419">
        <v>0</v>
      </c>
      <c r="Y419">
        <v>0</v>
      </c>
      <c r="Z419">
        <v>5.5</v>
      </c>
      <c r="AA419">
        <v>3.1969309462915603E-2</v>
      </c>
      <c r="AB419">
        <v>22.3</v>
      </c>
      <c r="AC419">
        <v>11.583611111111111</v>
      </c>
      <c r="AD419">
        <v>22</v>
      </c>
      <c r="AI41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0.41638888888888914</v>
      </c>
      <c r="AK419" t="s">
        <v>334</v>
      </c>
      <c r="AN419">
        <f>INT(Table1[[#This Row],[reject_prod]]/Table1[[#This Row],[part_weight]] * 1000)</f>
        <v>239</v>
      </c>
    </row>
    <row r="420" spans="1:40">
      <c r="A420" s="1">
        <v>46036</v>
      </c>
      <c r="B420">
        <v>1</v>
      </c>
      <c r="C420">
        <v>6</v>
      </c>
      <c r="D420" t="s">
        <v>219</v>
      </c>
      <c r="E420" t="s">
        <v>34</v>
      </c>
      <c r="F420">
        <v>532981</v>
      </c>
      <c r="G420">
        <v>0</v>
      </c>
      <c r="H420" t="s">
        <v>233</v>
      </c>
      <c r="I420">
        <v>10682758</v>
      </c>
      <c r="J420">
        <v>4</v>
      </c>
      <c r="K420">
        <v>24.45</v>
      </c>
      <c r="L420">
        <v>24</v>
      </c>
      <c r="M420">
        <v>1954</v>
      </c>
      <c r="N420" s="2">
        <v>87552</v>
      </c>
      <c r="O420" s="2">
        <v>456</v>
      </c>
      <c r="P420" s="2">
        <v>2736</v>
      </c>
      <c r="Q420" s="2">
        <v>7816</v>
      </c>
      <c r="R420" s="2">
        <v>5472</v>
      </c>
      <c r="S420">
        <v>131.328</v>
      </c>
      <c r="T420" s="2">
        <v>79344</v>
      </c>
      <c r="U420" s="2">
        <v>8208</v>
      </c>
      <c r="V420">
        <v>187.584</v>
      </c>
      <c r="W420">
        <v>0</v>
      </c>
      <c r="X420">
        <v>0</v>
      </c>
      <c r="Y420">
        <v>0</v>
      </c>
      <c r="Z420">
        <v>1.5</v>
      </c>
      <c r="AA420">
        <v>7.9964176049129986E-3</v>
      </c>
      <c r="AB420">
        <v>21.9</v>
      </c>
      <c r="AC420">
        <v>11.886833333333332</v>
      </c>
      <c r="AD420">
        <v>20</v>
      </c>
      <c r="AI42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0.11316666666666819</v>
      </c>
      <c r="AK420" t="s">
        <v>103</v>
      </c>
      <c r="AN420">
        <f>INT(Table1[[#This Row],[reject_prod]]/Table1[[#This Row],[part_weight]] * 1000)</f>
        <v>62</v>
      </c>
    </row>
    <row r="421" spans="1:40">
      <c r="A421" s="1">
        <v>46036</v>
      </c>
      <c r="B421">
        <v>1</v>
      </c>
      <c r="C421">
        <v>7</v>
      </c>
      <c r="D421" t="s">
        <v>40</v>
      </c>
      <c r="E421" t="s">
        <v>34</v>
      </c>
      <c r="F421">
        <v>324177</v>
      </c>
      <c r="G421">
        <v>0</v>
      </c>
      <c r="H421" t="s">
        <v>246</v>
      </c>
      <c r="I421">
        <v>10682801</v>
      </c>
      <c r="J421">
        <v>4</v>
      </c>
      <c r="K421">
        <v>34.5</v>
      </c>
      <c r="L421">
        <v>34.5</v>
      </c>
      <c r="M421">
        <v>1811</v>
      </c>
      <c r="N421" s="2">
        <v>62400</v>
      </c>
      <c r="O421" s="2">
        <v>1092</v>
      </c>
      <c r="P421" s="2">
        <v>312</v>
      </c>
      <c r="Q421" s="2">
        <v>7244</v>
      </c>
      <c r="R421" s="2">
        <v>7800</v>
      </c>
      <c r="S421">
        <v>269.10000000000002</v>
      </c>
      <c r="T421" s="2">
        <v>37440</v>
      </c>
      <c r="U421" s="2">
        <v>24960</v>
      </c>
      <c r="V421">
        <v>249.91800000000001</v>
      </c>
      <c r="W421">
        <v>0</v>
      </c>
      <c r="X421">
        <v>0</v>
      </c>
      <c r="Y421">
        <v>0</v>
      </c>
      <c r="Z421">
        <v>7.8</v>
      </c>
      <c r="AA421">
        <v>3.1210236957722133E-2</v>
      </c>
      <c r="AB421">
        <v>22.2</v>
      </c>
      <c r="AC421">
        <v>11.167833333333334</v>
      </c>
      <c r="AD421">
        <v>22</v>
      </c>
      <c r="AI42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0.83216666666666583</v>
      </c>
      <c r="AK421" t="s">
        <v>335</v>
      </c>
      <c r="AL421">
        <v>3</v>
      </c>
      <c r="AM421">
        <v>2</v>
      </c>
      <c r="AN421">
        <f>INT(Table1[[#This Row],[reject_prod]]/Table1[[#This Row],[part_weight]] * 1000)</f>
        <v>226</v>
      </c>
    </row>
    <row r="422" spans="1:40">
      <c r="A422" s="1">
        <v>46036</v>
      </c>
      <c r="B422">
        <v>1</v>
      </c>
      <c r="C422">
        <v>8</v>
      </c>
      <c r="D422" t="s">
        <v>328</v>
      </c>
      <c r="E422" t="s">
        <v>41</v>
      </c>
      <c r="F422">
        <v>593537</v>
      </c>
      <c r="G422">
        <v>0</v>
      </c>
      <c r="H422" t="s">
        <v>48</v>
      </c>
      <c r="I422">
        <v>10682926</v>
      </c>
      <c r="J422">
        <v>4</v>
      </c>
      <c r="K422">
        <v>56.5</v>
      </c>
      <c r="L422">
        <v>56.8</v>
      </c>
      <c r="M422">
        <v>672</v>
      </c>
      <c r="N422" s="2">
        <v>69000</v>
      </c>
      <c r="O422" s="2">
        <v>0</v>
      </c>
      <c r="P422" s="2">
        <v>115</v>
      </c>
      <c r="Q422" s="2">
        <v>2688</v>
      </c>
      <c r="R422" s="2">
        <v>2300</v>
      </c>
      <c r="S422">
        <v>130.63999999999999</v>
      </c>
      <c r="T422" s="2">
        <v>27140</v>
      </c>
      <c r="U422" s="2">
        <v>41860</v>
      </c>
      <c r="V422">
        <v>152.67839999999998</v>
      </c>
      <c r="W422">
        <v>0</v>
      </c>
      <c r="X422">
        <v>14</v>
      </c>
      <c r="Y422">
        <v>9.1696009389671373E-2</v>
      </c>
      <c r="Z422">
        <v>1.5</v>
      </c>
      <c r="AA422">
        <v>9.8245724346076469E-3</v>
      </c>
      <c r="AB422">
        <v>31.2</v>
      </c>
      <c r="AC422">
        <v>5.8239999999999998</v>
      </c>
      <c r="AD422">
        <v>28.5</v>
      </c>
      <c r="AI42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6.1760000000000002</v>
      </c>
      <c r="AK422" t="s">
        <v>336</v>
      </c>
      <c r="AL422">
        <v>6</v>
      </c>
      <c r="AM422">
        <v>10</v>
      </c>
      <c r="AN422">
        <f>INT(Table1[[#This Row],[reject_prod]]/Table1[[#This Row],[part_weight]] * 1000)</f>
        <v>26</v>
      </c>
    </row>
    <row r="423" spans="1:40">
      <c r="A423" s="1">
        <v>46036</v>
      </c>
      <c r="B423">
        <v>1</v>
      </c>
      <c r="C423">
        <v>9</v>
      </c>
      <c r="D423" t="s">
        <v>65</v>
      </c>
      <c r="E423" t="s">
        <v>46</v>
      </c>
      <c r="F423">
        <v>586276</v>
      </c>
      <c r="G423">
        <v>0</v>
      </c>
      <c r="H423" t="s">
        <v>47</v>
      </c>
      <c r="I423">
        <v>10682924</v>
      </c>
      <c r="J423">
        <v>6</v>
      </c>
      <c r="K423">
        <v>12.3</v>
      </c>
      <c r="L423">
        <v>12.3</v>
      </c>
      <c r="M423">
        <v>487</v>
      </c>
      <c r="N423" s="2">
        <v>162000</v>
      </c>
      <c r="O423" s="2">
        <v>4455</v>
      </c>
      <c r="P423" s="2">
        <v>7290</v>
      </c>
      <c r="Q423" s="2">
        <v>2922</v>
      </c>
      <c r="R423" s="2">
        <v>0</v>
      </c>
      <c r="S423">
        <v>0</v>
      </c>
      <c r="T423" s="2">
        <v>80190</v>
      </c>
      <c r="U423" s="2">
        <v>81810</v>
      </c>
      <c r="V423">
        <v>35.940599999999996</v>
      </c>
      <c r="W423">
        <v>0</v>
      </c>
      <c r="X423">
        <v>0</v>
      </c>
      <c r="Y423">
        <v>0</v>
      </c>
      <c r="Z423">
        <v>1</v>
      </c>
      <c r="AA423">
        <v>2.7823686861098592E-2</v>
      </c>
      <c r="AB423">
        <v>26.2</v>
      </c>
      <c r="AC423">
        <v>3.5</v>
      </c>
      <c r="AD423">
        <v>26</v>
      </c>
      <c r="AH423">
        <v>8.5</v>
      </c>
      <c r="AI42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423" t="s">
        <v>337</v>
      </c>
      <c r="AL423">
        <v>7</v>
      </c>
      <c r="AM423">
        <v>5</v>
      </c>
      <c r="AN423">
        <f>INT(Table1[[#This Row],[reject_prod]]/Table1[[#This Row],[part_weight]] * 1000)</f>
        <v>81</v>
      </c>
    </row>
    <row r="424" spans="1:40">
      <c r="A424" s="1">
        <v>46036</v>
      </c>
      <c r="B424">
        <v>1</v>
      </c>
      <c r="C424">
        <v>10</v>
      </c>
      <c r="E424" t="s">
        <v>34</v>
      </c>
      <c r="F424">
        <v>442310</v>
      </c>
      <c r="G424">
        <v>0</v>
      </c>
      <c r="H424" t="s">
        <v>315</v>
      </c>
      <c r="I424">
        <v>10684380</v>
      </c>
      <c r="J424">
        <v>4</v>
      </c>
      <c r="K424">
        <v>68.8</v>
      </c>
      <c r="L424">
        <v>68.8</v>
      </c>
      <c r="M424">
        <v>0</v>
      </c>
      <c r="N424" s="2">
        <v>8008</v>
      </c>
      <c r="O424" s="2">
        <v>0</v>
      </c>
      <c r="P424" s="2">
        <v>0</v>
      </c>
      <c r="Q424" s="2">
        <v>0</v>
      </c>
      <c r="R424" s="2">
        <v>0</v>
      </c>
      <c r="S424">
        <v>0</v>
      </c>
      <c r="T424" s="2">
        <v>0</v>
      </c>
      <c r="U424" s="2">
        <v>8008</v>
      </c>
      <c r="V424">
        <v>0</v>
      </c>
      <c r="W424">
        <v>0</v>
      </c>
      <c r="X424">
        <v>36.6</v>
      </c>
      <c r="Y424" t="e">
        <v>#DIV/0!</v>
      </c>
      <c r="Z424">
        <v>0</v>
      </c>
      <c r="AA424" t="e">
        <v>#DIV/0!</v>
      </c>
      <c r="AB424">
        <v>31.7</v>
      </c>
      <c r="AC424">
        <v>0</v>
      </c>
      <c r="AD424">
        <v>33.840000000000003</v>
      </c>
      <c r="AI42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424" t="s">
        <v>338</v>
      </c>
      <c r="AL424">
        <v>25</v>
      </c>
      <c r="AM424">
        <v>24</v>
      </c>
      <c r="AN424">
        <f>INT(Table1[[#This Row],[reject_prod]]/Table1[[#This Row],[part_weight]] * 1000)</f>
        <v>0</v>
      </c>
    </row>
    <row r="425" spans="1:40">
      <c r="A425" s="1">
        <v>46036</v>
      </c>
      <c r="B425">
        <v>1</v>
      </c>
      <c r="C425">
        <v>11</v>
      </c>
      <c r="D425" t="s">
        <v>61</v>
      </c>
      <c r="E425" t="s">
        <v>46</v>
      </c>
      <c r="F425">
        <v>552181</v>
      </c>
      <c r="G425">
        <v>1</v>
      </c>
      <c r="H425" t="s">
        <v>49</v>
      </c>
      <c r="I425">
        <v>10683782</v>
      </c>
      <c r="J425">
        <v>6</v>
      </c>
      <c r="K425">
        <v>18.8</v>
      </c>
      <c r="L425">
        <v>18.8</v>
      </c>
      <c r="M425">
        <v>1499</v>
      </c>
      <c r="N425" s="2">
        <v>108000</v>
      </c>
      <c r="O425" s="2">
        <v>3780</v>
      </c>
      <c r="P425" s="2">
        <v>1890</v>
      </c>
      <c r="Q425" s="2">
        <v>8994</v>
      </c>
      <c r="R425" s="2">
        <v>10800</v>
      </c>
      <c r="S425">
        <v>203.04</v>
      </c>
      <c r="T425" s="2">
        <v>34290</v>
      </c>
      <c r="U425" s="2">
        <v>73710</v>
      </c>
      <c r="V425">
        <v>169.08720000000002</v>
      </c>
      <c r="W425">
        <v>0</v>
      </c>
      <c r="X425">
        <v>0</v>
      </c>
      <c r="Y425">
        <v>0</v>
      </c>
      <c r="Z425">
        <v>1.5</v>
      </c>
      <c r="AA425">
        <v>8.8711623351738021E-3</v>
      </c>
      <c r="AB425">
        <v>28.5</v>
      </c>
      <c r="AC425">
        <v>11.867083333333335</v>
      </c>
      <c r="AD425">
        <v>27</v>
      </c>
      <c r="AI42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0.1329166666666648</v>
      </c>
      <c r="AK425" t="s">
        <v>270</v>
      </c>
      <c r="AN425">
        <f>INT(Table1[[#This Row],[reject_prod]]/Table1[[#This Row],[part_weight]] * 1000)</f>
        <v>79</v>
      </c>
    </row>
    <row r="426" spans="1:40">
      <c r="A426" s="1">
        <v>46036</v>
      </c>
      <c r="B426">
        <v>1</v>
      </c>
      <c r="C426">
        <v>12</v>
      </c>
      <c r="D426" t="s">
        <v>43</v>
      </c>
      <c r="E426" t="s">
        <v>34</v>
      </c>
      <c r="F426">
        <v>620599</v>
      </c>
      <c r="G426">
        <v>0</v>
      </c>
      <c r="H426" t="s">
        <v>50</v>
      </c>
      <c r="I426">
        <v>10682929</v>
      </c>
      <c r="J426">
        <v>4</v>
      </c>
      <c r="K426">
        <v>55</v>
      </c>
      <c r="L426">
        <v>55</v>
      </c>
      <c r="M426">
        <v>1493</v>
      </c>
      <c r="N426" s="2">
        <v>72000</v>
      </c>
      <c r="O426" s="2">
        <v>1125</v>
      </c>
      <c r="P426" s="2">
        <v>1575</v>
      </c>
      <c r="Q426" s="2">
        <v>5972</v>
      </c>
      <c r="R426" s="2">
        <v>5400</v>
      </c>
      <c r="S426">
        <v>297</v>
      </c>
      <c r="T426" s="2">
        <v>23400</v>
      </c>
      <c r="U426" s="2">
        <v>48600</v>
      </c>
      <c r="V426">
        <v>328.46</v>
      </c>
      <c r="W426">
        <v>0</v>
      </c>
      <c r="X426">
        <v>0</v>
      </c>
      <c r="Y426">
        <v>0</v>
      </c>
      <c r="Z426">
        <v>6.5</v>
      </c>
      <c r="AA426">
        <v>1.9789319856299094E-2</v>
      </c>
      <c r="AB426">
        <v>28.7</v>
      </c>
      <c r="AC426">
        <v>11.902527777777779</v>
      </c>
      <c r="AD426">
        <v>28</v>
      </c>
      <c r="AI42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9.747222222222085E-2</v>
      </c>
      <c r="AK426" t="s">
        <v>339</v>
      </c>
      <c r="AN426">
        <f>INT(Table1[[#This Row],[reject_prod]]/Table1[[#This Row],[part_weight]] * 1000)</f>
        <v>118</v>
      </c>
    </row>
    <row r="427" spans="1:40">
      <c r="A427" s="1">
        <v>46036</v>
      </c>
      <c r="B427">
        <v>1</v>
      </c>
      <c r="C427">
        <v>13</v>
      </c>
      <c r="D427" t="s">
        <v>61</v>
      </c>
      <c r="E427" t="s">
        <v>46</v>
      </c>
      <c r="F427">
        <v>586276</v>
      </c>
      <c r="G427">
        <v>0</v>
      </c>
      <c r="H427" t="s">
        <v>47</v>
      </c>
      <c r="I427">
        <v>10683784</v>
      </c>
      <c r="J427">
        <v>6</v>
      </c>
      <c r="K427">
        <v>12.3</v>
      </c>
      <c r="L427">
        <v>12.3</v>
      </c>
      <c r="M427">
        <v>1634</v>
      </c>
      <c r="N427" s="2">
        <v>162000</v>
      </c>
      <c r="O427" s="2">
        <v>810</v>
      </c>
      <c r="P427" s="2">
        <v>2430</v>
      </c>
      <c r="Q427" s="2">
        <v>9804</v>
      </c>
      <c r="R427" s="2">
        <v>8100</v>
      </c>
      <c r="S427">
        <v>99.63</v>
      </c>
      <c r="T427" s="2">
        <v>34830</v>
      </c>
      <c r="U427" s="2">
        <v>127170</v>
      </c>
      <c r="V427">
        <v>120.58920000000001</v>
      </c>
      <c r="W427">
        <v>0</v>
      </c>
      <c r="X427">
        <v>0</v>
      </c>
      <c r="Y427">
        <v>0</v>
      </c>
      <c r="Z427">
        <v>1</v>
      </c>
      <c r="AA427">
        <v>8.2926165858965804E-3</v>
      </c>
      <c r="AB427">
        <v>26.4</v>
      </c>
      <c r="AC427">
        <v>11.982666666666667</v>
      </c>
      <c r="AD427">
        <v>26</v>
      </c>
      <c r="AI42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1.7333333333333201E-2</v>
      </c>
      <c r="AK427" t="s">
        <v>51</v>
      </c>
      <c r="AN427">
        <f>INT(Table1[[#This Row],[reject_prod]]/Table1[[#This Row],[part_weight]] * 1000)</f>
        <v>81</v>
      </c>
    </row>
    <row r="428" spans="1:40">
      <c r="A428" s="1">
        <v>46036</v>
      </c>
      <c r="B428">
        <v>1</v>
      </c>
      <c r="C428">
        <v>14</v>
      </c>
      <c r="D428" t="s">
        <v>152</v>
      </c>
      <c r="E428" t="s">
        <v>46</v>
      </c>
      <c r="F428">
        <v>555979</v>
      </c>
      <c r="G428">
        <v>1</v>
      </c>
      <c r="H428" t="s">
        <v>52</v>
      </c>
      <c r="I428">
        <v>10682932</v>
      </c>
      <c r="J428">
        <v>6</v>
      </c>
      <c r="K428">
        <v>28</v>
      </c>
      <c r="L428">
        <v>28</v>
      </c>
      <c r="M428">
        <v>988</v>
      </c>
      <c r="N428" s="2">
        <v>100800</v>
      </c>
      <c r="O428" s="2">
        <v>2520</v>
      </c>
      <c r="P428" s="2">
        <v>1680</v>
      </c>
      <c r="Q428" s="2">
        <v>5928</v>
      </c>
      <c r="R428" s="2">
        <v>6720</v>
      </c>
      <c r="S428">
        <v>188.16</v>
      </c>
      <c r="T428" s="2">
        <v>72240</v>
      </c>
      <c r="U428" s="2">
        <v>28560</v>
      </c>
      <c r="V428">
        <v>165.98400000000001</v>
      </c>
      <c r="W428">
        <v>0</v>
      </c>
      <c r="X428">
        <v>0</v>
      </c>
      <c r="Y428">
        <v>0</v>
      </c>
      <c r="Z428">
        <v>1.5</v>
      </c>
      <c r="AA428">
        <v>9.0370156159629844E-3</v>
      </c>
      <c r="AB428">
        <v>42.7</v>
      </c>
      <c r="AC428">
        <v>11.718777777777779</v>
      </c>
      <c r="AD428">
        <v>42</v>
      </c>
      <c r="AI42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0.28122222222222071</v>
      </c>
      <c r="AK428" t="s">
        <v>51</v>
      </c>
      <c r="AN428">
        <f>INT(Table1[[#This Row],[reject_prod]]/Table1[[#This Row],[part_weight]] * 1000)</f>
        <v>53</v>
      </c>
    </row>
    <row r="429" spans="1:40">
      <c r="A429" s="1">
        <v>46036</v>
      </c>
      <c r="B429">
        <v>1</v>
      </c>
      <c r="C429">
        <v>15</v>
      </c>
      <c r="D429" t="s">
        <v>61</v>
      </c>
      <c r="E429" t="s">
        <v>46</v>
      </c>
      <c r="F429">
        <v>552181</v>
      </c>
      <c r="G429">
        <v>2</v>
      </c>
      <c r="H429" t="s">
        <v>49</v>
      </c>
      <c r="I429">
        <v>10683786</v>
      </c>
      <c r="J429">
        <v>6</v>
      </c>
      <c r="K429">
        <v>18.8</v>
      </c>
      <c r="L429">
        <v>18.8</v>
      </c>
      <c r="M429">
        <v>1364</v>
      </c>
      <c r="N429" s="2">
        <v>108000</v>
      </c>
      <c r="O429" s="2">
        <v>0</v>
      </c>
      <c r="P429" s="2">
        <v>2700</v>
      </c>
      <c r="Q429" s="2">
        <v>8184</v>
      </c>
      <c r="R429" s="2">
        <v>5400</v>
      </c>
      <c r="S429">
        <v>101.52</v>
      </c>
      <c r="T429" s="2">
        <v>13500</v>
      </c>
      <c r="U429" s="2">
        <v>94500</v>
      </c>
      <c r="V429">
        <v>153.85920000000002</v>
      </c>
      <c r="W429">
        <v>0</v>
      </c>
      <c r="X429">
        <v>0</v>
      </c>
      <c r="Y429">
        <v>0</v>
      </c>
      <c r="Z429">
        <v>1.5</v>
      </c>
      <c r="AA429">
        <v>9.7491732701066938E-3</v>
      </c>
      <c r="AB429">
        <v>31.3</v>
      </c>
      <c r="AC429">
        <v>11.859222222222222</v>
      </c>
      <c r="AD429">
        <v>27</v>
      </c>
      <c r="AI42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0.14077777777777811</v>
      </c>
      <c r="AK429" t="s">
        <v>51</v>
      </c>
      <c r="AN429">
        <f>INT(Table1[[#This Row],[reject_prod]]/Table1[[#This Row],[part_weight]] * 1000)</f>
        <v>79</v>
      </c>
    </row>
    <row r="430" spans="1:40" s="4" customFormat="1">
      <c r="A430" s="3">
        <v>46036</v>
      </c>
      <c r="B430" s="4">
        <v>1</v>
      </c>
      <c r="C430" s="4">
        <v>16</v>
      </c>
      <c r="D430" s="4" t="s">
        <v>149</v>
      </c>
      <c r="E430" s="4" t="s">
        <v>46</v>
      </c>
      <c r="F430" s="4">
        <v>555979</v>
      </c>
      <c r="G430" s="4">
        <v>2</v>
      </c>
      <c r="H430" s="4" t="s">
        <v>52</v>
      </c>
      <c r="I430" s="4">
        <v>10683788</v>
      </c>
      <c r="J430" s="4">
        <v>6</v>
      </c>
      <c r="K430" s="4">
        <v>28</v>
      </c>
      <c r="L430" s="4">
        <v>28</v>
      </c>
      <c r="M430" s="4">
        <v>969</v>
      </c>
      <c r="N430" s="5">
        <v>100800</v>
      </c>
      <c r="O430" s="5">
        <v>1680</v>
      </c>
      <c r="P430" s="5">
        <v>672</v>
      </c>
      <c r="Q430" s="5">
        <v>5814</v>
      </c>
      <c r="R430" s="5">
        <v>6720</v>
      </c>
      <c r="S430" s="4">
        <v>188.16</v>
      </c>
      <c r="T430" s="5">
        <v>14112</v>
      </c>
      <c r="U430" s="5">
        <v>86688</v>
      </c>
      <c r="V430" s="4">
        <v>162.792</v>
      </c>
      <c r="W430" s="4">
        <v>0</v>
      </c>
      <c r="X430" s="4">
        <v>0</v>
      </c>
      <c r="Y430" s="4">
        <v>0</v>
      </c>
      <c r="Z430" s="4">
        <v>2.5</v>
      </c>
      <c r="AA430" s="4">
        <v>1.535702000098285E-2</v>
      </c>
      <c r="AB430" s="4">
        <v>43.7</v>
      </c>
      <c r="AC430" s="4">
        <v>11.762583333333334</v>
      </c>
      <c r="AD430" s="4">
        <v>42</v>
      </c>
      <c r="AI430" s="4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0.23741666666666639</v>
      </c>
      <c r="AK430" s="4" t="s">
        <v>51</v>
      </c>
      <c r="AN430" s="4">
        <f>INT(Table1[[#This Row],[reject_prod]]/Table1[[#This Row],[part_weight]] * 1000)</f>
        <v>89</v>
      </c>
    </row>
    <row r="431" spans="1:40">
      <c r="A431" s="1">
        <v>46036</v>
      </c>
      <c r="B431">
        <v>2</v>
      </c>
      <c r="C431">
        <v>1</v>
      </c>
      <c r="D431" t="s">
        <v>89</v>
      </c>
      <c r="E431" t="s">
        <v>34</v>
      </c>
      <c r="F431">
        <v>365091</v>
      </c>
      <c r="G431">
        <v>0</v>
      </c>
      <c r="H431" t="s">
        <v>189</v>
      </c>
      <c r="I431">
        <v>10682753</v>
      </c>
      <c r="J431">
        <v>4</v>
      </c>
      <c r="K431">
        <v>44</v>
      </c>
      <c r="L431">
        <v>44</v>
      </c>
      <c r="M431">
        <v>1525</v>
      </c>
      <c r="N431" s="2">
        <v>66885</v>
      </c>
      <c r="O431" s="2">
        <v>315</v>
      </c>
      <c r="P431" s="2">
        <v>0</v>
      </c>
      <c r="Q431" s="2">
        <v>6100</v>
      </c>
      <c r="R431" s="2">
        <v>6405</v>
      </c>
      <c r="S431">
        <v>281.82</v>
      </c>
      <c r="T431" s="2">
        <v>66885</v>
      </c>
      <c r="U431" s="2">
        <v>0</v>
      </c>
      <c r="V431">
        <v>268.39999999999998</v>
      </c>
      <c r="W431">
        <v>0</v>
      </c>
      <c r="X431">
        <v>0</v>
      </c>
      <c r="Y431">
        <v>0</v>
      </c>
      <c r="Z431">
        <v>3</v>
      </c>
      <c r="AA431">
        <v>1.1177347242921014E-2</v>
      </c>
      <c r="AB431">
        <v>25.8</v>
      </c>
      <c r="AC431">
        <v>10.929166666666667</v>
      </c>
      <c r="AD431">
        <v>28.64</v>
      </c>
      <c r="AI43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1.0708333333333329</v>
      </c>
      <c r="AK431" t="s">
        <v>340</v>
      </c>
      <c r="AN431">
        <f>INT(Table1[[#This Row],[reject_prod]]/Table1[[#This Row],[part_weight]] * 1000)</f>
        <v>68</v>
      </c>
    </row>
    <row r="432" spans="1:40">
      <c r="A432" s="1">
        <v>46036</v>
      </c>
      <c r="B432">
        <v>2</v>
      </c>
      <c r="C432">
        <v>1</v>
      </c>
      <c r="D432" t="s">
        <v>33</v>
      </c>
      <c r="E432" t="s">
        <v>34</v>
      </c>
      <c r="F432">
        <v>577492</v>
      </c>
      <c r="G432">
        <v>0</v>
      </c>
      <c r="H432" t="s">
        <v>341</v>
      </c>
      <c r="I432">
        <v>10683850</v>
      </c>
      <c r="J432">
        <v>4</v>
      </c>
      <c r="K432">
        <v>35.6</v>
      </c>
      <c r="L432">
        <v>35.6</v>
      </c>
      <c r="M432">
        <v>0</v>
      </c>
      <c r="N432" s="2">
        <v>40480</v>
      </c>
      <c r="O432" s="2">
        <v>0</v>
      </c>
      <c r="P432" s="2">
        <v>0</v>
      </c>
      <c r="Q432" s="2">
        <v>0</v>
      </c>
      <c r="R432" s="2">
        <v>0</v>
      </c>
      <c r="S432">
        <v>0</v>
      </c>
      <c r="T432" s="2">
        <v>0</v>
      </c>
      <c r="U432" s="2">
        <v>40480</v>
      </c>
      <c r="V432">
        <v>0</v>
      </c>
      <c r="W432">
        <v>0</v>
      </c>
      <c r="X432">
        <v>0</v>
      </c>
      <c r="Y432" t="e">
        <v>#DIV/0!</v>
      </c>
      <c r="Z432">
        <v>0</v>
      </c>
      <c r="AA432" t="e">
        <v>#DIV/0!</v>
      </c>
      <c r="AB432">
        <v>27</v>
      </c>
      <c r="AC432">
        <v>0</v>
      </c>
      <c r="AD432">
        <v>27</v>
      </c>
      <c r="AF432">
        <v>1</v>
      </c>
      <c r="AI43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11</v>
      </c>
      <c r="AK432" t="s">
        <v>342</v>
      </c>
      <c r="AN432">
        <f>INT(Table1[[#This Row],[reject_prod]]/Table1[[#This Row],[part_weight]] * 1000)</f>
        <v>0</v>
      </c>
    </row>
    <row r="433" spans="1:40">
      <c r="A433" s="1">
        <v>46036</v>
      </c>
      <c r="B433">
        <v>2</v>
      </c>
      <c r="C433">
        <v>2</v>
      </c>
      <c r="D433" t="s">
        <v>329</v>
      </c>
      <c r="E433" t="s">
        <v>34</v>
      </c>
      <c r="F433">
        <v>463202</v>
      </c>
      <c r="G433">
        <v>0</v>
      </c>
      <c r="H433" t="s">
        <v>320</v>
      </c>
      <c r="I433">
        <v>10684540</v>
      </c>
      <c r="J433">
        <v>4</v>
      </c>
      <c r="K433">
        <v>23</v>
      </c>
      <c r="L433">
        <v>23</v>
      </c>
      <c r="M433">
        <v>1512</v>
      </c>
      <c r="N433" s="2">
        <v>40920</v>
      </c>
      <c r="O433" s="2">
        <v>4650</v>
      </c>
      <c r="P433" s="2">
        <v>5115</v>
      </c>
      <c r="Q433" s="2">
        <v>6048</v>
      </c>
      <c r="R433" s="2">
        <v>5580</v>
      </c>
      <c r="S433">
        <v>128.34</v>
      </c>
      <c r="T433" s="2">
        <v>16275</v>
      </c>
      <c r="U433" s="2">
        <v>24645</v>
      </c>
      <c r="V433">
        <v>139.10400000000001</v>
      </c>
      <c r="W433">
        <v>0</v>
      </c>
      <c r="X433">
        <v>0</v>
      </c>
      <c r="Y433">
        <v>0</v>
      </c>
      <c r="Z433">
        <v>1.2</v>
      </c>
      <c r="AA433">
        <v>8.6266390614216683E-3</v>
      </c>
      <c r="AB433">
        <v>23.27</v>
      </c>
      <c r="AC433">
        <v>9.7734000000000005</v>
      </c>
      <c r="AD433">
        <v>22.92</v>
      </c>
      <c r="AH433">
        <v>2.2000000000000002</v>
      </c>
      <c r="AI43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2.6599999999999291E-2</v>
      </c>
      <c r="AK433" t="s">
        <v>343</v>
      </c>
      <c r="AN433">
        <f>INT(Table1[[#This Row],[reject_prod]]/Table1[[#This Row],[part_weight]] * 1000)</f>
        <v>52</v>
      </c>
    </row>
    <row r="434" spans="1:40">
      <c r="A434" s="1">
        <v>46036</v>
      </c>
      <c r="B434">
        <v>2</v>
      </c>
      <c r="C434">
        <v>3</v>
      </c>
      <c r="D434" t="s">
        <v>330</v>
      </c>
      <c r="E434" t="s">
        <v>34</v>
      </c>
      <c r="F434">
        <v>442034</v>
      </c>
      <c r="G434">
        <v>0</v>
      </c>
      <c r="H434" t="s">
        <v>37</v>
      </c>
      <c r="I434">
        <v>10681183</v>
      </c>
      <c r="J434">
        <v>4</v>
      </c>
      <c r="K434">
        <v>23</v>
      </c>
      <c r="L434">
        <v>23</v>
      </c>
      <c r="M434">
        <v>1632</v>
      </c>
      <c r="N434" s="2">
        <v>139776</v>
      </c>
      <c r="O434" s="2">
        <v>2688</v>
      </c>
      <c r="P434" s="2">
        <v>0</v>
      </c>
      <c r="Q434" s="2">
        <v>6528</v>
      </c>
      <c r="R434" s="2">
        <v>9216</v>
      </c>
      <c r="S434">
        <v>211.96799999999999</v>
      </c>
      <c r="T434" s="2">
        <v>110592</v>
      </c>
      <c r="U434" s="2">
        <v>29184</v>
      </c>
      <c r="V434">
        <v>150.14400000000001</v>
      </c>
      <c r="W434">
        <v>0</v>
      </c>
      <c r="X434">
        <v>0</v>
      </c>
      <c r="Y434">
        <v>0</v>
      </c>
      <c r="Z434">
        <v>1</v>
      </c>
      <c r="AA434">
        <v>6.6602728047740834E-3</v>
      </c>
      <c r="AB434">
        <v>26.55</v>
      </c>
      <c r="AC434">
        <v>12</v>
      </c>
      <c r="AD434">
        <v>22</v>
      </c>
      <c r="AI43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434" t="s">
        <v>75</v>
      </c>
      <c r="AN434">
        <f>INT(Table1[[#This Row],[reject_prod]]/Table1[[#This Row],[part_weight]] * 1000)</f>
        <v>43</v>
      </c>
    </row>
    <row r="435" spans="1:40">
      <c r="A435" s="1">
        <v>46036</v>
      </c>
      <c r="B435">
        <v>2</v>
      </c>
      <c r="C435">
        <v>4</v>
      </c>
      <c r="F435">
        <v>123456</v>
      </c>
      <c r="G435">
        <v>0</v>
      </c>
      <c r="M435">
        <v>0</v>
      </c>
      <c r="N435">
        <v>0</v>
      </c>
      <c r="O435">
        <v>0</v>
      </c>
      <c r="P435">
        <v>0</v>
      </c>
      <c r="R435">
        <v>0</v>
      </c>
      <c r="T435">
        <v>0</v>
      </c>
      <c r="X435">
        <v>0</v>
      </c>
      <c r="Z435">
        <v>0</v>
      </c>
      <c r="AB435">
        <v>0</v>
      </c>
      <c r="AC435">
        <v>0</v>
      </c>
      <c r="AD435">
        <v>22.5</v>
      </c>
      <c r="AI43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435">
        <v>12</v>
      </c>
      <c r="AK435" t="s">
        <v>116</v>
      </c>
      <c r="AN435">
        <v>0</v>
      </c>
    </row>
    <row r="436" spans="1:40">
      <c r="A436" s="1">
        <v>46036</v>
      </c>
      <c r="B436">
        <v>2</v>
      </c>
      <c r="C436">
        <v>5</v>
      </c>
      <c r="D436" t="s">
        <v>84</v>
      </c>
      <c r="E436" t="s">
        <v>34</v>
      </c>
      <c r="F436">
        <v>597507</v>
      </c>
      <c r="G436">
        <v>0</v>
      </c>
      <c r="H436" t="s">
        <v>279</v>
      </c>
      <c r="I436">
        <v>10682757</v>
      </c>
      <c r="J436">
        <v>4</v>
      </c>
      <c r="K436">
        <v>23</v>
      </c>
      <c r="L436">
        <v>23</v>
      </c>
      <c r="M436">
        <v>1925</v>
      </c>
      <c r="N436" s="2">
        <v>64680</v>
      </c>
      <c r="O436" s="2">
        <v>0</v>
      </c>
      <c r="P436" s="2">
        <v>154</v>
      </c>
      <c r="Q436" s="2">
        <v>7700</v>
      </c>
      <c r="R436" s="2">
        <v>7546</v>
      </c>
      <c r="S436">
        <v>173.55799999999999</v>
      </c>
      <c r="T436" s="2">
        <v>26950</v>
      </c>
      <c r="U436" s="2">
        <v>37730</v>
      </c>
      <c r="V436">
        <v>177.1</v>
      </c>
      <c r="W436">
        <v>0</v>
      </c>
      <c r="X436">
        <v>0</v>
      </c>
      <c r="Y436">
        <v>0</v>
      </c>
      <c r="Z436">
        <v>2.6</v>
      </c>
      <c r="AA436">
        <v>1.4680971202710334E-2</v>
      </c>
      <c r="AB436">
        <v>22.16</v>
      </c>
      <c r="AC436">
        <v>11.849444444444444</v>
      </c>
      <c r="AD436">
        <v>22</v>
      </c>
      <c r="AI43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0.150555555555556</v>
      </c>
      <c r="AK436" t="s">
        <v>322</v>
      </c>
      <c r="AN436">
        <f>INT(Table1[[#This Row],[reject_prod]]/Table1[[#This Row],[part_weight]] * 1000)</f>
        <v>113</v>
      </c>
    </row>
    <row r="437" spans="1:40">
      <c r="A437" s="1">
        <v>46036</v>
      </c>
      <c r="B437">
        <v>2</v>
      </c>
      <c r="C437">
        <v>6</v>
      </c>
      <c r="D437" t="s">
        <v>331</v>
      </c>
      <c r="E437" t="s">
        <v>34</v>
      </c>
      <c r="F437">
        <v>532981</v>
      </c>
      <c r="G437">
        <v>0</v>
      </c>
      <c r="H437" t="s">
        <v>233</v>
      </c>
      <c r="I437">
        <v>10682758</v>
      </c>
      <c r="J437">
        <v>4</v>
      </c>
      <c r="K437">
        <v>24.45</v>
      </c>
      <c r="L437">
        <v>24</v>
      </c>
      <c r="M437">
        <v>2052</v>
      </c>
      <c r="N437" s="2">
        <v>87552</v>
      </c>
      <c r="O437" s="2">
        <v>2736</v>
      </c>
      <c r="P437" s="2">
        <v>0</v>
      </c>
      <c r="Q437" s="2">
        <v>8208</v>
      </c>
      <c r="R437" s="2">
        <v>10944</v>
      </c>
      <c r="S437">
        <v>262.65600000000001</v>
      </c>
      <c r="T437" s="2">
        <v>87552</v>
      </c>
      <c r="U437" s="2">
        <v>0</v>
      </c>
      <c r="V437">
        <v>196.99199999999999</v>
      </c>
      <c r="W437">
        <v>0</v>
      </c>
      <c r="X437">
        <v>0</v>
      </c>
      <c r="Y437">
        <v>0</v>
      </c>
      <c r="Z437">
        <v>1</v>
      </c>
      <c r="AA437">
        <v>5.0763482781026647E-3</v>
      </c>
      <c r="AB437">
        <v>21.87</v>
      </c>
      <c r="AC437">
        <v>12</v>
      </c>
      <c r="AD437">
        <v>20</v>
      </c>
      <c r="AI43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437" t="s">
        <v>103</v>
      </c>
      <c r="AN437">
        <f>INT(Table1[[#This Row],[reject_prod]]/Table1[[#This Row],[part_weight]] * 1000)</f>
        <v>41</v>
      </c>
    </row>
    <row r="438" spans="1:40">
      <c r="A438" s="1">
        <v>46036</v>
      </c>
      <c r="B438">
        <v>2</v>
      </c>
      <c r="C438">
        <v>7</v>
      </c>
      <c r="D438" t="s">
        <v>54</v>
      </c>
      <c r="E438" t="s">
        <v>34</v>
      </c>
      <c r="F438">
        <v>324177</v>
      </c>
      <c r="G438">
        <v>0</v>
      </c>
      <c r="H438" t="s">
        <v>246</v>
      </c>
      <c r="I438">
        <v>10682801</v>
      </c>
      <c r="J438">
        <v>4</v>
      </c>
      <c r="K438">
        <v>34.5</v>
      </c>
      <c r="L438">
        <v>34.5</v>
      </c>
      <c r="M438">
        <v>1875</v>
      </c>
      <c r="N438" s="2">
        <v>62400</v>
      </c>
      <c r="O438" s="2">
        <v>312</v>
      </c>
      <c r="P438" s="2">
        <v>0</v>
      </c>
      <c r="Q438" s="2">
        <v>7500</v>
      </c>
      <c r="R438" s="2">
        <v>7800</v>
      </c>
      <c r="S438">
        <v>269.10000000000002</v>
      </c>
      <c r="T438" s="2">
        <v>45240</v>
      </c>
      <c r="U438" s="2">
        <v>17160</v>
      </c>
      <c r="V438">
        <v>258.75</v>
      </c>
      <c r="W438">
        <v>0</v>
      </c>
      <c r="X438">
        <v>0</v>
      </c>
      <c r="Y438">
        <v>0</v>
      </c>
      <c r="Z438">
        <v>1</v>
      </c>
      <c r="AA438">
        <v>3.8647342995169081E-3</v>
      </c>
      <c r="AB438">
        <v>22.24</v>
      </c>
      <c r="AC438">
        <v>11.583333333333334</v>
      </c>
      <c r="AD438">
        <v>22</v>
      </c>
      <c r="AI43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0.41666666666666607</v>
      </c>
      <c r="AK438" t="s">
        <v>323</v>
      </c>
      <c r="AN438">
        <f>INT(Table1[[#This Row],[reject_prod]]/Table1[[#This Row],[part_weight]] * 1000)</f>
        <v>28</v>
      </c>
    </row>
    <row r="439" spans="1:40">
      <c r="A439" s="1">
        <v>46036</v>
      </c>
      <c r="B439">
        <v>2</v>
      </c>
      <c r="C439">
        <v>8</v>
      </c>
      <c r="D439" t="s">
        <v>332</v>
      </c>
      <c r="E439" t="s">
        <v>41</v>
      </c>
      <c r="F439">
        <v>593537</v>
      </c>
      <c r="G439">
        <v>0</v>
      </c>
      <c r="H439" t="s">
        <v>48</v>
      </c>
      <c r="I439">
        <v>10682926</v>
      </c>
      <c r="J439">
        <v>4</v>
      </c>
      <c r="K439">
        <v>56.5</v>
      </c>
      <c r="L439">
        <v>56.8</v>
      </c>
      <c r="M439">
        <v>1410</v>
      </c>
      <c r="N439" s="2">
        <v>69000</v>
      </c>
      <c r="O439" s="2">
        <v>115</v>
      </c>
      <c r="P439" s="2">
        <v>0</v>
      </c>
      <c r="Q439" s="2">
        <v>5640</v>
      </c>
      <c r="R439" s="2">
        <v>5750</v>
      </c>
      <c r="S439">
        <v>326.60000000000002</v>
      </c>
      <c r="T439" s="2">
        <v>32775</v>
      </c>
      <c r="U439" s="2">
        <v>36225</v>
      </c>
      <c r="V439">
        <v>320.35199999999998</v>
      </c>
      <c r="W439">
        <v>0</v>
      </c>
      <c r="X439">
        <v>0</v>
      </c>
      <c r="Y439">
        <v>0</v>
      </c>
      <c r="Z439">
        <v>1.3</v>
      </c>
      <c r="AA439">
        <v>4.0580361602237545E-3</v>
      </c>
      <c r="AB439">
        <v>31.2</v>
      </c>
      <c r="AC439">
        <v>12</v>
      </c>
      <c r="AD439">
        <v>28.5</v>
      </c>
      <c r="AI43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439" t="s">
        <v>161</v>
      </c>
      <c r="AN439">
        <f>INT(Table1[[#This Row],[reject_prod]]/Table1[[#This Row],[part_weight]] * 1000)</f>
        <v>22</v>
      </c>
    </row>
    <row r="440" spans="1:40">
      <c r="A440" s="1">
        <v>46036</v>
      </c>
      <c r="B440">
        <v>2</v>
      </c>
      <c r="C440">
        <v>9</v>
      </c>
      <c r="D440" t="s">
        <v>33</v>
      </c>
      <c r="E440" t="s">
        <v>46</v>
      </c>
      <c r="F440">
        <v>586276</v>
      </c>
      <c r="G440">
        <v>0</v>
      </c>
      <c r="H440" t="s">
        <v>47</v>
      </c>
      <c r="I440">
        <v>10682924</v>
      </c>
      <c r="J440">
        <v>6</v>
      </c>
      <c r="K440">
        <v>12.3</v>
      </c>
      <c r="L440">
        <v>12.3</v>
      </c>
      <c r="M440">
        <v>0</v>
      </c>
      <c r="N440" s="2">
        <v>162000</v>
      </c>
      <c r="O440" s="2">
        <v>7290</v>
      </c>
      <c r="P440" s="2">
        <v>7290</v>
      </c>
      <c r="Q440" s="2">
        <v>0</v>
      </c>
      <c r="R440" s="2">
        <v>0</v>
      </c>
      <c r="S440">
        <v>0</v>
      </c>
      <c r="T440" s="2">
        <v>80190</v>
      </c>
      <c r="U440" s="2">
        <v>81810</v>
      </c>
      <c r="V440">
        <v>0</v>
      </c>
      <c r="W440">
        <v>0</v>
      </c>
      <c r="X440">
        <v>0</v>
      </c>
      <c r="Y440" t="e">
        <v>#DIV/0!</v>
      </c>
      <c r="Z440">
        <v>0</v>
      </c>
      <c r="AA440" t="e">
        <v>#DIV/0!</v>
      </c>
      <c r="AB440">
        <v>26.2</v>
      </c>
      <c r="AC440">
        <v>0</v>
      </c>
      <c r="AD440">
        <v>26</v>
      </c>
      <c r="AH440">
        <v>12</v>
      </c>
      <c r="AI44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440" t="s">
        <v>337</v>
      </c>
      <c r="AN440">
        <f>INT(Table1[[#This Row],[reject_prod]]/Table1[[#This Row],[part_weight]] * 1000)</f>
        <v>0</v>
      </c>
    </row>
    <row r="441" spans="1:40">
      <c r="A441" s="1">
        <v>46036</v>
      </c>
      <c r="B441">
        <v>2</v>
      </c>
      <c r="C441">
        <v>10</v>
      </c>
      <c r="D441" t="s">
        <v>88</v>
      </c>
      <c r="E441" t="s">
        <v>34</v>
      </c>
      <c r="F441">
        <v>442310</v>
      </c>
      <c r="G441">
        <v>0</v>
      </c>
      <c r="H441" t="s">
        <v>315</v>
      </c>
      <c r="I441">
        <v>10684380</v>
      </c>
      <c r="J441">
        <v>4</v>
      </c>
      <c r="K441">
        <v>68.8</v>
      </c>
      <c r="L441">
        <v>68.8</v>
      </c>
      <c r="M441">
        <v>990</v>
      </c>
      <c r="N441" s="2">
        <v>8008</v>
      </c>
      <c r="O441" s="2">
        <v>0</v>
      </c>
      <c r="P441" s="2">
        <v>182</v>
      </c>
      <c r="Q441" s="2">
        <v>3960</v>
      </c>
      <c r="R441" s="2">
        <v>3640</v>
      </c>
      <c r="S441">
        <v>250.43199999999999</v>
      </c>
      <c r="T441" s="2">
        <v>3640</v>
      </c>
      <c r="U441" s="2">
        <v>4368</v>
      </c>
      <c r="V441">
        <v>272.44799999999998</v>
      </c>
      <c r="W441">
        <v>0</v>
      </c>
      <c r="X441">
        <v>0</v>
      </c>
      <c r="Y441">
        <v>0</v>
      </c>
      <c r="Z441">
        <v>26.3</v>
      </c>
      <c r="AA441">
        <v>9.6532182287996246E-2</v>
      </c>
      <c r="AB441">
        <v>33.24</v>
      </c>
      <c r="AC441">
        <v>9.1410000000000018</v>
      </c>
      <c r="AD441">
        <v>33.840000000000003</v>
      </c>
      <c r="AI44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2.8589999999999982</v>
      </c>
      <c r="AK441" t="s">
        <v>344</v>
      </c>
      <c r="AN441">
        <f>INT(Table1[[#This Row],[reject_prod]]/Table1[[#This Row],[part_weight]] * 1000)</f>
        <v>382</v>
      </c>
    </row>
    <row r="442" spans="1:40">
      <c r="A442" s="1">
        <v>46036</v>
      </c>
      <c r="B442">
        <v>2</v>
      </c>
      <c r="C442">
        <v>11</v>
      </c>
      <c r="D442" t="s">
        <v>208</v>
      </c>
      <c r="E442" t="s">
        <v>46</v>
      </c>
      <c r="F442">
        <v>552181</v>
      </c>
      <c r="G442">
        <v>1</v>
      </c>
      <c r="H442" t="s">
        <v>49</v>
      </c>
      <c r="I442">
        <v>10683782</v>
      </c>
      <c r="J442">
        <v>6</v>
      </c>
      <c r="K442">
        <v>18.8</v>
      </c>
      <c r="L442">
        <v>18.8</v>
      </c>
      <c r="M442">
        <v>1500</v>
      </c>
      <c r="N442" s="2">
        <v>108000</v>
      </c>
      <c r="O442" s="2">
        <v>1890</v>
      </c>
      <c r="P442" s="2">
        <v>270</v>
      </c>
      <c r="Q442" s="2">
        <v>9000</v>
      </c>
      <c r="R442" s="2">
        <v>10800</v>
      </c>
      <c r="S442">
        <v>203.04</v>
      </c>
      <c r="T442" s="2">
        <v>43470</v>
      </c>
      <c r="U442" s="2">
        <v>64530</v>
      </c>
      <c r="V442">
        <v>169.2</v>
      </c>
      <c r="W442">
        <v>0</v>
      </c>
      <c r="X442">
        <v>0</v>
      </c>
      <c r="Y442">
        <v>0</v>
      </c>
      <c r="Z442">
        <v>1</v>
      </c>
      <c r="AA442">
        <v>5.9101654846335705E-3</v>
      </c>
      <c r="AB442">
        <v>27.6</v>
      </c>
      <c r="AC442">
        <v>11.5</v>
      </c>
      <c r="AD442">
        <v>27</v>
      </c>
      <c r="AI44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0.5</v>
      </c>
      <c r="AK442" t="s">
        <v>51</v>
      </c>
      <c r="AN442">
        <f>INT(Table1[[#This Row],[reject_prod]]/Table1[[#This Row],[part_weight]] * 1000)</f>
        <v>53</v>
      </c>
    </row>
    <row r="443" spans="1:40">
      <c r="A443" s="1">
        <v>46036</v>
      </c>
      <c r="B443">
        <v>2</v>
      </c>
      <c r="C443">
        <v>12</v>
      </c>
      <c r="D443" t="s">
        <v>56</v>
      </c>
      <c r="E443" t="s">
        <v>34</v>
      </c>
      <c r="F443">
        <v>620599</v>
      </c>
      <c r="G443">
        <v>0</v>
      </c>
      <c r="H443" t="s">
        <v>50</v>
      </c>
      <c r="I443">
        <v>10682929</v>
      </c>
      <c r="J443">
        <v>4</v>
      </c>
      <c r="K443">
        <v>55</v>
      </c>
      <c r="L443">
        <v>55</v>
      </c>
      <c r="M443">
        <v>1475</v>
      </c>
      <c r="N443" s="2">
        <v>72000</v>
      </c>
      <c r="O443" s="2">
        <v>1575</v>
      </c>
      <c r="P443" s="2">
        <v>225</v>
      </c>
      <c r="Q443" s="2">
        <v>5900</v>
      </c>
      <c r="R443" s="2">
        <v>7200</v>
      </c>
      <c r="S443">
        <v>396</v>
      </c>
      <c r="T443" s="2">
        <v>30825</v>
      </c>
      <c r="U443" s="2">
        <v>41175</v>
      </c>
      <c r="V443">
        <v>324.5</v>
      </c>
      <c r="W443">
        <v>0</v>
      </c>
      <c r="X443">
        <v>0</v>
      </c>
      <c r="Y443">
        <v>0</v>
      </c>
      <c r="Z443">
        <v>8</v>
      </c>
      <c r="AA443">
        <v>2.465331278890601E-2</v>
      </c>
      <c r="AB443">
        <v>28.7</v>
      </c>
      <c r="AC443">
        <v>11.759027777777778</v>
      </c>
      <c r="AD443">
        <v>28</v>
      </c>
      <c r="AI44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0.24097222222222214</v>
      </c>
      <c r="AK443" t="s">
        <v>326</v>
      </c>
      <c r="AN443">
        <f>INT(Table1[[#This Row],[reject_prod]]/Table1[[#This Row],[part_weight]] * 1000)</f>
        <v>145</v>
      </c>
    </row>
    <row r="444" spans="1:40">
      <c r="A444" s="1">
        <v>46036</v>
      </c>
      <c r="B444">
        <v>2</v>
      </c>
      <c r="C444">
        <v>13</v>
      </c>
      <c r="D444" t="s">
        <v>208</v>
      </c>
      <c r="E444" t="s">
        <v>46</v>
      </c>
      <c r="F444">
        <v>586276</v>
      </c>
      <c r="G444">
        <v>0</v>
      </c>
      <c r="H444" t="s">
        <v>47</v>
      </c>
      <c r="I444">
        <v>10683784</v>
      </c>
      <c r="J444">
        <v>6</v>
      </c>
      <c r="K444">
        <v>12.3</v>
      </c>
      <c r="L444">
        <v>12.3</v>
      </c>
      <c r="M444">
        <v>1620</v>
      </c>
      <c r="N444" s="2">
        <v>162000</v>
      </c>
      <c r="O444" s="2">
        <v>2430</v>
      </c>
      <c r="P444" s="2">
        <v>4050</v>
      </c>
      <c r="Q444" s="2">
        <v>9720</v>
      </c>
      <c r="R444" s="2">
        <v>8100</v>
      </c>
      <c r="S444">
        <v>99.63</v>
      </c>
      <c r="T444" s="2">
        <v>44550</v>
      </c>
      <c r="U444" s="2">
        <v>117450</v>
      </c>
      <c r="V444">
        <v>119.556</v>
      </c>
      <c r="W444">
        <v>0</v>
      </c>
      <c r="X444">
        <v>0</v>
      </c>
      <c r="Y444">
        <v>0</v>
      </c>
      <c r="Z444">
        <v>1.1000000000000001</v>
      </c>
      <c r="AA444">
        <v>9.2007092910435292E-3</v>
      </c>
      <c r="AB444">
        <v>26.4</v>
      </c>
      <c r="AC444">
        <v>11.879999999999999</v>
      </c>
      <c r="AD444">
        <v>26</v>
      </c>
      <c r="AI44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0.12000000000000099</v>
      </c>
      <c r="AK444" t="s">
        <v>51</v>
      </c>
      <c r="AN444">
        <f>INT(Table1[[#This Row],[reject_prod]]/Table1[[#This Row],[part_weight]] * 1000)</f>
        <v>89</v>
      </c>
    </row>
    <row r="445" spans="1:40">
      <c r="A445" s="1">
        <v>46036</v>
      </c>
      <c r="B445">
        <v>2</v>
      </c>
      <c r="C445">
        <v>14</v>
      </c>
      <c r="D445" t="s">
        <v>60</v>
      </c>
      <c r="E445" t="s">
        <v>46</v>
      </c>
      <c r="F445">
        <v>555979</v>
      </c>
      <c r="G445">
        <v>1</v>
      </c>
      <c r="H445" t="s">
        <v>52</v>
      </c>
      <c r="I445">
        <v>10682932</v>
      </c>
      <c r="J445">
        <v>6</v>
      </c>
      <c r="K445">
        <v>28</v>
      </c>
      <c r="L445">
        <v>28</v>
      </c>
      <c r="M445">
        <v>1008</v>
      </c>
      <c r="N445" s="2">
        <v>100800</v>
      </c>
      <c r="O445" s="2">
        <v>1680</v>
      </c>
      <c r="P445" s="2">
        <v>1008</v>
      </c>
      <c r="Q445" s="2">
        <v>6048</v>
      </c>
      <c r="R445" s="2">
        <v>6720</v>
      </c>
      <c r="S445">
        <v>188.16</v>
      </c>
      <c r="T445" s="2">
        <v>78288</v>
      </c>
      <c r="U445" s="2">
        <v>22512</v>
      </c>
      <c r="V445">
        <v>169.34399999999999</v>
      </c>
      <c r="W445">
        <v>0</v>
      </c>
      <c r="X445">
        <v>0</v>
      </c>
      <c r="Y445">
        <v>0</v>
      </c>
      <c r="Z445">
        <v>1</v>
      </c>
      <c r="AA445">
        <v>5.9051398337112626E-3</v>
      </c>
      <c r="AB445">
        <v>42.7</v>
      </c>
      <c r="AC445">
        <v>11.956000000000001</v>
      </c>
      <c r="AD445">
        <v>42</v>
      </c>
      <c r="AI44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4.3999999999998707E-2</v>
      </c>
      <c r="AK445" t="s">
        <v>51</v>
      </c>
      <c r="AN445">
        <f>INT(Table1[[#This Row],[reject_prod]]/Table1[[#This Row],[part_weight]] * 1000)</f>
        <v>35</v>
      </c>
    </row>
    <row r="446" spans="1:40">
      <c r="A446" s="1">
        <v>46036</v>
      </c>
      <c r="B446">
        <v>2</v>
      </c>
      <c r="C446">
        <v>15</v>
      </c>
      <c r="D446" t="s">
        <v>208</v>
      </c>
      <c r="E446" t="s">
        <v>46</v>
      </c>
      <c r="F446">
        <v>552181</v>
      </c>
      <c r="G446">
        <v>2</v>
      </c>
      <c r="H446" t="s">
        <v>49</v>
      </c>
      <c r="I446">
        <v>10683786</v>
      </c>
      <c r="J446">
        <v>6</v>
      </c>
      <c r="K446">
        <v>18.8</v>
      </c>
      <c r="L446">
        <v>18.8</v>
      </c>
      <c r="M446">
        <v>1400</v>
      </c>
      <c r="N446" s="2">
        <v>108000</v>
      </c>
      <c r="O446" s="2">
        <v>2700</v>
      </c>
      <c r="P446" s="2">
        <v>1080</v>
      </c>
      <c r="Q446" s="2">
        <v>8400</v>
      </c>
      <c r="R446" s="2">
        <v>10800</v>
      </c>
      <c r="S446">
        <v>203.04</v>
      </c>
      <c r="T446" s="2">
        <v>17280</v>
      </c>
      <c r="U446" s="2">
        <v>90720</v>
      </c>
      <c r="V446">
        <v>157.91999999999999</v>
      </c>
      <c r="W446">
        <v>0</v>
      </c>
      <c r="X446">
        <v>0</v>
      </c>
      <c r="Y446">
        <v>0</v>
      </c>
      <c r="Z446">
        <v>1</v>
      </c>
      <c r="AA446">
        <v>6.3323201621073967E-3</v>
      </c>
      <c r="AB446">
        <v>31.24</v>
      </c>
      <c r="AC446">
        <v>12</v>
      </c>
      <c r="AD446">
        <v>27</v>
      </c>
      <c r="AI44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446" t="s">
        <v>51</v>
      </c>
      <c r="AN446">
        <f>INT(Table1[[#This Row],[reject_prod]]/Table1[[#This Row],[part_weight]] * 1000)</f>
        <v>53</v>
      </c>
    </row>
    <row r="447" spans="1:40" s="4" customFormat="1">
      <c r="A447" s="3">
        <v>46036</v>
      </c>
      <c r="B447" s="4">
        <v>2</v>
      </c>
      <c r="C447" s="4">
        <v>16</v>
      </c>
      <c r="D447" s="4" t="s">
        <v>333</v>
      </c>
      <c r="E447" s="4" t="s">
        <v>46</v>
      </c>
      <c r="F447" s="4">
        <v>555979</v>
      </c>
      <c r="G447" s="4">
        <v>2</v>
      </c>
      <c r="H447" s="4" t="s">
        <v>52</v>
      </c>
      <c r="I447" s="4">
        <v>10683788</v>
      </c>
      <c r="J447" s="4">
        <v>6</v>
      </c>
      <c r="K447" s="4">
        <v>28</v>
      </c>
      <c r="L447" s="4">
        <v>28</v>
      </c>
      <c r="M447" s="4">
        <v>1000</v>
      </c>
      <c r="N447" s="5">
        <v>100800</v>
      </c>
      <c r="O447" s="5">
        <v>672</v>
      </c>
      <c r="P447" s="5">
        <v>0</v>
      </c>
      <c r="Q447" s="5">
        <v>6000</v>
      </c>
      <c r="R447" s="5">
        <v>6720</v>
      </c>
      <c r="S447" s="4">
        <v>188.16</v>
      </c>
      <c r="T447" s="5">
        <v>20160</v>
      </c>
      <c r="U447" s="5">
        <v>80640</v>
      </c>
      <c r="V447" s="4">
        <v>168</v>
      </c>
      <c r="W447" s="4">
        <v>0</v>
      </c>
      <c r="X447" s="4">
        <v>0</v>
      </c>
      <c r="Y447" s="4">
        <v>0</v>
      </c>
      <c r="Z447" s="4">
        <v>1</v>
      </c>
      <c r="AA447" s="4">
        <v>5.9523809523809521E-3</v>
      </c>
      <c r="AB447" s="4">
        <v>43.7</v>
      </c>
      <c r="AC447" s="4">
        <v>12</v>
      </c>
      <c r="AD447" s="4">
        <v>42</v>
      </c>
      <c r="AI44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447" s="4" t="s">
        <v>51</v>
      </c>
      <c r="AN447" s="4">
        <f>INT(Table1[[#This Row],[reject_prod]]/Table1[[#This Row],[part_weight]] * 1000)</f>
        <v>35</v>
      </c>
    </row>
    <row r="448" spans="1:40">
      <c r="A448" s="1">
        <v>46037</v>
      </c>
      <c r="B448">
        <v>1</v>
      </c>
      <c r="C448">
        <v>1</v>
      </c>
      <c r="E448" t="s">
        <v>34</v>
      </c>
      <c r="F448">
        <v>577492</v>
      </c>
      <c r="G448">
        <v>0</v>
      </c>
      <c r="H448" t="s">
        <v>341</v>
      </c>
      <c r="I448">
        <v>10683850</v>
      </c>
      <c r="J448">
        <v>4</v>
      </c>
      <c r="K448">
        <v>35.6</v>
      </c>
      <c r="L448">
        <v>35.6</v>
      </c>
      <c r="M448">
        <v>508</v>
      </c>
      <c r="N448" s="2">
        <v>40480</v>
      </c>
      <c r="O448" s="2">
        <v>0</v>
      </c>
      <c r="P448" s="2">
        <v>1104</v>
      </c>
      <c r="Q448" s="2">
        <v>2032</v>
      </c>
      <c r="R448" s="2">
        <v>0</v>
      </c>
      <c r="S448">
        <v>0</v>
      </c>
      <c r="T448" s="2">
        <v>1104</v>
      </c>
      <c r="U448" s="2">
        <v>39376</v>
      </c>
      <c r="V448">
        <v>72.339199999999991</v>
      </c>
      <c r="W448">
        <v>0</v>
      </c>
      <c r="X448">
        <v>13.5</v>
      </c>
      <c r="Y448">
        <v>0.18662080863487571</v>
      </c>
      <c r="Z448">
        <v>0</v>
      </c>
      <c r="AA448">
        <v>0</v>
      </c>
      <c r="AB448">
        <v>28.2</v>
      </c>
      <c r="AC448">
        <v>3.9793333333333329</v>
      </c>
      <c r="AD448">
        <v>27</v>
      </c>
      <c r="AE448">
        <v>4.5</v>
      </c>
      <c r="AI44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3.5206666666666671</v>
      </c>
      <c r="AK448" t="s">
        <v>351</v>
      </c>
      <c r="AL448">
        <v>12</v>
      </c>
      <c r="AM448">
        <v>6</v>
      </c>
      <c r="AN448">
        <f>INT(Table1[[#This Row],[reject_prod]]/Table1[[#This Row],[part_weight]] * 1000)</f>
        <v>0</v>
      </c>
    </row>
    <row r="449" spans="1:40">
      <c r="A449" s="1">
        <v>46037</v>
      </c>
      <c r="B449">
        <v>1</v>
      </c>
      <c r="C449">
        <v>2</v>
      </c>
      <c r="D449" t="s">
        <v>345</v>
      </c>
      <c r="E449" t="s">
        <v>34</v>
      </c>
      <c r="F449">
        <v>463202</v>
      </c>
      <c r="G449">
        <v>0</v>
      </c>
      <c r="H449" t="s">
        <v>320</v>
      </c>
      <c r="I449">
        <v>10684540</v>
      </c>
      <c r="J449">
        <v>4</v>
      </c>
      <c r="K449">
        <v>23</v>
      </c>
      <c r="L449">
        <v>23</v>
      </c>
      <c r="M449">
        <v>1190</v>
      </c>
      <c r="N449" s="2">
        <v>40920</v>
      </c>
      <c r="O449" s="2">
        <v>5115</v>
      </c>
      <c r="P449" s="2">
        <v>4185</v>
      </c>
      <c r="Q449" s="2">
        <v>4760</v>
      </c>
      <c r="R449" s="2">
        <v>5580</v>
      </c>
      <c r="S449">
        <v>128.34</v>
      </c>
      <c r="T449" s="2">
        <v>20925</v>
      </c>
      <c r="U449" s="2">
        <v>19995</v>
      </c>
      <c r="V449">
        <v>109.48</v>
      </c>
      <c r="W449">
        <v>0</v>
      </c>
      <c r="X449">
        <v>0</v>
      </c>
      <c r="Y449">
        <v>0</v>
      </c>
      <c r="Z449">
        <v>2.5</v>
      </c>
      <c r="AA449">
        <v>2.2835221044939714E-2</v>
      </c>
      <c r="AB449">
        <v>23.3</v>
      </c>
      <c r="AC449">
        <v>7.701944444444444</v>
      </c>
      <c r="AD449">
        <v>22.92</v>
      </c>
      <c r="AI44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4.298055555555556</v>
      </c>
      <c r="AK449" t="s">
        <v>352</v>
      </c>
      <c r="AL449">
        <v>4</v>
      </c>
      <c r="AM449">
        <v>2</v>
      </c>
      <c r="AN449">
        <f>INT(Table1[[#This Row],[reject_prod]]/Table1[[#This Row],[part_weight]] * 1000)</f>
        <v>108</v>
      </c>
    </row>
    <row r="450" spans="1:40">
      <c r="A450" s="1">
        <v>46037</v>
      </c>
      <c r="B450">
        <v>1</v>
      </c>
      <c r="C450">
        <v>3</v>
      </c>
      <c r="D450" t="s">
        <v>141</v>
      </c>
      <c r="E450" t="s">
        <v>34</v>
      </c>
      <c r="F450">
        <v>442034</v>
      </c>
      <c r="G450">
        <v>0</v>
      </c>
      <c r="H450" t="s">
        <v>37</v>
      </c>
      <c r="I450">
        <v>10681183</v>
      </c>
      <c r="J450">
        <v>4</v>
      </c>
      <c r="K450">
        <v>23</v>
      </c>
      <c r="L450">
        <v>23</v>
      </c>
      <c r="M450">
        <v>1613</v>
      </c>
      <c r="N450" s="2">
        <v>139776</v>
      </c>
      <c r="O450" s="2">
        <v>0</v>
      </c>
      <c r="P450" s="2">
        <v>1792</v>
      </c>
      <c r="Q450" s="2">
        <v>6452</v>
      </c>
      <c r="R450" s="2">
        <v>4608</v>
      </c>
      <c r="S450">
        <v>105.98399999999999</v>
      </c>
      <c r="T450" s="2">
        <v>78208</v>
      </c>
      <c r="U450" s="2">
        <v>61568</v>
      </c>
      <c r="V450">
        <v>148.39599999999999</v>
      </c>
      <c r="W450">
        <v>0</v>
      </c>
      <c r="X450">
        <v>0</v>
      </c>
      <c r="Y450">
        <v>0</v>
      </c>
      <c r="Z450">
        <v>1.5</v>
      </c>
      <c r="AA450">
        <v>1.0108089166823904E-2</v>
      </c>
      <c r="AB450">
        <v>26.6</v>
      </c>
      <c r="AC450">
        <v>12</v>
      </c>
      <c r="AD450">
        <v>22</v>
      </c>
      <c r="AI45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450" t="s">
        <v>103</v>
      </c>
      <c r="AN450">
        <f>INT(Table1[[#This Row],[reject_prod]]/Table1[[#This Row],[part_weight]] * 1000)</f>
        <v>65</v>
      </c>
    </row>
    <row r="451" spans="1:40">
      <c r="A451" s="1">
        <v>46037</v>
      </c>
      <c r="B451">
        <v>1</v>
      </c>
      <c r="C451">
        <v>4</v>
      </c>
      <c r="F451">
        <v>123456</v>
      </c>
      <c r="G451">
        <v>0</v>
      </c>
      <c r="M451">
        <v>0</v>
      </c>
      <c r="N451">
        <v>0</v>
      </c>
      <c r="O451">
        <v>0</v>
      </c>
      <c r="P451">
        <v>0</v>
      </c>
      <c r="R451">
        <v>0</v>
      </c>
      <c r="T451">
        <v>0</v>
      </c>
      <c r="X451">
        <v>0</v>
      </c>
      <c r="Z451">
        <v>0</v>
      </c>
      <c r="AB451">
        <v>0</v>
      </c>
      <c r="AC451">
        <v>0</v>
      </c>
      <c r="AD451">
        <v>22.5</v>
      </c>
      <c r="AI45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451">
        <v>12</v>
      </c>
      <c r="AK451" t="s">
        <v>116</v>
      </c>
      <c r="AN451">
        <v>0</v>
      </c>
    </row>
    <row r="452" spans="1:40">
      <c r="A452" s="1">
        <v>46037</v>
      </c>
      <c r="B452">
        <v>1</v>
      </c>
      <c r="C452">
        <v>5</v>
      </c>
      <c r="D452" t="s">
        <v>152</v>
      </c>
      <c r="E452" t="s">
        <v>34</v>
      </c>
      <c r="F452">
        <v>597507</v>
      </c>
      <c r="G452">
        <v>0</v>
      </c>
      <c r="H452" t="s">
        <v>279</v>
      </c>
      <c r="I452">
        <v>10682757</v>
      </c>
      <c r="J452">
        <v>4</v>
      </c>
      <c r="K452">
        <v>23</v>
      </c>
      <c r="L452">
        <v>23</v>
      </c>
      <c r="M452">
        <v>1929</v>
      </c>
      <c r="N452" s="2">
        <v>64680</v>
      </c>
      <c r="O452" s="2">
        <v>154</v>
      </c>
      <c r="P452" s="2">
        <v>154</v>
      </c>
      <c r="Q452" s="2">
        <v>7716</v>
      </c>
      <c r="R452" s="2">
        <v>7546</v>
      </c>
      <c r="S452">
        <v>173.55799999999999</v>
      </c>
      <c r="T452" s="2">
        <v>34650</v>
      </c>
      <c r="U452" s="2">
        <v>30030</v>
      </c>
      <c r="V452">
        <v>177.46799999999999</v>
      </c>
      <c r="W452">
        <v>0</v>
      </c>
      <c r="X452">
        <v>0</v>
      </c>
      <c r="Y452">
        <v>0</v>
      </c>
      <c r="Z452">
        <v>2.5</v>
      </c>
      <c r="AA452">
        <v>1.4087046678837875E-2</v>
      </c>
      <c r="AB452">
        <v>22.3</v>
      </c>
      <c r="AC452">
        <v>11.949083333333332</v>
      </c>
      <c r="AD452">
        <v>22</v>
      </c>
      <c r="AI45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5.0916666666667609E-2</v>
      </c>
      <c r="AK452" t="s">
        <v>353</v>
      </c>
      <c r="AM452">
        <v>2</v>
      </c>
      <c r="AN452">
        <f>INT(Table1[[#This Row],[reject_prod]]/Table1[[#This Row],[part_weight]] * 1000)</f>
        <v>108</v>
      </c>
    </row>
    <row r="453" spans="1:40">
      <c r="A453" s="1">
        <v>46037</v>
      </c>
      <c r="B453">
        <v>1</v>
      </c>
      <c r="C453">
        <v>6</v>
      </c>
      <c r="D453" t="s">
        <v>346</v>
      </c>
      <c r="E453" t="s">
        <v>34</v>
      </c>
      <c r="F453">
        <v>322429</v>
      </c>
      <c r="G453">
        <v>0</v>
      </c>
      <c r="H453" t="s">
        <v>354</v>
      </c>
      <c r="I453">
        <v>10683853</v>
      </c>
      <c r="J453">
        <v>4</v>
      </c>
      <c r="K453">
        <v>24.93</v>
      </c>
      <c r="L453">
        <v>24</v>
      </c>
      <c r="M453">
        <v>1255</v>
      </c>
      <c r="N453" s="2">
        <v>40600</v>
      </c>
      <c r="O453" s="2">
        <v>0</v>
      </c>
      <c r="P453" s="2">
        <v>812</v>
      </c>
      <c r="Q453" s="2">
        <v>5020</v>
      </c>
      <c r="R453" s="2">
        <v>4060</v>
      </c>
      <c r="S453">
        <v>97.44</v>
      </c>
      <c r="T453" s="2">
        <v>4872</v>
      </c>
      <c r="U453" s="2">
        <v>35728</v>
      </c>
      <c r="V453">
        <v>120.48</v>
      </c>
      <c r="W453">
        <v>0</v>
      </c>
      <c r="X453">
        <v>3</v>
      </c>
      <c r="Y453">
        <v>2.4900398406374501E-2</v>
      </c>
      <c r="Z453">
        <v>0.5</v>
      </c>
      <c r="AA453">
        <v>4.1500664010624168E-3</v>
      </c>
      <c r="AB453">
        <v>21.4</v>
      </c>
      <c r="AC453">
        <v>7.4602777777777769</v>
      </c>
      <c r="AD453">
        <v>16.96</v>
      </c>
      <c r="AG453">
        <v>1.5</v>
      </c>
      <c r="AI45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3.0397222222222231</v>
      </c>
      <c r="AK453" t="s">
        <v>355</v>
      </c>
      <c r="AM453">
        <v>6</v>
      </c>
      <c r="AN453">
        <f>INT(Table1[[#This Row],[reject_prod]]/Table1[[#This Row],[part_weight]] * 1000)</f>
        <v>20</v>
      </c>
    </row>
    <row r="454" spans="1:40">
      <c r="A454" s="1">
        <v>46037</v>
      </c>
      <c r="B454">
        <v>1</v>
      </c>
      <c r="C454">
        <v>7</v>
      </c>
      <c r="D454" t="s">
        <v>43</v>
      </c>
      <c r="E454" t="s">
        <v>34</v>
      </c>
      <c r="F454">
        <v>324177</v>
      </c>
      <c r="G454">
        <v>0</v>
      </c>
      <c r="H454" t="s">
        <v>246</v>
      </c>
      <c r="I454">
        <v>10682801</v>
      </c>
      <c r="J454">
        <v>4</v>
      </c>
      <c r="K454">
        <v>34.5</v>
      </c>
      <c r="L454">
        <v>34.5</v>
      </c>
      <c r="M454">
        <v>1886</v>
      </c>
      <c r="N454" s="2">
        <v>62400</v>
      </c>
      <c r="O454" s="2">
        <v>0</v>
      </c>
      <c r="P454" s="2">
        <v>1248</v>
      </c>
      <c r="Q454" s="2">
        <v>7544</v>
      </c>
      <c r="R454" s="2">
        <v>6240</v>
      </c>
      <c r="S454">
        <v>215.28</v>
      </c>
      <c r="T454" s="2">
        <v>52728</v>
      </c>
      <c r="U454" s="2">
        <v>9672</v>
      </c>
      <c r="V454">
        <v>260.26799999999997</v>
      </c>
      <c r="W454">
        <v>0</v>
      </c>
      <c r="X454">
        <v>0</v>
      </c>
      <c r="Y454">
        <v>0</v>
      </c>
      <c r="Z454">
        <v>1.6</v>
      </c>
      <c r="AA454">
        <v>6.1475094902177767E-3</v>
      </c>
      <c r="AB454">
        <v>22.2</v>
      </c>
      <c r="AC454">
        <v>11.630333333333333</v>
      </c>
      <c r="AD454">
        <v>22</v>
      </c>
      <c r="AI45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0.36966666666666725</v>
      </c>
      <c r="AK454" t="s">
        <v>356</v>
      </c>
      <c r="AN454">
        <f>INT(Table1[[#This Row],[reject_prod]]/Table1[[#This Row],[part_weight]] * 1000)</f>
        <v>46</v>
      </c>
    </row>
    <row r="455" spans="1:40">
      <c r="A455" s="1">
        <v>46037</v>
      </c>
      <c r="B455">
        <v>1</v>
      </c>
      <c r="C455">
        <v>8</v>
      </c>
      <c r="D455" t="s">
        <v>346</v>
      </c>
      <c r="E455" t="s">
        <v>41</v>
      </c>
      <c r="F455">
        <v>593537</v>
      </c>
      <c r="G455">
        <v>0</v>
      </c>
      <c r="H455" t="s">
        <v>48</v>
      </c>
      <c r="I455">
        <v>10682926</v>
      </c>
      <c r="J455">
        <v>4</v>
      </c>
      <c r="K455">
        <v>56.5</v>
      </c>
      <c r="L455">
        <v>56.8</v>
      </c>
      <c r="M455">
        <v>1368</v>
      </c>
      <c r="N455" s="2">
        <v>69000</v>
      </c>
      <c r="O455" s="2">
        <v>0</v>
      </c>
      <c r="P455" s="2">
        <v>230</v>
      </c>
      <c r="Q455" s="2">
        <v>5472</v>
      </c>
      <c r="R455" s="2">
        <v>5175</v>
      </c>
      <c r="S455">
        <v>293.94</v>
      </c>
      <c r="T455" s="2">
        <v>38180</v>
      </c>
      <c r="U455" s="2">
        <v>30820</v>
      </c>
      <c r="V455">
        <v>310.80959999999999</v>
      </c>
      <c r="W455">
        <v>0</v>
      </c>
      <c r="X455">
        <v>0</v>
      </c>
      <c r="Y455">
        <v>0</v>
      </c>
      <c r="Z455">
        <v>3.5</v>
      </c>
      <c r="AA455">
        <v>1.126091343381929E-2</v>
      </c>
      <c r="AB455">
        <v>31.2</v>
      </c>
      <c r="AC455">
        <v>11.856</v>
      </c>
      <c r="AD455">
        <v>28.5</v>
      </c>
      <c r="AI45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0.14400000000000013</v>
      </c>
      <c r="AK455" t="s">
        <v>178</v>
      </c>
      <c r="AN455">
        <f>INT(Table1[[#This Row],[reject_prod]]/Table1[[#This Row],[part_weight]] * 1000)</f>
        <v>61</v>
      </c>
    </row>
    <row r="456" spans="1:40">
      <c r="A456" s="1">
        <v>46037</v>
      </c>
      <c r="B456">
        <v>1</v>
      </c>
      <c r="C456">
        <v>9</v>
      </c>
      <c r="D456" t="s">
        <v>33</v>
      </c>
      <c r="E456" t="s">
        <v>46</v>
      </c>
      <c r="F456">
        <v>586276</v>
      </c>
      <c r="G456">
        <v>0</v>
      </c>
      <c r="H456" t="s">
        <v>47</v>
      </c>
      <c r="I456">
        <v>10682924</v>
      </c>
      <c r="J456">
        <v>6</v>
      </c>
      <c r="K456">
        <v>12.3</v>
      </c>
      <c r="L456">
        <v>12.3</v>
      </c>
      <c r="M456">
        <v>0</v>
      </c>
      <c r="N456" s="2">
        <v>162000</v>
      </c>
      <c r="O456" s="2">
        <v>7290</v>
      </c>
      <c r="P456" s="2">
        <v>7290</v>
      </c>
      <c r="Q456" s="2">
        <v>0</v>
      </c>
      <c r="R456" s="2">
        <v>0</v>
      </c>
      <c r="S456">
        <v>0</v>
      </c>
      <c r="T456" s="2">
        <v>80190</v>
      </c>
      <c r="U456" s="2">
        <v>81810</v>
      </c>
      <c r="V456">
        <v>0</v>
      </c>
      <c r="W456">
        <v>0</v>
      </c>
      <c r="X456">
        <v>0</v>
      </c>
      <c r="Y456" t="e">
        <v>#DIV/0!</v>
      </c>
      <c r="Z456">
        <v>0</v>
      </c>
      <c r="AA456" t="e">
        <v>#DIV/0!</v>
      </c>
      <c r="AB456">
        <v>26.2</v>
      </c>
      <c r="AC456">
        <v>0</v>
      </c>
      <c r="AD456">
        <v>26</v>
      </c>
      <c r="AI45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456" t="s">
        <v>357</v>
      </c>
      <c r="AN456">
        <f>INT(Table1[[#This Row],[reject_prod]]/Table1[[#This Row],[part_weight]] * 1000)</f>
        <v>0</v>
      </c>
    </row>
    <row r="457" spans="1:40">
      <c r="A457" s="1">
        <v>46037</v>
      </c>
      <c r="B457">
        <v>1</v>
      </c>
      <c r="C457">
        <v>10</v>
      </c>
      <c r="D457" t="s">
        <v>108</v>
      </c>
      <c r="E457" t="s">
        <v>34</v>
      </c>
      <c r="F457">
        <v>442310</v>
      </c>
      <c r="G457">
        <v>0</v>
      </c>
      <c r="H457" t="s">
        <v>315</v>
      </c>
      <c r="I457">
        <v>10684380</v>
      </c>
      <c r="J457">
        <v>4</v>
      </c>
      <c r="K457">
        <v>68.8</v>
      </c>
      <c r="L457">
        <v>68.8</v>
      </c>
      <c r="M457">
        <v>1121</v>
      </c>
      <c r="N457" s="2">
        <v>8008</v>
      </c>
      <c r="O457" s="2">
        <v>182</v>
      </c>
      <c r="P457" s="2">
        <v>0</v>
      </c>
      <c r="Q457" s="2">
        <v>4484</v>
      </c>
      <c r="R457" s="2">
        <v>4368</v>
      </c>
      <c r="S457">
        <v>300.51839999999999</v>
      </c>
      <c r="T457" s="2">
        <v>8008</v>
      </c>
      <c r="U457" s="2">
        <v>0</v>
      </c>
      <c r="V457">
        <v>308.49920000000003</v>
      </c>
      <c r="W457">
        <v>0</v>
      </c>
      <c r="X457">
        <v>0</v>
      </c>
      <c r="Y457">
        <v>0</v>
      </c>
      <c r="Z457">
        <v>8.6</v>
      </c>
      <c r="AA457">
        <v>2.7876895628902762E-2</v>
      </c>
      <c r="AB457">
        <v>33.200000000000003</v>
      </c>
      <c r="AC457">
        <v>10.338111111111113</v>
      </c>
      <c r="AD457">
        <v>33.840000000000003</v>
      </c>
      <c r="AI45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1.6618888888888872</v>
      </c>
      <c r="AK457" t="s">
        <v>102</v>
      </c>
      <c r="AL457">
        <v>4</v>
      </c>
      <c r="AM457">
        <v>8</v>
      </c>
      <c r="AN457">
        <f>INT(Table1[[#This Row],[reject_prod]]/Table1[[#This Row],[part_weight]] * 1000)</f>
        <v>125</v>
      </c>
    </row>
    <row r="458" spans="1:40">
      <c r="A458" s="1">
        <v>46037</v>
      </c>
      <c r="B458">
        <v>1</v>
      </c>
      <c r="C458">
        <v>10</v>
      </c>
      <c r="D458" t="s">
        <v>108</v>
      </c>
      <c r="E458" t="s">
        <v>34</v>
      </c>
      <c r="F458">
        <v>442310</v>
      </c>
      <c r="G458">
        <v>0</v>
      </c>
      <c r="H458" t="s">
        <v>315</v>
      </c>
      <c r="I458">
        <v>10684748</v>
      </c>
      <c r="J458">
        <v>4</v>
      </c>
      <c r="K458">
        <v>68.8</v>
      </c>
      <c r="L458">
        <v>68.8</v>
      </c>
      <c r="M458">
        <v>182</v>
      </c>
      <c r="N458" s="2">
        <v>8008</v>
      </c>
      <c r="O458" s="2">
        <v>0</v>
      </c>
      <c r="P458" s="2">
        <v>0</v>
      </c>
      <c r="Q458" s="2">
        <v>728</v>
      </c>
      <c r="R458" s="2">
        <v>728</v>
      </c>
      <c r="S458">
        <v>50.086400000000005</v>
      </c>
      <c r="T458" s="2">
        <v>728</v>
      </c>
      <c r="U458" s="2">
        <v>7280</v>
      </c>
      <c r="V458">
        <v>50.086400000000005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33.200000000000003</v>
      </c>
      <c r="AC458">
        <v>1.6784444444444446</v>
      </c>
      <c r="AD458">
        <v>33.840000000000003</v>
      </c>
      <c r="AI45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10.321555555555555</v>
      </c>
      <c r="AK458" t="s">
        <v>358</v>
      </c>
      <c r="AN458">
        <f>INT(Table1[[#This Row],[reject_prod]]/Table1[[#This Row],[part_weight]] * 1000)</f>
        <v>0</v>
      </c>
    </row>
    <row r="459" spans="1:40">
      <c r="A459" s="1">
        <v>46037</v>
      </c>
      <c r="B459">
        <v>1</v>
      </c>
      <c r="C459">
        <v>11</v>
      </c>
      <c r="D459" t="s">
        <v>61</v>
      </c>
      <c r="E459" t="s">
        <v>46</v>
      </c>
      <c r="F459">
        <v>552181</v>
      </c>
      <c r="G459">
        <v>1</v>
      </c>
      <c r="H459" t="s">
        <v>49</v>
      </c>
      <c r="I459">
        <v>10683782</v>
      </c>
      <c r="J459">
        <v>6</v>
      </c>
      <c r="K459">
        <v>18.8</v>
      </c>
      <c r="L459">
        <v>18.8</v>
      </c>
      <c r="M459">
        <v>1493</v>
      </c>
      <c r="N459" s="2">
        <v>108000</v>
      </c>
      <c r="O459" s="2">
        <v>270</v>
      </c>
      <c r="P459" s="2">
        <v>3240</v>
      </c>
      <c r="Q459" s="2">
        <v>8958</v>
      </c>
      <c r="R459" s="2">
        <v>5400</v>
      </c>
      <c r="S459">
        <v>101.52</v>
      </c>
      <c r="T459" s="2">
        <v>51840</v>
      </c>
      <c r="U459" s="2">
        <v>56160</v>
      </c>
      <c r="V459">
        <v>168.41039999999998</v>
      </c>
      <c r="W459">
        <v>0</v>
      </c>
      <c r="X459">
        <v>0</v>
      </c>
      <c r="Y459">
        <v>0</v>
      </c>
      <c r="Z459">
        <v>4.5</v>
      </c>
      <c r="AA459">
        <v>2.6720440067834292E-2</v>
      </c>
      <c r="AB459">
        <v>28.5</v>
      </c>
      <c r="AC459">
        <v>11.819583333333334</v>
      </c>
      <c r="AD459">
        <v>27</v>
      </c>
      <c r="AI45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0.180416666666666</v>
      </c>
      <c r="AK459" t="s">
        <v>359</v>
      </c>
      <c r="AN459">
        <f>INT(Table1[[#This Row],[reject_prod]]/Table1[[#This Row],[part_weight]] * 1000)</f>
        <v>239</v>
      </c>
    </row>
    <row r="460" spans="1:40">
      <c r="A460" s="1">
        <v>46037</v>
      </c>
      <c r="B460">
        <v>1</v>
      </c>
      <c r="C460">
        <v>12</v>
      </c>
      <c r="D460" t="s">
        <v>40</v>
      </c>
      <c r="E460" t="s">
        <v>34</v>
      </c>
      <c r="F460">
        <v>620599</v>
      </c>
      <c r="G460">
        <v>0</v>
      </c>
      <c r="H460" t="s">
        <v>50</v>
      </c>
      <c r="I460">
        <v>10682929</v>
      </c>
      <c r="J460">
        <v>4</v>
      </c>
      <c r="K460">
        <v>55</v>
      </c>
      <c r="L460">
        <v>55</v>
      </c>
      <c r="M460">
        <v>1506</v>
      </c>
      <c r="N460" s="2">
        <v>72000</v>
      </c>
      <c r="O460" s="2">
        <v>225</v>
      </c>
      <c r="P460" s="2">
        <v>675</v>
      </c>
      <c r="Q460" s="2">
        <v>6024</v>
      </c>
      <c r="R460" s="2">
        <v>5400</v>
      </c>
      <c r="S460">
        <v>297</v>
      </c>
      <c r="T460" s="2">
        <v>36675</v>
      </c>
      <c r="U460" s="2">
        <v>35325</v>
      </c>
      <c r="V460">
        <v>331.32</v>
      </c>
      <c r="W460">
        <v>0</v>
      </c>
      <c r="X460">
        <v>0</v>
      </c>
      <c r="Y460">
        <v>0</v>
      </c>
      <c r="Z460">
        <v>9.5</v>
      </c>
      <c r="AA460">
        <v>2.8673186043703974E-2</v>
      </c>
      <c r="AB460">
        <v>28.7</v>
      </c>
      <c r="AC460">
        <v>12</v>
      </c>
      <c r="AD460">
        <v>28</v>
      </c>
      <c r="AI46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460" t="s">
        <v>360</v>
      </c>
      <c r="AN460">
        <f>INT(Table1[[#This Row],[reject_prod]]/Table1[[#This Row],[part_weight]] * 1000)</f>
        <v>172</v>
      </c>
    </row>
    <row r="461" spans="1:40">
      <c r="A461" s="1">
        <v>46037</v>
      </c>
      <c r="B461">
        <v>1</v>
      </c>
      <c r="C461">
        <v>13</v>
      </c>
      <c r="D461" t="s">
        <v>61</v>
      </c>
      <c r="E461" t="s">
        <v>46</v>
      </c>
      <c r="F461">
        <v>586276</v>
      </c>
      <c r="G461">
        <v>0</v>
      </c>
      <c r="H461" t="s">
        <v>47</v>
      </c>
      <c r="I461">
        <v>10683784</v>
      </c>
      <c r="J461">
        <v>6</v>
      </c>
      <c r="K461">
        <v>12.3</v>
      </c>
      <c r="L461">
        <v>12.3</v>
      </c>
      <c r="M461">
        <v>1641</v>
      </c>
      <c r="N461" s="2">
        <v>162000</v>
      </c>
      <c r="O461" s="2">
        <v>4050</v>
      </c>
      <c r="P461" s="2">
        <v>5670</v>
      </c>
      <c r="Q461" s="2">
        <v>9846</v>
      </c>
      <c r="R461" s="2">
        <v>8100</v>
      </c>
      <c r="S461">
        <v>99.63</v>
      </c>
      <c r="T461" s="2">
        <v>54270</v>
      </c>
      <c r="U461" s="2">
        <v>107730</v>
      </c>
      <c r="V461">
        <v>121.1058</v>
      </c>
      <c r="W461">
        <v>0</v>
      </c>
      <c r="X461">
        <v>0</v>
      </c>
      <c r="Y461">
        <v>0</v>
      </c>
      <c r="Z461">
        <v>1.5</v>
      </c>
      <c r="AA461">
        <v>1.2385864260836392E-2</v>
      </c>
      <c r="AB461">
        <v>26.4</v>
      </c>
      <c r="AC461">
        <v>12</v>
      </c>
      <c r="AD461">
        <v>26</v>
      </c>
      <c r="AI46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461" t="s">
        <v>51</v>
      </c>
      <c r="AN461">
        <f>INT(Table1[[#This Row],[reject_prod]]/Table1[[#This Row],[part_weight]] * 1000)</f>
        <v>121</v>
      </c>
    </row>
    <row r="462" spans="1:40">
      <c r="A462" s="1">
        <v>46037</v>
      </c>
      <c r="B462">
        <v>1</v>
      </c>
      <c r="C462">
        <v>14</v>
      </c>
      <c r="D462" t="s">
        <v>67</v>
      </c>
      <c r="E462" t="s">
        <v>46</v>
      </c>
      <c r="F462">
        <v>555979</v>
      </c>
      <c r="G462">
        <v>1</v>
      </c>
      <c r="H462" t="s">
        <v>52</v>
      </c>
      <c r="I462">
        <v>10682932</v>
      </c>
      <c r="J462">
        <v>6</v>
      </c>
      <c r="K462">
        <v>28</v>
      </c>
      <c r="L462">
        <v>28</v>
      </c>
      <c r="M462">
        <v>938</v>
      </c>
      <c r="N462" s="2">
        <v>100800</v>
      </c>
      <c r="O462" s="2">
        <v>1008</v>
      </c>
      <c r="P462" s="2">
        <v>3192</v>
      </c>
      <c r="Q462" s="2">
        <v>5628</v>
      </c>
      <c r="R462" s="2">
        <v>3360</v>
      </c>
      <c r="S462">
        <v>94.08</v>
      </c>
      <c r="T462" s="2">
        <v>83832</v>
      </c>
      <c r="U462" s="2">
        <v>16968</v>
      </c>
      <c r="V462">
        <v>157.584</v>
      </c>
      <c r="W462">
        <v>0</v>
      </c>
      <c r="X462">
        <v>0</v>
      </c>
      <c r="Y462">
        <v>0</v>
      </c>
      <c r="Z462">
        <v>2.2999999999999998</v>
      </c>
      <c r="AA462">
        <v>1.4595390394963954E-2</v>
      </c>
      <c r="AB462">
        <v>42.7</v>
      </c>
      <c r="AC462">
        <v>11.125722222222223</v>
      </c>
      <c r="AD462">
        <v>42</v>
      </c>
      <c r="AI46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0.87427777777777749</v>
      </c>
      <c r="AK462" t="s">
        <v>361</v>
      </c>
      <c r="AM462">
        <v>4</v>
      </c>
      <c r="AN462">
        <f>INT(Table1[[#This Row],[reject_prod]]/Table1[[#This Row],[part_weight]] * 1000)</f>
        <v>82</v>
      </c>
    </row>
    <row r="463" spans="1:40">
      <c r="A463" s="1">
        <v>46037</v>
      </c>
      <c r="B463">
        <v>1</v>
      </c>
      <c r="C463">
        <v>15</v>
      </c>
      <c r="D463" t="s">
        <v>61</v>
      </c>
      <c r="E463" t="s">
        <v>46</v>
      </c>
      <c r="F463">
        <v>552181</v>
      </c>
      <c r="G463">
        <v>2</v>
      </c>
      <c r="H463" t="s">
        <v>49</v>
      </c>
      <c r="I463">
        <v>10683786</v>
      </c>
      <c r="J463">
        <v>6</v>
      </c>
      <c r="K463">
        <v>18.8</v>
      </c>
      <c r="L463">
        <v>18.8</v>
      </c>
      <c r="M463">
        <v>1359</v>
      </c>
      <c r="N463" s="2">
        <v>108000</v>
      </c>
      <c r="O463" s="2">
        <v>1080</v>
      </c>
      <c r="P463" s="2">
        <v>3780</v>
      </c>
      <c r="Q463" s="2">
        <v>8154</v>
      </c>
      <c r="R463" s="2">
        <v>5400</v>
      </c>
      <c r="S463">
        <v>101.52</v>
      </c>
      <c r="T463" s="2">
        <v>25380</v>
      </c>
      <c r="U463" s="2">
        <v>82620</v>
      </c>
      <c r="V463">
        <v>153.29520000000002</v>
      </c>
      <c r="W463">
        <v>0</v>
      </c>
      <c r="X463">
        <v>0</v>
      </c>
      <c r="Y463">
        <v>0</v>
      </c>
      <c r="Z463">
        <v>1</v>
      </c>
      <c r="AA463">
        <v>6.5233614620679569E-3</v>
      </c>
      <c r="AB463">
        <v>31.3</v>
      </c>
      <c r="AC463">
        <v>11.81575</v>
      </c>
      <c r="AD463">
        <v>27</v>
      </c>
      <c r="AI46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0.18425000000000047</v>
      </c>
      <c r="AK463" t="s">
        <v>51</v>
      </c>
      <c r="AN463">
        <f>INT(Table1[[#This Row],[reject_prod]]/Table1[[#This Row],[part_weight]] * 1000)</f>
        <v>53</v>
      </c>
    </row>
    <row r="464" spans="1:40" s="4" customFormat="1">
      <c r="A464" s="3">
        <v>46037</v>
      </c>
      <c r="B464" s="4">
        <v>1</v>
      </c>
      <c r="C464" s="4">
        <v>16</v>
      </c>
      <c r="D464" s="4" t="s">
        <v>347</v>
      </c>
      <c r="E464" s="4" t="s">
        <v>46</v>
      </c>
      <c r="F464" s="4">
        <v>555979</v>
      </c>
      <c r="G464" s="4">
        <v>2</v>
      </c>
      <c r="H464" s="4" t="s">
        <v>52</v>
      </c>
      <c r="I464" s="4">
        <v>10683788</v>
      </c>
      <c r="J464" s="4">
        <v>6</v>
      </c>
      <c r="K464" s="4">
        <v>28</v>
      </c>
      <c r="L464" s="4">
        <v>28</v>
      </c>
      <c r="M464" s="4">
        <v>961</v>
      </c>
      <c r="N464" s="5">
        <v>100800</v>
      </c>
      <c r="O464" s="5">
        <v>0</v>
      </c>
      <c r="P464" s="5">
        <v>2352</v>
      </c>
      <c r="Q464" s="5">
        <v>5766</v>
      </c>
      <c r="R464" s="5">
        <v>3360</v>
      </c>
      <c r="S464" s="4">
        <v>94.08</v>
      </c>
      <c r="T464" s="5">
        <v>25872</v>
      </c>
      <c r="U464" s="5">
        <v>74928</v>
      </c>
      <c r="V464" s="4">
        <v>161.44800000000001</v>
      </c>
      <c r="W464" s="4">
        <v>0</v>
      </c>
      <c r="X464" s="4">
        <v>0</v>
      </c>
      <c r="Y464" s="4">
        <v>0</v>
      </c>
      <c r="Z464" s="4">
        <v>1.5</v>
      </c>
      <c r="AA464" s="4">
        <v>9.2909171993459192E-3</v>
      </c>
      <c r="AB464" s="4">
        <v>43.7</v>
      </c>
      <c r="AC464" s="4">
        <v>11.665472222222224</v>
      </c>
      <c r="AD464" s="4">
        <v>42</v>
      </c>
      <c r="AI46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0.33452777777777598</v>
      </c>
      <c r="AK464" s="4" t="s">
        <v>51</v>
      </c>
      <c r="AN464" s="4">
        <f>INT(Table1[[#This Row],[reject_prod]]/Table1[[#This Row],[part_weight]] * 1000)</f>
        <v>53</v>
      </c>
    </row>
    <row r="465" spans="1:40">
      <c r="A465" s="1">
        <v>46037</v>
      </c>
      <c r="B465">
        <v>2</v>
      </c>
      <c r="C465">
        <v>1</v>
      </c>
      <c r="D465" t="s">
        <v>84</v>
      </c>
      <c r="E465" t="s">
        <v>34</v>
      </c>
      <c r="F465">
        <v>577492</v>
      </c>
      <c r="G465">
        <v>0</v>
      </c>
      <c r="H465" t="s">
        <v>341</v>
      </c>
      <c r="I465">
        <v>10683850</v>
      </c>
      <c r="J465">
        <v>4</v>
      </c>
      <c r="K465">
        <v>35.6</v>
      </c>
      <c r="L465">
        <v>35.6</v>
      </c>
      <c r="M465">
        <v>1510</v>
      </c>
      <c r="N465" s="2">
        <v>40480</v>
      </c>
      <c r="O465" s="2">
        <v>1104</v>
      </c>
      <c r="P465" s="2">
        <v>1560</v>
      </c>
      <c r="Q465" s="2">
        <v>6040</v>
      </c>
      <c r="R465" s="2">
        <v>5520</v>
      </c>
      <c r="S465">
        <v>196.512</v>
      </c>
      <c r="T465" s="2">
        <v>6256</v>
      </c>
      <c r="U465" s="2">
        <v>34224</v>
      </c>
      <c r="V465">
        <v>215.024</v>
      </c>
      <c r="W465">
        <v>0</v>
      </c>
      <c r="X465">
        <v>0</v>
      </c>
      <c r="Y465">
        <v>0</v>
      </c>
      <c r="Z465">
        <v>4.5999999999999996</v>
      </c>
      <c r="AA465">
        <v>2.1392960785772748E-2</v>
      </c>
      <c r="AB465">
        <v>28.2</v>
      </c>
      <c r="AC465">
        <v>11.828333333333333</v>
      </c>
      <c r="AD465">
        <v>27</v>
      </c>
      <c r="AI46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0.17166666666666686</v>
      </c>
      <c r="AK465" t="s">
        <v>362</v>
      </c>
      <c r="AN465">
        <f>INT(Table1[[#This Row],[reject_prod]]/Table1[[#This Row],[part_weight]] * 1000)</f>
        <v>129</v>
      </c>
    </row>
    <row r="466" spans="1:40">
      <c r="A466" s="1">
        <v>46037</v>
      </c>
      <c r="B466">
        <v>2</v>
      </c>
      <c r="C466">
        <v>2</v>
      </c>
      <c r="D466" t="s">
        <v>348</v>
      </c>
      <c r="E466" t="s">
        <v>34</v>
      </c>
      <c r="F466">
        <v>463202</v>
      </c>
      <c r="G466">
        <v>0</v>
      </c>
      <c r="H466" t="s">
        <v>320</v>
      </c>
      <c r="I466">
        <v>10684540</v>
      </c>
      <c r="J466">
        <v>4</v>
      </c>
      <c r="K466">
        <v>23</v>
      </c>
      <c r="L466">
        <v>23</v>
      </c>
      <c r="M466">
        <v>1775</v>
      </c>
      <c r="N466" s="2">
        <v>40920</v>
      </c>
      <c r="O466" s="2">
        <v>4185</v>
      </c>
      <c r="P466" s="2">
        <v>100</v>
      </c>
      <c r="Q466" s="2">
        <v>7100</v>
      </c>
      <c r="R466" s="2">
        <v>11160</v>
      </c>
      <c r="S466">
        <v>256.68</v>
      </c>
      <c r="T466" s="2">
        <v>28000</v>
      </c>
      <c r="U466" s="2">
        <v>12920</v>
      </c>
      <c r="V466">
        <v>163.30000000000001</v>
      </c>
      <c r="W466">
        <v>0</v>
      </c>
      <c r="X466">
        <v>0</v>
      </c>
      <c r="Y466">
        <v>0</v>
      </c>
      <c r="Z466">
        <v>1.5</v>
      </c>
      <c r="AA466">
        <v>9.1855480710349036E-3</v>
      </c>
      <c r="AB466">
        <v>23.27</v>
      </c>
      <c r="AC466">
        <v>11.473402777777778</v>
      </c>
      <c r="AD466">
        <v>22.92</v>
      </c>
      <c r="AI46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0.52659722222222172</v>
      </c>
      <c r="AK466" t="s">
        <v>214</v>
      </c>
      <c r="AN466">
        <f>INT(Table1[[#This Row],[reject_prod]]/Table1[[#This Row],[part_weight]] * 1000)</f>
        <v>65</v>
      </c>
    </row>
    <row r="467" spans="1:40">
      <c r="A467" s="1">
        <v>46037</v>
      </c>
      <c r="B467">
        <v>2</v>
      </c>
      <c r="C467">
        <v>3</v>
      </c>
      <c r="D467" t="s">
        <v>124</v>
      </c>
      <c r="E467" t="s">
        <v>34</v>
      </c>
      <c r="F467">
        <v>442034</v>
      </c>
      <c r="G467">
        <v>0</v>
      </c>
      <c r="H467" t="s">
        <v>37</v>
      </c>
      <c r="I467">
        <v>10681183</v>
      </c>
      <c r="J467">
        <v>4</v>
      </c>
      <c r="K467">
        <v>23</v>
      </c>
      <c r="L467">
        <v>23</v>
      </c>
      <c r="M467">
        <v>1590</v>
      </c>
      <c r="N467" s="2">
        <v>139776</v>
      </c>
      <c r="O467" s="2">
        <v>1792</v>
      </c>
      <c r="P467" s="2">
        <v>3840</v>
      </c>
      <c r="Q467" s="2">
        <v>6360</v>
      </c>
      <c r="R467" s="2">
        <v>4608</v>
      </c>
      <c r="S467">
        <v>105.98399999999999</v>
      </c>
      <c r="T467" s="2">
        <v>77568</v>
      </c>
      <c r="U467" s="2">
        <v>62208</v>
      </c>
      <c r="V467">
        <v>146.28</v>
      </c>
      <c r="W467">
        <v>0</v>
      </c>
      <c r="X467">
        <v>0</v>
      </c>
      <c r="Y467">
        <v>0</v>
      </c>
      <c r="Z467">
        <v>4.5999999999999996</v>
      </c>
      <c r="AA467">
        <v>3.1446540880503145E-2</v>
      </c>
      <c r="AB467">
        <v>26.55</v>
      </c>
      <c r="AC467">
        <v>11.72625</v>
      </c>
      <c r="AD467">
        <v>22</v>
      </c>
      <c r="AI46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0.27374999999999972</v>
      </c>
      <c r="AK467" t="s">
        <v>103</v>
      </c>
      <c r="AN467">
        <f>INT(Table1[[#This Row],[reject_prod]]/Table1[[#This Row],[part_weight]] * 1000)</f>
        <v>200</v>
      </c>
    </row>
    <row r="468" spans="1:40">
      <c r="A468" s="1">
        <v>46037</v>
      </c>
      <c r="B468">
        <v>2</v>
      </c>
      <c r="C468">
        <v>4</v>
      </c>
      <c r="F468">
        <v>123456</v>
      </c>
      <c r="G468">
        <v>0</v>
      </c>
      <c r="M468">
        <v>0</v>
      </c>
      <c r="N468">
        <v>0</v>
      </c>
      <c r="O468">
        <v>0</v>
      </c>
      <c r="P468">
        <v>0</v>
      </c>
      <c r="R468">
        <v>0</v>
      </c>
      <c r="T468">
        <v>0</v>
      </c>
      <c r="X468">
        <v>0</v>
      </c>
      <c r="Z468">
        <v>0</v>
      </c>
      <c r="AB468">
        <v>0</v>
      </c>
      <c r="AC468">
        <v>0</v>
      </c>
      <c r="AD468">
        <v>22.5</v>
      </c>
      <c r="AI46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468">
        <v>12</v>
      </c>
      <c r="AK468" t="s">
        <v>116</v>
      </c>
      <c r="AN468">
        <v>0</v>
      </c>
    </row>
    <row r="469" spans="1:40">
      <c r="A469" s="1">
        <v>46037</v>
      </c>
      <c r="B469">
        <v>2</v>
      </c>
      <c r="C469">
        <v>5</v>
      </c>
      <c r="D469" t="s">
        <v>139</v>
      </c>
      <c r="E469" t="s">
        <v>34</v>
      </c>
      <c r="F469">
        <v>597507</v>
      </c>
      <c r="G469">
        <v>0</v>
      </c>
      <c r="H469" t="s">
        <v>279</v>
      </c>
      <c r="I469">
        <v>10682757</v>
      </c>
      <c r="J469">
        <v>4</v>
      </c>
      <c r="K469">
        <v>23</v>
      </c>
      <c r="L469">
        <v>23</v>
      </c>
      <c r="M469">
        <v>1860</v>
      </c>
      <c r="N469" s="2">
        <v>64680</v>
      </c>
      <c r="O469" s="2">
        <v>154</v>
      </c>
      <c r="P469" s="2">
        <v>0</v>
      </c>
      <c r="Q469" s="2">
        <v>7440</v>
      </c>
      <c r="R469" s="2">
        <v>7546</v>
      </c>
      <c r="S469">
        <v>173.55799999999999</v>
      </c>
      <c r="T469" s="2">
        <v>42042</v>
      </c>
      <c r="U469" s="2">
        <v>22638</v>
      </c>
      <c r="V469">
        <v>171.12</v>
      </c>
      <c r="W469">
        <v>0</v>
      </c>
      <c r="X469">
        <v>0</v>
      </c>
      <c r="Y469">
        <v>0</v>
      </c>
      <c r="Z469">
        <v>5.8</v>
      </c>
      <c r="AA469">
        <v>3.3894343151005139E-2</v>
      </c>
      <c r="AB469">
        <v>22.3</v>
      </c>
      <c r="AC469">
        <v>11.521666666666667</v>
      </c>
      <c r="AD469">
        <v>22</v>
      </c>
      <c r="AI46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0.4783333333333335</v>
      </c>
      <c r="AK469" t="s">
        <v>363</v>
      </c>
      <c r="AN469">
        <f>INT(Table1[[#This Row],[reject_prod]]/Table1[[#This Row],[part_weight]] * 1000)</f>
        <v>252</v>
      </c>
    </row>
    <row r="470" spans="1:40">
      <c r="A470" s="1">
        <v>46037</v>
      </c>
      <c r="B470">
        <v>2</v>
      </c>
      <c r="C470">
        <v>6</v>
      </c>
      <c r="D470" t="s">
        <v>349</v>
      </c>
      <c r="E470" t="s">
        <v>34</v>
      </c>
      <c r="F470">
        <v>322429</v>
      </c>
      <c r="G470">
        <v>0</v>
      </c>
      <c r="H470" t="s">
        <v>354</v>
      </c>
      <c r="I470">
        <v>10683853</v>
      </c>
      <c r="J470">
        <v>4</v>
      </c>
      <c r="K470">
        <v>24.93</v>
      </c>
      <c r="L470">
        <v>24</v>
      </c>
      <c r="M470">
        <v>2030</v>
      </c>
      <c r="N470" s="2">
        <v>40600</v>
      </c>
      <c r="O470" s="2">
        <v>812</v>
      </c>
      <c r="P470" s="2">
        <v>812</v>
      </c>
      <c r="Q470" s="2">
        <v>8120</v>
      </c>
      <c r="R470" s="2">
        <v>8120</v>
      </c>
      <c r="S470">
        <v>194.88</v>
      </c>
      <c r="T470" s="2">
        <v>12992</v>
      </c>
      <c r="U470" s="2">
        <v>27608</v>
      </c>
      <c r="V470">
        <v>194.88</v>
      </c>
      <c r="W470">
        <v>0</v>
      </c>
      <c r="X470">
        <v>0</v>
      </c>
      <c r="Y470">
        <v>0</v>
      </c>
      <c r="Z470">
        <v>1.6</v>
      </c>
      <c r="AA470">
        <v>8.2101806239737278E-3</v>
      </c>
      <c r="AB470">
        <v>21.44</v>
      </c>
      <c r="AC470">
        <v>12</v>
      </c>
      <c r="AD470">
        <v>16.96</v>
      </c>
      <c r="AI47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470" t="s">
        <v>103</v>
      </c>
      <c r="AN470">
        <f>INT(Table1[[#This Row],[reject_prod]]/Table1[[#This Row],[part_weight]] * 1000)</f>
        <v>66</v>
      </c>
    </row>
    <row r="471" spans="1:40">
      <c r="A471" s="1">
        <v>46037</v>
      </c>
      <c r="B471">
        <v>2</v>
      </c>
      <c r="C471">
        <v>7</v>
      </c>
      <c r="D471" t="s">
        <v>208</v>
      </c>
      <c r="E471" t="s">
        <v>34</v>
      </c>
      <c r="F471">
        <v>324177</v>
      </c>
      <c r="G471">
        <v>0</v>
      </c>
      <c r="H471" t="s">
        <v>246</v>
      </c>
      <c r="I471">
        <v>10682801</v>
      </c>
      <c r="J471">
        <v>4</v>
      </c>
      <c r="K471">
        <v>34.5</v>
      </c>
      <c r="L471">
        <v>34.5</v>
      </c>
      <c r="M471">
        <v>1860</v>
      </c>
      <c r="N471" s="2">
        <v>62400</v>
      </c>
      <c r="O471" s="2">
        <v>1248</v>
      </c>
      <c r="P471" s="2">
        <v>780</v>
      </c>
      <c r="Q471" s="2">
        <v>7440</v>
      </c>
      <c r="R471" s="2">
        <v>7800</v>
      </c>
      <c r="S471">
        <v>269.10000000000002</v>
      </c>
      <c r="T471" s="2">
        <v>60060</v>
      </c>
      <c r="U471" s="2">
        <v>2340</v>
      </c>
      <c r="V471">
        <v>256.68</v>
      </c>
      <c r="W471">
        <v>0</v>
      </c>
      <c r="X471">
        <v>0</v>
      </c>
      <c r="Y471">
        <v>0</v>
      </c>
      <c r="Z471">
        <v>6.8</v>
      </c>
      <c r="AA471">
        <v>2.6492130278946546E-2</v>
      </c>
      <c r="AB471">
        <v>22.24</v>
      </c>
      <c r="AC471">
        <v>11.490666666666666</v>
      </c>
      <c r="AD471">
        <v>22</v>
      </c>
      <c r="AI47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0.50933333333333408</v>
      </c>
      <c r="AK471" t="s">
        <v>356</v>
      </c>
      <c r="AN471">
        <f>INT(Table1[[#This Row],[reject_prod]]/Table1[[#This Row],[part_weight]] * 1000)</f>
        <v>197</v>
      </c>
    </row>
    <row r="472" spans="1:40">
      <c r="A472" s="1">
        <v>46037</v>
      </c>
      <c r="B472">
        <v>2</v>
      </c>
      <c r="C472">
        <v>8</v>
      </c>
      <c r="D472" t="s">
        <v>56</v>
      </c>
      <c r="E472" t="s">
        <v>41</v>
      </c>
      <c r="F472">
        <v>593537</v>
      </c>
      <c r="G472">
        <v>0</v>
      </c>
      <c r="H472" t="s">
        <v>48</v>
      </c>
      <c r="I472">
        <v>10682926</v>
      </c>
      <c r="J472">
        <v>4</v>
      </c>
      <c r="K472">
        <v>56.5</v>
      </c>
      <c r="L472">
        <v>56.8</v>
      </c>
      <c r="M472">
        <v>1380</v>
      </c>
      <c r="N472" s="2">
        <v>69000</v>
      </c>
      <c r="O472" s="2">
        <v>230</v>
      </c>
      <c r="P472" s="2">
        <v>0</v>
      </c>
      <c r="Q472" s="2">
        <v>5520</v>
      </c>
      <c r="R472" s="2">
        <v>5750</v>
      </c>
      <c r="S472">
        <v>326.60000000000002</v>
      </c>
      <c r="T472" s="2">
        <v>43700</v>
      </c>
      <c r="U472" s="2">
        <v>25300</v>
      </c>
      <c r="V472">
        <v>313.536</v>
      </c>
      <c r="W472">
        <v>0</v>
      </c>
      <c r="X472">
        <v>0</v>
      </c>
      <c r="Y472">
        <v>0</v>
      </c>
      <c r="Z472">
        <v>1</v>
      </c>
      <c r="AA472">
        <v>3.1894264135537867E-3</v>
      </c>
      <c r="AB472">
        <v>31.2</v>
      </c>
      <c r="AC472">
        <v>11.959999999999999</v>
      </c>
      <c r="AD472">
        <v>28.5</v>
      </c>
      <c r="AI47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4.0000000000000924E-2</v>
      </c>
      <c r="AK472" t="s">
        <v>51</v>
      </c>
      <c r="AN472">
        <f>INT(Table1[[#This Row],[reject_prod]]/Table1[[#This Row],[part_weight]] * 1000)</f>
        <v>17</v>
      </c>
    </row>
    <row r="473" spans="1:40">
      <c r="A473" s="1">
        <v>46037</v>
      </c>
      <c r="B473">
        <v>2</v>
      </c>
      <c r="C473">
        <v>9</v>
      </c>
      <c r="D473" t="s">
        <v>33</v>
      </c>
      <c r="E473" t="s">
        <v>46</v>
      </c>
      <c r="F473">
        <v>586276</v>
      </c>
      <c r="G473">
        <v>0</v>
      </c>
      <c r="H473" t="s">
        <v>47</v>
      </c>
      <c r="I473">
        <v>10682924</v>
      </c>
      <c r="J473">
        <v>6</v>
      </c>
      <c r="K473">
        <v>12.3</v>
      </c>
      <c r="L473">
        <v>12.3</v>
      </c>
      <c r="M473">
        <v>0</v>
      </c>
      <c r="N473" s="2">
        <v>162000</v>
      </c>
      <c r="O473" s="2">
        <v>7290</v>
      </c>
      <c r="P473" s="2">
        <v>7290</v>
      </c>
      <c r="Q473" s="2">
        <v>0</v>
      </c>
      <c r="R473" s="2">
        <v>0</v>
      </c>
      <c r="S473">
        <v>0</v>
      </c>
      <c r="T473" s="2">
        <v>80190</v>
      </c>
      <c r="U473" s="2">
        <v>81810</v>
      </c>
      <c r="V473">
        <v>0</v>
      </c>
      <c r="W473">
        <v>0</v>
      </c>
      <c r="X473">
        <v>0</v>
      </c>
      <c r="Y473" t="e">
        <v>#DIV/0!</v>
      </c>
      <c r="Z473">
        <v>0</v>
      </c>
      <c r="AA473" t="e">
        <v>#DIV/0!</v>
      </c>
      <c r="AB473">
        <v>26.2</v>
      </c>
      <c r="AC473">
        <v>0</v>
      </c>
      <c r="AD473">
        <v>26</v>
      </c>
      <c r="AI47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473" t="s">
        <v>357</v>
      </c>
      <c r="AN473">
        <f>INT(Table1[[#This Row],[reject_prod]]/Table1[[#This Row],[part_weight]] * 1000)</f>
        <v>0</v>
      </c>
    </row>
    <row r="474" spans="1:40">
      <c r="A474" s="1">
        <v>46037</v>
      </c>
      <c r="B474">
        <v>2</v>
      </c>
      <c r="C474">
        <v>10</v>
      </c>
      <c r="D474" t="s">
        <v>181</v>
      </c>
      <c r="E474" t="s">
        <v>34</v>
      </c>
      <c r="F474">
        <v>442310</v>
      </c>
      <c r="G474">
        <v>0</v>
      </c>
      <c r="H474" t="s">
        <v>315</v>
      </c>
      <c r="I474">
        <v>10684748</v>
      </c>
      <c r="J474">
        <v>4</v>
      </c>
      <c r="K474">
        <v>68.8</v>
      </c>
      <c r="L474">
        <v>68.8</v>
      </c>
      <c r="M474">
        <v>1250</v>
      </c>
      <c r="N474" s="2">
        <v>8008</v>
      </c>
      <c r="O474" s="2">
        <v>0</v>
      </c>
      <c r="P474" s="2">
        <v>546</v>
      </c>
      <c r="Q474" s="2">
        <v>5000</v>
      </c>
      <c r="R474" s="2">
        <v>4368</v>
      </c>
      <c r="S474">
        <v>300.51839999999999</v>
      </c>
      <c r="T474" s="2">
        <v>5642</v>
      </c>
      <c r="U474" s="2">
        <v>2366</v>
      </c>
      <c r="V474">
        <v>344</v>
      </c>
      <c r="W474">
        <v>0</v>
      </c>
      <c r="X474">
        <v>0</v>
      </c>
      <c r="Y474">
        <v>0</v>
      </c>
      <c r="Z474">
        <v>11.3</v>
      </c>
      <c r="AA474">
        <v>3.2848837209302324E-2</v>
      </c>
      <c r="AB474">
        <v>33.24</v>
      </c>
      <c r="AC474">
        <v>11.541666666666668</v>
      </c>
      <c r="AD474">
        <v>33.840000000000003</v>
      </c>
      <c r="AI47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0.45833333333333215</v>
      </c>
      <c r="AK474" t="s">
        <v>364</v>
      </c>
      <c r="AN474">
        <f>INT(Table1[[#This Row],[reject_prod]]/Table1[[#This Row],[part_weight]] * 1000)</f>
        <v>164</v>
      </c>
    </row>
    <row r="475" spans="1:40">
      <c r="A475" s="1">
        <v>46037</v>
      </c>
      <c r="B475">
        <v>2</v>
      </c>
      <c r="C475">
        <v>11</v>
      </c>
      <c r="D475" t="s">
        <v>59</v>
      </c>
      <c r="E475" t="s">
        <v>46</v>
      </c>
      <c r="F475">
        <v>552181</v>
      </c>
      <c r="G475">
        <v>1</v>
      </c>
      <c r="H475" t="s">
        <v>49</v>
      </c>
      <c r="I475">
        <v>10683782</v>
      </c>
      <c r="J475">
        <v>6</v>
      </c>
      <c r="K475">
        <v>18.8</v>
      </c>
      <c r="L475">
        <v>18.8</v>
      </c>
      <c r="M475">
        <v>1480</v>
      </c>
      <c r="N475" s="2">
        <v>108000</v>
      </c>
      <c r="O475" s="2">
        <v>3240</v>
      </c>
      <c r="P475" s="2">
        <v>1080</v>
      </c>
      <c r="Q475" s="2">
        <v>8880</v>
      </c>
      <c r="R475" s="2">
        <v>10800</v>
      </c>
      <c r="S475">
        <v>203.04</v>
      </c>
      <c r="T475" s="2">
        <v>60480</v>
      </c>
      <c r="U475" s="2">
        <v>47520</v>
      </c>
      <c r="V475">
        <v>166.94399999999999</v>
      </c>
      <c r="W475">
        <v>0</v>
      </c>
      <c r="X475">
        <v>0</v>
      </c>
      <c r="Y475">
        <v>0</v>
      </c>
      <c r="Z475">
        <v>4.5999999999999996</v>
      </c>
      <c r="AA475">
        <v>2.7554149894575428E-2</v>
      </c>
      <c r="AB475">
        <v>28.5</v>
      </c>
      <c r="AC475">
        <v>11.716666666666667</v>
      </c>
      <c r="AD475">
        <v>27</v>
      </c>
      <c r="AI47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0.28333333333333321</v>
      </c>
      <c r="AK475" t="s">
        <v>57</v>
      </c>
      <c r="AN475">
        <f>INT(Table1[[#This Row],[reject_prod]]/Table1[[#This Row],[part_weight]] * 1000)</f>
        <v>244</v>
      </c>
    </row>
    <row r="476" spans="1:40">
      <c r="A476" s="1">
        <v>46037</v>
      </c>
      <c r="B476">
        <v>2</v>
      </c>
      <c r="C476">
        <v>12</v>
      </c>
      <c r="D476" t="s">
        <v>53</v>
      </c>
      <c r="E476" t="s">
        <v>34</v>
      </c>
      <c r="F476">
        <v>620599</v>
      </c>
      <c r="G476">
        <v>0</v>
      </c>
      <c r="H476" t="s">
        <v>50</v>
      </c>
      <c r="I476">
        <v>10682929</v>
      </c>
      <c r="J476">
        <v>4</v>
      </c>
      <c r="K476">
        <v>55</v>
      </c>
      <c r="L476">
        <v>55</v>
      </c>
      <c r="M476">
        <v>1465</v>
      </c>
      <c r="N476" s="2">
        <v>72000</v>
      </c>
      <c r="O476" s="2">
        <v>675</v>
      </c>
      <c r="P476" s="2">
        <v>1125</v>
      </c>
      <c r="Q476" s="2">
        <v>5860</v>
      </c>
      <c r="R476" s="2">
        <v>5400</v>
      </c>
      <c r="S476">
        <v>297</v>
      </c>
      <c r="T476" s="2">
        <v>42525</v>
      </c>
      <c r="U476" s="2">
        <v>29475</v>
      </c>
      <c r="V476">
        <v>322.3</v>
      </c>
      <c r="W476">
        <v>0</v>
      </c>
      <c r="X476">
        <v>0</v>
      </c>
      <c r="Y476">
        <v>0</v>
      </c>
      <c r="Z476">
        <v>2.6</v>
      </c>
      <c r="AA476">
        <v>8.0670183059261564E-3</v>
      </c>
      <c r="AB476">
        <v>28.7</v>
      </c>
      <c r="AC476">
        <v>11.679305555555556</v>
      </c>
      <c r="AD476">
        <v>28</v>
      </c>
      <c r="AI47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0.3206944444444435</v>
      </c>
      <c r="AK476" t="s">
        <v>326</v>
      </c>
      <c r="AN476">
        <f>INT(Table1[[#This Row],[reject_prod]]/Table1[[#This Row],[part_weight]] * 1000)</f>
        <v>47</v>
      </c>
    </row>
    <row r="477" spans="1:40">
      <c r="A477" s="1">
        <v>46037</v>
      </c>
      <c r="B477">
        <v>2</v>
      </c>
      <c r="C477">
        <v>13</v>
      </c>
      <c r="D477" t="s">
        <v>59</v>
      </c>
      <c r="E477" t="s">
        <v>46</v>
      </c>
      <c r="F477">
        <v>586276</v>
      </c>
      <c r="G477">
        <v>0</v>
      </c>
      <c r="H477" t="s">
        <v>47</v>
      </c>
      <c r="I477">
        <v>10683784</v>
      </c>
      <c r="J477">
        <v>6</v>
      </c>
      <c r="K477">
        <v>12.3</v>
      </c>
      <c r="L477">
        <v>12.3</v>
      </c>
      <c r="M477">
        <v>1580</v>
      </c>
      <c r="N477" s="2">
        <v>162000</v>
      </c>
      <c r="O477" s="2">
        <v>5670</v>
      </c>
      <c r="P477" s="2">
        <v>6885</v>
      </c>
      <c r="Q477" s="2">
        <v>9480</v>
      </c>
      <c r="R477" s="2">
        <v>8100</v>
      </c>
      <c r="S477">
        <v>99.63</v>
      </c>
      <c r="T477" s="2">
        <v>63585</v>
      </c>
      <c r="U477" s="2">
        <v>98415</v>
      </c>
      <c r="V477">
        <v>116.604</v>
      </c>
      <c r="W477">
        <v>0</v>
      </c>
      <c r="X477">
        <v>0</v>
      </c>
      <c r="Y477">
        <v>0</v>
      </c>
      <c r="Z477">
        <v>1.2</v>
      </c>
      <c r="AA477">
        <v>1.0291242152927859E-2</v>
      </c>
      <c r="AB477">
        <v>26.4</v>
      </c>
      <c r="AC477">
        <v>11.586666666666666</v>
      </c>
      <c r="AD477">
        <v>26</v>
      </c>
      <c r="AI47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0.413333333333334</v>
      </c>
      <c r="AK477" t="s">
        <v>51</v>
      </c>
      <c r="AN477">
        <f>INT(Table1[[#This Row],[reject_prod]]/Table1[[#This Row],[part_weight]] * 1000)</f>
        <v>97</v>
      </c>
    </row>
    <row r="478" spans="1:40">
      <c r="A478" s="1">
        <v>46037</v>
      </c>
      <c r="B478">
        <v>2</v>
      </c>
      <c r="C478">
        <v>14</v>
      </c>
      <c r="D478" t="s">
        <v>350</v>
      </c>
      <c r="E478" t="s">
        <v>46</v>
      </c>
      <c r="F478">
        <v>555979</v>
      </c>
      <c r="G478">
        <v>1</v>
      </c>
      <c r="H478" t="s">
        <v>52</v>
      </c>
      <c r="I478">
        <v>10682932</v>
      </c>
      <c r="J478">
        <v>6</v>
      </c>
      <c r="K478">
        <v>28</v>
      </c>
      <c r="L478">
        <v>28</v>
      </c>
      <c r="M478">
        <v>1008</v>
      </c>
      <c r="N478" s="2">
        <v>100800</v>
      </c>
      <c r="O478" s="2">
        <v>3192</v>
      </c>
      <c r="P478" s="2">
        <v>2520</v>
      </c>
      <c r="Q478" s="2">
        <v>6048</v>
      </c>
      <c r="R478" s="2">
        <v>6720</v>
      </c>
      <c r="S478">
        <v>188.16</v>
      </c>
      <c r="T478" s="2">
        <v>89880</v>
      </c>
      <c r="U478" s="2">
        <v>10920</v>
      </c>
      <c r="V478">
        <v>169.34399999999999</v>
      </c>
      <c r="W478">
        <v>0</v>
      </c>
      <c r="X478">
        <v>0</v>
      </c>
      <c r="Y478">
        <v>0</v>
      </c>
      <c r="Z478">
        <v>1</v>
      </c>
      <c r="AA478">
        <v>5.9051398337112626E-3</v>
      </c>
      <c r="AB478">
        <v>42.7</v>
      </c>
      <c r="AC478">
        <v>11.956000000000001</v>
      </c>
      <c r="AD478">
        <v>42</v>
      </c>
      <c r="AI47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4.3999999999998707E-2</v>
      </c>
      <c r="AK478" t="s">
        <v>51</v>
      </c>
      <c r="AN478">
        <f>INT(Table1[[#This Row],[reject_prod]]/Table1[[#This Row],[part_weight]] * 1000)</f>
        <v>35</v>
      </c>
    </row>
    <row r="479" spans="1:40">
      <c r="A479" s="1">
        <v>46037</v>
      </c>
      <c r="B479">
        <v>2</v>
      </c>
      <c r="C479">
        <v>15</v>
      </c>
      <c r="D479" t="s">
        <v>59</v>
      </c>
      <c r="E479" t="s">
        <v>46</v>
      </c>
      <c r="F479">
        <v>552181</v>
      </c>
      <c r="G479">
        <v>2</v>
      </c>
      <c r="H479" t="s">
        <v>49</v>
      </c>
      <c r="I479">
        <v>10683786</v>
      </c>
      <c r="J479">
        <v>6</v>
      </c>
      <c r="K479">
        <v>18.8</v>
      </c>
      <c r="L479">
        <v>18.8</v>
      </c>
      <c r="M479">
        <v>1395</v>
      </c>
      <c r="N479" s="2">
        <v>108000</v>
      </c>
      <c r="O479" s="2">
        <v>3780</v>
      </c>
      <c r="P479" s="2">
        <v>1350</v>
      </c>
      <c r="Q479" s="2">
        <v>8370</v>
      </c>
      <c r="R479" s="2">
        <v>10800</v>
      </c>
      <c r="S479">
        <v>203.04</v>
      </c>
      <c r="T479" s="2">
        <v>33750</v>
      </c>
      <c r="U479" s="2">
        <v>74250</v>
      </c>
      <c r="V479">
        <v>157.35599999999999</v>
      </c>
      <c r="W479">
        <v>0</v>
      </c>
      <c r="X479">
        <v>0</v>
      </c>
      <c r="Y479">
        <v>0</v>
      </c>
      <c r="Z479">
        <v>1.2</v>
      </c>
      <c r="AA479">
        <v>7.6260199801723482E-3</v>
      </c>
      <c r="AB479">
        <v>31.24</v>
      </c>
      <c r="AC479">
        <v>12</v>
      </c>
      <c r="AD479">
        <v>27</v>
      </c>
      <c r="AI47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479" t="s">
        <v>51</v>
      </c>
      <c r="AN479">
        <f>INT(Table1[[#This Row],[reject_prod]]/Table1[[#This Row],[part_weight]] * 1000)</f>
        <v>63</v>
      </c>
    </row>
    <row r="480" spans="1:40" s="4" customFormat="1">
      <c r="A480" s="3">
        <v>46037</v>
      </c>
      <c r="B480" s="4">
        <v>2</v>
      </c>
      <c r="C480" s="4">
        <v>16</v>
      </c>
      <c r="D480" s="4" t="s">
        <v>275</v>
      </c>
      <c r="E480" s="4" t="s">
        <v>46</v>
      </c>
      <c r="F480" s="4">
        <v>555979</v>
      </c>
      <c r="G480" s="4">
        <v>2</v>
      </c>
      <c r="H480" s="4" t="s">
        <v>52</v>
      </c>
      <c r="I480" s="4">
        <v>10683788</v>
      </c>
      <c r="J480" s="4">
        <v>6</v>
      </c>
      <c r="K480" s="4">
        <v>28</v>
      </c>
      <c r="L480" s="4">
        <v>28</v>
      </c>
      <c r="M480" s="4">
        <v>985</v>
      </c>
      <c r="N480" s="5">
        <v>100800</v>
      </c>
      <c r="O480" s="5">
        <v>2352</v>
      </c>
      <c r="P480" s="5">
        <v>1344</v>
      </c>
      <c r="Q480" s="5">
        <v>5910</v>
      </c>
      <c r="R480" s="5">
        <v>6720</v>
      </c>
      <c r="S480" s="4">
        <v>188.16</v>
      </c>
      <c r="T480" s="5">
        <v>31584</v>
      </c>
      <c r="U480" s="5">
        <v>69216</v>
      </c>
      <c r="V480" s="4">
        <v>165.48</v>
      </c>
      <c r="W480" s="4">
        <v>0</v>
      </c>
      <c r="X480" s="4">
        <v>0</v>
      </c>
      <c r="Y480" s="4">
        <v>0</v>
      </c>
      <c r="Z480" s="4">
        <v>2</v>
      </c>
      <c r="AA480" s="4">
        <v>1.2086052695189751E-2</v>
      </c>
      <c r="AB480" s="4">
        <v>43.7</v>
      </c>
      <c r="AC480" s="4">
        <v>11.956805555555556</v>
      </c>
      <c r="AD480" s="4">
        <v>42</v>
      </c>
      <c r="AI48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4.3194444444443647E-2</v>
      </c>
      <c r="AK480" s="4" t="s">
        <v>51</v>
      </c>
      <c r="AN480" s="4">
        <f>INT(Table1[[#This Row],[reject_prod]]/Table1[[#This Row],[part_weight]] * 1000)</f>
        <v>71</v>
      </c>
    </row>
    <row r="481" spans="1:40">
      <c r="A481" s="1">
        <v>46038</v>
      </c>
      <c r="B481">
        <v>1</v>
      </c>
      <c r="C481">
        <v>1</v>
      </c>
      <c r="D481" t="s">
        <v>65</v>
      </c>
      <c r="E481" t="s">
        <v>34</v>
      </c>
      <c r="F481">
        <v>577492</v>
      </c>
      <c r="G481">
        <v>0</v>
      </c>
      <c r="H481" t="s">
        <v>341</v>
      </c>
      <c r="I481">
        <v>10683850</v>
      </c>
      <c r="J481">
        <v>4</v>
      </c>
      <c r="K481">
        <v>35.6</v>
      </c>
      <c r="L481">
        <v>35.6</v>
      </c>
      <c r="M481">
        <v>1552</v>
      </c>
      <c r="N481" s="2">
        <v>40480</v>
      </c>
      <c r="O481" s="2">
        <v>1560</v>
      </c>
      <c r="P481" s="2">
        <v>368</v>
      </c>
      <c r="Q481" s="2">
        <v>6208</v>
      </c>
      <c r="R481" s="2">
        <v>7360</v>
      </c>
      <c r="S481">
        <v>262.01600000000002</v>
      </c>
      <c r="T481" s="2">
        <v>13248</v>
      </c>
      <c r="U481" s="2">
        <v>27232</v>
      </c>
      <c r="V481">
        <v>221.00480000000002</v>
      </c>
      <c r="W481">
        <v>0</v>
      </c>
      <c r="X481">
        <v>0</v>
      </c>
      <c r="Y481">
        <v>0</v>
      </c>
      <c r="Z481">
        <v>1.5</v>
      </c>
      <c r="AA481">
        <v>6.7871829028147796E-3</v>
      </c>
      <c r="AB481">
        <v>28.2</v>
      </c>
      <c r="AC481">
        <v>12</v>
      </c>
      <c r="AD481">
        <v>27</v>
      </c>
      <c r="AI48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481" t="s">
        <v>370</v>
      </c>
      <c r="AN481">
        <f>INT(Table1[[#This Row],[reject_prod]]/Table1[[#This Row],[part_weight]] * 1000)</f>
        <v>42</v>
      </c>
    </row>
    <row r="482" spans="1:40">
      <c r="A482" s="1">
        <v>46038</v>
      </c>
      <c r="B482">
        <v>1</v>
      </c>
      <c r="C482">
        <v>2</v>
      </c>
      <c r="D482" t="s">
        <v>67</v>
      </c>
      <c r="E482" t="s">
        <v>34</v>
      </c>
      <c r="F482">
        <v>463202</v>
      </c>
      <c r="G482">
        <v>0</v>
      </c>
      <c r="H482" t="s">
        <v>320</v>
      </c>
      <c r="I482">
        <v>10684540</v>
      </c>
      <c r="J482">
        <v>4</v>
      </c>
      <c r="K482">
        <v>23</v>
      </c>
      <c r="L482">
        <v>23</v>
      </c>
      <c r="M482">
        <v>1841</v>
      </c>
      <c r="N482" s="2">
        <v>40920</v>
      </c>
      <c r="O482" s="2">
        <v>100</v>
      </c>
      <c r="P482" s="2">
        <v>1860</v>
      </c>
      <c r="Q482" s="2">
        <v>7364</v>
      </c>
      <c r="R482" s="2">
        <v>5580</v>
      </c>
      <c r="S482">
        <v>128.34</v>
      </c>
      <c r="T482" s="2">
        <v>35340</v>
      </c>
      <c r="U482" s="2">
        <v>5580</v>
      </c>
      <c r="V482">
        <v>169.37200000000001</v>
      </c>
      <c r="W482">
        <v>0</v>
      </c>
      <c r="X482">
        <v>0</v>
      </c>
      <c r="Y482">
        <v>0</v>
      </c>
      <c r="Z482">
        <v>0.5</v>
      </c>
      <c r="AA482">
        <v>2.9520818080910655E-3</v>
      </c>
      <c r="AB482">
        <v>23.3</v>
      </c>
      <c r="AC482">
        <v>11.91536111111111</v>
      </c>
      <c r="AD482">
        <v>22.92</v>
      </c>
      <c r="AI48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8.4638888888889596E-2</v>
      </c>
      <c r="AK482" t="s">
        <v>214</v>
      </c>
      <c r="AN482">
        <f>INT(Table1[[#This Row],[reject_prod]]/Table1[[#This Row],[part_weight]] * 1000)</f>
        <v>21</v>
      </c>
    </row>
    <row r="483" spans="1:40">
      <c r="A483" s="1">
        <v>46038</v>
      </c>
      <c r="B483">
        <v>1</v>
      </c>
      <c r="C483">
        <v>3</v>
      </c>
      <c r="D483" t="s">
        <v>40</v>
      </c>
      <c r="E483" t="s">
        <v>34</v>
      </c>
      <c r="F483">
        <v>442034</v>
      </c>
      <c r="G483">
        <v>0</v>
      </c>
      <c r="H483" t="s">
        <v>37</v>
      </c>
      <c r="I483">
        <v>10681183</v>
      </c>
      <c r="J483">
        <v>4</v>
      </c>
      <c r="K483">
        <v>23</v>
      </c>
      <c r="L483">
        <v>23</v>
      </c>
      <c r="M483">
        <v>1569</v>
      </c>
      <c r="N483" s="2">
        <v>139776</v>
      </c>
      <c r="O483" s="2">
        <v>3840</v>
      </c>
      <c r="P483" s="2">
        <v>768</v>
      </c>
      <c r="Q483" s="2">
        <v>6276</v>
      </c>
      <c r="R483" s="2">
        <v>9216</v>
      </c>
      <c r="S483">
        <v>211.96799999999999</v>
      </c>
      <c r="T483" s="2">
        <v>129792</v>
      </c>
      <c r="U483" s="2">
        <v>9984</v>
      </c>
      <c r="V483">
        <v>144.34800000000001</v>
      </c>
      <c r="W483">
        <v>0</v>
      </c>
      <c r="X483">
        <v>0</v>
      </c>
      <c r="Y483">
        <v>0</v>
      </c>
      <c r="Z483">
        <v>3</v>
      </c>
      <c r="AA483">
        <v>2.0783107490231937E-2</v>
      </c>
      <c r="AB483">
        <v>26.7</v>
      </c>
      <c r="AC483">
        <v>11.636750000000001</v>
      </c>
      <c r="AD483">
        <v>22</v>
      </c>
      <c r="AI48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0.36324999999999896</v>
      </c>
      <c r="AK483" t="s">
        <v>371</v>
      </c>
      <c r="AL483">
        <v>4</v>
      </c>
      <c r="AM483">
        <v>2</v>
      </c>
      <c r="AN483">
        <f>INT(Table1[[#This Row],[reject_prod]]/Table1[[#This Row],[part_weight]] * 1000)</f>
        <v>130</v>
      </c>
    </row>
    <row r="484" spans="1:40">
      <c r="A484" s="1">
        <v>46038</v>
      </c>
      <c r="B484">
        <v>1</v>
      </c>
      <c r="C484">
        <v>4</v>
      </c>
      <c r="F484">
        <v>123456</v>
      </c>
      <c r="G484">
        <v>0</v>
      </c>
      <c r="M484">
        <v>0</v>
      </c>
      <c r="N484">
        <v>0</v>
      </c>
      <c r="O484">
        <v>0</v>
      </c>
      <c r="P484">
        <v>0</v>
      </c>
      <c r="R484">
        <v>0</v>
      </c>
      <c r="T484">
        <v>0</v>
      </c>
      <c r="X484">
        <v>0</v>
      </c>
      <c r="Z484">
        <v>0</v>
      </c>
      <c r="AB484">
        <v>0</v>
      </c>
      <c r="AC484">
        <v>0</v>
      </c>
      <c r="AD484">
        <v>22.5</v>
      </c>
      <c r="AI48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484">
        <v>12</v>
      </c>
      <c r="AK484" t="s">
        <v>116</v>
      </c>
      <c r="AN484">
        <v>0</v>
      </c>
    </row>
    <row r="485" spans="1:40">
      <c r="A485" s="1">
        <v>46038</v>
      </c>
      <c r="B485">
        <v>1</v>
      </c>
      <c r="C485">
        <v>5</v>
      </c>
      <c r="D485" t="s">
        <v>115</v>
      </c>
      <c r="E485" t="s">
        <v>34</v>
      </c>
      <c r="F485">
        <v>597507</v>
      </c>
      <c r="G485">
        <v>0</v>
      </c>
      <c r="H485" t="s">
        <v>279</v>
      </c>
      <c r="I485">
        <v>10682757</v>
      </c>
      <c r="J485">
        <v>4</v>
      </c>
      <c r="K485">
        <v>23</v>
      </c>
      <c r="L485">
        <v>23</v>
      </c>
      <c r="M485">
        <v>1712</v>
      </c>
      <c r="N485" s="2">
        <v>64680</v>
      </c>
      <c r="O485" s="2">
        <v>0</v>
      </c>
      <c r="P485" s="2">
        <v>0</v>
      </c>
      <c r="Q485" s="2">
        <v>6848</v>
      </c>
      <c r="R485" s="2">
        <v>6468</v>
      </c>
      <c r="S485">
        <v>148.76400000000001</v>
      </c>
      <c r="T485" s="2">
        <v>48510</v>
      </c>
      <c r="U485" s="2">
        <v>16170</v>
      </c>
      <c r="V485">
        <v>157.50399999999999</v>
      </c>
      <c r="W485">
        <v>0</v>
      </c>
      <c r="X485">
        <v>0</v>
      </c>
      <c r="Y485">
        <v>0</v>
      </c>
      <c r="Z485">
        <v>8.6999999999999993</v>
      </c>
      <c r="AA485">
        <v>5.5236692401462818E-2</v>
      </c>
      <c r="AB485">
        <v>22.1</v>
      </c>
      <c r="AC485">
        <v>10.509777777777778</v>
      </c>
      <c r="AD485">
        <v>22</v>
      </c>
      <c r="AI48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1.4902222222222221</v>
      </c>
      <c r="AK485" t="s">
        <v>372</v>
      </c>
      <c r="AL485">
        <v>4</v>
      </c>
      <c r="AM485">
        <v>2</v>
      </c>
      <c r="AN485">
        <f>INT(Table1[[#This Row],[reject_prod]]/Table1[[#This Row],[part_weight]] * 1000)</f>
        <v>378</v>
      </c>
    </row>
    <row r="486" spans="1:40">
      <c r="A486" s="1">
        <v>46038</v>
      </c>
      <c r="B486">
        <v>1</v>
      </c>
      <c r="C486">
        <v>6</v>
      </c>
      <c r="D486" t="s">
        <v>365</v>
      </c>
      <c r="E486" t="s">
        <v>34</v>
      </c>
      <c r="F486">
        <v>322429</v>
      </c>
      <c r="G486">
        <v>0</v>
      </c>
      <c r="H486" t="s">
        <v>354</v>
      </c>
      <c r="I486">
        <v>10683853</v>
      </c>
      <c r="J486">
        <v>4</v>
      </c>
      <c r="K486">
        <v>24.93</v>
      </c>
      <c r="L486">
        <v>24</v>
      </c>
      <c r="M486">
        <v>1998</v>
      </c>
      <c r="N486" s="2">
        <v>40600</v>
      </c>
      <c r="O486" s="2">
        <v>812</v>
      </c>
      <c r="P486" s="2">
        <v>609</v>
      </c>
      <c r="Q486" s="2">
        <v>7992</v>
      </c>
      <c r="R486" s="2">
        <v>8120</v>
      </c>
      <c r="S486">
        <v>194.88</v>
      </c>
      <c r="T486" s="2">
        <v>20909</v>
      </c>
      <c r="U486" s="2">
        <v>19691</v>
      </c>
      <c r="V486">
        <v>191.80799999999999</v>
      </c>
      <c r="W486">
        <v>0</v>
      </c>
      <c r="X486">
        <v>0</v>
      </c>
      <c r="Y486">
        <v>0</v>
      </c>
      <c r="Z486">
        <v>1</v>
      </c>
      <c r="AA486">
        <v>5.2135468802135473E-3</v>
      </c>
      <c r="AB486">
        <v>21.4</v>
      </c>
      <c r="AC486">
        <v>11.876999999999999</v>
      </c>
      <c r="AD486">
        <v>16.96</v>
      </c>
      <c r="AI48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0.12300000000000111</v>
      </c>
      <c r="AK486" t="s">
        <v>214</v>
      </c>
      <c r="AM486">
        <v>1</v>
      </c>
      <c r="AN486">
        <f>INT(Table1[[#This Row],[reject_prod]]/Table1[[#This Row],[part_weight]] * 1000)</f>
        <v>41</v>
      </c>
    </row>
    <row r="487" spans="1:40">
      <c r="A487" s="1">
        <v>46038</v>
      </c>
      <c r="B487">
        <v>1</v>
      </c>
      <c r="C487">
        <v>7</v>
      </c>
      <c r="D487" t="s">
        <v>366</v>
      </c>
      <c r="E487" t="s">
        <v>34</v>
      </c>
      <c r="F487">
        <v>324177</v>
      </c>
      <c r="G487">
        <v>0</v>
      </c>
      <c r="H487" t="s">
        <v>246</v>
      </c>
      <c r="I487">
        <v>10682801</v>
      </c>
      <c r="J487">
        <v>4</v>
      </c>
      <c r="K487">
        <v>34.5</v>
      </c>
      <c r="L487">
        <v>34.5</v>
      </c>
      <c r="M487">
        <v>592</v>
      </c>
      <c r="N487" s="2">
        <v>62400</v>
      </c>
      <c r="O487" s="2">
        <v>780</v>
      </c>
      <c r="P487" s="2">
        <v>0</v>
      </c>
      <c r="Q487" s="2">
        <v>2368</v>
      </c>
      <c r="R487" s="2">
        <v>3120</v>
      </c>
      <c r="S487">
        <v>107.64</v>
      </c>
      <c r="T487" s="2">
        <v>62400</v>
      </c>
      <c r="U487" s="2">
        <v>0</v>
      </c>
      <c r="V487">
        <v>81.695999999999998</v>
      </c>
      <c r="W487">
        <v>0</v>
      </c>
      <c r="X487">
        <v>0</v>
      </c>
      <c r="Y487">
        <v>0</v>
      </c>
      <c r="Z487">
        <v>1</v>
      </c>
      <c r="AA487">
        <v>1.2240501370936154E-2</v>
      </c>
      <c r="AB487">
        <v>22.2</v>
      </c>
      <c r="AC487">
        <v>3.6506666666666665</v>
      </c>
      <c r="AD487">
        <v>22</v>
      </c>
      <c r="AI48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8.3493333333333339</v>
      </c>
      <c r="AK487" t="s">
        <v>373</v>
      </c>
      <c r="AN487">
        <f>INT(Table1[[#This Row],[reject_prod]]/Table1[[#This Row],[part_weight]] * 1000)</f>
        <v>28</v>
      </c>
    </row>
    <row r="488" spans="1:40">
      <c r="A488" s="1">
        <v>46038</v>
      </c>
      <c r="B488">
        <v>1</v>
      </c>
      <c r="C488">
        <v>7</v>
      </c>
      <c r="D488" t="s">
        <v>367</v>
      </c>
      <c r="E488" t="s">
        <v>34</v>
      </c>
      <c r="F488">
        <v>322452</v>
      </c>
      <c r="G488">
        <v>0</v>
      </c>
      <c r="H488" t="s">
        <v>374</v>
      </c>
      <c r="I488">
        <v>10683857</v>
      </c>
      <c r="J488">
        <v>4</v>
      </c>
      <c r="K488">
        <v>33.11</v>
      </c>
      <c r="L488">
        <v>34.5</v>
      </c>
      <c r="M488">
        <v>156</v>
      </c>
      <c r="N488" s="2">
        <v>44928</v>
      </c>
      <c r="O488" s="2">
        <v>0</v>
      </c>
      <c r="P488" s="2">
        <v>624</v>
      </c>
      <c r="Q488" s="2">
        <v>624</v>
      </c>
      <c r="R488" s="2">
        <v>0</v>
      </c>
      <c r="S488">
        <v>0</v>
      </c>
      <c r="T488" s="2">
        <v>624</v>
      </c>
      <c r="U488" s="2">
        <v>44304</v>
      </c>
      <c r="V488">
        <v>21.527999999999999</v>
      </c>
      <c r="W488">
        <v>0</v>
      </c>
      <c r="X488">
        <v>15</v>
      </c>
      <c r="Y488">
        <v>0.69676700111482726</v>
      </c>
      <c r="Z488">
        <v>3</v>
      </c>
      <c r="AA488">
        <v>0.13935340022296544</v>
      </c>
      <c r="AB488">
        <v>24.4</v>
      </c>
      <c r="AC488">
        <v>1.0573333333333332</v>
      </c>
      <c r="AD488">
        <v>18.04</v>
      </c>
      <c r="AG488">
        <v>1.5</v>
      </c>
      <c r="AI48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9.4426666666666677</v>
      </c>
      <c r="AK488" t="s">
        <v>375</v>
      </c>
      <c r="AL488">
        <v>6</v>
      </c>
      <c r="AM488">
        <v>12</v>
      </c>
      <c r="AN488">
        <f>INT(Table1[[#This Row],[reject_prod]]/Table1[[#This Row],[part_weight]] * 1000)</f>
        <v>86</v>
      </c>
    </row>
    <row r="489" spans="1:40">
      <c r="A489" s="1">
        <v>46038</v>
      </c>
      <c r="B489">
        <v>1</v>
      </c>
      <c r="C489">
        <v>8</v>
      </c>
      <c r="D489" t="s">
        <v>43</v>
      </c>
      <c r="E489" t="s">
        <v>41</v>
      </c>
      <c r="F489">
        <v>593537</v>
      </c>
      <c r="G489">
        <v>0</v>
      </c>
      <c r="H489" t="s">
        <v>48</v>
      </c>
      <c r="I489">
        <v>10682926</v>
      </c>
      <c r="J489">
        <v>4</v>
      </c>
      <c r="K489">
        <v>56.5</v>
      </c>
      <c r="L489">
        <v>56.8</v>
      </c>
      <c r="M489">
        <v>1415</v>
      </c>
      <c r="N489" s="2">
        <v>69000</v>
      </c>
      <c r="O489" s="2">
        <v>0</v>
      </c>
      <c r="P489" s="2">
        <v>0</v>
      </c>
      <c r="Q489" s="2">
        <v>5660</v>
      </c>
      <c r="R489" s="2">
        <v>5750</v>
      </c>
      <c r="S489">
        <v>326.60000000000002</v>
      </c>
      <c r="T489" s="2">
        <v>49450</v>
      </c>
      <c r="U489" s="2">
        <v>19550</v>
      </c>
      <c r="V489">
        <v>321.488</v>
      </c>
      <c r="W489">
        <v>0</v>
      </c>
      <c r="X489">
        <v>0</v>
      </c>
      <c r="Y489">
        <v>0</v>
      </c>
      <c r="Z489">
        <v>1.8</v>
      </c>
      <c r="AA489">
        <v>5.5989648136166824E-3</v>
      </c>
      <c r="AB489">
        <v>30.6</v>
      </c>
      <c r="AC489">
        <v>12</v>
      </c>
      <c r="AD489">
        <v>28.5</v>
      </c>
      <c r="AI48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489" t="s">
        <v>178</v>
      </c>
      <c r="AN489">
        <f>INT(Table1[[#This Row],[reject_prod]]/Table1[[#This Row],[part_weight]] * 1000)</f>
        <v>31</v>
      </c>
    </row>
    <row r="490" spans="1:40">
      <c r="A490" s="1">
        <v>46038</v>
      </c>
      <c r="B490">
        <v>1</v>
      </c>
      <c r="C490">
        <v>9</v>
      </c>
      <c r="D490" t="s">
        <v>33</v>
      </c>
      <c r="E490" t="s">
        <v>46</v>
      </c>
      <c r="F490">
        <v>586276</v>
      </c>
      <c r="G490">
        <v>0</v>
      </c>
      <c r="H490" t="s">
        <v>47</v>
      </c>
      <c r="I490">
        <v>10682924</v>
      </c>
      <c r="J490">
        <v>6</v>
      </c>
      <c r="K490">
        <v>12.3</v>
      </c>
      <c r="L490">
        <v>12.3</v>
      </c>
      <c r="M490">
        <v>0</v>
      </c>
      <c r="N490" s="2">
        <v>162000</v>
      </c>
      <c r="O490" s="2">
        <v>7290</v>
      </c>
      <c r="P490" s="2">
        <v>7290</v>
      </c>
      <c r="Q490" s="2">
        <v>0</v>
      </c>
      <c r="R490" s="2">
        <v>0</v>
      </c>
      <c r="S490">
        <v>0</v>
      </c>
      <c r="T490" s="2">
        <v>80190</v>
      </c>
      <c r="U490" s="2">
        <v>81810</v>
      </c>
      <c r="V490">
        <v>0</v>
      </c>
      <c r="W490">
        <v>0</v>
      </c>
      <c r="X490">
        <v>0</v>
      </c>
      <c r="Y490" t="e">
        <v>#DIV/0!</v>
      </c>
      <c r="Z490">
        <v>0</v>
      </c>
      <c r="AA490" t="e">
        <v>#DIV/0!</v>
      </c>
      <c r="AB490">
        <v>26.2</v>
      </c>
      <c r="AC490">
        <v>0</v>
      </c>
      <c r="AD490">
        <v>26</v>
      </c>
      <c r="AI49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490" t="s">
        <v>357</v>
      </c>
      <c r="AL490">
        <v>5</v>
      </c>
      <c r="AN490">
        <f>INT(Table1[[#This Row],[reject_prod]]/Table1[[#This Row],[part_weight]] * 1000)</f>
        <v>0</v>
      </c>
    </row>
    <row r="491" spans="1:40">
      <c r="A491" s="1">
        <v>46038</v>
      </c>
      <c r="B491">
        <v>1</v>
      </c>
      <c r="C491">
        <v>10</v>
      </c>
      <c r="D491" t="s">
        <v>368</v>
      </c>
      <c r="E491" t="s">
        <v>34</v>
      </c>
      <c r="F491">
        <v>442310</v>
      </c>
      <c r="G491">
        <v>0</v>
      </c>
      <c r="H491" t="s">
        <v>315</v>
      </c>
      <c r="I491">
        <v>10684748</v>
      </c>
      <c r="J491">
        <v>4</v>
      </c>
      <c r="K491">
        <v>68.8</v>
      </c>
      <c r="L491">
        <v>68.8</v>
      </c>
      <c r="M491">
        <v>597</v>
      </c>
      <c r="N491" s="2">
        <v>8008</v>
      </c>
      <c r="O491" s="2">
        <v>546</v>
      </c>
      <c r="P491" s="2">
        <v>0</v>
      </c>
      <c r="Q491" s="2">
        <v>2388</v>
      </c>
      <c r="R491" s="2">
        <v>2912</v>
      </c>
      <c r="S491">
        <v>200.34560000000002</v>
      </c>
      <c r="T491" s="2">
        <v>8008</v>
      </c>
      <c r="U491" s="2">
        <v>0</v>
      </c>
      <c r="V491">
        <v>164.2944</v>
      </c>
      <c r="W491">
        <v>0</v>
      </c>
      <c r="X491">
        <v>0</v>
      </c>
      <c r="Y491">
        <v>0</v>
      </c>
      <c r="Z491">
        <v>1.2</v>
      </c>
      <c r="AA491">
        <v>7.303961668809162E-3</v>
      </c>
      <c r="AB491">
        <v>33.200000000000003</v>
      </c>
      <c r="AC491">
        <v>5.5056666666666674</v>
      </c>
      <c r="AD491">
        <v>33.840000000000003</v>
      </c>
      <c r="AI49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6.4943333333333326</v>
      </c>
      <c r="AK491" t="s">
        <v>376</v>
      </c>
      <c r="AM491">
        <v>2</v>
      </c>
      <c r="AN491">
        <f>INT(Table1[[#This Row],[reject_prod]]/Table1[[#This Row],[part_weight]] * 1000)</f>
        <v>17</v>
      </c>
    </row>
    <row r="492" spans="1:40">
      <c r="A492" s="1">
        <v>46038</v>
      </c>
      <c r="B492">
        <v>1</v>
      </c>
      <c r="C492">
        <v>10</v>
      </c>
      <c r="D492" t="s">
        <v>33</v>
      </c>
      <c r="E492" t="s">
        <v>34</v>
      </c>
      <c r="F492">
        <v>323092</v>
      </c>
      <c r="G492">
        <v>0</v>
      </c>
      <c r="H492" t="s">
        <v>377</v>
      </c>
      <c r="I492">
        <v>10684857</v>
      </c>
      <c r="J492">
        <v>4</v>
      </c>
      <c r="K492">
        <v>48.9</v>
      </c>
      <c r="L492">
        <v>48.9</v>
      </c>
      <c r="M492">
        <v>0</v>
      </c>
      <c r="N492" s="2">
        <v>37800</v>
      </c>
      <c r="O492" s="2">
        <v>0</v>
      </c>
      <c r="P492" s="2">
        <v>0</v>
      </c>
      <c r="Q492" s="2">
        <v>0</v>
      </c>
      <c r="R492" s="2">
        <v>0</v>
      </c>
      <c r="S492">
        <v>0</v>
      </c>
      <c r="T492" s="2">
        <v>0</v>
      </c>
      <c r="U492" s="2">
        <v>37800</v>
      </c>
      <c r="V492">
        <v>0</v>
      </c>
      <c r="W492">
        <v>0</v>
      </c>
      <c r="X492">
        <v>0</v>
      </c>
      <c r="Y492" t="e">
        <v>#DIV/0!</v>
      </c>
      <c r="Z492">
        <v>0</v>
      </c>
      <c r="AA492" t="e">
        <v>#DIV/0!</v>
      </c>
      <c r="AB492">
        <v>33.200000000000003</v>
      </c>
      <c r="AC492">
        <v>0</v>
      </c>
      <c r="AD492">
        <v>27.6</v>
      </c>
      <c r="AE492">
        <v>5.5</v>
      </c>
      <c r="AI49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6.5</v>
      </c>
      <c r="AK492" t="s">
        <v>378</v>
      </c>
      <c r="AN492">
        <f>INT(Table1[[#This Row],[reject_prod]]/Table1[[#This Row],[part_weight]] * 1000)</f>
        <v>0</v>
      </c>
    </row>
    <row r="493" spans="1:40">
      <c r="A493" s="1">
        <v>46038</v>
      </c>
      <c r="B493">
        <v>1</v>
      </c>
      <c r="C493">
        <v>11</v>
      </c>
      <c r="D493" t="s">
        <v>112</v>
      </c>
      <c r="E493" t="s">
        <v>46</v>
      </c>
      <c r="F493">
        <v>552181</v>
      </c>
      <c r="G493">
        <v>1</v>
      </c>
      <c r="H493" t="s">
        <v>49</v>
      </c>
      <c r="I493">
        <v>10683782</v>
      </c>
      <c r="J493">
        <v>6</v>
      </c>
      <c r="K493">
        <v>18.8</v>
      </c>
      <c r="L493">
        <v>18.8</v>
      </c>
      <c r="M493">
        <v>1445</v>
      </c>
      <c r="N493" s="2">
        <v>108000</v>
      </c>
      <c r="O493" s="2">
        <v>1080</v>
      </c>
      <c r="P493" s="2">
        <v>4320</v>
      </c>
      <c r="Q493" s="2">
        <v>8670</v>
      </c>
      <c r="R493" s="2">
        <v>5400</v>
      </c>
      <c r="S493">
        <v>101.52</v>
      </c>
      <c r="T493" s="2">
        <v>69120</v>
      </c>
      <c r="U493" s="2">
        <v>38880</v>
      </c>
      <c r="V493">
        <v>162.99600000000001</v>
      </c>
      <c r="W493">
        <v>0</v>
      </c>
      <c r="X493">
        <v>0</v>
      </c>
      <c r="Y493">
        <v>0</v>
      </c>
      <c r="Z493">
        <v>0.5</v>
      </c>
      <c r="AA493">
        <v>3.0675599401212296E-3</v>
      </c>
      <c r="AB493">
        <v>29.1</v>
      </c>
      <c r="AC493">
        <v>11.680416666666666</v>
      </c>
      <c r="AD493">
        <v>27</v>
      </c>
      <c r="AI49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0.319583333333334</v>
      </c>
      <c r="AK493" t="s">
        <v>270</v>
      </c>
      <c r="AN493">
        <f>INT(Table1[[#This Row],[reject_prod]]/Table1[[#This Row],[part_weight]] * 1000)</f>
        <v>26</v>
      </c>
    </row>
    <row r="494" spans="1:40">
      <c r="A494" s="1">
        <v>46038</v>
      </c>
      <c r="B494">
        <v>1</v>
      </c>
      <c r="C494">
        <v>12</v>
      </c>
      <c r="D494" t="s">
        <v>141</v>
      </c>
      <c r="E494" t="s">
        <v>34</v>
      </c>
      <c r="F494">
        <v>620599</v>
      </c>
      <c r="G494">
        <v>0</v>
      </c>
      <c r="H494" t="s">
        <v>50</v>
      </c>
      <c r="I494">
        <v>10682929</v>
      </c>
      <c r="J494">
        <v>4</v>
      </c>
      <c r="K494">
        <v>55</v>
      </c>
      <c r="L494">
        <v>55</v>
      </c>
      <c r="M494">
        <v>1487</v>
      </c>
      <c r="N494" s="2">
        <v>72000</v>
      </c>
      <c r="O494" s="2">
        <v>1125</v>
      </c>
      <c r="P494" s="2">
        <v>1575</v>
      </c>
      <c r="Q494" s="2">
        <v>5948</v>
      </c>
      <c r="R494" s="2">
        <v>5400</v>
      </c>
      <c r="S494">
        <v>297</v>
      </c>
      <c r="T494" s="2">
        <v>48375</v>
      </c>
      <c r="U494" s="2">
        <v>23625</v>
      </c>
      <c r="V494">
        <v>327.14</v>
      </c>
      <c r="W494">
        <v>0</v>
      </c>
      <c r="X494">
        <v>0</v>
      </c>
      <c r="Y494">
        <v>0</v>
      </c>
      <c r="Z494">
        <v>5.2</v>
      </c>
      <c r="AA494">
        <v>1.5895335330439568E-2</v>
      </c>
      <c r="AB494">
        <v>28.7</v>
      </c>
      <c r="AC494">
        <v>11.854694444444444</v>
      </c>
      <c r="AD494">
        <v>28</v>
      </c>
      <c r="AI49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0.1453055555555558</v>
      </c>
      <c r="AK494" t="s">
        <v>360</v>
      </c>
      <c r="AN494">
        <f>INT(Table1[[#This Row],[reject_prod]]/Table1[[#This Row],[part_weight]] * 1000)</f>
        <v>94</v>
      </c>
    </row>
    <row r="495" spans="1:40">
      <c r="A495" s="1">
        <v>46038</v>
      </c>
      <c r="B495">
        <v>1</v>
      </c>
      <c r="C495">
        <v>13</v>
      </c>
      <c r="D495" t="s">
        <v>112</v>
      </c>
      <c r="E495" t="s">
        <v>46</v>
      </c>
      <c r="F495">
        <v>586276</v>
      </c>
      <c r="G495">
        <v>0</v>
      </c>
      <c r="H495" t="s">
        <v>47</v>
      </c>
      <c r="I495">
        <v>10683784</v>
      </c>
      <c r="J495">
        <v>6</v>
      </c>
      <c r="K495">
        <v>12.3</v>
      </c>
      <c r="L495">
        <v>12.3</v>
      </c>
      <c r="M495">
        <v>1637</v>
      </c>
      <c r="N495" s="2">
        <v>162000</v>
      </c>
      <c r="O495" s="2">
        <v>6885</v>
      </c>
      <c r="P495" s="2">
        <v>405</v>
      </c>
      <c r="Q495" s="2">
        <v>9822</v>
      </c>
      <c r="R495" s="2">
        <v>16200</v>
      </c>
      <c r="S495">
        <v>199.26</v>
      </c>
      <c r="T495" s="2">
        <v>73305</v>
      </c>
      <c r="U495" s="2">
        <v>88695</v>
      </c>
      <c r="V495">
        <v>120.81060000000001</v>
      </c>
      <c r="W495">
        <v>0</v>
      </c>
      <c r="X495">
        <v>0</v>
      </c>
      <c r="Y495">
        <v>0</v>
      </c>
      <c r="Z495">
        <v>1.2</v>
      </c>
      <c r="AA495">
        <v>9.9329032386231003E-3</v>
      </c>
      <c r="AB495">
        <v>26.4</v>
      </c>
      <c r="AC495">
        <v>12</v>
      </c>
      <c r="AD495">
        <v>26</v>
      </c>
      <c r="AI49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495" t="s">
        <v>51</v>
      </c>
      <c r="AN495">
        <f>INT(Table1[[#This Row],[reject_prod]]/Table1[[#This Row],[part_weight]] * 1000)</f>
        <v>97</v>
      </c>
    </row>
    <row r="496" spans="1:40">
      <c r="A496" s="1">
        <v>46038</v>
      </c>
      <c r="B496">
        <v>1</v>
      </c>
      <c r="C496">
        <v>14</v>
      </c>
      <c r="D496" t="s">
        <v>61</v>
      </c>
      <c r="E496" t="s">
        <v>46</v>
      </c>
      <c r="F496">
        <v>555979</v>
      </c>
      <c r="G496">
        <v>1</v>
      </c>
      <c r="H496" t="s">
        <v>52</v>
      </c>
      <c r="I496">
        <v>10682932</v>
      </c>
      <c r="J496">
        <v>6</v>
      </c>
      <c r="K496">
        <v>28</v>
      </c>
      <c r="L496">
        <v>28</v>
      </c>
      <c r="M496">
        <v>994</v>
      </c>
      <c r="N496" s="2">
        <v>100800</v>
      </c>
      <c r="O496" s="2">
        <v>2520</v>
      </c>
      <c r="P496" s="2">
        <v>1680</v>
      </c>
      <c r="Q496" s="2">
        <v>5964</v>
      </c>
      <c r="R496" s="2">
        <v>6720</v>
      </c>
      <c r="S496">
        <v>188.16</v>
      </c>
      <c r="T496" s="2">
        <v>95760</v>
      </c>
      <c r="U496" s="2">
        <v>5040</v>
      </c>
      <c r="V496">
        <v>166.99199999999999</v>
      </c>
      <c r="W496">
        <v>0</v>
      </c>
      <c r="X496">
        <v>0</v>
      </c>
      <c r="Y496">
        <v>0</v>
      </c>
      <c r="Z496">
        <v>2.2999999999999998</v>
      </c>
      <c r="AA496">
        <v>1.3773114879754718E-2</v>
      </c>
      <c r="AB496">
        <v>42.7</v>
      </c>
      <c r="AC496">
        <v>11.789944444444446</v>
      </c>
      <c r="AD496">
        <v>42</v>
      </c>
      <c r="AI49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0.21005555555555411</v>
      </c>
      <c r="AK496" t="s">
        <v>241</v>
      </c>
      <c r="AN496">
        <f>INT(Table1[[#This Row],[reject_prod]]/Table1[[#This Row],[part_weight]] * 1000)</f>
        <v>82</v>
      </c>
    </row>
    <row r="497" spans="1:40">
      <c r="A497" s="1">
        <v>46038</v>
      </c>
      <c r="B497">
        <v>1</v>
      </c>
      <c r="C497">
        <v>15</v>
      </c>
      <c r="D497" t="s">
        <v>112</v>
      </c>
      <c r="E497" t="s">
        <v>46</v>
      </c>
      <c r="F497">
        <v>552181</v>
      </c>
      <c r="G497">
        <v>2</v>
      </c>
      <c r="H497" t="s">
        <v>49</v>
      </c>
      <c r="I497">
        <v>10683786</v>
      </c>
      <c r="J497">
        <v>6</v>
      </c>
      <c r="K497">
        <v>18.8</v>
      </c>
      <c r="L497">
        <v>18.8</v>
      </c>
      <c r="M497">
        <v>1364</v>
      </c>
      <c r="N497" s="2">
        <v>108000</v>
      </c>
      <c r="O497" s="2">
        <v>1350</v>
      </c>
      <c r="P497" s="2">
        <v>4050</v>
      </c>
      <c r="Q497" s="2">
        <v>8184</v>
      </c>
      <c r="R497" s="2">
        <v>5400</v>
      </c>
      <c r="S497">
        <v>101.52</v>
      </c>
      <c r="T497" s="2">
        <v>41850</v>
      </c>
      <c r="U497" s="2">
        <v>66150</v>
      </c>
      <c r="V497">
        <v>153.85920000000002</v>
      </c>
      <c r="W497">
        <v>0</v>
      </c>
      <c r="X497">
        <v>0</v>
      </c>
      <c r="Y497">
        <v>0</v>
      </c>
      <c r="Z497">
        <v>1.5</v>
      </c>
      <c r="AA497">
        <v>9.7491732701066938E-3</v>
      </c>
      <c r="AB497">
        <v>31.3</v>
      </c>
      <c r="AC497">
        <v>11.859222222222222</v>
      </c>
      <c r="AD497">
        <v>27</v>
      </c>
      <c r="AI49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0.14077777777777811</v>
      </c>
      <c r="AK497" t="s">
        <v>51</v>
      </c>
      <c r="AN497">
        <f>INT(Table1[[#This Row],[reject_prod]]/Table1[[#This Row],[part_weight]] * 1000)</f>
        <v>79</v>
      </c>
    </row>
    <row r="498" spans="1:40" s="4" customFormat="1">
      <c r="A498" s="3">
        <v>46038</v>
      </c>
      <c r="B498" s="4">
        <v>1</v>
      </c>
      <c r="C498" s="4">
        <v>16</v>
      </c>
      <c r="D498" s="4" t="s">
        <v>129</v>
      </c>
      <c r="E498" s="4" t="s">
        <v>46</v>
      </c>
      <c r="F498" s="4">
        <v>555979</v>
      </c>
      <c r="G498" s="4">
        <v>2</v>
      </c>
      <c r="H498" s="4" t="s">
        <v>52</v>
      </c>
      <c r="I498" s="4">
        <v>10683788</v>
      </c>
      <c r="J498" s="4">
        <v>6</v>
      </c>
      <c r="K498" s="4">
        <v>28</v>
      </c>
      <c r="L498" s="4">
        <v>28</v>
      </c>
      <c r="M498" s="4">
        <v>997</v>
      </c>
      <c r="N498" s="5">
        <v>100800</v>
      </c>
      <c r="O498" s="5">
        <v>1344</v>
      </c>
      <c r="P498" s="5">
        <v>504</v>
      </c>
      <c r="Q498" s="5">
        <v>5982</v>
      </c>
      <c r="R498" s="5">
        <v>6720</v>
      </c>
      <c r="S498" s="4">
        <v>188.16</v>
      </c>
      <c r="T498" s="5">
        <v>37464</v>
      </c>
      <c r="U498" s="5">
        <v>63336</v>
      </c>
      <c r="V498" s="4">
        <v>167.49600000000001</v>
      </c>
      <c r="W498" s="4">
        <v>0</v>
      </c>
      <c r="X498" s="4">
        <v>0</v>
      </c>
      <c r="Y498" s="4">
        <v>0</v>
      </c>
      <c r="Z498" s="4">
        <v>2.8</v>
      </c>
      <c r="AA498" s="4">
        <v>1.6716817118020727E-2</v>
      </c>
      <c r="AB498" s="4">
        <v>43.7</v>
      </c>
      <c r="AC498" s="4">
        <v>12</v>
      </c>
      <c r="AD498" s="4">
        <v>42</v>
      </c>
      <c r="AI49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498" s="4" t="s">
        <v>51</v>
      </c>
      <c r="AM498" s="4">
        <v>3</v>
      </c>
      <c r="AN498" s="4">
        <f>INT(Table1[[#This Row],[reject_prod]]/Table1[[#This Row],[part_weight]] * 1000)</f>
        <v>100</v>
      </c>
    </row>
    <row r="499" spans="1:40">
      <c r="A499" s="1">
        <v>46038</v>
      </c>
      <c r="B499">
        <v>2</v>
      </c>
      <c r="C499">
        <v>1</v>
      </c>
      <c r="D499" t="s">
        <v>167</v>
      </c>
      <c r="E499" t="s">
        <v>34</v>
      </c>
      <c r="F499">
        <v>577492</v>
      </c>
      <c r="G499">
        <v>0</v>
      </c>
      <c r="H499" t="s">
        <v>341</v>
      </c>
      <c r="I499">
        <v>10683850</v>
      </c>
      <c r="J499">
        <v>4</v>
      </c>
      <c r="K499">
        <v>35.6</v>
      </c>
      <c r="L499">
        <v>35.6</v>
      </c>
      <c r="M499">
        <v>1560</v>
      </c>
      <c r="N499" s="2">
        <v>40480</v>
      </c>
      <c r="O499" s="2">
        <v>368</v>
      </c>
      <c r="P499" s="2">
        <v>1104</v>
      </c>
      <c r="Q499" s="2">
        <v>6240</v>
      </c>
      <c r="R499" s="2">
        <v>5520</v>
      </c>
      <c r="S499">
        <v>196.512</v>
      </c>
      <c r="T499" s="2">
        <v>19504</v>
      </c>
      <c r="U499" s="2">
        <v>20976</v>
      </c>
      <c r="V499">
        <v>222.14400000000001</v>
      </c>
      <c r="W499">
        <v>0</v>
      </c>
      <c r="X499">
        <v>0</v>
      </c>
      <c r="Y499">
        <v>0</v>
      </c>
      <c r="Z499">
        <v>1.5</v>
      </c>
      <c r="AA499">
        <v>6.7523768366464995E-3</v>
      </c>
      <c r="AB499">
        <v>28.2</v>
      </c>
      <c r="AC499">
        <v>12</v>
      </c>
      <c r="AD499">
        <v>27</v>
      </c>
      <c r="AI49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499" t="s">
        <v>379</v>
      </c>
      <c r="AN499">
        <f>INT(Table1[[#This Row],[reject_prod]]/Table1[[#This Row],[part_weight]] * 1000)</f>
        <v>42</v>
      </c>
    </row>
    <row r="500" spans="1:40">
      <c r="A500" s="1">
        <v>46038</v>
      </c>
      <c r="B500">
        <v>2</v>
      </c>
      <c r="C500">
        <v>2</v>
      </c>
      <c r="D500" t="s">
        <v>181</v>
      </c>
      <c r="E500" t="s">
        <v>34</v>
      </c>
      <c r="F500">
        <v>463202</v>
      </c>
      <c r="G500">
        <v>0</v>
      </c>
      <c r="H500" t="s">
        <v>320</v>
      </c>
      <c r="I500">
        <v>10684540</v>
      </c>
      <c r="J500">
        <v>4</v>
      </c>
      <c r="K500">
        <v>23</v>
      </c>
      <c r="L500">
        <v>23</v>
      </c>
      <c r="M500">
        <v>1400</v>
      </c>
      <c r="N500" s="2">
        <v>40920</v>
      </c>
      <c r="O500" s="2">
        <v>1860</v>
      </c>
      <c r="P500" s="2">
        <v>0</v>
      </c>
      <c r="Q500" s="2">
        <v>5600</v>
      </c>
      <c r="R500" s="2">
        <v>7440</v>
      </c>
      <c r="S500">
        <v>171.12</v>
      </c>
      <c r="T500" s="2">
        <v>40920</v>
      </c>
      <c r="U500" s="2">
        <v>0</v>
      </c>
      <c r="V500">
        <v>128.80000000000001</v>
      </c>
      <c r="W500">
        <v>0</v>
      </c>
      <c r="X500">
        <v>0</v>
      </c>
      <c r="Y500">
        <v>0</v>
      </c>
      <c r="Z500">
        <v>1</v>
      </c>
      <c r="AA500">
        <v>7.7639751552795021E-3</v>
      </c>
      <c r="AB500">
        <v>23.27</v>
      </c>
      <c r="AC500">
        <v>9.0494444444444451</v>
      </c>
      <c r="AD500">
        <v>22.92</v>
      </c>
      <c r="AI50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2.9505555555555549</v>
      </c>
      <c r="AK500" t="s">
        <v>380</v>
      </c>
      <c r="AN500">
        <f>INT(Table1[[#This Row],[reject_prod]]/Table1[[#This Row],[part_weight]] * 1000)</f>
        <v>43</v>
      </c>
    </row>
    <row r="501" spans="1:40">
      <c r="A501" s="1">
        <v>46038</v>
      </c>
      <c r="B501">
        <v>2</v>
      </c>
      <c r="C501">
        <v>2</v>
      </c>
      <c r="D501" t="s">
        <v>33</v>
      </c>
      <c r="E501" t="s">
        <v>34</v>
      </c>
      <c r="F501">
        <v>416201</v>
      </c>
      <c r="G501">
        <v>0</v>
      </c>
      <c r="H501" t="s">
        <v>36</v>
      </c>
      <c r="I501">
        <v>10681779</v>
      </c>
      <c r="J501">
        <v>4</v>
      </c>
      <c r="K501">
        <v>20</v>
      </c>
      <c r="L501">
        <v>30</v>
      </c>
      <c r="M501">
        <v>0</v>
      </c>
      <c r="N501" s="2">
        <v>50400</v>
      </c>
      <c r="O501" s="2">
        <v>0</v>
      </c>
      <c r="P501" s="2">
        <v>0</v>
      </c>
      <c r="Q501" s="2">
        <v>0</v>
      </c>
      <c r="R501" s="2">
        <v>0</v>
      </c>
      <c r="S501">
        <v>0</v>
      </c>
      <c r="T501" s="2">
        <v>0</v>
      </c>
      <c r="U501" s="2">
        <v>50400</v>
      </c>
      <c r="V501">
        <v>0</v>
      </c>
      <c r="W501">
        <v>0</v>
      </c>
      <c r="X501">
        <v>0</v>
      </c>
      <c r="Y501" t="e">
        <v>#DIV/0!</v>
      </c>
      <c r="Z501">
        <v>0</v>
      </c>
      <c r="AA501" t="e">
        <v>#DIV/0!</v>
      </c>
      <c r="AB501">
        <v>23.27</v>
      </c>
      <c r="AC501">
        <v>0</v>
      </c>
      <c r="AD501">
        <v>38.64</v>
      </c>
      <c r="AG501">
        <v>1.5</v>
      </c>
      <c r="AI50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10.5</v>
      </c>
      <c r="AK501" t="s">
        <v>381</v>
      </c>
      <c r="AN501">
        <f>INT(Table1[[#This Row],[reject_prod]]/Table1[[#This Row],[part_weight]] * 1000)</f>
        <v>0</v>
      </c>
    </row>
    <row r="502" spans="1:40">
      <c r="A502" s="1">
        <v>46038</v>
      </c>
      <c r="B502">
        <v>2</v>
      </c>
      <c r="C502">
        <v>3</v>
      </c>
      <c r="D502" t="s">
        <v>56</v>
      </c>
      <c r="E502" t="s">
        <v>34</v>
      </c>
      <c r="F502">
        <v>442034</v>
      </c>
      <c r="G502">
        <v>0</v>
      </c>
      <c r="H502" t="s">
        <v>37</v>
      </c>
      <c r="I502">
        <v>10681183</v>
      </c>
      <c r="J502">
        <v>4</v>
      </c>
      <c r="K502">
        <v>23</v>
      </c>
      <c r="L502">
        <v>23</v>
      </c>
      <c r="M502">
        <v>1560</v>
      </c>
      <c r="N502" s="2">
        <v>139776</v>
      </c>
      <c r="O502" s="2">
        <v>768</v>
      </c>
      <c r="P502" s="2">
        <v>2304</v>
      </c>
      <c r="Q502" s="2">
        <v>6240</v>
      </c>
      <c r="R502" s="2">
        <v>4608</v>
      </c>
      <c r="S502">
        <v>105.98399999999999</v>
      </c>
      <c r="T502" s="2">
        <v>135936</v>
      </c>
      <c r="U502" s="2">
        <v>3840</v>
      </c>
      <c r="V502">
        <v>143.52000000000001</v>
      </c>
      <c r="W502">
        <v>0</v>
      </c>
      <c r="X502">
        <v>0</v>
      </c>
      <c r="Y502">
        <v>0</v>
      </c>
      <c r="Z502">
        <v>4.2</v>
      </c>
      <c r="AA502">
        <v>2.926421404682274E-2</v>
      </c>
      <c r="AB502">
        <v>26.55</v>
      </c>
      <c r="AC502">
        <v>11.505000000000001</v>
      </c>
      <c r="AD502">
        <v>22</v>
      </c>
      <c r="AI50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0.49499999999999922</v>
      </c>
      <c r="AK502" t="s">
        <v>103</v>
      </c>
      <c r="AN502">
        <f>INT(Table1[[#This Row],[reject_prod]]/Table1[[#This Row],[part_weight]] * 1000)</f>
        <v>182</v>
      </c>
    </row>
    <row r="503" spans="1:40">
      <c r="A503" s="1">
        <v>46038</v>
      </c>
      <c r="B503">
        <v>2</v>
      </c>
      <c r="C503">
        <v>4</v>
      </c>
      <c r="F503">
        <v>123456</v>
      </c>
      <c r="G503">
        <v>0</v>
      </c>
      <c r="M503">
        <v>0</v>
      </c>
      <c r="N503">
        <v>0</v>
      </c>
      <c r="O503">
        <v>0</v>
      </c>
      <c r="P503">
        <v>0</v>
      </c>
      <c r="R503">
        <v>0</v>
      </c>
      <c r="T503">
        <v>0</v>
      </c>
      <c r="X503">
        <v>0</v>
      </c>
      <c r="Z503">
        <v>0</v>
      </c>
      <c r="AB503">
        <v>0</v>
      </c>
      <c r="AC503">
        <v>0</v>
      </c>
      <c r="AD503">
        <v>22.5</v>
      </c>
      <c r="AI50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03">
        <v>12</v>
      </c>
      <c r="AK503" t="s">
        <v>116</v>
      </c>
      <c r="AN503">
        <v>0</v>
      </c>
    </row>
    <row r="504" spans="1:40">
      <c r="A504" s="1">
        <v>46038</v>
      </c>
      <c r="B504">
        <v>2</v>
      </c>
      <c r="C504">
        <v>5</v>
      </c>
      <c r="D504" t="s">
        <v>88</v>
      </c>
      <c r="E504" t="s">
        <v>34</v>
      </c>
      <c r="F504">
        <v>597507</v>
      </c>
      <c r="G504">
        <v>0</v>
      </c>
      <c r="H504" t="s">
        <v>279</v>
      </c>
      <c r="I504">
        <v>10682757</v>
      </c>
      <c r="J504">
        <v>4</v>
      </c>
      <c r="K504">
        <v>23</v>
      </c>
      <c r="L504">
        <v>23</v>
      </c>
      <c r="M504">
        <v>1925</v>
      </c>
      <c r="N504" s="2">
        <v>64680</v>
      </c>
      <c r="O504" s="2">
        <v>0</v>
      </c>
      <c r="P504" s="2">
        <v>154</v>
      </c>
      <c r="Q504" s="2">
        <v>7700</v>
      </c>
      <c r="R504" s="2">
        <v>7546</v>
      </c>
      <c r="S504">
        <v>173.55799999999999</v>
      </c>
      <c r="T504" s="2">
        <v>56210</v>
      </c>
      <c r="U504" s="2">
        <v>8470</v>
      </c>
      <c r="V504">
        <v>177.1</v>
      </c>
      <c r="W504">
        <v>0</v>
      </c>
      <c r="X504">
        <v>0</v>
      </c>
      <c r="Y504">
        <v>0</v>
      </c>
      <c r="Z504">
        <v>4.5</v>
      </c>
      <c r="AA504">
        <v>2.5409373235460192E-2</v>
      </c>
      <c r="AB504">
        <v>22.3</v>
      </c>
      <c r="AC504">
        <v>11.924305555555556</v>
      </c>
      <c r="AD504">
        <v>22</v>
      </c>
      <c r="AI50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7.5694444444444287E-2</v>
      </c>
      <c r="AK504" t="s">
        <v>382</v>
      </c>
      <c r="AN504">
        <f>INT(Table1[[#This Row],[reject_prod]]/Table1[[#This Row],[part_weight]] * 1000)</f>
        <v>195</v>
      </c>
    </row>
    <row r="505" spans="1:40">
      <c r="A505" s="1">
        <v>46038</v>
      </c>
      <c r="B505">
        <v>2</v>
      </c>
      <c r="C505">
        <v>6</v>
      </c>
      <c r="D505" t="s">
        <v>369</v>
      </c>
      <c r="E505" t="s">
        <v>34</v>
      </c>
      <c r="F505">
        <v>322429</v>
      </c>
      <c r="G505">
        <v>0</v>
      </c>
      <c r="H505" t="s">
        <v>354</v>
      </c>
      <c r="I505">
        <v>10683853</v>
      </c>
      <c r="J505">
        <v>4</v>
      </c>
      <c r="K505">
        <v>24.93</v>
      </c>
      <c r="L505">
        <v>24</v>
      </c>
      <c r="M505">
        <v>2030</v>
      </c>
      <c r="N505" s="2">
        <v>40600</v>
      </c>
      <c r="O505" s="2">
        <v>609</v>
      </c>
      <c r="P505" s="2">
        <v>609</v>
      </c>
      <c r="Q505" s="2">
        <v>8120</v>
      </c>
      <c r="R505" s="2">
        <v>8120</v>
      </c>
      <c r="S505">
        <v>194.88</v>
      </c>
      <c r="T505" s="2">
        <v>29029</v>
      </c>
      <c r="U505" s="2">
        <v>11571</v>
      </c>
      <c r="V505">
        <v>194.88</v>
      </c>
      <c r="W505">
        <v>0</v>
      </c>
      <c r="X505">
        <v>0</v>
      </c>
      <c r="Y505">
        <v>0</v>
      </c>
      <c r="Z505">
        <v>1.2</v>
      </c>
      <c r="AA505">
        <v>6.1576354679802959E-3</v>
      </c>
      <c r="AB505">
        <v>21.44</v>
      </c>
      <c r="AC505">
        <v>12</v>
      </c>
      <c r="AD505">
        <v>16.96</v>
      </c>
      <c r="AI50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505" t="s">
        <v>103</v>
      </c>
      <c r="AN505">
        <f>INT(Table1[[#This Row],[reject_prod]]/Table1[[#This Row],[part_weight]] * 1000)</f>
        <v>50</v>
      </c>
    </row>
    <row r="506" spans="1:40">
      <c r="A506" s="1">
        <v>46038</v>
      </c>
      <c r="B506">
        <v>2</v>
      </c>
      <c r="C506">
        <v>7</v>
      </c>
      <c r="D506" t="s">
        <v>33</v>
      </c>
      <c r="E506" t="s">
        <v>34</v>
      </c>
      <c r="F506">
        <v>322452</v>
      </c>
      <c r="G506">
        <v>0</v>
      </c>
      <c r="H506" t="s">
        <v>374</v>
      </c>
      <c r="I506">
        <v>10683857</v>
      </c>
      <c r="J506">
        <v>4</v>
      </c>
      <c r="K506">
        <v>33.11</v>
      </c>
      <c r="L506">
        <v>34.5</v>
      </c>
      <c r="M506">
        <v>0</v>
      </c>
      <c r="N506" s="2">
        <v>44928</v>
      </c>
      <c r="O506" s="2">
        <v>624</v>
      </c>
      <c r="P506" s="2">
        <v>624</v>
      </c>
      <c r="Q506" s="2">
        <v>0</v>
      </c>
      <c r="R506" s="2">
        <v>0</v>
      </c>
      <c r="S506">
        <v>0</v>
      </c>
      <c r="T506" s="2">
        <v>624</v>
      </c>
      <c r="U506" s="2">
        <v>44304</v>
      </c>
      <c r="V506">
        <v>0</v>
      </c>
      <c r="W506">
        <v>0</v>
      </c>
      <c r="X506">
        <v>0</v>
      </c>
      <c r="Y506" t="e">
        <v>#DIV/0!</v>
      </c>
      <c r="Z506">
        <v>0</v>
      </c>
      <c r="AA506" t="e">
        <v>#DIV/0!</v>
      </c>
      <c r="AB506">
        <v>22.24</v>
      </c>
      <c r="AC506">
        <v>0</v>
      </c>
      <c r="AD506">
        <v>18.04</v>
      </c>
      <c r="AI50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506" t="s">
        <v>383</v>
      </c>
      <c r="AN506">
        <f>INT(Table1[[#This Row],[reject_prod]]/Table1[[#This Row],[part_weight]] * 1000)</f>
        <v>0</v>
      </c>
    </row>
    <row r="507" spans="1:40">
      <c r="A507" s="1">
        <v>46038</v>
      </c>
      <c r="B507">
        <v>2</v>
      </c>
      <c r="C507">
        <v>8</v>
      </c>
      <c r="D507" t="s">
        <v>54</v>
      </c>
      <c r="E507" t="s">
        <v>41</v>
      </c>
      <c r="F507">
        <v>593537</v>
      </c>
      <c r="G507">
        <v>0</v>
      </c>
      <c r="H507" t="s">
        <v>48</v>
      </c>
      <c r="I507">
        <v>10682926</v>
      </c>
      <c r="J507">
        <v>4</v>
      </c>
      <c r="K507">
        <v>56.5</v>
      </c>
      <c r="L507">
        <v>56.8</v>
      </c>
      <c r="M507">
        <v>1440</v>
      </c>
      <c r="N507" s="2">
        <v>69000</v>
      </c>
      <c r="O507" s="2">
        <v>0</v>
      </c>
      <c r="P507" s="2">
        <v>0</v>
      </c>
      <c r="Q507" s="2">
        <v>5760</v>
      </c>
      <c r="R507" s="2">
        <v>5750</v>
      </c>
      <c r="S507">
        <v>326.60000000000002</v>
      </c>
      <c r="T507" s="2">
        <v>55200</v>
      </c>
      <c r="U507" s="2">
        <v>13800</v>
      </c>
      <c r="V507">
        <v>327.16800000000001</v>
      </c>
      <c r="W507">
        <v>0</v>
      </c>
      <c r="X507">
        <v>0</v>
      </c>
      <c r="Y507">
        <v>0</v>
      </c>
      <c r="Z507">
        <v>3.5</v>
      </c>
      <c r="AA507">
        <v>1.0697867762128326E-2</v>
      </c>
      <c r="AB507">
        <v>30.6</v>
      </c>
      <c r="AC507">
        <v>12</v>
      </c>
      <c r="AD507">
        <v>28.5</v>
      </c>
      <c r="AI50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507" t="s">
        <v>51</v>
      </c>
      <c r="AN507">
        <f>INT(Table1[[#This Row],[reject_prod]]/Table1[[#This Row],[part_weight]] * 1000)</f>
        <v>61</v>
      </c>
    </row>
    <row r="508" spans="1:40">
      <c r="A508" s="1">
        <v>46038</v>
      </c>
      <c r="B508">
        <v>2</v>
      </c>
      <c r="C508">
        <v>9</v>
      </c>
      <c r="D508" t="s">
        <v>33</v>
      </c>
      <c r="E508" t="s">
        <v>46</v>
      </c>
      <c r="F508">
        <v>586276</v>
      </c>
      <c r="G508">
        <v>0</v>
      </c>
      <c r="H508" t="s">
        <v>47</v>
      </c>
      <c r="I508">
        <v>10682924</v>
      </c>
      <c r="J508">
        <v>6</v>
      </c>
      <c r="K508">
        <v>12.3</v>
      </c>
      <c r="L508">
        <v>12.3</v>
      </c>
      <c r="M508">
        <v>0</v>
      </c>
      <c r="N508" s="2">
        <v>162000</v>
      </c>
      <c r="O508" s="2">
        <v>7290</v>
      </c>
      <c r="P508" s="2">
        <v>7290</v>
      </c>
      <c r="Q508" s="2">
        <v>0</v>
      </c>
      <c r="R508" s="2">
        <v>0</v>
      </c>
      <c r="S508">
        <v>0</v>
      </c>
      <c r="T508" s="2">
        <v>80190</v>
      </c>
      <c r="U508" s="2">
        <v>81810</v>
      </c>
      <c r="V508">
        <v>0</v>
      </c>
      <c r="W508">
        <v>0</v>
      </c>
      <c r="X508">
        <v>0</v>
      </c>
      <c r="Y508" t="e">
        <v>#DIV/0!</v>
      </c>
      <c r="Z508">
        <v>0</v>
      </c>
      <c r="AA508" t="e">
        <v>#DIV/0!</v>
      </c>
      <c r="AB508">
        <v>26.2</v>
      </c>
      <c r="AC508">
        <v>0</v>
      </c>
      <c r="AD508">
        <v>26</v>
      </c>
      <c r="AI50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508" t="s">
        <v>357</v>
      </c>
      <c r="AN508">
        <f>INT(Table1[[#This Row],[reject_prod]]/Table1[[#This Row],[part_weight]] * 1000)</f>
        <v>0</v>
      </c>
    </row>
    <row r="509" spans="1:40">
      <c r="A509" s="1">
        <v>46038</v>
      </c>
      <c r="B509">
        <v>2</v>
      </c>
      <c r="C509">
        <v>10</v>
      </c>
      <c r="D509" t="s">
        <v>88</v>
      </c>
      <c r="E509" t="s">
        <v>34</v>
      </c>
      <c r="F509">
        <v>323092</v>
      </c>
      <c r="G509">
        <v>0</v>
      </c>
      <c r="H509" t="s">
        <v>377</v>
      </c>
      <c r="I509">
        <v>10684857</v>
      </c>
      <c r="J509">
        <v>4</v>
      </c>
      <c r="K509">
        <v>48.9</v>
      </c>
      <c r="L509">
        <v>48.9</v>
      </c>
      <c r="M509">
        <v>580</v>
      </c>
      <c r="N509" s="2">
        <v>37800</v>
      </c>
      <c r="O509" s="2">
        <v>0</v>
      </c>
      <c r="P509" s="2">
        <v>2310</v>
      </c>
      <c r="Q509" s="2">
        <v>2320</v>
      </c>
      <c r="R509" s="2">
        <v>0</v>
      </c>
      <c r="S509">
        <v>0</v>
      </c>
      <c r="T509" s="2">
        <v>2310</v>
      </c>
      <c r="U509" s="2">
        <v>35490</v>
      </c>
      <c r="V509">
        <v>113.44799999999999</v>
      </c>
      <c r="W509">
        <v>0</v>
      </c>
      <c r="X509">
        <v>12</v>
      </c>
      <c r="Y509">
        <v>0.10577533319229956</v>
      </c>
      <c r="Z509">
        <v>1.2</v>
      </c>
      <c r="AA509">
        <v>1.0577533319229955E-2</v>
      </c>
      <c r="AB509">
        <v>28.4</v>
      </c>
      <c r="AC509">
        <v>4.5755555555555549</v>
      </c>
      <c r="AD509">
        <v>27.6</v>
      </c>
      <c r="AE509">
        <v>2.5</v>
      </c>
      <c r="AI50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4.9244444444444451</v>
      </c>
      <c r="AK509" t="s">
        <v>384</v>
      </c>
      <c r="AN509">
        <f>INT(Table1[[#This Row],[reject_prod]]/Table1[[#This Row],[part_weight]] * 1000)</f>
        <v>24</v>
      </c>
    </row>
    <row r="510" spans="1:40">
      <c r="A510" s="1">
        <v>46038</v>
      </c>
      <c r="B510">
        <v>2</v>
      </c>
      <c r="C510">
        <v>11</v>
      </c>
      <c r="D510" t="s">
        <v>59</v>
      </c>
      <c r="E510" t="s">
        <v>46</v>
      </c>
      <c r="F510">
        <v>552181</v>
      </c>
      <c r="G510">
        <v>1</v>
      </c>
      <c r="H510" t="s">
        <v>49</v>
      </c>
      <c r="I510">
        <v>10683782</v>
      </c>
      <c r="J510">
        <v>6</v>
      </c>
      <c r="K510">
        <v>18.8</v>
      </c>
      <c r="L510">
        <v>18.8</v>
      </c>
      <c r="M510">
        <v>1430</v>
      </c>
      <c r="N510" s="2">
        <v>108000</v>
      </c>
      <c r="O510" s="2">
        <v>4320</v>
      </c>
      <c r="P510" s="2">
        <v>1890</v>
      </c>
      <c r="Q510" s="2">
        <v>8580</v>
      </c>
      <c r="R510" s="2">
        <v>10800</v>
      </c>
      <c r="S510">
        <v>203.04</v>
      </c>
      <c r="T510" s="2">
        <v>77490</v>
      </c>
      <c r="U510" s="2">
        <v>30510</v>
      </c>
      <c r="V510">
        <v>161.304</v>
      </c>
      <c r="W510">
        <v>0</v>
      </c>
      <c r="X510">
        <v>0</v>
      </c>
      <c r="Y510">
        <v>0</v>
      </c>
      <c r="Z510">
        <v>1</v>
      </c>
      <c r="AA510">
        <v>6.1994742845806671E-3</v>
      </c>
      <c r="AB510">
        <v>29.1</v>
      </c>
      <c r="AC510">
        <v>11.559166666666666</v>
      </c>
      <c r="AD510">
        <v>27</v>
      </c>
      <c r="AI51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0.44083333333333385</v>
      </c>
      <c r="AK510" t="s">
        <v>51</v>
      </c>
      <c r="AN510">
        <f>INT(Table1[[#This Row],[reject_prod]]/Table1[[#This Row],[part_weight]] * 1000)</f>
        <v>53</v>
      </c>
    </row>
    <row r="511" spans="1:40">
      <c r="A511" s="1">
        <v>46038</v>
      </c>
      <c r="B511">
        <v>2</v>
      </c>
      <c r="C511">
        <v>12</v>
      </c>
      <c r="D511" t="s">
        <v>289</v>
      </c>
      <c r="E511" t="s">
        <v>34</v>
      </c>
      <c r="F511">
        <v>620599</v>
      </c>
      <c r="G511">
        <v>0</v>
      </c>
      <c r="H511" t="s">
        <v>50</v>
      </c>
      <c r="I511">
        <v>10682929</v>
      </c>
      <c r="J511">
        <v>4</v>
      </c>
      <c r="K511">
        <v>55</v>
      </c>
      <c r="L511">
        <v>55</v>
      </c>
      <c r="M511">
        <v>1465</v>
      </c>
      <c r="N511" s="2">
        <v>72000</v>
      </c>
      <c r="O511" s="2">
        <v>1575</v>
      </c>
      <c r="P511" s="2">
        <v>225</v>
      </c>
      <c r="Q511" s="2">
        <v>5860</v>
      </c>
      <c r="R511" s="2">
        <v>7200</v>
      </c>
      <c r="S511">
        <v>396</v>
      </c>
      <c r="T511" s="2">
        <v>54225</v>
      </c>
      <c r="U511" s="2">
        <v>17775</v>
      </c>
      <c r="V511">
        <v>322.3</v>
      </c>
      <c r="W511">
        <v>0</v>
      </c>
      <c r="X511">
        <v>0</v>
      </c>
      <c r="Y511">
        <v>0</v>
      </c>
      <c r="Z511">
        <v>8.1999999999999993</v>
      </c>
      <c r="AA511">
        <v>2.544213465715172E-2</v>
      </c>
      <c r="AB511">
        <v>28.7</v>
      </c>
      <c r="AC511">
        <v>11.679305555555556</v>
      </c>
      <c r="AD511">
        <v>28</v>
      </c>
      <c r="AI51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0.3206944444444435</v>
      </c>
      <c r="AK511" t="s">
        <v>51</v>
      </c>
      <c r="AN511">
        <f>INT(Table1[[#This Row],[reject_prod]]/Table1[[#This Row],[part_weight]] * 1000)</f>
        <v>149</v>
      </c>
    </row>
    <row r="512" spans="1:40">
      <c r="A512" s="1">
        <v>46038</v>
      </c>
      <c r="B512">
        <v>2</v>
      </c>
      <c r="C512">
        <v>13</v>
      </c>
      <c r="D512" t="s">
        <v>59</v>
      </c>
      <c r="E512" t="s">
        <v>46</v>
      </c>
      <c r="F512">
        <v>586276</v>
      </c>
      <c r="G512">
        <v>0</v>
      </c>
      <c r="H512" t="s">
        <v>47</v>
      </c>
      <c r="I512">
        <v>10683784</v>
      </c>
      <c r="J512">
        <v>6</v>
      </c>
      <c r="K512">
        <v>12.3</v>
      </c>
      <c r="L512">
        <v>12.3</v>
      </c>
      <c r="M512">
        <v>1620</v>
      </c>
      <c r="N512" s="2">
        <v>162000</v>
      </c>
      <c r="O512" s="2">
        <v>405</v>
      </c>
      <c r="P512" s="2">
        <v>2025</v>
      </c>
      <c r="Q512" s="2">
        <v>9720</v>
      </c>
      <c r="R512" s="2">
        <v>8100</v>
      </c>
      <c r="S512">
        <v>99.63</v>
      </c>
      <c r="T512" s="2">
        <v>83025</v>
      </c>
      <c r="U512" s="2">
        <v>78975</v>
      </c>
      <c r="V512">
        <v>119.556</v>
      </c>
      <c r="W512">
        <v>0</v>
      </c>
      <c r="X512">
        <v>0</v>
      </c>
      <c r="Y512">
        <v>0</v>
      </c>
      <c r="Z512">
        <v>1.2</v>
      </c>
      <c r="AA512">
        <v>1.0037137408411121E-2</v>
      </c>
      <c r="AB512">
        <v>26.4</v>
      </c>
      <c r="AC512">
        <v>11.879999999999999</v>
      </c>
      <c r="AD512">
        <v>26</v>
      </c>
      <c r="AI51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0.12000000000000099</v>
      </c>
      <c r="AK512" t="s">
        <v>51</v>
      </c>
      <c r="AN512">
        <f>INT(Table1[[#This Row],[reject_prod]]/Table1[[#This Row],[part_weight]] * 1000)</f>
        <v>97</v>
      </c>
    </row>
    <row r="513" spans="1:40">
      <c r="A513" s="1">
        <v>46038</v>
      </c>
      <c r="B513">
        <v>2</v>
      </c>
      <c r="C513">
        <v>14</v>
      </c>
      <c r="D513" t="s">
        <v>309</v>
      </c>
      <c r="E513" t="s">
        <v>46</v>
      </c>
      <c r="F513">
        <v>555979</v>
      </c>
      <c r="G513">
        <v>1</v>
      </c>
      <c r="H513" t="s">
        <v>52</v>
      </c>
      <c r="I513">
        <v>10682932</v>
      </c>
      <c r="J513">
        <v>6</v>
      </c>
      <c r="K513">
        <v>28</v>
      </c>
      <c r="L513">
        <v>28</v>
      </c>
      <c r="M513">
        <v>845</v>
      </c>
      <c r="N513" s="2">
        <v>100800</v>
      </c>
      <c r="O513" s="2">
        <v>1680</v>
      </c>
      <c r="P513" s="2">
        <v>0</v>
      </c>
      <c r="Q513" s="2">
        <v>5070</v>
      </c>
      <c r="R513" s="2">
        <v>6720</v>
      </c>
      <c r="S513">
        <v>188.16</v>
      </c>
      <c r="T513" s="2">
        <v>100800</v>
      </c>
      <c r="U513" s="2">
        <v>0</v>
      </c>
      <c r="V513">
        <v>141.96</v>
      </c>
      <c r="W513">
        <v>0</v>
      </c>
      <c r="X513">
        <v>0</v>
      </c>
      <c r="Y513">
        <v>0</v>
      </c>
      <c r="Z513">
        <v>1</v>
      </c>
      <c r="AA513">
        <v>7.0442378134685825E-3</v>
      </c>
      <c r="AB513">
        <v>42.7</v>
      </c>
      <c r="AC513">
        <v>10.02263888888889</v>
      </c>
      <c r="AD513">
        <v>42</v>
      </c>
      <c r="AI51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1.9773611111111098</v>
      </c>
      <c r="AK513" t="s">
        <v>102</v>
      </c>
      <c r="AN513">
        <f>INT(Table1[[#This Row],[reject_prod]]/Table1[[#This Row],[part_weight]] * 1000)</f>
        <v>35</v>
      </c>
    </row>
    <row r="514" spans="1:40">
      <c r="A514" s="1">
        <v>46038</v>
      </c>
      <c r="B514">
        <v>2</v>
      </c>
      <c r="C514">
        <v>14</v>
      </c>
      <c r="D514" t="s">
        <v>309</v>
      </c>
      <c r="E514" t="s">
        <v>46</v>
      </c>
      <c r="F514">
        <v>555979</v>
      </c>
      <c r="G514">
        <v>1</v>
      </c>
      <c r="H514" t="s">
        <v>52</v>
      </c>
      <c r="I514">
        <v>10683785</v>
      </c>
      <c r="J514">
        <v>6</v>
      </c>
      <c r="K514">
        <v>28</v>
      </c>
      <c r="L514">
        <v>28</v>
      </c>
      <c r="M514">
        <v>168</v>
      </c>
      <c r="N514" s="2">
        <v>100800</v>
      </c>
      <c r="O514" s="2">
        <v>0</v>
      </c>
      <c r="P514" s="2">
        <v>1008</v>
      </c>
      <c r="Q514" s="2">
        <v>1008</v>
      </c>
      <c r="R514" s="2">
        <v>0</v>
      </c>
      <c r="S514">
        <v>0</v>
      </c>
      <c r="T514" s="2">
        <v>1008</v>
      </c>
      <c r="U514" s="2">
        <v>99792</v>
      </c>
      <c r="V514">
        <v>28.224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42.7</v>
      </c>
      <c r="AC514">
        <v>1.9926666666666668</v>
      </c>
      <c r="AD514">
        <v>42</v>
      </c>
      <c r="AI51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10.007333333333333</v>
      </c>
      <c r="AK514" t="s">
        <v>51</v>
      </c>
      <c r="AN514">
        <f>INT(Table1[[#This Row],[reject_prod]]/Table1[[#This Row],[part_weight]] * 1000)</f>
        <v>0</v>
      </c>
    </row>
    <row r="515" spans="1:40">
      <c r="A515" s="1">
        <v>46038</v>
      </c>
      <c r="B515">
        <v>2</v>
      </c>
      <c r="C515">
        <v>15</v>
      </c>
      <c r="D515" t="s">
        <v>59</v>
      </c>
      <c r="E515" t="s">
        <v>46</v>
      </c>
      <c r="F515">
        <v>552181</v>
      </c>
      <c r="G515" s="6">
        <v>2</v>
      </c>
      <c r="H515" t="s">
        <v>49</v>
      </c>
      <c r="I515">
        <v>10683786</v>
      </c>
      <c r="J515">
        <v>6</v>
      </c>
      <c r="K515">
        <v>18.8</v>
      </c>
      <c r="L515">
        <v>18.8</v>
      </c>
      <c r="M515">
        <v>1395</v>
      </c>
      <c r="N515" s="2">
        <v>108000</v>
      </c>
      <c r="O515" s="2">
        <v>4050</v>
      </c>
      <c r="P515" s="2">
        <v>1620</v>
      </c>
      <c r="Q515" s="2">
        <v>8370</v>
      </c>
      <c r="R515" s="2">
        <v>10800</v>
      </c>
      <c r="S515">
        <v>203.04</v>
      </c>
      <c r="T515" s="2">
        <v>50220</v>
      </c>
      <c r="U515" s="2">
        <v>57780</v>
      </c>
      <c r="V515">
        <v>157.35599999999999</v>
      </c>
      <c r="W515">
        <v>0</v>
      </c>
      <c r="X515">
        <v>0</v>
      </c>
      <c r="Y515">
        <v>0</v>
      </c>
      <c r="Z515">
        <v>1</v>
      </c>
      <c r="AA515">
        <v>6.3550166501436236E-3</v>
      </c>
      <c r="AB515">
        <v>31.24</v>
      </c>
      <c r="AC515">
        <v>12</v>
      </c>
      <c r="AD515">
        <v>27</v>
      </c>
      <c r="AI51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515" t="s">
        <v>51</v>
      </c>
      <c r="AN515">
        <f>INT(Table1[[#This Row],[reject_prod]]/Table1[[#This Row],[part_weight]] * 1000)</f>
        <v>53</v>
      </c>
    </row>
    <row r="516" spans="1:40" s="4" customFormat="1">
      <c r="A516" s="3">
        <v>46038</v>
      </c>
      <c r="B516" s="4">
        <v>2</v>
      </c>
      <c r="C516" s="4">
        <v>16</v>
      </c>
      <c r="D516" s="4" t="s">
        <v>84</v>
      </c>
      <c r="E516" s="4" t="s">
        <v>46</v>
      </c>
      <c r="F516" s="4">
        <v>555979</v>
      </c>
      <c r="G516" s="4">
        <v>2</v>
      </c>
      <c r="H516" s="4" t="s">
        <v>52</v>
      </c>
      <c r="I516" s="4">
        <v>10683788</v>
      </c>
      <c r="J516" s="4">
        <v>6</v>
      </c>
      <c r="K516" s="4">
        <v>28</v>
      </c>
      <c r="L516" s="4">
        <v>28</v>
      </c>
      <c r="M516" s="4">
        <v>990</v>
      </c>
      <c r="N516" s="5">
        <v>100800</v>
      </c>
      <c r="O516" s="5">
        <v>504</v>
      </c>
      <c r="P516" s="5">
        <v>2856</v>
      </c>
      <c r="Q516" s="5">
        <v>5940</v>
      </c>
      <c r="R516" s="5">
        <v>3360</v>
      </c>
      <c r="S516" s="4">
        <v>94.08</v>
      </c>
      <c r="T516" s="5">
        <v>43176</v>
      </c>
      <c r="U516" s="5">
        <v>57624</v>
      </c>
      <c r="V516" s="4">
        <v>166.32</v>
      </c>
      <c r="W516" s="4">
        <v>0</v>
      </c>
      <c r="X516" s="4">
        <v>0</v>
      </c>
      <c r="Y516" s="4">
        <v>0</v>
      </c>
      <c r="Z516" s="4">
        <v>1.2</v>
      </c>
      <c r="AA516" s="4">
        <v>7.215007215007215E-3</v>
      </c>
      <c r="AB516" s="4">
        <v>43.7</v>
      </c>
      <c r="AC516" s="4">
        <v>12</v>
      </c>
      <c r="AD516" s="4">
        <v>42</v>
      </c>
      <c r="AI51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516" s="4" t="s">
        <v>51</v>
      </c>
      <c r="AN516" s="4">
        <f>INT(Table1[[#This Row],[reject_prod]]/Table1[[#This Row],[part_weight]] * 1000)</f>
        <v>42</v>
      </c>
    </row>
    <row r="517" spans="1:40">
      <c r="A517" s="1">
        <v>46039</v>
      </c>
      <c r="B517">
        <v>1</v>
      </c>
      <c r="C517">
        <v>1</v>
      </c>
      <c r="D517" t="s">
        <v>43</v>
      </c>
      <c r="E517" t="s">
        <v>34</v>
      </c>
      <c r="F517">
        <v>577492</v>
      </c>
      <c r="G517">
        <v>0</v>
      </c>
      <c r="H517" t="s">
        <v>341</v>
      </c>
      <c r="I517">
        <v>10683850</v>
      </c>
      <c r="J517">
        <v>4</v>
      </c>
      <c r="K517">
        <v>35.6</v>
      </c>
      <c r="L517">
        <v>35.6</v>
      </c>
      <c r="M517">
        <v>1348</v>
      </c>
      <c r="N517" s="2">
        <v>40480</v>
      </c>
      <c r="O517" s="2">
        <v>1104</v>
      </c>
      <c r="P517" s="2">
        <v>920</v>
      </c>
      <c r="Q517" s="2">
        <v>5392</v>
      </c>
      <c r="R517" s="2">
        <v>5520</v>
      </c>
      <c r="S517">
        <v>196.512</v>
      </c>
      <c r="T517" s="2">
        <v>24840</v>
      </c>
      <c r="U517" s="2">
        <v>15640</v>
      </c>
      <c r="V517">
        <v>191.95520000000002</v>
      </c>
      <c r="W517">
        <v>0</v>
      </c>
      <c r="X517">
        <v>0</v>
      </c>
      <c r="Y517">
        <v>0</v>
      </c>
      <c r="Z517">
        <v>2</v>
      </c>
      <c r="AA517">
        <v>1.0419097789484213E-2</v>
      </c>
      <c r="AB517">
        <v>27.1</v>
      </c>
      <c r="AC517">
        <v>10.147444444444446</v>
      </c>
      <c r="AD517">
        <v>27</v>
      </c>
      <c r="AI51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1.8525555555555542</v>
      </c>
      <c r="AK517" t="s">
        <v>370</v>
      </c>
      <c r="AN517">
        <f>INT(Table1[[#This Row],[reject_prod]]/Table1[[#This Row],[part_weight]] * 1000)</f>
        <v>56</v>
      </c>
    </row>
    <row r="518" spans="1:40">
      <c r="A518" s="1">
        <v>46039</v>
      </c>
      <c r="B518">
        <v>1</v>
      </c>
      <c r="C518">
        <v>2</v>
      </c>
      <c r="D518" t="s">
        <v>33</v>
      </c>
      <c r="E518" t="s">
        <v>34</v>
      </c>
      <c r="F518">
        <v>416201</v>
      </c>
      <c r="G518">
        <v>0</v>
      </c>
      <c r="H518" t="s">
        <v>36</v>
      </c>
      <c r="I518">
        <v>10681779</v>
      </c>
      <c r="J518">
        <v>4</v>
      </c>
      <c r="K518">
        <v>20</v>
      </c>
      <c r="L518">
        <v>30</v>
      </c>
      <c r="M518">
        <v>0</v>
      </c>
      <c r="N518" s="2">
        <v>50400</v>
      </c>
      <c r="O518" s="2">
        <v>0</v>
      </c>
      <c r="P518" s="2">
        <v>0</v>
      </c>
      <c r="Q518" s="2">
        <v>0</v>
      </c>
      <c r="R518" s="2">
        <v>0</v>
      </c>
      <c r="S518">
        <v>0</v>
      </c>
      <c r="T518" s="2">
        <v>0</v>
      </c>
      <c r="U518" s="2">
        <v>50400</v>
      </c>
      <c r="V518">
        <v>0</v>
      </c>
      <c r="W518">
        <v>0</v>
      </c>
      <c r="X518">
        <v>0</v>
      </c>
      <c r="Y518" t="e">
        <v>#DIV/0!</v>
      </c>
      <c r="Z518">
        <v>0</v>
      </c>
      <c r="AA518" t="e">
        <v>#DIV/0!</v>
      </c>
      <c r="AB518">
        <v>23.3</v>
      </c>
      <c r="AC518">
        <v>0</v>
      </c>
      <c r="AD518">
        <v>38.64</v>
      </c>
      <c r="AF518">
        <v>3.5</v>
      </c>
      <c r="AI51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8.5</v>
      </c>
      <c r="AK518" t="s">
        <v>387</v>
      </c>
      <c r="AN518">
        <f>INT(Table1[[#This Row],[reject_prod]]/Table1[[#This Row],[part_weight]] * 1000)</f>
        <v>0</v>
      </c>
    </row>
    <row r="519" spans="1:40">
      <c r="A519" s="1">
        <v>46039</v>
      </c>
      <c r="B519">
        <v>1</v>
      </c>
      <c r="C519">
        <v>3</v>
      </c>
      <c r="D519" t="s">
        <v>65</v>
      </c>
      <c r="E519" t="s">
        <v>34</v>
      </c>
      <c r="F519">
        <v>442034</v>
      </c>
      <c r="G519">
        <v>0</v>
      </c>
      <c r="H519" t="s">
        <v>37</v>
      </c>
      <c r="I519">
        <v>10681183</v>
      </c>
      <c r="J519">
        <v>4</v>
      </c>
      <c r="K519">
        <v>23</v>
      </c>
      <c r="L519">
        <v>23</v>
      </c>
      <c r="M519">
        <v>1068</v>
      </c>
      <c r="N519" s="2">
        <v>139776</v>
      </c>
      <c r="O519" s="2">
        <v>2304</v>
      </c>
      <c r="P519" s="2">
        <v>0</v>
      </c>
      <c r="Q519" s="2">
        <v>4272</v>
      </c>
      <c r="R519" s="2">
        <v>6468</v>
      </c>
      <c r="S519">
        <v>148.76400000000001</v>
      </c>
      <c r="T519" s="2">
        <v>139776</v>
      </c>
      <c r="U519" s="2">
        <v>0</v>
      </c>
      <c r="V519">
        <v>98.256</v>
      </c>
      <c r="W519">
        <v>0</v>
      </c>
      <c r="X519">
        <v>0</v>
      </c>
      <c r="Y519">
        <v>0</v>
      </c>
      <c r="Z519">
        <v>2.5</v>
      </c>
      <c r="AA519">
        <v>2.5443738804754926E-2</v>
      </c>
      <c r="AB519">
        <v>26.7</v>
      </c>
      <c r="AC519">
        <v>7.9210000000000003</v>
      </c>
      <c r="AD519">
        <v>22</v>
      </c>
      <c r="AI51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4.0789999999999997</v>
      </c>
      <c r="AK519" t="s">
        <v>102</v>
      </c>
      <c r="AN519">
        <f>INT(Table1[[#This Row],[reject_prod]]/Table1[[#This Row],[part_weight]] * 1000)</f>
        <v>108</v>
      </c>
    </row>
    <row r="520" spans="1:40">
      <c r="A520" s="1">
        <v>46039</v>
      </c>
      <c r="B520">
        <v>1</v>
      </c>
      <c r="C520">
        <v>3</v>
      </c>
      <c r="D520" t="s">
        <v>65</v>
      </c>
      <c r="E520" t="s">
        <v>34</v>
      </c>
      <c r="F520">
        <v>442034</v>
      </c>
      <c r="G520">
        <v>0</v>
      </c>
      <c r="H520" t="s">
        <v>37</v>
      </c>
      <c r="I520">
        <v>10681184</v>
      </c>
      <c r="J520">
        <v>4</v>
      </c>
      <c r="K520">
        <v>23</v>
      </c>
      <c r="L520">
        <v>23</v>
      </c>
      <c r="M520">
        <v>352</v>
      </c>
      <c r="N520" s="2">
        <v>139776</v>
      </c>
      <c r="O520" s="2">
        <v>0</v>
      </c>
      <c r="P520" s="2">
        <v>1408</v>
      </c>
      <c r="Q520" s="2">
        <v>1408</v>
      </c>
      <c r="R520" s="2">
        <v>0</v>
      </c>
      <c r="S520">
        <v>0</v>
      </c>
      <c r="T520" s="2">
        <v>1408</v>
      </c>
      <c r="U520" s="2">
        <v>138368</v>
      </c>
      <c r="V520">
        <v>32.384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26.7</v>
      </c>
      <c r="AC520">
        <v>2.6106666666666669</v>
      </c>
      <c r="AD520">
        <v>22</v>
      </c>
      <c r="AI52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9.3893333333333331</v>
      </c>
      <c r="AK520" t="s">
        <v>103</v>
      </c>
      <c r="AN520">
        <f>INT(Table1[[#This Row],[reject_prod]]/Table1[[#This Row],[part_weight]] * 1000)</f>
        <v>0</v>
      </c>
    </row>
    <row r="521" spans="1:40">
      <c r="A521" s="1">
        <v>46039</v>
      </c>
      <c r="B521">
        <v>1</v>
      </c>
      <c r="C521">
        <v>4</v>
      </c>
      <c r="F521">
        <v>123456</v>
      </c>
      <c r="G521">
        <v>0</v>
      </c>
      <c r="M521">
        <v>0</v>
      </c>
      <c r="N521">
        <v>0</v>
      </c>
      <c r="O521">
        <v>0</v>
      </c>
      <c r="P521">
        <v>0</v>
      </c>
      <c r="R521">
        <v>0</v>
      </c>
      <c r="T521">
        <v>0</v>
      </c>
      <c r="X521">
        <v>0</v>
      </c>
      <c r="Z521">
        <v>0</v>
      </c>
      <c r="AB521">
        <v>0</v>
      </c>
      <c r="AC521">
        <v>0</v>
      </c>
      <c r="AD521">
        <v>22.5</v>
      </c>
      <c r="AI52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21">
        <v>12</v>
      </c>
      <c r="AK521" t="s">
        <v>116</v>
      </c>
      <c r="AN521">
        <v>0</v>
      </c>
    </row>
    <row r="522" spans="1:40">
      <c r="A522" s="1">
        <v>46039</v>
      </c>
      <c r="B522">
        <v>1</v>
      </c>
      <c r="C522">
        <v>5</v>
      </c>
      <c r="D522" t="s">
        <v>141</v>
      </c>
      <c r="E522" t="s">
        <v>34</v>
      </c>
      <c r="F522">
        <v>597507</v>
      </c>
      <c r="G522">
        <v>0</v>
      </c>
      <c r="H522" t="s">
        <v>279</v>
      </c>
      <c r="I522">
        <v>10682757</v>
      </c>
      <c r="J522">
        <v>4</v>
      </c>
      <c r="K522">
        <v>23</v>
      </c>
      <c r="L522">
        <v>23</v>
      </c>
      <c r="M522">
        <v>1689</v>
      </c>
      <c r="N522" s="2">
        <v>64680</v>
      </c>
      <c r="O522" s="2">
        <v>154</v>
      </c>
      <c r="P522" s="2">
        <v>308</v>
      </c>
      <c r="Q522" s="2">
        <v>6756</v>
      </c>
      <c r="R522" s="2">
        <v>6468</v>
      </c>
      <c r="S522">
        <v>148.76400000000001</v>
      </c>
      <c r="T522" s="2">
        <v>62832</v>
      </c>
      <c r="U522" s="2">
        <v>1848</v>
      </c>
      <c r="V522">
        <v>155.38800000000001</v>
      </c>
      <c r="W522">
        <v>0</v>
      </c>
      <c r="X522">
        <v>0</v>
      </c>
      <c r="Y522">
        <v>0</v>
      </c>
      <c r="Z522">
        <v>3</v>
      </c>
      <c r="AA522">
        <v>1.9306510155224339E-2</v>
      </c>
      <c r="AB522">
        <v>22.1</v>
      </c>
      <c r="AC522">
        <v>10.368583333333333</v>
      </c>
      <c r="AD522">
        <v>22</v>
      </c>
      <c r="AI52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1.6314166666666665</v>
      </c>
      <c r="AK522" t="s">
        <v>388</v>
      </c>
      <c r="AN522">
        <f>INT(Table1[[#This Row],[reject_prod]]/Table1[[#This Row],[part_weight]] * 1000)</f>
        <v>130</v>
      </c>
    </row>
    <row r="523" spans="1:40">
      <c r="A523" s="1">
        <v>46039</v>
      </c>
      <c r="B523">
        <v>1</v>
      </c>
      <c r="C523">
        <v>6</v>
      </c>
      <c r="D523" t="s">
        <v>385</v>
      </c>
      <c r="E523" t="s">
        <v>34</v>
      </c>
      <c r="F523">
        <v>322429</v>
      </c>
      <c r="G523">
        <v>0</v>
      </c>
      <c r="H523" t="s">
        <v>354</v>
      </c>
      <c r="I523">
        <v>10683853</v>
      </c>
      <c r="J523">
        <v>4</v>
      </c>
      <c r="K523">
        <v>24.93</v>
      </c>
      <c r="L523">
        <v>24</v>
      </c>
      <c r="M523">
        <v>1686</v>
      </c>
      <c r="N523" s="2">
        <v>40600</v>
      </c>
      <c r="O523" s="2">
        <v>609</v>
      </c>
      <c r="P523" s="2">
        <v>203</v>
      </c>
      <c r="Q523" s="2">
        <v>6744</v>
      </c>
      <c r="R523" s="2">
        <v>7105</v>
      </c>
      <c r="S523">
        <v>170.52</v>
      </c>
      <c r="T523" s="2">
        <v>35728</v>
      </c>
      <c r="U523" s="2">
        <v>4872</v>
      </c>
      <c r="V523">
        <v>161.85599999999999</v>
      </c>
      <c r="W523">
        <v>0</v>
      </c>
      <c r="X523">
        <v>0</v>
      </c>
      <c r="Y523">
        <v>0</v>
      </c>
      <c r="Z523">
        <v>1</v>
      </c>
      <c r="AA523">
        <v>6.1783313562673E-3</v>
      </c>
      <c r="AB523">
        <v>21.5</v>
      </c>
      <c r="AC523">
        <v>10.069166666666668</v>
      </c>
      <c r="AD523">
        <v>16.96</v>
      </c>
      <c r="AI52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1.9308333333333323</v>
      </c>
      <c r="AK523" t="s">
        <v>214</v>
      </c>
      <c r="AN523">
        <f>INT(Table1[[#This Row],[reject_prod]]/Table1[[#This Row],[part_weight]] * 1000)</f>
        <v>41</v>
      </c>
    </row>
    <row r="524" spans="1:40">
      <c r="A524" s="1">
        <v>46039</v>
      </c>
      <c r="B524">
        <v>1</v>
      </c>
      <c r="C524">
        <v>7</v>
      </c>
      <c r="D524" t="s">
        <v>33</v>
      </c>
      <c r="E524" t="s">
        <v>34</v>
      </c>
      <c r="F524">
        <v>322452</v>
      </c>
      <c r="G524">
        <v>0</v>
      </c>
      <c r="H524" t="s">
        <v>374</v>
      </c>
      <c r="I524">
        <v>10683857</v>
      </c>
      <c r="J524">
        <v>4</v>
      </c>
      <c r="K524">
        <v>33.11</v>
      </c>
      <c r="L524">
        <v>34.5</v>
      </c>
      <c r="M524">
        <v>0</v>
      </c>
      <c r="N524" s="2">
        <v>44928</v>
      </c>
      <c r="O524" s="2">
        <v>624</v>
      </c>
      <c r="P524" s="2">
        <v>624</v>
      </c>
      <c r="Q524" s="2">
        <v>0</v>
      </c>
      <c r="R524" s="2">
        <v>0</v>
      </c>
      <c r="S524">
        <v>0</v>
      </c>
      <c r="T524" s="2">
        <v>624</v>
      </c>
      <c r="U524" s="2">
        <v>44304</v>
      </c>
      <c r="V524">
        <v>0</v>
      </c>
      <c r="W524">
        <v>0</v>
      </c>
      <c r="X524">
        <v>7</v>
      </c>
      <c r="Y524" t="e">
        <v>#DIV/0!</v>
      </c>
      <c r="Z524">
        <v>0</v>
      </c>
      <c r="AA524" t="e">
        <v>#DIV/0!</v>
      </c>
      <c r="AB524">
        <v>24.4</v>
      </c>
      <c r="AC524">
        <v>0</v>
      </c>
      <c r="AD524">
        <v>18.04</v>
      </c>
      <c r="AI52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524" t="s">
        <v>389</v>
      </c>
      <c r="AN524">
        <f>INT(Table1[[#This Row],[reject_prod]]/Table1[[#This Row],[part_weight]] * 1000)</f>
        <v>0</v>
      </c>
    </row>
    <row r="525" spans="1:40">
      <c r="A525" s="1">
        <v>46039</v>
      </c>
      <c r="B525">
        <v>1</v>
      </c>
      <c r="C525">
        <v>8</v>
      </c>
      <c r="D525" t="s">
        <v>61</v>
      </c>
      <c r="E525" t="s">
        <v>41</v>
      </c>
      <c r="F525">
        <v>593537</v>
      </c>
      <c r="G525">
        <v>0</v>
      </c>
      <c r="H525" t="s">
        <v>48</v>
      </c>
      <c r="I525">
        <v>10682926</v>
      </c>
      <c r="J525">
        <v>4</v>
      </c>
      <c r="K525">
        <v>56.5</v>
      </c>
      <c r="L525">
        <v>56.8</v>
      </c>
      <c r="M525">
        <v>1157</v>
      </c>
      <c r="N525" s="2">
        <v>69000</v>
      </c>
      <c r="O525" s="2">
        <v>0</v>
      </c>
      <c r="P525" s="2">
        <v>0</v>
      </c>
      <c r="Q525" s="2">
        <v>4628</v>
      </c>
      <c r="R525" s="2">
        <v>4600</v>
      </c>
      <c r="S525">
        <v>261.27999999999997</v>
      </c>
      <c r="T525" s="2">
        <v>59800</v>
      </c>
      <c r="U525" s="2">
        <v>9200</v>
      </c>
      <c r="V525">
        <v>262.87039999999996</v>
      </c>
      <c r="W525">
        <v>0</v>
      </c>
      <c r="X525">
        <v>0</v>
      </c>
      <c r="Y525">
        <v>0</v>
      </c>
      <c r="Z525">
        <v>1.5</v>
      </c>
      <c r="AA525">
        <v>5.7062339464618314E-3</v>
      </c>
      <c r="AB525">
        <v>30.6</v>
      </c>
      <c r="AC525">
        <v>9.8345000000000002</v>
      </c>
      <c r="AD525">
        <v>28.5</v>
      </c>
      <c r="AI52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2.1654999999999998</v>
      </c>
      <c r="AK525" t="s">
        <v>178</v>
      </c>
      <c r="AN525">
        <f>INT(Table1[[#This Row],[reject_prod]]/Table1[[#This Row],[part_weight]] * 1000)</f>
        <v>26</v>
      </c>
    </row>
    <row r="526" spans="1:40">
      <c r="A526" s="1">
        <v>46039</v>
      </c>
      <c r="B526">
        <v>1</v>
      </c>
      <c r="C526">
        <v>9</v>
      </c>
      <c r="D526" t="s">
        <v>33</v>
      </c>
      <c r="E526" t="s">
        <v>46</v>
      </c>
      <c r="F526">
        <v>586276</v>
      </c>
      <c r="G526">
        <v>0</v>
      </c>
      <c r="H526" t="s">
        <v>47</v>
      </c>
      <c r="I526">
        <v>10682924</v>
      </c>
      <c r="J526">
        <v>6</v>
      </c>
      <c r="K526">
        <v>12.3</v>
      </c>
      <c r="L526">
        <v>12.3</v>
      </c>
      <c r="M526">
        <v>0</v>
      </c>
      <c r="N526" s="2">
        <v>162000</v>
      </c>
      <c r="O526" s="2">
        <v>7290</v>
      </c>
      <c r="P526" s="2">
        <v>7290</v>
      </c>
      <c r="Q526" s="2">
        <v>0</v>
      </c>
      <c r="R526" s="2">
        <v>0</v>
      </c>
      <c r="S526">
        <v>0</v>
      </c>
      <c r="T526" s="2">
        <v>80190</v>
      </c>
      <c r="U526" s="2">
        <v>81810</v>
      </c>
      <c r="V526">
        <v>0</v>
      </c>
      <c r="W526">
        <v>0</v>
      </c>
      <c r="X526">
        <v>0</v>
      </c>
      <c r="Y526" t="e">
        <v>#DIV/0!</v>
      </c>
      <c r="Z526">
        <v>0</v>
      </c>
      <c r="AA526" t="e">
        <v>#DIV/0!</v>
      </c>
      <c r="AB526">
        <v>26.2</v>
      </c>
      <c r="AC526">
        <v>0</v>
      </c>
      <c r="AD526">
        <v>26</v>
      </c>
      <c r="AI52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526" t="s">
        <v>357</v>
      </c>
      <c r="AN526">
        <f>INT(Table1[[#This Row],[reject_prod]]/Table1[[#This Row],[part_weight]] * 1000)</f>
        <v>0</v>
      </c>
    </row>
    <row r="527" spans="1:40">
      <c r="A527" s="1">
        <v>46039</v>
      </c>
      <c r="B527">
        <v>1</v>
      </c>
      <c r="C527">
        <v>10</v>
      </c>
      <c r="D527" t="s">
        <v>40</v>
      </c>
      <c r="E527" t="s">
        <v>34</v>
      </c>
      <c r="F527">
        <v>323092</v>
      </c>
      <c r="G527">
        <v>0</v>
      </c>
      <c r="H527" t="s">
        <v>377</v>
      </c>
      <c r="I527">
        <v>10684857</v>
      </c>
      <c r="J527">
        <v>4</v>
      </c>
      <c r="K527">
        <v>48.9</v>
      </c>
      <c r="L527">
        <v>48.9</v>
      </c>
      <c r="M527">
        <v>1268</v>
      </c>
      <c r="N527" s="2">
        <v>37800</v>
      </c>
      <c r="O527" s="2">
        <v>2310</v>
      </c>
      <c r="P527" s="2">
        <v>0</v>
      </c>
      <c r="Q527" s="2">
        <v>5072</v>
      </c>
      <c r="R527" s="2">
        <v>7350</v>
      </c>
      <c r="S527">
        <v>359.41500000000002</v>
      </c>
      <c r="T527" s="2">
        <v>7350</v>
      </c>
      <c r="U527" s="2">
        <v>30450</v>
      </c>
      <c r="V527">
        <v>248.02079999999998</v>
      </c>
      <c r="W527">
        <v>0</v>
      </c>
      <c r="X527">
        <v>0</v>
      </c>
      <c r="Y527">
        <v>0</v>
      </c>
      <c r="Z527">
        <v>1.5</v>
      </c>
      <c r="AA527">
        <v>6.0478798552379481E-3</v>
      </c>
      <c r="AB527">
        <v>28</v>
      </c>
      <c r="AC527">
        <v>9.862222222222222</v>
      </c>
      <c r="AD527">
        <v>27.6</v>
      </c>
      <c r="AI52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2.137777777777778</v>
      </c>
      <c r="AK527" t="s">
        <v>243</v>
      </c>
      <c r="AN527">
        <f>INT(Table1[[#This Row],[reject_prod]]/Table1[[#This Row],[part_weight]] * 1000)</f>
        <v>30</v>
      </c>
    </row>
    <row r="528" spans="1:40">
      <c r="A528" s="1">
        <v>46039</v>
      </c>
      <c r="B528">
        <v>1</v>
      </c>
      <c r="C528">
        <v>11</v>
      </c>
      <c r="D528" t="s">
        <v>112</v>
      </c>
      <c r="E528" t="s">
        <v>46</v>
      </c>
      <c r="F528">
        <v>552181</v>
      </c>
      <c r="G528">
        <v>1</v>
      </c>
      <c r="H528" t="s">
        <v>49</v>
      </c>
      <c r="I528">
        <v>10683782</v>
      </c>
      <c r="J528">
        <v>6</v>
      </c>
      <c r="K528">
        <v>18.8</v>
      </c>
      <c r="L528">
        <v>18.8</v>
      </c>
      <c r="M528">
        <v>929</v>
      </c>
      <c r="N528" s="2">
        <v>108000</v>
      </c>
      <c r="O528" s="2">
        <v>1890</v>
      </c>
      <c r="P528" s="2">
        <v>1890</v>
      </c>
      <c r="Q528" s="2">
        <v>5574</v>
      </c>
      <c r="R528" s="2">
        <v>5400</v>
      </c>
      <c r="S528">
        <v>101.52</v>
      </c>
      <c r="T528" s="2">
        <v>82890</v>
      </c>
      <c r="U528" s="2">
        <v>25110</v>
      </c>
      <c r="V528">
        <v>104.7912</v>
      </c>
      <c r="W528">
        <v>0</v>
      </c>
      <c r="X528">
        <v>0</v>
      </c>
      <c r="Y528">
        <v>0</v>
      </c>
      <c r="Z528">
        <v>1.5</v>
      </c>
      <c r="AA528">
        <v>1.431417905320294E-2</v>
      </c>
      <c r="AB528">
        <v>29.1</v>
      </c>
      <c r="AC528">
        <v>7.5094166666666666</v>
      </c>
      <c r="AD528">
        <v>27</v>
      </c>
      <c r="AH528">
        <v>3</v>
      </c>
      <c r="AI52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1.4905833333333334</v>
      </c>
      <c r="AK528" t="s">
        <v>390</v>
      </c>
      <c r="AN528">
        <f>INT(Table1[[#This Row],[reject_prod]]/Table1[[#This Row],[part_weight]] * 1000)</f>
        <v>79</v>
      </c>
    </row>
    <row r="529" spans="1:40">
      <c r="A529" s="1">
        <v>46039</v>
      </c>
      <c r="B529">
        <v>1</v>
      </c>
      <c r="C529">
        <v>12</v>
      </c>
      <c r="D529" t="s">
        <v>110</v>
      </c>
      <c r="E529" t="s">
        <v>34</v>
      </c>
      <c r="F529">
        <v>620599</v>
      </c>
      <c r="G529">
        <v>0</v>
      </c>
      <c r="H529" t="s">
        <v>50</v>
      </c>
      <c r="I529">
        <v>10682929</v>
      </c>
      <c r="J529">
        <v>4</v>
      </c>
      <c r="K529">
        <v>55</v>
      </c>
      <c r="L529">
        <v>55</v>
      </c>
      <c r="M529">
        <v>1271</v>
      </c>
      <c r="N529" s="2">
        <v>72000</v>
      </c>
      <c r="O529" s="2">
        <v>225</v>
      </c>
      <c r="P529" s="2">
        <v>1575</v>
      </c>
      <c r="Q529" s="2">
        <v>5084</v>
      </c>
      <c r="R529" s="2">
        <v>3600</v>
      </c>
      <c r="S529">
        <v>198</v>
      </c>
      <c r="T529" s="2">
        <v>59175</v>
      </c>
      <c r="U529" s="2">
        <v>12825</v>
      </c>
      <c r="V529">
        <v>279.62</v>
      </c>
      <c r="W529">
        <v>0</v>
      </c>
      <c r="X529">
        <v>0</v>
      </c>
      <c r="Y529">
        <v>0</v>
      </c>
      <c r="Z529">
        <v>7.5</v>
      </c>
      <c r="AA529">
        <v>2.6822115728488662E-2</v>
      </c>
      <c r="AB529">
        <v>29.1</v>
      </c>
      <c r="AC529">
        <v>10.273916666666667</v>
      </c>
      <c r="AD529">
        <v>28</v>
      </c>
      <c r="AI52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1.7260833333333334</v>
      </c>
      <c r="AK529" t="s">
        <v>360</v>
      </c>
      <c r="AN529">
        <f>INT(Table1[[#This Row],[reject_prod]]/Table1[[#This Row],[part_weight]] * 1000)</f>
        <v>136</v>
      </c>
    </row>
    <row r="530" spans="1:40">
      <c r="A530" s="1">
        <v>46039</v>
      </c>
      <c r="B530">
        <v>1</v>
      </c>
      <c r="C530">
        <v>13</v>
      </c>
      <c r="D530" t="s">
        <v>112</v>
      </c>
      <c r="E530" t="s">
        <v>46</v>
      </c>
      <c r="F530">
        <v>586276</v>
      </c>
      <c r="G530">
        <v>0</v>
      </c>
      <c r="H530" t="s">
        <v>47</v>
      </c>
      <c r="I530">
        <v>10683784</v>
      </c>
      <c r="J530">
        <v>6</v>
      </c>
      <c r="K530">
        <v>12.3</v>
      </c>
      <c r="L530">
        <v>12.3</v>
      </c>
      <c r="M530">
        <v>1456</v>
      </c>
      <c r="N530" s="2">
        <v>162000</v>
      </c>
      <c r="O530" s="2">
        <v>2025</v>
      </c>
      <c r="P530" s="2">
        <v>2430</v>
      </c>
      <c r="Q530" s="2">
        <v>8736</v>
      </c>
      <c r="R530" s="2">
        <v>8100</v>
      </c>
      <c r="S530">
        <v>99.63</v>
      </c>
      <c r="T530" s="2">
        <v>91530</v>
      </c>
      <c r="U530" s="2">
        <v>70470</v>
      </c>
      <c r="V530">
        <v>107.4528</v>
      </c>
      <c r="W530">
        <v>0</v>
      </c>
      <c r="X530">
        <v>0</v>
      </c>
      <c r="Y530">
        <v>0</v>
      </c>
      <c r="Z530">
        <v>2</v>
      </c>
      <c r="AA530">
        <v>1.861282349087227E-2</v>
      </c>
      <c r="AB530">
        <v>26.4</v>
      </c>
      <c r="AC530">
        <v>10.677333333333333</v>
      </c>
      <c r="AD530">
        <v>26</v>
      </c>
      <c r="AI53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1.3226666666666667</v>
      </c>
      <c r="AK530" t="s">
        <v>51</v>
      </c>
      <c r="AN530">
        <f>INT(Table1[[#This Row],[reject_prod]]/Table1[[#This Row],[part_weight]] * 1000)</f>
        <v>162</v>
      </c>
    </row>
    <row r="531" spans="1:40">
      <c r="A531" s="1">
        <v>46039</v>
      </c>
      <c r="B531">
        <v>1</v>
      </c>
      <c r="C531">
        <v>14</v>
      </c>
      <c r="D531" t="s">
        <v>259</v>
      </c>
      <c r="E531" t="s">
        <v>46</v>
      </c>
      <c r="F531">
        <v>555979</v>
      </c>
      <c r="G531">
        <v>1</v>
      </c>
      <c r="H531" t="s">
        <v>52</v>
      </c>
      <c r="I531">
        <v>10683785</v>
      </c>
      <c r="J531">
        <v>6</v>
      </c>
      <c r="K531">
        <v>28</v>
      </c>
      <c r="L531">
        <v>28</v>
      </c>
      <c r="M531">
        <v>863</v>
      </c>
      <c r="N531" s="2">
        <v>100800</v>
      </c>
      <c r="O531" s="2">
        <v>1008</v>
      </c>
      <c r="P531" s="2">
        <v>2688</v>
      </c>
      <c r="Q531" s="2">
        <v>5178</v>
      </c>
      <c r="R531" s="2">
        <v>3360</v>
      </c>
      <c r="S531">
        <v>94.08</v>
      </c>
      <c r="T531" s="2">
        <v>6048</v>
      </c>
      <c r="U531" s="2">
        <v>94752</v>
      </c>
      <c r="V531">
        <v>144.98400000000001</v>
      </c>
      <c r="W531">
        <v>0</v>
      </c>
      <c r="X531">
        <v>0</v>
      </c>
      <c r="Y531">
        <v>0</v>
      </c>
      <c r="Z531">
        <v>2.5</v>
      </c>
      <c r="AA531">
        <v>1.7243282017326049E-2</v>
      </c>
      <c r="AB531">
        <v>42.7</v>
      </c>
      <c r="AC531">
        <v>10.23613888888889</v>
      </c>
      <c r="AD531">
        <v>42</v>
      </c>
      <c r="AI53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1.76386111111111</v>
      </c>
      <c r="AK531" t="s">
        <v>241</v>
      </c>
      <c r="AN531">
        <f>INT(Table1[[#This Row],[reject_prod]]/Table1[[#This Row],[part_weight]] * 1000)</f>
        <v>89</v>
      </c>
    </row>
    <row r="532" spans="1:40">
      <c r="A532" s="1">
        <v>46039</v>
      </c>
      <c r="B532">
        <v>1</v>
      </c>
      <c r="C532">
        <v>15</v>
      </c>
      <c r="D532" t="s">
        <v>112</v>
      </c>
      <c r="E532" t="s">
        <v>46</v>
      </c>
      <c r="F532">
        <v>552181</v>
      </c>
      <c r="G532">
        <v>2</v>
      </c>
      <c r="H532" t="s">
        <v>49</v>
      </c>
      <c r="I532">
        <v>10683786</v>
      </c>
      <c r="J532">
        <v>6</v>
      </c>
      <c r="K532">
        <v>18.8</v>
      </c>
      <c r="L532">
        <v>18.8</v>
      </c>
      <c r="M532">
        <v>1137</v>
      </c>
      <c r="N532" s="2">
        <v>108000</v>
      </c>
      <c r="O532" s="2">
        <v>1620</v>
      </c>
      <c r="P532" s="2">
        <v>2970</v>
      </c>
      <c r="Q532" s="2">
        <v>6822</v>
      </c>
      <c r="R532" s="2">
        <v>5400</v>
      </c>
      <c r="S532">
        <v>101.52</v>
      </c>
      <c r="T532" s="2">
        <v>56970</v>
      </c>
      <c r="U532" s="2">
        <v>51030</v>
      </c>
      <c r="V532">
        <v>128.25360000000001</v>
      </c>
      <c r="W532">
        <v>0</v>
      </c>
      <c r="X532">
        <v>0</v>
      </c>
      <c r="Y532">
        <v>0</v>
      </c>
      <c r="Z532">
        <v>1.3</v>
      </c>
      <c r="AA532">
        <v>1.0136167717709288E-2</v>
      </c>
      <c r="AB532">
        <v>31.3</v>
      </c>
      <c r="AC532">
        <v>9.8855833333333329</v>
      </c>
      <c r="AD532">
        <v>27</v>
      </c>
      <c r="AI53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2.1144166666666671</v>
      </c>
      <c r="AK532" t="s">
        <v>51</v>
      </c>
      <c r="AN532">
        <f>INT(Table1[[#This Row],[reject_prod]]/Table1[[#This Row],[part_weight]] * 1000)</f>
        <v>69</v>
      </c>
    </row>
    <row r="533" spans="1:40" s="4" customFormat="1">
      <c r="A533" s="3">
        <v>46039</v>
      </c>
      <c r="B533" s="4">
        <v>1</v>
      </c>
      <c r="C533" s="4">
        <v>16</v>
      </c>
      <c r="D533" s="4" t="s">
        <v>386</v>
      </c>
      <c r="E533" s="4" t="s">
        <v>46</v>
      </c>
      <c r="F533" s="4">
        <v>555979</v>
      </c>
      <c r="G533" s="4">
        <v>2</v>
      </c>
      <c r="H533" s="4" t="s">
        <v>52</v>
      </c>
      <c r="I533" s="4">
        <v>10683788</v>
      </c>
      <c r="J533" s="4">
        <v>6</v>
      </c>
      <c r="K533" s="4">
        <v>28</v>
      </c>
      <c r="L533" s="4">
        <v>28</v>
      </c>
      <c r="M533" s="4">
        <v>852</v>
      </c>
      <c r="N533" s="5">
        <v>100800</v>
      </c>
      <c r="O533" s="5">
        <v>2856</v>
      </c>
      <c r="P533" s="5">
        <v>1176</v>
      </c>
      <c r="Q533" s="5">
        <v>5112</v>
      </c>
      <c r="R533" s="5">
        <v>6720</v>
      </c>
      <c r="S533" s="4">
        <v>188.16</v>
      </c>
      <c r="T533" s="5">
        <v>48216</v>
      </c>
      <c r="U533" s="5">
        <v>52584</v>
      </c>
      <c r="V533" s="4">
        <v>143.136</v>
      </c>
      <c r="W533" s="4">
        <v>0</v>
      </c>
      <c r="X533" s="4">
        <v>0</v>
      </c>
      <c r="Y533" s="4">
        <v>0</v>
      </c>
      <c r="Z533" s="4">
        <v>2</v>
      </c>
      <c r="AA533" s="4">
        <v>1.3972725240330875E-2</v>
      </c>
      <c r="AB533" s="4">
        <v>43.7</v>
      </c>
      <c r="AC533" s="4">
        <v>10.342333333333334</v>
      </c>
      <c r="AD533" s="4">
        <v>42</v>
      </c>
      <c r="AI53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1.6576666666666657</v>
      </c>
      <c r="AK533" s="4" t="s">
        <v>51</v>
      </c>
      <c r="AN533" s="4">
        <f>INT(Table1[[#This Row],[reject_prod]]/Table1[[#This Row],[part_weight]] * 1000)</f>
        <v>71</v>
      </c>
    </row>
    <row r="534" spans="1:40">
      <c r="A534" s="1">
        <v>46039</v>
      </c>
      <c r="B534">
        <v>2</v>
      </c>
      <c r="C534">
        <v>1</v>
      </c>
      <c r="F534">
        <v>123456</v>
      </c>
      <c r="G534">
        <v>0</v>
      </c>
      <c r="M534">
        <v>0</v>
      </c>
      <c r="N534">
        <v>0</v>
      </c>
      <c r="O534">
        <v>0</v>
      </c>
      <c r="P534">
        <v>0</v>
      </c>
      <c r="R534">
        <v>0</v>
      </c>
      <c r="T534">
        <v>0</v>
      </c>
      <c r="X534">
        <v>0</v>
      </c>
      <c r="Z534">
        <v>0</v>
      </c>
      <c r="AB534">
        <v>0</v>
      </c>
      <c r="AC534">
        <v>0</v>
      </c>
      <c r="AD534">
        <v>0</v>
      </c>
      <c r="AI53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34">
        <v>12</v>
      </c>
      <c r="AK534" t="s">
        <v>116</v>
      </c>
      <c r="AN534">
        <v>0</v>
      </c>
    </row>
    <row r="535" spans="1:40">
      <c r="A535" s="1">
        <v>46039</v>
      </c>
      <c r="B535">
        <v>2</v>
      </c>
      <c r="C535">
        <v>2</v>
      </c>
      <c r="F535">
        <v>123456</v>
      </c>
      <c r="G535">
        <v>0</v>
      </c>
      <c r="M535">
        <v>0</v>
      </c>
      <c r="N535">
        <v>0</v>
      </c>
      <c r="O535">
        <v>0</v>
      </c>
      <c r="P535">
        <v>0</v>
      </c>
      <c r="R535">
        <v>0</v>
      </c>
      <c r="T535">
        <v>0</v>
      </c>
      <c r="X535">
        <v>0</v>
      </c>
      <c r="Z535">
        <v>0</v>
      </c>
      <c r="AB535">
        <v>0</v>
      </c>
      <c r="AC535">
        <v>0</v>
      </c>
      <c r="AD535">
        <v>0</v>
      </c>
      <c r="AI53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35">
        <v>12</v>
      </c>
      <c r="AK535" t="s">
        <v>116</v>
      </c>
      <c r="AN535">
        <v>0</v>
      </c>
    </row>
    <row r="536" spans="1:40">
      <c r="A536" s="1">
        <v>46039</v>
      </c>
      <c r="B536">
        <v>2</v>
      </c>
      <c r="C536">
        <v>3</v>
      </c>
      <c r="F536">
        <v>123456</v>
      </c>
      <c r="G536">
        <v>0</v>
      </c>
      <c r="M536">
        <v>0</v>
      </c>
      <c r="N536" s="2">
        <v>0</v>
      </c>
      <c r="O536" s="2">
        <v>0</v>
      </c>
      <c r="P536" s="2">
        <v>0</v>
      </c>
      <c r="Q536" s="2"/>
      <c r="R536" s="2">
        <v>0</v>
      </c>
      <c r="T536" s="2">
        <v>0</v>
      </c>
      <c r="U536" s="2"/>
      <c r="X536">
        <v>0</v>
      </c>
      <c r="Z536">
        <v>0</v>
      </c>
      <c r="AB536">
        <v>0</v>
      </c>
      <c r="AC536">
        <v>0</v>
      </c>
      <c r="AD536">
        <v>0</v>
      </c>
      <c r="AI53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36">
        <v>12</v>
      </c>
      <c r="AK536" t="s">
        <v>116</v>
      </c>
      <c r="AN536">
        <v>0</v>
      </c>
    </row>
    <row r="537" spans="1:40">
      <c r="A537" s="1">
        <v>46039</v>
      </c>
      <c r="B537">
        <v>2</v>
      </c>
      <c r="C537">
        <v>4</v>
      </c>
      <c r="F537">
        <v>123456</v>
      </c>
      <c r="G537">
        <v>0</v>
      </c>
      <c r="M537">
        <v>0</v>
      </c>
      <c r="N537" s="2">
        <v>0</v>
      </c>
      <c r="O537" s="2">
        <v>0</v>
      </c>
      <c r="P537" s="2">
        <v>0</v>
      </c>
      <c r="Q537" s="2"/>
      <c r="R537" s="2">
        <v>0</v>
      </c>
      <c r="T537" s="2">
        <v>0</v>
      </c>
      <c r="U537" s="2"/>
      <c r="X537">
        <v>0</v>
      </c>
      <c r="Z537">
        <v>0</v>
      </c>
      <c r="AB537">
        <v>0</v>
      </c>
      <c r="AC537">
        <v>0</v>
      </c>
      <c r="AD537">
        <v>0</v>
      </c>
      <c r="AI53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37">
        <v>12</v>
      </c>
      <c r="AK537" t="s">
        <v>116</v>
      </c>
      <c r="AN537">
        <v>0</v>
      </c>
    </row>
    <row r="538" spans="1:40">
      <c r="A538" s="1">
        <v>46039</v>
      </c>
      <c r="B538">
        <v>2</v>
      </c>
      <c r="C538">
        <v>5</v>
      </c>
      <c r="F538">
        <v>123456</v>
      </c>
      <c r="G538">
        <v>0</v>
      </c>
      <c r="M538">
        <v>0</v>
      </c>
      <c r="N538" s="2">
        <v>0</v>
      </c>
      <c r="O538" s="2">
        <v>0</v>
      </c>
      <c r="P538" s="2">
        <v>0</v>
      </c>
      <c r="Q538" s="2"/>
      <c r="R538" s="2">
        <v>0</v>
      </c>
      <c r="T538" s="2">
        <v>0</v>
      </c>
      <c r="U538" s="2"/>
      <c r="X538">
        <v>0</v>
      </c>
      <c r="Z538">
        <v>0</v>
      </c>
      <c r="AB538">
        <v>0</v>
      </c>
      <c r="AC538">
        <v>0</v>
      </c>
      <c r="AD538">
        <v>0</v>
      </c>
      <c r="AI53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38">
        <v>12</v>
      </c>
      <c r="AK538" t="s">
        <v>116</v>
      </c>
      <c r="AN538">
        <v>0</v>
      </c>
    </row>
    <row r="539" spans="1:40">
      <c r="A539" s="1">
        <v>46039</v>
      </c>
      <c r="B539">
        <v>2</v>
      </c>
      <c r="C539">
        <v>6</v>
      </c>
      <c r="F539">
        <v>123456</v>
      </c>
      <c r="G539">
        <v>0</v>
      </c>
      <c r="M539">
        <v>0</v>
      </c>
      <c r="N539" s="2">
        <v>0</v>
      </c>
      <c r="O539" s="2">
        <v>0</v>
      </c>
      <c r="P539" s="2">
        <v>0</v>
      </c>
      <c r="Q539" s="2"/>
      <c r="R539" s="2">
        <v>0</v>
      </c>
      <c r="T539" s="2">
        <v>0</v>
      </c>
      <c r="U539" s="2"/>
      <c r="X539">
        <v>0</v>
      </c>
      <c r="Z539">
        <v>0</v>
      </c>
      <c r="AB539">
        <v>0</v>
      </c>
      <c r="AC539">
        <v>0</v>
      </c>
      <c r="AD539">
        <v>0</v>
      </c>
      <c r="AI53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39">
        <v>12</v>
      </c>
      <c r="AK539" t="s">
        <v>116</v>
      </c>
      <c r="AN539">
        <v>0</v>
      </c>
    </row>
    <row r="540" spans="1:40">
      <c r="A540" s="1">
        <v>46039</v>
      </c>
      <c r="B540">
        <v>2</v>
      </c>
      <c r="C540">
        <v>7</v>
      </c>
      <c r="F540">
        <v>123456</v>
      </c>
      <c r="G540">
        <v>0</v>
      </c>
      <c r="M540">
        <v>0</v>
      </c>
      <c r="N540" s="2">
        <v>0</v>
      </c>
      <c r="O540" s="2">
        <v>0</v>
      </c>
      <c r="P540" s="2">
        <v>0</v>
      </c>
      <c r="Q540" s="2"/>
      <c r="R540" s="2">
        <v>0</v>
      </c>
      <c r="T540" s="2">
        <v>0</v>
      </c>
      <c r="U540" s="2"/>
      <c r="X540">
        <v>0</v>
      </c>
      <c r="Z540">
        <v>0</v>
      </c>
      <c r="AB540">
        <v>0</v>
      </c>
      <c r="AC540">
        <v>0</v>
      </c>
      <c r="AD540">
        <v>0</v>
      </c>
      <c r="AI54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40">
        <v>12</v>
      </c>
      <c r="AK540" t="s">
        <v>116</v>
      </c>
      <c r="AN540">
        <v>0</v>
      </c>
    </row>
    <row r="541" spans="1:40">
      <c r="A541" s="1">
        <v>46039</v>
      </c>
      <c r="B541">
        <v>2</v>
      </c>
      <c r="C541">
        <v>8</v>
      </c>
      <c r="F541">
        <v>123456</v>
      </c>
      <c r="G541">
        <v>0</v>
      </c>
      <c r="M541">
        <v>0</v>
      </c>
      <c r="N541" s="2">
        <v>0</v>
      </c>
      <c r="O541" s="2">
        <v>0</v>
      </c>
      <c r="P541" s="2">
        <v>0</v>
      </c>
      <c r="Q541" s="2"/>
      <c r="R541" s="2">
        <v>0</v>
      </c>
      <c r="T541" s="2">
        <v>0</v>
      </c>
      <c r="U541" s="2"/>
      <c r="X541">
        <v>0</v>
      </c>
      <c r="Z541">
        <v>0</v>
      </c>
      <c r="AB541">
        <v>0</v>
      </c>
      <c r="AC541">
        <v>0</v>
      </c>
      <c r="AD541">
        <v>0</v>
      </c>
      <c r="AI54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41">
        <v>12</v>
      </c>
      <c r="AK541" t="s">
        <v>116</v>
      </c>
      <c r="AN541">
        <v>0</v>
      </c>
    </row>
    <row r="542" spans="1:40">
      <c r="A542" s="1">
        <v>46039</v>
      </c>
      <c r="B542">
        <v>2</v>
      </c>
      <c r="C542">
        <v>9</v>
      </c>
      <c r="F542">
        <v>123456</v>
      </c>
      <c r="G542">
        <v>0</v>
      </c>
      <c r="M542">
        <v>0</v>
      </c>
      <c r="N542" s="2">
        <v>0</v>
      </c>
      <c r="O542" s="2">
        <v>0</v>
      </c>
      <c r="P542" s="2">
        <v>0</v>
      </c>
      <c r="Q542" s="2"/>
      <c r="R542" s="2">
        <v>0</v>
      </c>
      <c r="T542" s="2">
        <v>0</v>
      </c>
      <c r="U542" s="2"/>
      <c r="X542">
        <v>0</v>
      </c>
      <c r="Z542">
        <v>0</v>
      </c>
      <c r="AB542">
        <v>0</v>
      </c>
      <c r="AC542">
        <v>0</v>
      </c>
      <c r="AD542">
        <v>0</v>
      </c>
      <c r="AI54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42">
        <v>12</v>
      </c>
      <c r="AK542" t="s">
        <v>116</v>
      </c>
      <c r="AN542">
        <v>0</v>
      </c>
    </row>
    <row r="543" spans="1:40">
      <c r="A543" s="1">
        <v>46039</v>
      </c>
      <c r="B543">
        <v>2</v>
      </c>
      <c r="C543">
        <v>10</v>
      </c>
      <c r="F543">
        <v>123456</v>
      </c>
      <c r="G543">
        <v>0</v>
      </c>
      <c r="M543">
        <v>0</v>
      </c>
      <c r="N543" s="2">
        <v>0</v>
      </c>
      <c r="O543" s="2">
        <v>0</v>
      </c>
      <c r="P543" s="2">
        <v>0</v>
      </c>
      <c r="Q543" s="2"/>
      <c r="R543" s="2">
        <v>0</v>
      </c>
      <c r="T543" s="2">
        <v>0</v>
      </c>
      <c r="U543" s="2"/>
      <c r="X543">
        <v>0</v>
      </c>
      <c r="Z543">
        <v>0</v>
      </c>
      <c r="AB543">
        <v>0</v>
      </c>
      <c r="AC543">
        <v>0</v>
      </c>
      <c r="AD543">
        <v>0</v>
      </c>
      <c r="AI54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43">
        <v>12</v>
      </c>
      <c r="AK543" t="s">
        <v>116</v>
      </c>
      <c r="AN543">
        <v>0</v>
      </c>
    </row>
    <row r="544" spans="1:40">
      <c r="A544" s="1">
        <v>46039</v>
      </c>
      <c r="B544">
        <v>2</v>
      </c>
      <c r="C544">
        <v>11</v>
      </c>
      <c r="F544">
        <v>123456</v>
      </c>
      <c r="G544">
        <v>0</v>
      </c>
      <c r="M544">
        <v>0</v>
      </c>
      <c r="N544" s="2">
        <v>0</v>
      </c>
      <c r="O544" s="2">
        <v>0</v>
      </c>
      <c r="P544" s="2">
        <v>0</v>
      </c>
      <c r="Q544" s="2"/>
      <c r="R544" s="2">
        <v>0</v>
      </c>
      <c r="T544" s="2">
        <v>0</v>
      </c>
      <c r="U544" s="2"/>
      <c r="X544">
        <v>0</v>
      </c>
      <c r="Z544">
        <v>0</v>
      </c>
      <c r="AB544">
        <v>0</v>
      </c>
      <c r="AC544">
        <v>0</v>
      </c>
      <c r="AD544">
        <v>0</v>
      </c>
      <c r="AI54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44">
        <v>12</v>
      </c>
      <c r="AK544" t="s">
        <v>116</v>
      </c>
      <c r="AN544">
        <v>0</v>
      </c>
    </row>
    <row r="545" spans="1:40">
      <c r="A545" s="1">
        <v>46039</v>
      </c>
      <c r="B545">
        <v>2</v>
      </c>
      <c r="C545">
        <v>12</v>
      </c>
      <c r="F545">
        <v>123456</v>
      </c>
      <c r="G545">
        <v>0</v>
      </c>
      <c r="M545">
        <v>0</v>
      </c>
      <c r="N545" s="2">
        <v>0</v>
      </c>
      <c r="O545" s="2">
        <v>0</v>
      </c>
      <c r="P545" s="2">
        <v>0</v>
      </c>
      <c r="Q545" s="2"/>
      <c r="R545" s="2">
        <v>0</v>
      </c>
      <c r="T545" s="2">
        <v>0</v>
      </c>
      <c r="U545" s="2"/>
      <c r="X545">
        <v>0</v>
      </c>
      <c r="Z545">
        <v>0</v>
      </c>
      <c r="AB545">
        <v>0</v>
      </c>
      <c r="AC545">
        <v>0</v>
      </c>
      <c r="AD545">
        <v>0</v>
      </c>
      <c r="AI54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45">
        <v>12</v>
      </c>
      <c r="AK545" t="s">
        <v>116</v>
      </c>
      <c r="AN545">
        <v>0</v>
      </c>
    </row>
    <row r="546" spans="1:40">
      <c r="A546" s="1">
        <v>46039</v>
      </c>
      <c r="B546">
        <v>2</v>
      </c>
      <c r="C546">
        <v>13</v>
      </c>
      <c r="F546">
        <v>123456</v>
      </c>
      <c r="G546">
        <v>0</v>
      </c>
      <c r="M546">
        <v>0</v>
      </c>
      <c r="N546" s="2">
        <v>0</v>
      </c>
      <c r="O546" s="2">
        <v>0</v>
      </c>
      <c r="P546" s="2">
        <v>0</v>
      </c>
      <c r="Q546" s="2"/>
      <c r="R546" s="2">
        <v>0</v>
      </c>
      <c r="T546" s="2">
        <v>0</v>
      </c>
      <c r="U546" s="2"/>
      <c r="X546">
        <v>0</v>
      </c>
      <c r="Z546">
        <v>0</v>
      </c>
      <c r="AB546">
        <v>0</v>
      </c>
      <c r="AC546">
        <v>0</v>
      </c>
      <c r="AD546">
        <v>0</v>
      </c>
      <c r="AI54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46">
        <v>12</v>
      </c>
      <c r="AK546" t="s">
        <v>116</v>
      </c>
      <c r="AN546">
        <v>0</v>
      </c>
    </row>
    <row r="547" spans="1:40">
      <c r="A547" s="1">
        <v>46039</v>
      </c>
      <c r="B547">
        <v>2</v>
      </c>
      <c r="C547">
        <v>14</v>
      </c>
      <c r="F547">
        <v>123456</v>
      </c>
      <c r="G547">
        <v>0</v>
      </c>
      <c r="M547">
        <v>0</v>
      </c>
      <c r="N547" s="2">
        <v>0</v>
      </c>
      <c r="O547" s="2">
        <v>0</v>
      </c>
      <c r="P547" s="2">
        <v>0</v>
      </c>
      <c r="Q547" s="2"/>
      <c r="R547" s="2">
        <v>0</v>
      </c>
      <c r="T547" s="2">
        <v>0</v>
      </c>
      <c r="U547" s="2"/>
      <c r="X547">
        <v>0</v>
      </c>
      <c r="Z547">
        <v>0</v>
      </c>
      <c r="AB547">
        <v>0</v>
      </c>
      <c r="AC547">
        <v>0</v>
      </c>
      <c r="AD547">
        <v>0</v>
      </c>
      <c r="AI54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47">
        <v>12</v>
      </c>
      <c r="AK547" t="s">
        <v>116</v>
      </c>
      <c r="AN547">
        <v>0</v>
      </c>
    </row>
    <row r="548" spans="1:40">
      <c r="A548" s="1">
        <v>46039</v>
      </c>
      <c r="B548">
        <v>2</v>
      </c>
      <c r="C548">
        <v>15</v>
      </c>
      <c r="F548">
        <v>123456</v>
      </c>
      <c r="G548">
        <v>0</v>
      </c>
      <c r="M548">
        <v>0</v>
      </c>
      <c r="N548" s="2">
        <v>0</v>
      </c>
      <c r="O548" s="2">
        <v>0</v>
      </c>
      <c r="P548" s="2">
        <v>0</v>
      </c>
      <c r="Q548" s="2"/>
      <c r="R548" s="2">
        <v>0</v>
      </c>
      <c r="T548" s="2">
        <v>0</v>
      </c>
      <c r="U548" s="2"/>
      <c r="X548">
        <v>0</v>
      </c>
      <c r="Z548">
        <v>0</v>
      </c>
      <c r="AB548">
        <v>0</v>
      </c>
      <c r="AC548">
        <v>0</v>
      </c>
      <c r="AD548">
        <v>0</v>
      </c>
      <c r="AI54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48">
        <v>12</v>
      </c>
      <c r="AK548" t="s">
        <v>116</v>
      </c>
      <c r="AN548">
        <v>0</v>
      </c>
    </row>
    <row r="549" spans="1:40" s="4" customFormat="1">
      <c r="A549" s="3">
        <v>46039</v>
      </c>
      <c r="B549" s="4">
        <v>2</v>
      </c>
      <c r="C549" s="4">
        <v>16</v>
      </c>
      <c r="F549" s="4">
        <v>123456</v>
      </c>
      <c r="G549" s="4">
        <v>0</v>
      </c>
      <c r="M549" s="4">
        <v>0</v>
      </c>
      <c r="N549" s="5">
        <v>0</v>
      </c>
      <c r="O549" s="5">
        <v>0</v>
      </c>
      <c r="P549" s="5">
        <v>0</v>
      </c>
      <c r="Q549" s="5"/>
      <c r="R549" s="5">
        <v>0</v>
      </c>
      <c r="T549" s="5">
        <v>0</v>
      </c>
      <c r="U549" s="5"/>
      <c r="X549" s="4">
        <v>0</v>
      </c>
      <c r="Z549" s="4">
        <v>0</v>
      </c>
      <c r="AB549" s="4">
        <v>0</v>
      </c>
      <c r="AC549" s="4">
        <v>0</v>
      </c>
      <c r="AD549" s="4">
        <v>0</v>
      </c>
      <c r="AI549" s="4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49" s="4">
        <v>12</v>
      </c>
      <c r="AK549" s="4" t="s">
        <v>116</v>
      </c>
      <c r="AN549">
        <v>0</v>
      </c>
    </row>
    <row r="550" spans="1:40">
      <c r="A550" s="1">
        <v>46040</v>
      </c>
      <c r="B550">
        <v>1</v>
      </c>
      <c r="C550">
        <v>1</v>
      </c>
      <c r="F550">
        <v>123456</v>
      </c>
      <c r="G550">
        <v>0</v>
      </c>
      <c r="M550">
        <v>0</v>
      </c>
      <c r="N550" s="2">
        <v>0</v>
      </c>
      <c r="O550" s="2">
        <v>0</v>
      </c>
      <c r="P550" s="2">
        <v>0</v>
      </c>
      <c r="Q550" s="2"/>
      <c r="R550" s="2">
        <v>0</v>
      </c>
      <c r="T550" s="2">
        <v>0</v>
      </c>
      <c r="U550" s="2"/>
      <c r="X550">
        <v>0</v>
      </c>
      <c r="Z550">
        <v>0</v>
      </c>
      <c r="AB550">
        <v>0</v>
      </c>
      <c r="AC550">
        <v>0</v>
      </c>
      <c r="AD550">
        <v>0</v>
      </c>
      <c r="AI55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50">
        <v>12</v>
      </c>
      <c r="AK550" t="s">
        <v>116</v>
      </c>
      <c r="AN550">
        <v>0</v>
      </c>
    </row>
    <row r="551" spans="1:40">
      <c r="A551" s="1">
        <v>46040</v>
      </c>
      <c r="B551">
        <v>1</v>
      </c>
      <c r="C551">
        <v>2</v>
      </c>
      <c r="F551">
        <v>123456</v>
      </c>
      <c r="G551">
        <v>0</v>
      </c>
      <c r="M551">
        <v>0</v>
      </c>
      <c r="N551" s="2">
        <v>0</v>
      </c>
      <c r="O551" s="2">
        <v>0</v>
      </c>
      <c r="P551" s="2">
        <v>0</v>
      </c>
      <c r="Q551" s="2"/>
      <c r="R551" s="2">
        <v>0</v>
      </c>
      <c r="T551" s="2">
        <v>0</v>
      </c>
      <c r="U551" s="2"/>
      <c r="X551">
        <v>0</v>
      </c>
      <c r="Z551">
        <v>0</v>
      </c>
      <c r="AB551">
        <v>0</v>
      </c>
      <c r="AC551">
        <v>0</v>
      </c>
      <c r="AD551">
        <v>0</v>
      </c>
      <c r="AI55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51">
        <v>12</v>
      </c>
      <c r="AK551" t="s">
        <v>116</v>
      </c>
      <c r="AN551">
        <v>0</v>
      </c>
    </row>
    <row r="552" spans="1:40">
      <c r="A552" s="1">
        <v>46040</v>
      </c>
      <c r="B552">
        <v>1</v>
      </c>
      <c r="C552">
        <v>3</v>
      </c>
      <c r="F552">
        <v>123456</v>
      </c>
      <c r="G552">
        <v>0</v>
      </c>
      <c r="M552">
        <v>0</v>
      </c>
      <c r="N552" s="2">
        <v>0</v>
      </c>
      <c r="O552" s="2">
        <v>0</v>
      </c>
      <c r="P552" s="2">
        <v>0</v>
      </c>
      <c r="Q552" s="2"/>
      <c r="R552" s="2">
        <v>0</v>
      </c>
      <c r="T552" s="2">
        <v>0</v>
      </c>
      <c r="U552" s="2"/>
      <c r="X552">
        <v>0</v>
      </c>
      <c r="Z552">
        <v>0</v>
      </c>
      <c r="AB552">
        <v>0</v>
      </c>
      <c r="AC552">
        <v>0</v>
      </c>
      <c r="AD552">
        <v>0</v>
      </c>
      <c r="AI55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52">
        <v>12</v>
      </c>
      <c r="AK552" t="s">
        <v>116</v>
      </c>
      <c r="AN552">
        <v>0</v>
      </c>
    </row>
    <row r="553" spans="1:40">
      <c r="A553" s="1">
        <v>46040</v>
      </c>
      <c r="B553">
        <v>1</v>
      </c>
      <c r="C553">
        <v>4</v>
      </c>
      <c r="F553">
        <v>123456</v>
      </c>
      <c r="G553">
        <v>0</v>
      </c>
      <c r="M553">
        <v>0</v>
      </c>
      <c r="N553" s="2">
        <v>0</v>
      </c>
      <c r="O553" s="2">
        <v>0</v>
      </c>
      <c r="P553" s="2">
        <v>0</v>
      </c>
      <c r="Q553" s="2"/>
      <c r="R553" s="2">
        <v>0</v>
      </c>
      <c r="T553" s="2">
        <v>0</v>
      </c>
      <c r="U553" s="2"/>
      <c r="X553">
        <v>0</v>
      </c>
      <c r="Z553">
        <v>0</v>
      </c>
      <c r="AB553">
        <v>0</v>
      </c>
      <c r="AC553">
        <v>0</v>
      </c>
      <c r="AD553">
        <v>0</v>
      </c>
      <c r="AI55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53">
        <v>12</v>
      </c>
      <c r="AK553" t="s">
        <v>116</v>
      </c>
      <c r="AN553">
        <v>0</v>
      </c>
    </row>
    <row r="554" spans="1:40">
      <c r="A554" s="1">
        <v>46040</v>
      </c>
      <c r="B554">
        <v>1</v>
      </c>
      <c r="C554">
        <v>5</v>
      </c>
      <c r="F554">
        <v>123456</v>
      </c>
      <c r="G554">
        <v>0</v>
      </c>
      <c r="M554">
        <v>0</v>
      </c>
      <c r="N554" s="2">
        <v>0</v>
      </c>
      <c r="O554" s="2">
        <v>0</v>
      </c>
      <c r="P554" s="2">
        <v>0</v>
      </c>
      <c r="Q554" s="2"/>
      <c r="R554" s="2">
        <v>0</v>
      </c>
      <c r="T554" s="2">
        <v>0</v>
      </c>
      <c r="U554" s="2"/>
      <c r="X554">
        <v>0</v>
      </c>
      <c r="Z554">
        <v>0</v>
      </c>
      <c r="AB554">
        <v>0</v>
      </c>
      <c r="AC554">
        <v>0</v>
      </c>
      <c r="AD554">
        <v>0</v>
      </c>
      <c r="AI55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54">
        <v>12</v>
      </c>
      <c r="AK554" t="s">
        <v>116</v>
      </c>
      <c r="AN554">
        <v>0</v>
      </c>
    </row>
    <row r="555" spans="1:40">
      <c r="A555" s="1">
        <v>46040</v>
      </c>
      <c r="B555">
        <v>1</v>
      </c>
      <c r="C555">
        <v>6</v>
      </c>
      <c r="F555">
        <v>123456</v>
      </c>
      <c r="G555">
        <v>0</v>
      </c>
      <c r="M555">
        <v>0</v>
      </c>
      <c r="N555" s="2">
        <v>0</v>
      </c>
      <c r="O555" s="2">
        <v>0</v>
      </c>
      <c r="P555" s="2">
        <v>0</v>
      </c>
      <c r="Q555" s="2"/>
      <c r="R555" s="2">
        <v>0</v>
      </c>
      <c r="T555" s="2">
        <v>0</v>
      </c>
      <c r="U555" s="2"/>
      <c r="X555">
        <v>0</v>
      </c>
      <c r="Z555">
        <v>0</v>
      </c>
      <c r="AB555">
        <v>0</v>
      </c>
      <c r="AC555">
        <v>0</v>
      </c>
      <c r="AD555">
        <v>0</v>
      </c>
      <c r="AI55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55">
        <v>12</v>
      </c>
      <c r="AK555" t="s">
        <v>116</v>
      </c>
      <c r="AN555">
        <v>0</v>
      </c>
    </row>
    <row r="556" spans="1:40">
      <c r="A556" s="1">
        <v>46040</v>
      </c>
      <c r="B556">
        <v>1</v>
      </c>
      <c r="C556">
        <v>7</v>
      </c>
      <c r="F556">
        <v>123456</v>
      </c>
      <c r="G556">
        <v>0</v>
      </c>
      <c r="M556">
        <v>0</v>
      </c>
      <c r="N556" s="2">
        <v>0</v>
      </c>
      <c r="O556" s="2">
        <v>0</v>
      </c>
      <c r="P556" s="2">
        <v>0</v>
      </c>
      <c r="Q556" s="2"/>
      <c r="R556" s="2">
        <v>0</v>
      </c>
      <c r="T556" s="2">
        <v>0</v>
      </c>
      <c r="U556" s="2"/>
      <c r="X556">
        <v>0</v>
      </c>
      <c r="Z556">
        <v>0</v>
      </c>
      <c r="AB556">
        <v>0</v>
      </c>
      <c r="AC556">
        <v>0</v>
      </c>
      <c r="AD556">
        <v>0</v>
      </c>
      <c r="AI55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56">
        <v>12</v>
      </c>
      <c r="AK556" t="s">
        <v>116</v>
      </c>
      <c r="AN556">
        <v>0</v>
      </c>
    </row>
    <row r="557" spans="1:40">
      <c r="A557" s="1">
        <v>46040</v>
      </c>
      <c r="B557">
        <v>1</v>
      </c>
      <c r="C557">
        <v>8</v>
      </c>
      <c r="F557">
        <v>123456</v>
      </c>
      <c r="G557">
        <v>0</v>
      </c>
      <c r="M557">
        <v>0</v>
      </c>
      <c r="N557" s="2">
        <v>0</v>
      </c>
      <c r="O557" s="2">
        <v>0</v>
      </c>
      <c r="P557" s="2">
        <v>0</v>
      </c>
      <c r="Q557" s="2"/>
      <c r="R557" s="2">
        <v>0</v>
      </c>
      <c r="T557" s="2">
        <v>0</v>
      </c>
      <c r="U557" s="2"/>
      <c r="X557">
        <v>0</v>
      </c>
      <c r="Z557">
        <v>0</v>
      </c>
      <c r="AB557">
        <v>0</v>
      </c>
      <c r="AC557">
        <v>0</v>
      </c>
      <c r="AD557">
        <v>0</v>
      </c>
      <c r="AI55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57">
        <v>12</v>
      </c>
      <c r="AK557" t="s">
        <v>116</v>
      </c>
      <c r="AN557">
        <v>0</v>
      </c>
    </row>
    <row r="558" spans="1:40">
      <c r="A558" s="1">
        <v>46040</v>
      </c>
      <c r="B558">
        <v>1</v>
      </c>
      <c r="C558">
        <v>9</v>
      </c>
      <c r="F558">
        <v>123456</v>
      </c>
      <c r="G558">
        <v>0</v>
      </c>
      <c r="M558">
        <v>0</v>
      </c>
      <c r="N558" s="2">
        <v>0</v>
      </c>
      <c r="O558" s="2">
        <v>0</v>
      </c>
      <c r="P558" s="2">
        <v>0</v>
      </c>
      <c r="Q558" s="2"/>
      <c r="R558" s="2">
        <v>0</v>
      </c>
      <c r="T558" s="2">
        <v>0</v>
      </c>
      <c r="U558" s="2"/>
      <c r="X558">
        <v>0</v>
      </c>
      <c r="Z558">
        <v>0</v>
      </c>
      <c r="AB558">
        <v>0</v>
      </c>
      <c r="AC558">
        <v>0</v>
      </c>
      <c r="AD558">
        <v>0</v>
      </c>
      <c r="AI55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58">
        <v>12</v>
      </c>
      <c r="AK558" t="s">
        <v>116</v>
      </c>
      <c r="AN558">
        <v>0</v>
      </c>
    </row>
    <row r="559" spans="1:40">
      <c r="A559" s="1">
        <v>46040</v>
      </c>
      <c r="B559">
        <v>1</v>
      </c>
      <c r="C559">
        <v>10</v>
      </c>
      <c r="F559">
        <v>123456</v>
      </c>
      <c r="G559">
        <v>0</v>
      </c>
      <c r="M559">
        <v>0</v>
      </c>
      <c r="N559" s="2">
        <v>0</v>
      </c>
      <c r="O559" s="2">
        <v>0</v>
      </c>
      <c r="P559" s="2">
        <v>0</v>
      </c>
      <c r="Q559" s="2"/>
      <c r="R559" s="2">
        <v>0</v>
      </c>
      <c r="T559" s="2">
        <v>0</v>
      </c>
      <c r="U559" s="2"/>
      <c r="X559">
        <v>0</v>
      </c>
      <c r="Z559">
        <v>0</v>
      </c>
      <c r="AB559">
        <v>0</v>
      </c>
      <c r="AC559">
        <v>0</v>
      </c>
      <c r="AD559">
        <v>0</v>
      </c>
      <c r="AI55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59">
        <v>12</v>
      </c>
      <c r="AK559" t="s">
        <v>116</v>
      </c>
      <c r="AN559">
        <v>0</v>
      </c>
    </row>
    <row r="560" spans="1:40">
      <c r="A560" s="1">
        <v>46040</v>
      </c>
      <c r="B560">
        <v>1</v>
      </c>
      <c r="C560">
        <v>11</v>
      </c>
      <c r="F560">
        <v>123456</v>
      </c>
      <c r="G560">
        <v>0</v>
      </c>
      <c r="M560">
        <v>0</v>
      </c>
      <c r="N560" s="2">
        <v>0</v>
      </c>
      <c r="O560" s="2">
        <v>0</v>
      </c>
      <c r="P560" s="2">
        <v>0</v>
      </c>
      <c r="Q560" s="2"/>
      <c r="R560" s="2">
        <v>0</v>
      </c>
      <c r="T560" s="2">
        <v>0</v>
      </c>
      <c r="U560" s="2"/>
      <c r="X560">
        <v>0</v>
      </c>
      <c r="Z560">
        <v>0</v>
      </c>
      <c r="AB560">
        <v>0</v>
      </c>
      <c r="AC560">
        <v>0</v>
      </c>
      <c r="AD560">
        <v>0</v>
      </c>
      <c r="AI56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60">
        <v>12</v>
      </c>
      <c r="AK560" t="s">
        <v>116</v>
      </c>
      <c r="AN560">
        <v>0</v>
      </c>
    </row>
    <row r="561" spans="1:40">
      <c r="A561" s="1">
        <v>46040</v>
      </c>
      <c r="B561">
        <v>1</v>
      </c>
      <c r="C561">
        <v>12</v>
      </c>
      <c r="F561">
        <v>123456</v>
      </c>
      <c r="G561">
        <v>0</v>
      </c>
      <c r="M561">
        <v>0</v>
      </c>
      <c r="N561" s="2">
        <v>0</v>
      </c>
      <c r="O561" s="2">
        <v>0</v>
      </c>
      <c r="P561" s="2">
        <v>0</v>
      </c>
      <c r="Q561" s="2"/>
      <c r="R561" s="2">
        <v>0</v>
      </c>
      <c r="T561" s="2">
        <v>0</v>
      </c>
      <c r="U561" s="2"/>
      <c r="X561">
        <v>0</v>
      </c>
      <c r="Z561">
        <v>0</v>
      </c>
      <c r="AB561">
        <v>0</v>
      </c>
      <c r="AC561">
        <v>0</v>
      </c>
      <c r="AD561">
        <v>0</v>
      </c>
      <c r="AI56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61">
        <v>12</v>
      </c>
      <c r="AK561" t="s">
        <v>116</v>
      </c>
      <c r="AN561">
        <v>0</v>
      </c>
    </row>
    <row r="562" spans="1:40">
      <c r="A562" s="1">
        <v>46040</v>
      </c>
      <c r="B562">
        <v>1</v>
      </c>
      <c r="C562">
        <v>13</v>
      </c>
      <c r="F562">
        <v>123456</v>
      </c>
      <c r="G562">
        <v>0</v>
      </c>
      <c r="M562">
        <v>0</v>
      </c>
      <c r="N562" s="2">
        <v>0</v>
      </c>
      <c r="O562" s="2">
        <v>0</v>
      </c>
      <c r="P562" s="2">
        <v>0</v>
      </c>
      <c r="Q562" s="2"/>
      <c r="R562" s="2">
        <v>0</v>
      </c>
      <c r="T562" s="2">
        <v>0</v>
      </c>
      <c r="U562" s="2"/>
      <c r="X562">
        <v>0</v>
      </c>
      <c r="Z562">
        <v>0</v>
      </c>
      <c r="AB562">
        <v>0</v>
      </c>
      <c r="AC562">
        <v>0</v>
      </c>
      <c r="AD562">
        <v>0</v>
      </c>
      <c r="AI56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62">
        <v>12</v>
      </c>
      <c r="AK562" t="s">
        <v>116</v>
      </c>
      <c r="AN562">
        <v>0</v>
      </c>
    </row>
    <row r="563" spans="1:40">
      <c r="A563" s="1">
        <v>46040</v>
      </c>
      <c r="B563">
        <v>1</v>
      </c>
      <c r="C563">
        <v>14</v>
      </c>
      <c r="F563">
        <v>123456</v>
      </c>
      <c r="G563">
        <v>0</v>
      </c>
      <c r="M563">
        <v>0</v>
      </c>
      <c r="N563" s="2">
        <v>0</v>
      </c>
      <c r="O563" s="2">
        <v>0</v>
      </c>
      <c r="P563" s="2">
        <v>0</v>
      </c>
      <c r="Q563" s="2"/>
      <c r="R563" s="2">
        <v>0</v>
      </c>
      <c r="T563" s="2">
        <v>0</v>
      </c>
      <c r="U563" s="2"/>
      <c r="X563">
        <v>0</v>
      </c>
      <c r="Z563">
        <v>0</v>
      </c>
      <c r="AB563">
        <v>0</v>
      </c>
      <c r="AC563">
        <v>0</v>
      </c>
      <c r="AD563">
        <v>0</v>
      </c>
      <c r="AI56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63">
        <v>12</v>
      </c>
      <c r="AK563" t="s">
        <v>116</v>
      </c>
      <c r="AN563">
        <v>0</v>
      </c>
    </row>
    <row r="564" spans="1:40">
      <c r="A564" s="1">
        <v>46040</v>
      </c>
      <c r="B564">
        <v>1</v>
      </c>
      <c r="C564">
        <v>15</v>
      </c>
      <c r="F564">
        <v>123456</v>
      </c>
      <c r="G564">
        <v>0</v>
      </c>
      <c r="M564">
        <v>0</v>
      </c>
      <c r="N564" s="2">
        <v>0</v>
      </c>
      <c r="O564" s="2">
        <v>0</v>
      </c>
      <c r="P564" s="2">
        <v>0</v>
      </c>
      <c r="Q564" s="2"/>
      <c r="R564" s="2">
        <v>0</v>
      </c>
      <c r="T564" s="2">
        <v>0</v>
      </c>
      <c r="U564" s="2"/>
      <c r="X564">
        <v>0</v>
      </c>
      <c r="Z564">
        <v>0</v>
      </c>
      <c r="AB564">
        <v>0</v>
      </c>
      <c r="AC564">
        <v>0</v>
      </c>
      <c r="AD564">
        <v>0</v>
      </c>
      <c r="AI56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64">
        <v>12</v>
      </c>
      <c r="AK564" t="s">
        <v>116</v>
      </c>
      <c r="AN564">
        <v>0</v>
      </c>
    </row>
    <row r="565" spans="1:40" s="4" customFormat="1">
      <c r="A565" s="3">
        <v>46040</v>
      </c>
      <c r="B565" s="4">
        <v>1</v>
      </c>
      <c r="C565" s="4">
        <v>16</v>
      </c>
      <c r="F565" s="4">
        <v>123456</v>
      </c>
      <c r="G565" s="4">
        <v>0</v>
      </c>
      <c r="M565" s="4">
        <v>0</v>
      </c>
      <c r="N565" s="5">
        <v>0</v>
      </c>
      <c r="O565" s="5">
        <v>0</v>
      </c>
      <c r="P565" s="5">
        <v>0</v>
      </c>
      <c r="Q565" s="5"/>
      <c r="R565" s="5">
        <v>0</v>
      </c>
      <c r="T565" s="5">
        <v>0</v>
      </c>
      <c r="U565" s="5"/>
      <c r="X565" s="4">
        <v>0</v>
      </c>
      <c r="Z565" s="4">
        <v>0</v>
      </c>
      <c r="AB565" s="4">
        <v>0</v>
      </c>
      <c r="AC565" s="4">
        <v>0</v>
      </c>
      <c r="AD565" s="4">
        <v>0</v>
      </c>
      <c r="AI565" s="4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65" s="4">
        <v>12</v>
      </c>
      <c r="AK565" s="4" t="s">
        <v>116</v>
      </c>
      <c r="AN565">
        <v>0</v>
      </c>
    </row>
    <row r="566" spans="1:40">
      <c r="A566" s="1">
        <v>46040</v>
      </c>
      <c r="B566">
        <v>2</v>
      </c>
      <c r="C566">
        <v>1</v>
      </c>
      <c r="F566">
        <v>123456</v>
      </c>
      <c r="G566">
        <v>0</v>
      </c>
      <c r="M566">
        <v>0</v>
      </c>
      <c r="N566" s="2">
        <v>0</v>
      </c>
      <c r="O566" s="2">
        <v>0</v>
      </c>
      <c r="P566" s="2">
        <v>0</v>
      </c>
      <c r="Q566" s="2"/>
      <c r="R566" s="2">
        <v>0</v>
      </c>
      <c r="T566" s="2">
        <v>0</v>
      </c>
      <c r="U566" s="2"/>
      <c r="X566">
        <v>0</v>
      </c>
      <c r="Z566">
        <v>0</v>
      </c>
      <c r="AB566">
        <v>0</v>
      </c>
      <c r="AC566">
        <v>0</v>
      </c>
      <c r="AD566">
        <v>0</v>
      </c>
      <c r="AI56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66">
        <v>12</v>
      </c>
      <c r="AK566" t="s">
        <v>116</v>
      </c>
      <c r="AN566">
        <v>0</v>
      </c>
    </row>
    <row r="567" spans="1:40">
      <c r="A567" s="1">
        <v>46040</v>
      </c>
      <c r="B567">
        <v>2</v>
      </c>
      <c r="C567">
        <v>2</v>
      </c>
      <c r="F567">
        <v>123456</v>
      </c>
      <c r="G567">
        <v>0</v>
      </c>
      <c r="M567">
        <v>0</v>
      </c>
      <c r="N567" s="2">
        <v>0</v>
      </c>
      <c r="O567" s="2">
        <v>0</v>
      </c>
      <c r="P567" s="2">
        <v>0</v>
      </c>
      <c r="Q567" s="2"/>
      <c r="R567" s="2">
        <v>0</v>
      </c>
      <c r="T567" s="2">
        <v>0</v>
      </c>
      <c r="U567" s="2"/>
      <c r="X567">
        <v>0</v>
      </c>
      <c r="Z567">
        <v>0</v>
      </c>
      <c r="AB567">
        <v>0</v>
      </c>
      <c r="AC567">
        <v>0</v>
      </c>
      <c r="AD567">
        <v>0</v>
      </c>
      <c r="AI56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67">
        <v>12</v>
      </c>
      <c r="AK567" t="s">
        <v>116</v>
      </c>
      <c r="AN567">
        <v>0</v>
      </c>
    </row>
    <row r="568" spans="1:40">
      <c r="A568" s="1">
        <v>46040</v>
      </c>
      <c r="B568">
        <v>2</v>
      </c>
      <c r="C568">
        <v>3</v>
      </c>
      <c r="F568">
        <v>123456</v>
      </c>
      <c r="G568">
        <v>0</v>
      </c>
      <c r="M568">
        <v>0</v>
      </c>
      <c r="N568" s="2">
        <v>0</v>
      </c>
      <c r="O568" s="2">
        <v>0</v>
      </c>
      <c r="P568" s="2">
        <v>0</v>
      </c>
      <c r="Q568" s="2"/>
      <c r="R568" s="2">
        <v>0</v>
      </c>
      <c r="T568" s="2">
        <v>0</v>
      </c>
      <c r="U568" s="2"/>
      <c r="X568">
        <v>0</v>
      </c>
      <c r="Z568">
        <v>0</v>
      </c>
      <c r="AB568">
        <v>0</v>
      </c>
      <c r="AC568">
        <v>0</v>
      </c>
      <c r="AD568">
        <v>0</v>
      </c>
      <c r="AI56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68">
        <v>12</v>
      </c>
      <c r="AK568" t="s">
        <v>116</v>
      </c>
      <c r="AN568">
        <v>0</v>
      </c>
    </row>
    <row r="569" spans="1:40">
      <c r="A569" s="1">
        <v>46040</v>
      </c>
      <c r="B569">
        <v>2</v>
      </c>
      <c r="C569">
        <v>4</v>
      </c>
      <c r="F569">
        <v>123456</v>
      </c>
      <c r="G569">
        <v>0</v>
      </c>
      <c r="M569">
        <v>0</v>
      </c>
      <c r="N569" s="2">
        <v>0</v>
      </c>
      <c r="O569" s="2">
        <v>0</v>
      </c>
      <c r="P569" s="2">
        <v>0</v>
      </c>
      <c r="Q569" s="2"/>
      <c r="R569" s="2">
        <v>0</v>
      </c>
      <c r="T569" s="2">
        <v>0</v>
      </c>
      <c r="U569" s="2"/>
      <c r="X569">
        <v>0</v>
      </c>
      <c r="Z569">
        <v>0</v>
      </c>
      <c r="AB569">
        <v>0</v>
      </c>
      <c r="AC569">
        <v>0</v>
      </c>
      <c r="AD569">
        <v>0</v>
      </c>
      <c r="AI56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69">
        <v>12</v>
      </c>
      <c r="AK569" t="s">
        <v>116</v>
      </c>
      <c r="AN569">
        <v>0</v>
      </c>
    </row>
    <row r="570" spans="1:40">
      <c r="A570" s="1">
        <v>46040</v>
      </c>
      <c r="B570">
        <v>2</v>
      </c>
      <c r="C570">
        <v>5</v>
      </c>
      <c r="F570">
        <v>123456</v>
      </c>
      <c r="G570">
        <v>0</v>
      </c>
      <c r="M570">
        <v>0</v>
      </c>
      <c r="N570" s="2">
        <v>0</v>
      </c>
      <c r="O570" s="2">
        <v>0</v>
      </c>
      <c r="P570" s="2">
        <v>0</v>
      </c>
      <c r="Q570" s="2"/>
      <c r="R570" s="2">
        <v>0</v>
      </c>
      <c r="T570" s="2">
        <v>0</v>
      </c>
      <c r="U570" s="2"/>
      <c r="X570">
        <v>0</v>
      </c>
      <c r="Z570">
        <v>0</v>
      </c>
      <c r="AB570">
        <v>0</v>
      </c>
      <c r="AC570">
        <v>0</v>
      </c>
      <c r="AD570">
        <v>0</v>
      </c>
      <c r="AI57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70">
        <v>12</v>
      </c>
      <c r="AK570" t="s">
        <v>116</v>
      </c>
      <c r="AN570">
        <v>0</v>
      </c>
    </row>
    <row r="571" spans="1:40">
      <c r="A571" s="1">
        <v>46040</v>
      </c>
      <c r="B571">
        <v>2</v>
      </c>
      <c r="C571">
        <v>6</v>
      </c>
      <c r="F571">
        <v>123456</v>
      </c>
      <c r="G571">
        <v>0</v>
      </c>
      <c r="M571">
        <v>0</v>
      </c>
      <c r="N571" s="2">
        <v>0</v>
      </c>
      <c r="O571" s="2">
        <v>0</v>
      </c>
      <c r="P571" s="2">
        <v>0</v>
      </c>
      <c r="Q571" s="2"/>
      <c r="R571" s="2">
        <v>0</v>
      </c>
      <c r="T571" s="2">
        <v>0</v>
      </c>
      <c r="U571" s="2"/>
      <c r="X571">
        <v>0</v>
      </c>
      <c r="Z571">
        <v>0</v>
      </c>
      <c r="AB571">
        <v>0</v>
      </c>
      <c r="AC571">
        <v>0</v>
      </c>
      <c r="AD571">
        <v>0</v>
      </c>
      <c r="AI57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71">
        <v>12</v>
      </c>
      <c r="AK571" t="s">
        <v>116</v>
      </c>
      <c r="AN571">
        <v>0</v>
      </c>
    </row>
    <row r="572" spans="1:40">
      <c r="A572" s="1">
        <v>46040</v>
      </c>
      <c r="B572">
        <v>2</v>
      </c>
      <c r="C572">
        <v>7</v>
      </c>
      <c r="F572">
        <v>123456</v>
      </c>
      <c r="G572">
        <v>0</v>
      </c>
      <c r="M572">
        <v>0</v>
      </c>
      <c r="N572" s="2">
        <v>0</v>
      </c>
      <c r="O572" s="2">
        <v>0</v>
      </c>
      <c r="P572" s="2">
        <v>0</v>
      </c>
      <c r="Q572" s="2"/>
      <c r="R572" s="2">
        <v>0</v>
      </c>
      <c r="T572" s="2">
        <v>0</v>
      </c>
      <c r="U572" s="2"/>
      <c r="X572">
        <v>0</v>
      </c>
      <c r="Z572">
        <v>0</v>
      </c>
      <c r="AB572">
        <v>0</v>
      </c>
      <c r="AC572">
        <v>0</v>
      </c>
      <c r="AD572">
        <v>0</v>
      </c>
      <c r="AI57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72">
        <v>12</v>
      </c>
      <c r="AK572" t="s">
        <v>116</v>
      </c>
      <c r="AN572">
        <v>0</v>
      </c>
    </row>
    <row r="573" spans="1:40">
      <c r="A573" s="1">
        <v>46040</v>
      </c>
      <c r="B573">
        <v>2</v>
      </c>
      <c r="C573">
        <v>8</v>
      </c>
      <c r="F573">
        <v>123456</v>
      </c>
      <c r="G573">
        <v>0</v>
      </c>
      <c r="M573">
        <v>0</v>
      </c>
      <c r="N573" s="2">
        <v>0</v>
      </c>
      <c r="O573" s="2">
        <v>0</v>
      </c>
      <c r="P573" s="2">
        <v>0</v>
      </c>
      <c r="Q573" s="2"/>
      <c r="R573" s="2">
        <v>0</v>
      </c>
      <c r="T573" s="2">
        <v>0</v>
      </c>
      <c r="U573" s="2"/>
      <c r="X573">
        <v>0</v>
      </c>
      <c r="Z573">
        <v>0</v>
      </c>
      <c r="AB573">
        <v>0</v>
      </c>
      <c r="AC573">
        <v>0</v>
      </c>
      <c r="AD573">
        <v>0</v>
      </c>
      <c r="AI57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73">
        <v>12</v>
      </c>
      <c r="AK573" t="s">
        <v>116</v>
      </c>
      <c r="AN573">
        <v>0</v>
      </c>
    </row>
    <row r="574" spans="1:40">
      <c r="A574" s="1">
        <v>46040</v>
      </c>
      <c r="B574">
        <v>2</v>
      </c>
      <c r="C574">
        <v>9</v>
      </c>
      <c r="F574">
        <v>123456</v>
      </c>
      <c r="G574">
        <v>0</v>
      </c>
      <c r="M574">
        <v>0</v>
      </c>
      <c r="N574" s="2">
        <v>0</v>
      </c>
      <c r="O574" s="2">
        <v>0</v>
      </c>
      <c r="P574" s="2">
        <v>0</v>
      </c>
      <c r="Q574" s="2"/>
      <c r="R574" s="2">
        <v>0</v>
      </c>
      <c r="T574" s="2">
        <v>0</v>
      </c>
      <c r="U574" s="2"/>
      <c r="X574">
        <v>0</v>
      </c>
      <c r="Z574">
        <v>0</v>
      </c>
      <c r="AB574">
        <v>0</v>
      </c>
      <c r="AC574">
        <v>0</v>
      </c>
      <c r="AD574">
        <v>0</v>
      </c>
      <c r="AI57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74">
        <v>12</v>
      </c>
      <c r="AK574" t="s">
        <v>116</v>
      </c>
      <c r="AN574">
        <v>0</v>
      </c>
    </row>
    <row r="575" spans="1:40">
      <c r="A575" s="1">
        <v>46040</v>
      </c>
      <c r="B575">
        <v>2</v>
      </c>
      <c r="C575">
        <v>10</v>
      </c>
      <c r="F575">
        <v>123456</v>
      </c>
      <c r="G575">
        <v>0</v>
      </c>
      <c r="M575">
        <v>0</v>
      </c>
      <c r="N575" s="2">
        <v>0</v>
      </c>
      <c r="O575" s="2">
        <v>0</v>
      </c>
      <c r="P575" s="2">
        <v>0</v>
      </c>
      <c r="Q575" s="2"/>
      <c r="R575" s="2">
        <v>0</v>
      </c>
      <c r="T575" s="2">
        <v>0</v>
      </c>
      <c r="U575" s="2"/>
      <c r="X575">
        <v>0</v>
      </c>
      <c r="Z575">
        <v>0</v>
      </c>
      <c r="AB575">
        <v>0</v>
      </c>
      <c r="AC575">
        <v>0</v>
      </c>
      <c r="AD575">
        <v>0</v>
      </c>
      <c r="AI57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75">
        <v>12</v>
      </c>
      <c r="AK575" t="s">
        <v>116</v>
      </c>
      <c r="AN575">
        <v>0</v>
      </c>
    </row>
    <row r="576" spans="1:40">
      <c r="A576" s="1">
        <v>46040</v>
      </c>
      <c r="B576">
        <v>2</v>
      </c>
      <c r="C576">
        <v>11</v>
      </c>
      <c r="F576">
        <v>123456</v>
      </c>
      <c r="G576">
        <v>0</v>
      </c>
      <c r="M576">
        <v>0</v>
      </c>
      <c r="N576" s="2">
        <v>0</v>
      </c>
      <c r="O576" s="2">
        <v>0</v>
      </c>
      <c r="P576" s="2">
        <v>0</v>
      </c>
      <c r="Q576" s="2"/>
      <c r="R576" s="2">
        <v>0</v>
      </c>
      <c r="T576" s="2">
        <v>0</v>
      </c>
      <c r="U576" s="2"/>
      <c r="X576">
        <v>0</v>
      </c>
      <c r="Z576">
        <v>0</v>
      </c>
      <c r="AB576">
        <v>0</v>
      </c>
      <c r="AC576">
        <v>0</v>
      </c>
      <c r="AD576">
        <v>0</v>
      </c>
      <c r="AI57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76">
        <v>12</v>
      </c>
      <c r="AK576" t="s">
        <v>116</v>
      </c>
      <c r="AN576">
        <v>0</v>
      </c>
    </row>
    <row r="577" spans="1:40">
      <c r="A577" s="1">
        <v>46040</v>
      </c>
      <c r="B577">
        <v>2</v>
      </c>
      <c r="C577">
        <v>12</v>
      </c>
      <c r="F577">
        <v>123456</v>
      </c>
      <c r="G577">
        <v>0</v>
      </c>
      <c r="M577">
        <v>0</v>
      </c>
      <c r="N577" s="2">
        <v>0</v>
      </c>
      <c r="O577" s="2">
        <v>0</v>
      </c>
      <c r="P577" s="2">
        <v>0</v>
      </c>
      <c r="Q577" s="2"/>
      <c r="R577" s="2">
        <v>0</v>
      </c>
      <c r="T577" s="2">
        <v>0</v>
      </c>
      <c r="U577" s="2"/>
      <c r="X577">
        <v>0</v>
      </c>
      <c r="Z577">
        <v>0</v>
      </c>
      <c r="AB577">
        <v>0</v>
      </c>
      <c r="AC577">
        <v>0</v>
      </c>
      <c r="AD577">
        <v>0</v>
      </c>
      <c r="AI57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77">
        <v>12</v>
      </c>
      <c r="AK577" t="s">
        <v>116</v>
      </c>
      <c r="AN577">
        <v>0</v>
      </c>
    </row>
    <row r="578" spans="1:40">
      <c r="A578" s="1">
        <v>46040</v>
      </c>
      <c r="B578">
        <v>2</v>
      </c>
      <c r="C578">
        <v>13</v>
      </c>
      <c r="F578">
        <v>123456</v>
      </c>
      <c r="G578">
        <v>0</v>
      </c>
      <c r="M578">
        <v>0</v>
      </c>
      <c r="N578" s="2">
        <v>0</v>
      </c>
      <c r="O578" s="2">
        <v>0</v>
      </c>
      <c r="P578" s="2">
        <v>0</v>
      </c>
      <c r="Q578" s="2"/>
      <c r="R578" s="2">
        <v>0</v>
      </c>
      <c r="T578" s="2">
        <v>0</v>
      </c>
      <c r="U578" s="2"/>
      <c r="X578">
        <v>0</v>
      </c>
      <c r="Z578">
        <v>0</v>
      </c>
      <c r="AB578">
        <v>0</v>
      </c>
      <c r="AC578">
        <v>0</v>
      </c>
      <c r="AD578">
        <v>0</v>
      </c>
      <c r="AI57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78">
        <v>12</v>
      </c>
      <c r="AK578" t="s">
        <v>116</v>
      </c>
      <c r="AN578">
        <v>0</v>
      </c>
    </row>
    <row r="579" spans="1:40">
      <c r="A579" s="1">
        <v>46040</v>
      </c>
      <c r="B579">
        <v>2</v>
      </c>
      <c r="C579">
        <v>14</v>
      </c>
      <c r="F579">
        <v>123456</v>
      </c>
      <c r="G579">
        <v>0</v>
      </c>
      <c r="M579">
        <v>0</v>
      </c>
      <c r="N579" s="2">
        <v>0</v>
      </c>
      <c r="O579" s="2">
        <v>0</v>
      </c>
      <c r="P579" s="2">
        <v>0</v>
      </c>
      <c r="Q579" s="2"/>
      <c r="R579" s="2">
        <v>0</v>
      </c>
      <c r="T579" s="2">
        <v>0</v>
      </c>
      <c r="U579" s="2"/>
      <c r="X579">
        <v>0</v>
      </c>
      <c r="Z579">
        <v>0</v>
      </c>
      <c r="AB579">
        <v>0</v>
      </c>
      <c r="AC579">
        <v>0</v>
      </c>
      <c r="AD579">
        <v>0</v>
      </c>
      <c r="AI57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79">
        <v>12</v>
      </c>
      <c r="AK579" t="s">
        <v>116</v>
      </c>
      <c r="AN579">
        <v>0</v>
      </c>
    </row>
    <row r="580" spans="1:40">
      <c r="A580" s="1">
        <v>46040</v>
      </c>
      <c r="B580">
        <v>2</v>
      </c>
      <c r="C580">
        <v>15</v>
      </c>
      <c r="F580">
        <v>123456</v>
      </c>
      <c r="G580">
        <v>0</v>
      </c>
      <c r="M580">
        <v>0</v>
      </c>
      <c r="N580" s="2">
        <v>0</v>
      </c>
      <c r="O580" s="2">
        <v>0</v>
      </c>
      <c r="P580" s="2">
        <v>0</v>
      </c>
      <c r="Q580" s="2"/>
      <c r="R580" s="2">
        <v>0</v>
      </c>
      <c r="T580" s="2">
        <v>0</v>
      </c>
      <c r="U580" s="2"/>
      <c r="X580">
        <v>0</v>
      </c>
      <c r="Z580">
        <v>0</v>
      </c>
      <c r="AB580">
        <v>0</v>
      </c>
      <c r="AC580">
        <v>0</v>
      </c>
      <c r="AD580">
        <v>0</v>
      </c>
      <c r="AI58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80">
        <v>12</v>
      </c>
      <c r="AK580" t="s">
        <v>116</v>
      </c>
      <c r="AN580">
        <v>0</v>
      </c>
    </row>
    <row r="581" spans="1:40" s="4" customFormat="1">
      <c r="A581" s="3">
        <v>46040</v>
      </c>
      <c r="B581" s="4">
        <v>2</v>
      </c>
      <c r="C581" s="4">
        <v>16</v>
      </c>
      <c r="F581" s="4">
        <v>123456</v>
      </c>
      <c r="G581" s="4">
        <v>0</v>
      </c>
      <c r="M581" s="4">
        <v>0</v>
      </c>
      <c r="N581" s="5">
        <v>0</v>
      </c>
      <c r="O581" s="5">
        <v>0</v>
      </c>
      <c r="P581" s="5">
        <v>0</v>
      </c>
      <c r="Q581" s="5"/>
      <c r="R581" s="5">
        <v>0</v>
      </c>
      <c r="T581" s="5">
        <v>0</v>
      </c>
      <c r="U581" s="5"/>
      <c r="X581" s="4">
        <v>0</v>
      </c>
      <c r="Z581" s="4">
        <v>0</v>
      </c>
      <c r="AB581" s="4">
        <v>0</v>
      </c>
      <c r="AC581" s="4">
        <v>0</v>
      </c>
      <c r="AD581" s="4">
        <v>0</v>
      </c>
      <c r="AI581" s="4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581" s="4">
        <v>12</v>
      </c>
      <c r="AK581" s="4" t="s">
        <v>116</v>
      </c>
      <c r="AN581">
        <v>0</v>
      </c>
    </row>
    <row r="582" spans="1:40">
      <c r="A582" s="1">
        <v>46041</v>
      </c>
      <c r="B582">
        <v>1</v>
      </c>
      <c r="C582">
        <v>1</v>
      </c>
      <c r="D582" t="s">
        <v>56</v>
      </c>
      <c r="E582" t="s">
        <v>34</v>
      </c>
      <c r="F582">
        <v>577492</v>
      </c>
      <c r="G582">
        <v>0</v>
      </c>
      <c r="H582" t="s">
        <v>341</v>
      </c>
      <c r="I582">
        <v>10683850</v>
      </c>
      <c r="J582">
        <v>4</v>
      </c>
      <c r="K582">
        <v>35.6</v>
      </c>
      <c r="L582">
        <v>35.6</v>
      </c>
      <c r="M582">
        <v>1250</v>
      </c>
      <c r="N582" s="2">
        <v>40480</v>
      </c>
      <c r="O582" s="2">
        <v>920</v>
      </c>
      <c r="P582" s="2">
        <v>368</v>
      </c>
      <c r="Q582" s="2">
        <v>5000</v>
      </c>
      <c r="R582" s="2">
        <v>5520</v>
      </c>
      <c r="S582">
        <v>196.512</v>
      </c>
      <c r="T582" s="2">
        <v>29808</v>
      </c>
      <c r="U582" s="2">
        <v>10672</v>
      </c>
      <c r="V582">
        <v>178</v>
      </c>
      <c r="W582">
        <v>0</v>
      </c>
      <c r="X582">
        <v>2</v>
      </c>
      <c r="Y582">
        <v>1.1235955056179775E-2</v>
      </c>
      <c r="Z582">
        <v>0</v>
      </c>
      <c r="AA582">
        <v>0</v>
      </c>
      <c r="AB582">
        <v>27.4</v>
      </c>
      <c r="AC582">
        <v>9.5138888888888893</v>
      </c>
      <c r="AD582">
        <v>27</v>
      </c>
      <c r="AI58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2.4861111111111107</v>
      </c>
      <c r="AK582" t="s">
        <v>51</v>
      </c>
      <c r="AL582">
        <v>3</v>
      </c>
      <c r="AM582">
        <v>2</v>
      </c>
      <c r="AN582">
        <f>INT(Table1[[#This Row],[reject_prod]]/Table1[[#This Row],[part_weight]] * 1000)</f>
        <v>0</v>
      </c>
    </row>
    <row r="583" spans="1:40">
      <c r="A583" s="1">
        <v>46041</v>
      </c>
      <c r="B583">
        <v>1</v>
      </c>
      <c r="C583">
        <v>2</v>
      </c>
      <c r="D583" t="s">
        <v>33</v>
      </c>
      <c r="E583" t="s">
        <v>34</v>
      </c>
      <c r="F583">
        <v>416201</v>
      </c>
      <c r="G583">
        <v>0</v>
      </c>
      <c r="H583" t="s">
        <v>36</v>
      </c>
      <c r="I583">
        <v>10681779</v>
      </c>
      <c r="J583">
        <v>4</v>
      </c>
      <c r="K583">
        <v>20</v>
      </c>
      <c r="L583">
        <v>30</v>
      </c>
      <c r="M583">
        <v>0</v>
      </c>
      <c r="N583" s="2">
        <v>50400</v>
      </c>
      <c r="O583" s="2">
        <v>0</v>
      </c>
      <c r="P583" s="2">
        <v>0</v>
      </c>
      <c r="Q583" s="2">
        <v>0</v>
      </c>
      <c r="R583" s="2">
        <v>0</v>
      </c>
      <c r="S583">
        <v>0</v>
      </c>
      <c r="T583" s="2">
        <v>0</v>
      </c>
      <c r="U583" s="2">
        <v>50400</v>
      </c>
      <c r="V583">
        <v>0</v>
      </c>
      <c r="W583">
        <v>0</v>
      </c>
      <c r="X583">
        <v>0</v>
      </c>
      <c r="Y583" t="e">
        <v>#DIV/0!</v>
      </c>
      <c r="Z583">
        <v>0</v>
      </c>
      <c r="AA583" t="e">
        <v>#DIV/0!</v>
      </c>
      <c r="AB583">
        <v>23.3</v>
      </c>
      <c r="AC583">
        <v>0</v>
      </c>
      <c r="AD583">
        <v>38.64</v>
      </c>
      <c r="AI58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583" t="s">
        <v>387</v>
      </c>
      <c r="AN583">
        <f>INT(Table1[[#This Row],[reject_prod]]/Table1[[#This Row],[part_weight]] * 1000)</f>
        <v>0</v>
      </c>
    </row>
    <row r="584" spans="1:40">
      <c r="A584" s="1">
        <v>46041</v>
      </c>
      <c r="B584">
        <v>1</v>
      </c>
      <c r="C584">
        <v>3</v>
      </c>
      <c r="D584" t="s">
        <v>289</v>
      </c>
      <c r="E584" t="s">
        <v>34</v>
      </c>
      <c r="F584">
        <v>442034</v>
      </c>
      <c r="G584">
        <v>0</v>
      </c>
      <c r="H584" t="s">
        <v>37</v>
      </c>
      <c r="I584">
        <v>10681184</v>
      </c>
      <c r="J584">
        <v>4</v>
      </c>
      <c r="K584">
        <v>23</v>
      </c>
      <c r="L584">
        <v>23</v>
      </c>
      <c r="M584">
        <v>70</v>
      </c>
      <c r="N584" s="2">
        <v>139776</v>
      </c>
      <c r="O584" s="2">
        <v>1408</v>
      </c>
      <c r="P584" s="2">
        <v>1650</v>
      </c>
      <c r="Q584" s="2">
        <v>280</v>
      </c>
      <c r="R584" s="2">
        <v>0</v>
      </c>
      <c r="S584">
        <v>0</v>
      </c>
      <c r="T584" s="2">
        <v>1650</v>
      </c>
      <c r="U584" s="2">
        <v>138126</v>
      </c>
      <c r="V584">
        <v>6.44</v>
      </c>
      <c r="W584">
        <v>0</v>
      </c>
      <c r="X584">
        <v>3.6</v>
      </c>
      <c r="Y584">
        <v>0.55900621118012417</v>
      </c>
      <c r="Z584">
        <v>0</v>
      </c>
      <c r="AA584">
        <v>0</v>
      </c>
      <c r="AB584">
        <v>26.7</v>
      </c>
      <c r="AC584">
        <v>0.51916666666666667</v>
      </c>
      <c r="AD584">
        <v>22</v>
      </c>
      <c r="AH584">
        <v>7</v>
      </c>
      <c r="AI58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4.480833333333333</v>
      </c>
      <c r="AK584" t="s">
        <v>394</v>
      </c>
      <c r="AL584">
        <v>3</v>
      </c>
      <c r="AM584">
        <v>2</v>
      </c>
      <c r="AN584">
        <f>INT(Table1[[#This Row],[reject_prod]]/Table1[[#This Row],[part_weight]] * 1000)</f>
        <v>0</v>
      </c>
    </row>
    <row r="585" spans="1:40">
      <c r="A585" s="1">
        <v>46041</v>
      </c>
      <c r="B585">
        <v>1</v>
      </c>
      <c r="C585">
        <v>4</v>
      </c>
      <c r="D585" t="s">
        <v>33</v>
      </c>
      <c r="E585" t="s">
        <v>34</v>
      </c>
      <c r="F585">
        <v>402305</v>
      </c>
      <c r="G585">
        <v>0</v>
      </c>
      <c r="H585" t="s">
        <v>395</v>
      </c>
      <c r="I585">
        <v>10684852</v>
      </c>
      <c r="J585">
        <v>4</v>
      </c>
      <c r="K585">
        <v>29</v>
      </c>
      <c r="L585">
        <v>29</v>
      </c>
      <c r="M585">
        <v>0</v>
      </c>
      <c r="N585" s="2">
        <v>64896</v>
      </c>
      <c r="O585" s="2">
        <v>0</v>
      </c>
      <c r="P585" s="2">
        <v>0</v>
      </c>
      <c r="Q585" s="2">
        <v>0</v>
      </c>
      <c r="R585" s="2">
        <v>0</v>
      </c>
      <c r="S585">
        <v>0</v>
      </c>
      <c r="T585" s="2">
        <v>0</v>
      </c>
      <c r="U585" s="2">
        <v>64896</v>
      </c>
      <c r="V585">
        <v>0</v>
      </c>
      <c r="W585">
        <v>0</v>
      </c>
      <c r="X585">
        <v>0</v>
      </c>
      <c r="Y585" t="e">
        <v>#DIV/0!</v>
      </c>
      <c r="Z585">
        <v>0</v>
      </c>
      <c r="AA585" t="e">
        <v>#DIV/0!</v>
      </c>
      <c r="AB585">
        <v>0</v>
      </c>
      <c r="AC585">
        <v>0</v>
      </c>
      <c r="AD585">
        <v>22</v>
      </c>
      <c r="AI58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585" t="s">
        <v>396</v>
      </c>
      <c r="AN585">
        <f>INT(Table1[[#This Row],[reject_prod]]/Table1[[#This Row],[part_weight]] * 1000)</f>
        <v>0</v>
      </c>
    </row>
    <row r="586" spans="1:40">
      <c r="A586" s="1">
        <v>46041</v>
      </c>
      <c r="B586">
        <v>1</v>
      </c>
      <c r="C586">
        <v>5</v>
      </c>
      <c r="D586" t="s">
        <v>53</v>
      </c>
      <c r="E586" t="s">
        <v>34</v>
      </c>
      <c r="F586">
        <v>597507</v>
      </c>
      <c r="G586">
        <v>0</v>
      </c>
      <c r="H586" t="s">
        <v>279</v>
      </c>
      <c r="I586">
        <v>10682757</v>
      </c>
      <c r="J586">
        <v>4</v>
      </c>
      <c r="K586">
        <v>23</v>
      </c>
      <c r="L586">
        <v>23</v>
      </c>
      <c r="M586">
        <v>500</v>
      </c>
      <c r="N586" s="2">
        <v>64680</v>
      </c>
      <c r="O586" s="2">
        <v>308</v>
      </c>
      <c r="P586" s="2">
        <v>0</v>
      </c>
      <c r="Q586" s="2">
        <v>2000</v>
      </c>
      <c r="R586" s="2">
        <v>2156</v>
      </c>
      <c r="S586">
        <v>49.588000000000001</v>
      </c>
      <c r="T586" s="2">
        <v>64680</v>
      </c>
      <c r="U586" s="2">
        <v>0</v>
      </c>
      <c r="V586">
        <v>46</v>
      </c>
      <c r="W586">
        <v>0</v>
      </c>
      <c r="X586">
        <v>4.2</v>
      </c>
      <c r="Y586">
        <v>9.1304347826086957E-2</v>
      </c>
      <c r="Z586">
        <v>0</v>
      </c>
      <c r="AA586">
        <v>0</v>
      </c>
      <c r="AB586">
        <v>22.1</v>
      </c>
      <c r="AC586">
        <v>3.0694444444444446</v>
      </c>
      <c r="AD586">
        <v>22</v>
      </c>
      <c r="AI58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8.9305555555555554</v>
      </c>
      <c r="AK586" t="s">
        <v>397</v>
      </c>
      <c r="AL586">
        <v>3</v>
      </c>
      <c r="AM586">
        <v>3</v>
      </c>
      <c r="AN586">
        <f>INT(Table1[[#This Row],[reject_prod]]/Table1[[#This Row],[part_weight]] * 1000)</f>
        <v>0</v>
      </c>
    </row>
    <row r="587" spans="1:40">
      <c r="A587" s="1">
        <v>46041</v>
      </c>
      <c r="B587">
        <v>1</v>
      </c>
      <c r="C587">
        <v>5</v>
      </c>
      <c r="D587" t="s">
        <v>53</v>
      </c>
      <c r="E587" t="s">
        <v>34</v>
      </c>
      <c r="F587">
        <v>322383</v>
      </c>
      <c r="G587">
        <v>0</v>
      </c>
      <c r="H587" t="s">
        <v>71</v>
      </c>
      <c r="I587">
        <v>10682756</v>
      </c>
      <c r="J587">
        <v>4</v>
      </c>
      <c r="K587">
        <v>12.5</v>
      </c>
      <c r="L587">
        <v>12.5</v>
      </c>
      <c r="M587">
        <v>0</v>
      </c>
      <c r="N587" s="2">
        <v>66000</v>
      </c>
      <c r="O587" s="2">
        <v>0</v>
      </c>
      <c r="P587" s="2">
        <v>0</v>
      </c>
      <c r="Q587" s="2">
        <v>0</v>
      </c>
      <c r="R587" s="2">
        <v>0</v>
      </c>
      <c r="S587">
        <v>0</v>
      </c>
      <c r="T587" s="2">
        <v>0</v>
      </c>
      <c r="U587" s="2">
        <v>66000</v>
      </c>
      <c r="V587">
        <v>0</v>
      </c>
      <c r="W587">
        <v>0</v>
      </c>
      <c r="X587">
        <v>0</v>
      </c>
      <c r="Y587" t="e">
        <v>#DIV/0!</v>
      </c>
      <c r="Z587">
        <v>0</v>
      </c>
      <c r="AA587" t="e">
        <v>#DIV/0!</v>
      </c>
      <c r="AB587">
        <v>22.1</v>
      </c>
      <c r="AC587">
        <v>0</v>
      </c>
      <c r="AD587">
        <v>17.920000000000002</v>
      </c>
      <c r="AI58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587" t="s">
        <v>398</v>
      </c>
      <c r="AL587">
        <v>3</v>
      </c>
      <c r="AM587">
        <v>2</v>
      </c>
      <c r="AN587">
        <f>INT(Table1[[#This Row],[reject_prod]]/Table1[[#This Row],[part_weight]] * 1000)</f>
        <v>0</v>
      </c>
    </row>
    <row r="588" spans="1:40">
      <c r="A588" s="1">
        <v>46041</v>
      </c>
      <c r="B588">
        <v>1</v>
      </c>
      <c r="C588">
        <v>6</v>
      </c>
      <c r="D588" t="s">
        <v>391</v>
      </c>
      <c r="E588" t="s">
        <v>34</v>
      </c>
      <c r="F588">
        <v>322429</v>
      </c>
      <c r="G588">
        <v>0</v>
      </c>
      <c r="H588" t="s">
        <v>354</v>
      </c>
      <c r="I588">
        <v>10683853</v>
      </c>
      <c r="J588">
        <v>4</v>
      </c>
      <c r="K588">
        <v>24.93</v>
      </c>
      <c r="L588">
        <v>24</v>
      </c>
      <c r="M588">
        <v>1335</v>
      </c>
      <c r="N588" s="2">
        <v>40600</v>
      </c>
      <c r="O588" s="2">
        <v>203</v>
      </c>
      <c r="P588" s="2">
        <v>0</v>
      </c>
      <c r="Q588" s="2">
        <v>5340</v>
      </c>
      <c r="R588" s="2">
        <v>5075</v>
      </c>
      <c r="S588">
        <v>121.8</v>
      </c>
      <c r="T588" s="2">
        <v>40600</v>
      </c>
      <c r="U588" s="2">
        <v>0</v>
      </c>
      <c r="V588">
        <v>128.16</v>
      </c>
      <c r="W588">
        <v>0</v>
      </c>
      <c r="X588">
        <v>3.6</v>
      </c>
      <c r="Y588">
        <v>2.8089887640449441E-2</v>
      </c>
      <c r="Z588">
        <v>0</v>
      </c>
      <c r="AA588">
        <v>0</v>
      </c>
      <c r="AB588">
        <v>21.5</v>
      </c>
      <c r="AC588">
        <v>7.9729166666666673</v>
      </c>
      <c r="AD588">
        <v>16.96</v>
      </c>
      <c r="AI58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4.0270833333333327</v>
      </c>
      <c r="AK588" t="s">
        <v>399</v>
      </c>
      <c r="AL588">
        <v>3</v>
      </c>
      <c r="AM588">
        <v>2</v>
      </c>
      <c r="AN588">
        <f>INT(Table1[[#This Row],[reject_prod]]/Table1[[#This Row],[part_weight]] * 1000)</f>
        <v>0</v>
      </c>
    </row>
    <row r="589" spans="1:40">
      <c r="A589" s="1">
        <v>46041</v>
      </c>
      <c r="B589">
        <v>1</v>
      </c>
      <c r="C589">
        <v>6</v>
      </c>
      <c r="D589" t="s">
        <v>391</v>
      </c>
      <c r="E589" t="s">
        <v>34</v>
      </c>
      <c r="F589">
        <v>322409</v>
      </c>
      <c r="G589">
        <v>0</v>
      </c>
      <c r="H589" t="s">
        <v>400</v>
      </c>
      <c r="I589">
        <v>10683854</v>
      </c>
      <c r="J589">
        <v>4</v>
      </c>
      <c r="K589">
        <v>24</v>
      </c>
      <c r="L589">
        <v>24</v>
      </c>
      <c r="M589">
        <v>0</v>
      </c>
      <c r="N589" s="2">
        <v>70200</v>
      </c>
      <c r="O589" s="2">
        <v>0</v>
      </c>
      <c r="P589" s="2">
        <v>0</v>
      </c>
      <c r="Q589" s="2">
        <v>0</v>
      </c>
      <c r="R589" s="2">
        <v>0</v>
      </c>
      <c r="S589">
        <v>0</v>
      </c>
      <c r="T589" s="2">
        <v>0</v>
      </c>
      <c r="U589" s="2">
        <v>70200</v>
      </c>
      <c r="V589">
        <v>0</v>
      </c>
      <c r="W589">
        <v>0</v>
      </c>
      <c r="X589">
        <v>0</v>
      </c>
      <c r="Y589" t="e">
        <v>#DIV/0!</v>
      </c>
      <c r="Z589">
        <v>0</v>
      </c>
      <c r="AA589" t="e">
        <v>#DIV/0!</v>
      </c>
      <c r="AB589">
        <v>21.5</v>
      </c>
      <c r="AC589">
        <v>0</v>
      </c>
      <c r="AD589">
        <v>20</v>
      </c>
      <c r="AG589">
        <v>1.5</v>
      </c>
      <c r="AI58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10.5</v>
      </c>
      <c r="AK589" t="s">
        <v>401</v>
      </c>
      <c r="AN589">
        <f>INT(Table1[[#This Row],[reject_prod]]/Table1[[#This Row],[part_weight]] * 1000)</f>
        <v>0</v>
      </c>
    </row>
    <row r="590" spans="1:40">
      <c r="A590" s="1">
        <v>46041</v>
      </c>
      <c r="B590">
        <v>1</v>
      </c>
      <c r="C590">
        <v>7</v>
      </c>
      <c r="D590" t="s">
        <v>33</v>
      </c>
      <c r="E590" t="s">
        <v>34</v>
      </c>
      <c r="F590">
        <v>322452</v>
      </c>
      <c r="G590">
        <v>0</v>
      </c>
      <c r="H590" t="s">
        <v>374</v>
      </c>
      <c r="I590">
        <v>10683857</v>
      </c>
      <c r="J590">
        <v>4</v>
      </c>
      <c r="K590">
        <v>33.11</v>
      </c>
      <c r="L590">
        <v>34.5</v>
      </c>
      <c r="M590">
        <v>1200</v>
      </c>
      <c r="N590" s="2">
        <v>44928</v>
      </c>
      <c r="O590" s="2">
        <v>624</v>
      </c>
      <c r="P590" s="2">
        <v>416</v>
      </c>
      <c r="Q590" s="2">
        <v>4800</v>
      </c>
      <c r="R590" s="2">
        <v>4992</v>
      </c>
      <c r="S590">
        <v>172.22399999999999</v>
      </c>
      <c r="T590" s="2">
        <v>5452</v>
      </c>
      <c r="U590" s="2">
        <v>39476</v>
      </c>
      <c r="V590">
        <v>165.6</v>
      </c>
      <c r="W590">
        <v>0</v>
      </c>
      <c r="X590">
        <v>3.2</v>
      </c>
      <c r="Y590">
        <v>1.9323671497584544E-2</v>
      </c>
      <c r="Z590">
        <v>0</v>
      </c>
      <c r="AA590">
        <v>0</v>
      </c>
      <c r="AB590">
        <v>23.57</v>
      </c>
      <c r="AC590">
        <v>7.8566666666666674</v>
      </c>
      <c r="AD590">
        <v>18.04</v>
      </c>
      <c r="AI59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4.1433333333333326</v>
      </c>
      <c r="AK590" t="s">
        <v>402</v>
      </c>
      <c r="AL590">
        <v>3</v>
      </c>
      <c r="AM590">
        <v>3</v>
      </c>
      <c r="AN590">
        <f>INT(Table1[[#This Row],[reject_prod]]/Table1[[#This Row],[part_weight]] * 1000)</f>
        <v>0</v>
      </c>
    </row>
    <row r="591" spans="1:40">
      <c r="A591" s="1">
        <v>46041</v>
      </c>
      <c r="B591">
        <v>1</v>
      </c>
      <c r="C591">
        <v>8</v>
      </c>
      <c r="D591" t="s">
        <v>60</v>
      </c>
      <c r="E591" t="s">
        <v>41</v>
      </c>
      <c r="F591">
        <v>593537</v>
      </c>
      <c r="G591">
        <v>0</v>
      </c>
      <c r="H591" t="s">
        <v>48</v>
      </c>
      <c r="I591">
        <v>10682926</v>
      </c>
      <c r="J591">
        <v>4</v>
      </c>
      <c r="K591">
        <v>56.5</v>
      </c>
      <c r="L591">
        <v>56.8</v>
      </c>
      <c r="M591">
        <v>1125</v>
      </c>
      <c r="N591" s="2">
        <v>69000</v>
      </c>
      <c r="O591" s="2">
        <v>0</v>
      </c>
      <c r="P591" s="2">
        <v>460</v>
      </c>
      <c r="Q591" s="2">
        <v>4500</v>
      </c>
      <c r="R591" s="2">
        <v>4025</v>
      </c>
      <c r="S591">
        <v>228.62</v>
      </c>
      <c r="T591" s="2">
        <v>63825</v>
      </c>
      <c r="U591" s="2">
        <v>5175</v>
      </c>
      <c r="V591">
        <v>255.6</v>
      </c>
      <c r="W591">
        <v>0</v>
      </c>
      <c r="X591">
        <v>2.2999999999999998</v>
      </c>
      <c r="Y591">
        <v>8.9984350547730827E-3</v>
      </c>
      <c r="Z591">
        <v>0</v>
      </c>
      <c r="AA591">
        <v>0</v>
      </c>
      <c r="AB591">
        <v>30.4</v>
      </c>
      <c r="AC591">
        <v>9.5</v>
      </c>
      <c r="AD591">
        <v>28.5</v>
      </c>
      <c r="AI59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2.5</v>
      </c>
      <c r="AK591" t="s">
        <v>51</v>
      </c>
      <c r="AL591">
        <v>4</v>
      </c>
      <c r="AM591">
        <v>4</v>
      </c>
      <c r="AN591">
        <f>INT(Table1[[#This Row],[reject_prod]]/Table1[[#This Row],[part_weight]] * 1000)</f>
        <v>0</v>
      </c>
    </row>
    <row r="592" spans="1:40">
      <c r="A592" s="1">
        <v>46041</v>
      </c>
      <c r="B592">
        <v>1</v>
      </c>
      <c r="C592">
        <v>9</v>
      </c>
      <c r="D592" t="s">
        <v>33</v>
      </c>
      <c r="E592" t="s">
        <v>46</v>
      </c>
      <c r="F592">
        <v>586276</v>
      </c>
      <c r="G592">
        <v>0</v>
      </c>
      <c r="H592" t="s">
        <v>47</v>
      </c>
      <c r="I592">
        <v>10682924</v>
      </c>
      <c r="J592">
        <v>6</v>
      </c>
      <c r="K592">
        <v>12.3</v>
      </c>
      <c r="L592">
        <v>12.3</v>
      </c>
      <c r="M592">
        <v>0</v>
      </c>
      <c r="N592" s="2">
        <v>162000</v>
      </c>
      <c r="O592" s="2">
        <v>7290</v>
      </c>
      <c r="P592" s="2">
        <v>7290</v>
      </c>
      <c r="Q592" s="2">
        <v>0</v>
      </c>
      <c r="R592" s="2">
        <v>0</v>
      </c>
      <c r="S592">
        <v>0</v>
      </c>
      <c r="T592" s="2">
        <v>80190</v>
      </c>
      <c r="U592" s="2">
        <v>81810</v>
      </c>
      <c r="V592">
        <v>0</v>
      </c>
      <c r="W592">
        <v>0</v>
      </c>
      <c r="X592">
        <v>0</v>
      </c>
      <c r="Y592" t="e">
        <v>#DIV/0!</v>
      </c>
      <c r="Z592">
        <v>0</v>
      </c>
      <c r="AA592" t="e">
        <v>#DIV/0!</v>
      </c>
      <c r="AB592">
        <v>26.2</v>
      </c>
      <c r="AC592">
        <v>0</v>
      </c>
      <c r="AD592">
        <v>26</v>
      </c>
      <c r="AI59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592" t="s">
        <v>357</v>
      </c>
      <c r="AN592">
        <f>INT(Table1[[#This Row],[reject_prod]]/Table1[[#This Row],[part_weight]] * 1000)</f>
        <v>0</v>
      </c>
    </row>
    <row r="593" spans="1:40">
      <c r="A593" s="1">
        <v>46041</v>
      </c>
      <c r="B593">
        <v>1</v>
      </c>
      <c r="C593">
        <v>10</v>
      </c>
      <c r="D593" t="s">
        <v>84</v>
      </c>
      <c r="E593" t="s">
        <v>34</v>
      </c>
      <c r="F593">
        <v>323092</v>
      </c>
      <c r="G593">
        <v>0</v>
      </c>
      <c r="H593" t="s">
        <v>377</v>
      </c>
      <c r="I593">
        <v>10684857</v>
      </c>
      <c r="J593">
        <v>4</v>
      </c>
      <c r="K593">
        <v>48.9</v>
      </c>
      <c r="L593">
        <v>48.9</v>
      </c>
      <c r="M593">
        <v>1210</v>
      </c>
      <c r="N593" s="2">
        <v>37800</v>
      </c>
      <c r="O593" s="2">
        <v>0</v>
      </c>
      <c r="P593" s="2">
        <v>105</v>
      </c>
      <c r="Q593" s="2">
        <v>4840</v>
      </c>
      <c r="R593" s="2">
        <v>4725</v>
      </c>
      <c r="S593">
        <v>231.05250000000001</v>
      </c>
      <c r="T593" s="2">
        <v>12180</v>
      </c>
      <c r="U593" s="2">
        <v>25620</v>
      </c>
      <c r="V593">
        <v>236.67599999999999</v>
      </c>
      <c r="W593">
        <v>0</v>
      </c>
      <c r="X593">
        <v>2.8</v>
      </c>
      <c r="Y593">
        <v>1.1830519359799896E-2</v>
      </c>
      <c r="Z593">
        <v>2</v>
      </c>
      <c r="AA593">
        <v>8.4503709712856392E-3</v>
      </c>
      <c r="AB593">
        <v>27.4</v>
      </c>
      <c r="AC593">
        <v>9.2094444444444452</v>
      </c>
      <c r="AD593">
        <v>27.6</v>
      </c>
      <c r="AI59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2.7905555555555548</v>
      </c>
      <c r="AK593" t="s">
        <v>403</v>
      </c>
      <c r="AL593">
        <v>4</v>
      </c>
      <c r="AM593">
        <v>2</v>
      </c>
      <c r="AN593">
        <f>INT(Table1[[#This Row],[reject_prod]]/Table1[[#This Row],[part_weight]] * 1000)</f>
        <v>40</v>
      </c>
    </row>
    <row r="594" spans="1:40">
      <c r="A594" s="1">
        <v>46041</v>
      </c>
      <c r="B594">
        <v>1</v>
      </c>
      <c r="C594">
        <v>11</v>
      </c>
      <c r="D594" t="s">
        <v>59</v>
      </c>
      <c r="E594" t="s">
        <v>46</v>
      </c>
      <c r="F594">
        <v>552181</v>
      </c>
      <c r="G594">
        <v>1</v>
      </c>
      <c r="H594" t="s">
        <v>49</v>
      </c>
      <c r="I594">
        <v>10683782</v>
      </c>
      <c r="J594">
        <v>6</v>
      </c>
      <c r="K594">
        <v>18.8</v>
      </c>
      <c r="L594">
        <v>18.8</v>
      </c>
      <c r="M594">
        <v>1030</v>
      </c>
      <c r="N594" s="2">
        <v>108000</v>
      </c>
      <c r="O594" s="2">
        <v>1890</v>
      </c>
      <c r="P594" s="2">
        <v>7830</v>
      </c>
      <c r="Q594" s="2">
        <v>6180</v>
      </c>
      <c r="R594" s="2">
        <v>0</v>
      </c>
      <c r="S594">
        <v>0</v>
      </c>
      <c r="T594" s="2">
        <v>94230</v>
      </c>
      <c r="U594" s="2">
        <v>13770</v>
      </c>
      <c r="V594">
        <v>116.184</v>
      </c>
      <c r="W594">
        <v>0</v>
      </c>
      <c r="X594">
        <v>2.6</v>
      </c>
      <c r="Y594">
        <v>2.237829649521449E-2</v>
      </c>
      <c r="Z594">
        <v>2</v>
      </c>
      <c r="AA594">
        <v>1.7214074227088066E-2</v>
      </c>
      <c r="AB594">
        <v>30.5</v>
      </c>
      <c r="AC594">
        <v>8.7263888888888896</v>
      </c>
      <c r="AD594">
        <v>27</v>
      </c>
      <c r="AI59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3.2736111111111104</v>
      </c>
      <c r="AK594" t="s">
        <v>404</v>
      </c>
      <c r="AL594">
        <v>1</v>
      </c>
      <c r="AM594">
        <v>1</v>
      </c>
      <c r="AN594">
        <f>INT(Table1[[#This Row],[reject_prod]]/Table1[[#This Row],[part_weight]] * 1000)</f>
        <v>106</v>
      </c>
    </row>
    <row r="595" spans="1:40">
      <c r="A595" s="1">
        <v>46041</v>
      </c>
      <c r="B595">
        <v>1</v>
      </c>
      <c r="C595">
        <v>12</v>
      </c>
      <c r="D595" t="s">
        <v>54</v>
      </c>
      <c r="E595" t="s">
        <v>34</v>
      </c>
      <c r="F595">
        <v>620599</v>
      </c>
      <c r="G595">
        <v>0</v>
      </c>
      <c r="H595" t="s">
        <v>50</v>
      </c>
      <c r="I595">
        <v>10682929</v>
      </c>
      <c r="J595">
        <v>4</v>
      </c>
      <c r="K595">
        <v>55</v>
      </c>
      <c r="L595">
        <v>55</v>
      </c>
      <c r="M595">
        <v>1185</v>
      </c>
      <c r="N595" s="2">
        <v>72000</v>
      </c>
      <c r="O595" s="2">
        <v>1575</v>
      </c>
      <c r="P595" s="2">
        <v>900</v>
      </c>
      <c r="Q595" s="2">
        <v>4740</v>
      </c>
      <c r="R595" s="2">
        <v>5400</v>
      </c>
      <c r="S595">
        <v>297</v>
      </c>
      <c r="T595" s="2">
        <v>63900</v>
      </c>
      <c r="U595" s="2">
        <v>8100</v>
      </c>
      <c r="V595">
        <v>260.7</v>
      </c>
      <c r="W595">
        <v>0</v>
      </c>
      <c r="X595">
        <v>5.6</v>
      </c>
      <c r="Y595">
        <v>2.1480629075565784E-2</v>
      </c>
      <c r="Z595">
        <v>0</v>
      </c>
      <c r="AA595">
        <v>0</v>
      </c>
      <c r="AB595">
        <v>29.3</v>
      </c>
      <c r="AC595">
        <v>9.6445833333333351</v>
      </c>
      <c r="AD595">
        <v>28</v>
      </c>
      <c r="AI59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2.3554166666666649</v>
      </c>
      <c r="AK595" t="s">
        <v>405</v>
      </c>
      <c r="AL595">
        <v>2</v>
      </c>
      <c r="AM595">
        <v>3</v>
      </c>
      <c r="AN595">
        <f>INT(Table1[[#This Row],[reject_prod]]/Table1[[#This Row],[part_weight]] * 1000)</f>
        <v>0</v>
      </c>
    </row>
    <row r="596" spans="1:40">
      <c r="A596" s="1">
        <v>46041</v>
      </c>
      <c r="B596">
        <v>1</v>
      </c>
      <c r="C596">
        <v>13</v>
      </c>
      <c r="D596" t="s">
        <v>59</v>
      </c>
      <c r="E596" t="s">
        <v>46</v>
      </c>
      <c r="F596">
        <v>586276</v>
      </c>
      <c r="G596">
        <v>0</v>
      </c>
      <c r="H596" t="s">
        <v>47</v>
      </c>
      <c r="I596">
        <v>10683784</v>
      </c>
      <c r="J596">
        <v>6</v>
      </c>
      <c r="K596">
        <v>12.3</v>
      </c>
      <c r="L596">
        <v>12.3</v>
      </c>
      <c r="M596">
        <v>1230</v>
      </c>
      <c r="N596" s="2">
        <v>162000</v>
      </c>
      <c r="O596" s="2">
        <v>2430</v>
      </c>
      <c r="P596" s="2">
        <v>1620</v>
      </c>
      <c r="Q596" s="2">
        <v>7380</v>
      </c>
      <c r="R596" s="2">
        <v>8100</v>
      </c>
      <c r="S596">
        <v>99.63</v>
      </c>
      <c r="T596" s="2">
        <v>98820</v>
      </c>
      <c r="U596" s="2">
        <v>63180</v>
      </c>
      <c r="V596">
        <v>90.774000000000001</v>
      </c>
      <c r="W596">
        <v>0</v>
      </c>
      <c r="X596">
        <v>2.8</v>
      </c>
      <c r="Y596">
        <v>3.0845836913653685E-2</v>
      </c>
      <c r="Z596">
        <v>0</v>
      </c>
      <c r="AA596">
        <v>0</v>
      </c>
      <c r="AB596">
        <v>26.2</v>
      </c>
      <c r="AC596">
        <v>8.9516666666666662</v>
      </c>
      <c r="AD596">
        <v>26</v>
      </c>
      <c r="AI59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3.0483333333333338</v>
      </c>
      <c r="AK596" t="s">
        <v>51</v>
      </c>
      <c r="AL596">
        <v>1</v>
      </c>
      <c r="AM596">
        <v>1</v>
      </c>
      <c r="AN596">
        <f>INT(Table1[[#This Row],[reject_prod]]/Table1[[#This Row],[part_weight]] * 1000)</f>
        <v>0</v>
      </c>
    </row>
    <row r="597" spans="1:40">
      <c r="A597" s="1">
        <v>46041</v>
      </c>
      <c r="B597">
        <v>1</v>
      </c>
      <c r="C597">
        <v>14</v>
      </c>
      <c r="D597" t="s">
        <v>392</v>
      </c>
      <c r="E597" t="s">
        <v>46</v>
      </c>
      <c r="F597">
        <v>555979</v>
      </c>
      <c r="G597">
        <v>1</v>
      </c>
      <c r="H597" t="s">
        <v>52</v>
      </c>
      <c r="I597">
        <v>10683785</v>
      </c>
      <c r="J597">
        <v>6</v>
      </c>
      <c r="K597">
        <v>28</v>
      </c>
      <c r="L597">
        <v>28</v>
      </c>
      <c r="M597">
        <v>740</v>
      </c>
      <c r="N597" s="2">
        <v>100800</v>
      </c>
      <c r="O597" s="2">
        <v>2688</v>
      </c>
      <c r="P597" s="2">
        <v>336</v>
      </c>
      <c r="Q597" s="2">
        <v>4440</v>
      </c>
      <c r="R597" s="2">
        <v>6720</v>
      </c>
      <c r="S597">
        <v>188.16</v>
      </c>
      <c r="T597" s="2">
        <v>10416</v>
      </c>
      <c r="U597" s="2">
        <v>90384</v>
      </c>
      <c r="V597">
        <v>124.32</v>
      </c>
      <c r="W597">
        <v>0</v>
      </c>
      <c r="X597">
        <v>2</v>
      </c>
      <c r="Y597">
        <v>1.6087516087516088E-2</v>
      </c>
      <c r="Z597">
        <v>0</v>
      </c>
      <c r="AA597">
        <v>0</v>
      </c>
      <c r="AB597">
        <v>43</v>
      </c>
      <c r="AC597">
        <v>8.8388888888888886</v>
      </c>
      <c r="AD597">
        <v>42</v>
      </c>
      <c r="AI59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3.1611111111111114</v>
      </c>
      <c r="AK597" t="s">
        <v>51</v>
      </c>
      <c r="AL597">
        <v>1</v>
      </c>
      <c r="AM597">
        <v>1</v>
      </c>
      <c r="AN597">
        <f>INT(Table1[[#This Row],[reject_prod]]/Table1[[#This Row],[part_weight]] * 1000)</f>
        <v>0</v>
      </c>
    </row>
    <row r="598" spans="1:40">
      <c r="A598" s="1">
        <v>46041</v>
      </c>
      <c r="B598">
        <v>1</v>
      </c>
      <c r="C598">
        <v>15</v>
      </c>
      <c r="D598" t="s">
        <v>59</v>
      </c>
      <c r="E598" t="s">
        <v>46</v>
      </c>
      <c r="F598">
        <v>552181</v>
      </c>
      <c r="G598">
        <v>2</v>
      </c>
      <c r="H598" t="s">
        <v>49</v>
      </c>
      <c r="I598">
        <v>10683786</v>
      </c>
      <c r="J598">
        <v>6</v>
      </c>
      <c r="K598">
        <v>18.8</v>
      </c>
      <c r="L598">
        <v>18.8</v>
      </c>
      <c r="M598">
        <v>1190</v>
      </c>
      <c r="N598" s="2">
        <v>108000</v>
      </c>
      <c r="O598" s="2">
        <v>2970</v>
      </c>
      <c r="P598" s="2">
        <v>0</v>
      </c>
      <c r="Q598" s="2">
        <v>7140</v>
      </c>
      <c r="R598" s="2">
        <v>10800</v>
      </c>
      <c r="S598">
        <v>203.04</v>
      </c>
      <c r="T598" s="2">
        <v>65070</v>
      </c>
      <c r="U598" s="2">
        <v>42930</v>
      </c>
      <c r="V598">
        <v>134.232</v>
      </c>
      <c r="W598">
        <v>0</v>
      </c>
      <c r="X598">
        <v>1.2</v>
      </c>
      <c r="Y598">
        <v>8.939746111210442E-3</v>
      </c>
      <c r="Z598">
        <v>0</v>
      </c>
      <c r="AA598">
        <v>0</v>
      </c>
      <c r="AB598">
        <v>31.2</v>
      </c>
      <c r="AC598">
        <v>10.313333333333333</v>
      </c>
      <c r="AD598">
        <v>27</v>
      </c>
      <c r="AI59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1.6866666666666674</v>
      </c>
      <c r="AK598" t="s">
        <v>51</v>
      </c>
      <c r="AL598">
        <v>1</v>
      </c>
      <c r="AM598">
        <v>1</v>
      </c>
      <c r="AN598">
        <f>INT(Table1[[#This Row],[reject_prod]]/Table1[[#This Row],[part_weight]] * 1000)</f>
        <v>0</v>
      </c>
    </row>
    <row r="599" spans="1:40" s="4" customFormat="1">
      <c r="A599" s="3">
        <v>46041</v>
      </c>
      <c r="B599" s="4">
        <v>1</v>
      </c>
      <c r="C599" s="4">
        <v>16</v>
      </c>
      <c r="D599" s="4" t="s">
        <v>117</v>
      </c>
      <c r="E599" s="4" t="s">
        <v>46</v>
      </c>
      <c r="F599" s="4">
        <v>555979</v>
      </c>
      <c r="G599" s="4">
        <v>2</v>
      </c>
      <c r="H599" s="4" t="s">
        <v>52</v>
      </c>
      <c r="I599" s="4">
        <v>10683788</v>
      </c>
      <c r="J599" s="4">
        <v>6</v>
      </c>
      <c r="K599" s="4">
        <v>28</v>
      </c>
      <c r="L599" s="4">
        <v>28</v>
      </c>
      <c r="M599" s="4">
        <v>730</v>
      </c>
      <c r="N599" s="5">
        <v>100800</v>
      </c>
      <c r="O599" s="5">
        <v>1176</v>
      </c>
      <c r="P599" s="5">
        <v>2184</v>
      </c>
      <c r="Q599" s="5">
        <v>4380</v>
      </c>
      <c r="R599" s="5">
        <v>3360</v>
      </c>
      <c r="S599" s="4">
        <v>94.08</v>
      </c>
      <c r="T599" s="5">
        <v>50400</v>
      </c>
      <c r="U599" s="5">
        <v>50400</v>
      </c>
      <c r="V599" s="4">
        <v>122.64</v>
      </c>
      <c r="W599" s="4">
        <v>0</v>
      </c>
      <c r="X599" s="4">
        <v>1.8</v>
      </c>
      <c r="Y599" s="4">
        <v>1.467710371819961E-2</v>
      </c>
      <c r="Z599" s="4">
        <v>0</v>
      </c>
      <c r="AA599" s="4">
        <v>0</v>
      </c>
      <c r="AB599" s="4">
        <v>43.7</v>
      </c>
      <c r="AC599" s="4">
        <v>8.8613888888888894</v>
      </c>
      <c r="AD599" s="4">
        <v>42</v>
      </c>
      <c r="AI599" s="4">
        <f>12 - Table1[[#This Row],[production_running]] - Table1[[#This Row],[ change_full_set ]] - Table1[[#This Row],[ change_half_set ]] - Table1[[#This Row],[ change_parts ]] - Table1[[#This Row],[ maintenance_dt ]] - Table1[[#This Row],[production_dt]]</f>
        <v>3.1386111111111106</v>
      </c>
      <c r="AK599" s="4" t="s">
        <v>51</v>
      </c>
      <c r="AL599" s="4">
        <v>2</v>
      </c>
      <c r="AM599" s="4">
        <v>1</v>
      </c>
      <c r="AN599" s="4">
        <f>INT(Table1[[#This Row],[reject_prod]]/Table1[[#This Row],[part_weight]] * 1000)</f>
        <v>0</v>
      </c>
    </row>
    <row r="600" spans="1:40">
      <c r="A600" s="1">
        <v>46041</v>
      </c>
      <c r="B600">
        <v>2</v>
      </c>
      <c r="C600">
        <v>1</v>
      </c>
      <c r="D600" t="s">
        <v>152</v>
      </c>
      <c r="E600" t="s">
        <v>34</v>
      </c>
      <c r="F600">
        <v>577492</v>
      </c>
      <c r="G600">
        <v>0</v>
      </c>
      <c r="H600" t="s">
        <v>341</v>
      </c>
      <c r="I600">
        <v>10683850</v>
      </c>
      <c r="J600">
        <v>4</v>
      </c>
      <c r="K600">
        <v>35.6</v>
      </c>
      <c r="L600">
        <v>35.6</v>
      </c>
      <c r="M600">
        <v>1574</v>
      </c>
      <c r="N600" s="2">
        <v>40480</v>
      </c>
      <c r="O600" s="2">
        <v>368</v>
      </c>
      <c r="P600" s="2">
        <v>1104</v>
      </c>
      <c r="Q600" s="2">
        <v>6296</v>
      </c>
      <c r="R600" s="2">
        <v>5520</v>
      </c>
      <c r="S600">
        <v>196.512</v>
      </c>
      <c r="T600" s="2">
        <v>36064</v>
      </c>
      <c r="U600" s="2">
        <v>4416</v>
      </c>
      <c r="V600">
        <v>224.13759999999999</v>
      </c>
      <c r="W600">
        <v>0</v>
      </c>
      <c r="X600">
        <v>0</v>
      </c>
      <c r="Y600">
        <v>0</v>
      </c>
      <c r="Z600">
        <v>1.4</v>
      </c>
      <c r="AA600">
        <v>6.2461630712562282E-3</v>
      </c>
      <c r="AB600">
        <v>27.4</v>
      </c>
      <c r="AC600">
        <v>11.979888888888889</v>
      </c>
      <c r="AD600">
        <v>27</v>
      </c>
      <c r="AI60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2.0111111111111413E-2</v>
      </c>
      <c r="AK600" t="s">
        <v>406</v>
      </c>
      <c r="AN600">
        <f>INT(Table1[[#This Row],[reject_prod]]/Table1[[#This Row],[part_weight]] * 1000)</f>
        <v>39</v>
      </c>
    </row>
    <row r="601" spans="1:40">
      <c r="A601" s="1">
        <v>46041</v>
      </c>
      <c r="B601">
        <v>2</v>
      </c>
      <c r="C601">
        <v>2</v>
      </c>
      <c r="D601" t="s">
        <v>33</v>
      </c>
      <c r="E601" t="s">
        <v>34</v>
      </c>
      <c r="F601">
        <v>416201</v>
      </c>
      <c r="G601">
        <v>0</v>
      </c>
      <c r="H601" t="s">
        <v>36</v>
      </c>
      <c r="I601">
        <v>10681779</v>
      </c>
      <c r="J601">
        <v>4</v>
      </c>
      <c r="K601">
        <v>20</v>
      </c>
      <c r="L601">
        <v>30</v>
      </c>
      <c r="M601">
        <v>0</v>
      </c>
      <c r="N601" s="2">
        <v>50400</v>
      </c>
      <c r="O601" s="2">
        <v>0</v>
      </c>
      <c r="P601" s="2">
        <v>0</v>
      </c>
      <c r="Q601" s="2">
        <v>0</v>
      </c>
      <c r="R601" s="2">
        <v>0</v>
      </c>
      <c r="S601">
        <v>0</v>
      </c>
      <c r="T601" s="2">
        <v>0</v>
      </c>
      <c r="U601" s="2">
        <v>50400</v>
      </c>
      <c r="V601">
        <v>0</v>
      </c>
      <c r="W601">
        <v>0</v>
      </c>
      <c r="X601">
        <v>0</v>
      </c>
      <c r="Y601" t="e">
        <v>#DIV/0!</v>
      </c>
      <c r="Z601">
        <v>0</v>
      </c>
      <c r="AA601" t="e">
        <v>#DIV/0!</v>
      </c>
      <c r="AB601">
        <v>38.6</v>
      </c>
      <c r="AC601">
        <v>0</v>
      </c>
      <c r="AD601">
        <v>38.64</v>
      </c>
      <c r="AI60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601" t="s">
        <v>387</v>
      </c>
      <c r="AN601">
        <f>INT(Table1[[#This Row],[reject_prod]]/Table1[[#This Row],[part_weight]] * 1000)</f>
        <v>0</v>
      </c>
    </row>
    <row r="602" spans="1:40">
      <c r="A602" s="1">
        <v>46041</v>
      </c>
      <c r="B602">
        <v>2</v>
      </c>
      <c r="C602">
        <v>3</v>
      </c>
      <c r="D602" t="s">
        <v>33</v>
      </c>
      <c r="E602" t="s">
        <v>34</v>
      </c>
      <c r="F602">
        <v>442034</v>
      </c>
      <c r="G602">
        <v>0</v>
      </c>
      <c r="H602" t="s">
        <v>37</v>
      </c>
      <c r="I602">
        <v>10681184</v>
      </c>
      <c r="J602">
        <v>4</v>
      </c>
      <c r="K602">
        <v>23</v>
      </c>
      <c r="L602">
        <v>23</v>
      </c>
      <c r="M602">
        <v>0</v>
      </c>
      <c r="N602" s="2">
        <v>139776</v>
      </c>
      <c r="O602" s="2">
        <v>1650</v>
      </c>
      <c r="P602" s="2">
        <v>1650</v>
      </c>
      <c r="Q602" s="2">
        <v>0</v>
      </c>
      <c r="R602" s="2">
        <v>0</v>
      </c>
      <c r="S602">
        <v>0</v>
      </c>
      <c r="T602" s="2">
        <v>1650</v>
      </c>
      <c r="U602" s="2">
        <v>138126</v>
      </c>
      <c r="V602">
        <v>0</v>
      </c>
      <c r="W602">
        <v>0</v>
      </c>
      <c r="X602">
        <v>0</v>
      </c>
      <c r="Y602" t="e">
        <v>#DIV/0!</v>
      </c>
      <c r="Z602">
        <v>0</v>
      </c>
      <c r="AA602" t="e">
        <v>#DIV/0!</v>
      </c>
      <c r="AB602">
        <v>26.7</v>
      </c>
      <c r="AC602">
        <v>0</v>
      </c>
      <c r="AD602">
        <v>22</v>
      </c>
      <c r="AI60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602" t="s">
        <v>407</v>
      </c>
      <c r="AN602">
        <f>INT(Table1[[#This Row],[reject_prod]]/Table1[[#This Row],[part_weight]] * 1000)</f>
        <v>0</v>
      </c>
    </row>
    <row r="603" spans="1:40">
      <c r="A603" s="1">
        <v>46041</v>
      </c>
      <c r="B603">
        <v>2</v>
      </c>
      <c r="C603">
        <v>4</v>
      </c>
      <c r="D603" t="s">
        <v>40</v>
      </c>
      <c r="E603" t="s">
        <v>34</v>
      </c>
      <c r="F603">
        <v>402305</v>
      </c>
      <c r="G603">
        <v>0</v>
      </c>
      <c r="H603" t="s">
        <v>395</v>
      </c>
      <c r="I603">
        <v>10684852</v>
      </c>
      <c r="J603">
        <v>4</v>
      </c>
      <c r="K603">
        <v>29</v>
      </c>
      <c r="L603">
        <v>29</v>
      </c>
      <c r="M603">
        <v>585</v>
      </c>
      <c r="N603" s="2">
        <v>64896</v>
      </c>
      <c r="O603" s="2">
        <v>0</v>
      </c>
      <c r="P603" s="2">
        <v>832</v>
      </c>
      <c r="Q603" s="2">
        <v>2340</v>
      </c>
      <c r="R603" s="2">
        <v>1248</v>
      </c>
      <c r="S603">
        <v>36.192</v>
      </c>
      <c r="T603" s="2">
        <v>2080</v>
      </c>
      <c r="U603" s="2">
        <v>62816</v>
      </c>
      <c r="V603">
        <v>67.86</v>
      </c>
      <c r="W603">
        <v>0</v>
      </c>
      <c r="X603">
        <v>7</v>
      </c>
      <c r="Y603">
        <v>0.1031535514294135</v>
      </c>
      <c r="Z603">
        <v>0.5</v>
      </c>
      <c r="AA603">
        <v>7.3681108163866785E-3</v>
      </c>
      <c r="AB603">
        <v>24.4</v>
      </c>
      <c r="AC603">
        <v>3.9649999999999999</v>
      </c>
      <c r="AD603">
        <v>22</v>
      </c>
      <c r="AI60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8.0350000000000001</v>
      </c>
      <c r="AK603" t="s">
        <v>408</v>
      </c>
      <c r="AN603">
        <f>INT(Table1[[#This Row],[reject_prod]]/Table1[[#This Row],[part_weight]] * 1000)</f>
        <v>17</v>
      </c>
    </row>
    <row r="604" spans="1:40">
      <c r="A604" s="1">
        <v>46041</v>
      </c>
      <c r="B604">
        <v>2</v>
      </c>
      <c r="C604">
        <v>5</v>
      </c>
      <c r="D604" t="s">
        <v>393</v>
      </c>
      <c r="E604" t="s">
        <v>34</v>
      </c>
      <c r="F604">
        <v>322383</v>
      </c>
      <c r="G604">
        <v>0</v>
      </c>
      <c r="H604" t="s">
        <v>71</v>
      </c>
      <c r="I604">
        <v>10682756</v>
      </c>
      <c r="J604">
        <v>4</v>
      </c>
      <c r="K604">
        <v>12.5</v>
      </c>
      <c r="L604">
        <v>12.5</v>
      </c>
      <c r="M604">
        <v>512</v>
      </c>
      <c r="N604" s="2">
        <v>66000</v>
      </c>
      <c r="O604" s="2">
        <v>0</v>
      </c>
      <c r="P604" s="2">
        <v>1700</v>
      </c>
      <c r="Q604" s="2">
        <v>2048</v>
      </c>
      <c r="R604" s="2">
        <v>0</v>
      </c>
      <c r="S604">
        <v>0</v>
      </c>
      <c r="T604" s="2">
        <v>1700</v>
      </c>
      <c r="U604" s="2">
        <v>64300</v>
      </c>
      <c r="V604">
        <v>25.6</v>
      </c>
      <c r="W604">
        <v>0</v>
      </c>
      <c r="X604">
        <v>4</v>
      </c>
      <c r="Y604">
        <v>0.15625</v>
      </c>
      <c r="Z604">
        <v>0.5</v>
      </c>
      <c r="AA604">
        <v>1.953125E-2</v>
      </c>
      <c r="AB604">
        <v>20.9</v>
      </c>
      <c r="AC604">
        <v>2.9724444444444442</v>
      </c>
      <c r="AD604">
        <v>17.920000000000002</v>
      </c>
      <c r="AI60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9.0275555555555549</v>
      </c>
      <c r="AK604" t="s">
        <v>409</v>
      </c>
      <c r="AN604">
        <f>INT(Table1[[#This Row],[reject_prod]]/Table1[[#This Row],[part_weight]] * 1000)</f>
        <v>40</v>
      </c>
    </row>
    <row r="605" spans="1:40">
      <c r="A605" s="1">
        <v>46041</v>
      </c>
      <c r="B605">
        <v>2</v>
      </c>
      <c r="C605">
        <v>6</v>
      </c>
      <c r="D605" t="s">
        <v>65</v>
      </c>
      <c r="E605" t="s">
        <v>34</v>
      </c>
      <c r="F605">
        <v>322409</v>
      </c>
      <c r="G605">
        <v>0</v>
      </c>
      <c r="H605" t="s">
        <v>400</v>
      </c>
      <c r="I605">
        <v>10683854</v>
      </c>
      <c r="J605">
        <v>4</v>
      </c>
      <c r="K605">
        <v>24</v>
      </c>
      <c r="L605">
        <v>24</v>
      </c>
      <c r="M605">
        <v>1050</v>
      </c>
      <c r="N605" s="2">
        <v>70200</v>
      </c>
      <c r="O605" s="2">
        <v>0</v>
      </c>
      <c r="P605" s="2">
        <v>0</v>
      </c>
      <c r="Q605" s="2">
        <v>4200</v>
      </c>
      <c r="R605" s="2">
        <v>3510</v>
      </c>
      <c r="S605">
        <v>84.24</v>
      </c>
      <c r="T605" s="2">
        <v>3510</v>
      </c>
      <c r="U605" s="2">
        <v>66690</v>
      </c>
      <c r="V605">
        <v>100.8</v>
      </c>
      <c r="W605">
        <v>0</v>
      </c>
      <c r="X605">
        <v>15</v>
      </c>
      <c r="Y605">
        <v>0.14880952380952381</v>
      </c>
      <c r="Z605">
        <v>1.5</v>
      </c>
      <c r="AA605">
        <v>1.4880952380952382E-2</v>
      </c>
      <c r="AB605">
        <v>20</v>
      </c>
      <c r="AC605">
        <v>5.8333333333333339</v>
      </c>
      <c r="AD605">
        <v>20</v>
      </c>
      <c r="AG605">
        <v>1.5</v>
      </c>
      <c r="AI60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4.6666666666666661</v>
      </c>
      <c r="AK605" t="s">
        <v>410</v>
      </c>
      <c r="AN605">
        <f>INT(Table1[[#This Row],[reject_prod]]/Table1[[#This Row],[part_weight]] * 1000)</f>
        <v>62</v>
      </c>
    </row>
    <row r="606" spans="1:40">
      <c r="A606" s="1">
        <v>46041</v>
      </c>
      <c r="B606">
        <v>2</v>
      </c>
      <c r="C606">
        <v>7</v>
      </c>
      <c r="D606" t="s">
        <v>141</v>
      </c>
      <c r="E606" t="s">
        <v>34</v>
      </c>
      <c r="F606">
        <v>322452</v>
      </c>
      <c r="G606">
        <v>0</v>
      </c>
      <c r="H606" t="s">
        <v>374</v>
      </c>
      <c r="I606">
        <v>10683857</v>
      </c>
      <c r="J606">
        <v>4</v>
      </c>
      <c r="K606">
        <v>33.11</v>
      </c>
      <c r="L606">
        <v>34.5</v>
      </c>
      <c r="M606">
        <v>1816</v>
      </c>
      <c r="N606" s="2">
        <v>44928</v>
      </c>
      <c r="O606" s="2">
        <v>416</v>
      </c>
      <c r="P606" s="2">
        <v>0</v>
      </c>
      <c r="Q606" s="2">
        <v>7264</v>
      </c>
      <c r="R606" s="2">
        <v>7488</v>
      </c>
      <c r="S606">
        <v>258.33600000000001</v>
      </c>
      <c r="T606" s="2">
        <v>12480</v>
      </c>
      <c r="U606" s="2">
        <v>32448</v>
      </c>
      <c r="V606">
        <v>250.608</v>
      </c>
      <c r="W606">
        <v>0</v>
      </c>
      <c r="X606">
        <v>0</v>
      </c>
      <c r="Y606">
        <v>0</v>
      </c>
      <c r="Z606">
        <v>6.7</v>
      </c>
      <c r="AA606">
        <v>2.6734980527357465E-2</v>
      </c>
      <c r="AB606">
        <v>23.6</v>
      </c>
      <c r="AC606">
        <v>11.904888888888889</v>
      </c>
      <c r="AD606">
        <v>18.04</v>
      </c>
      <c r="AI60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9.5111111111110702E-2</v>
      </c>
      <c r="AK606" t="s">
        <v>411</v>
      </c>
      <c r="AN606">
        <f>INT(Table1[[#This Row],[reject_prod]]/Table1[[#This Row],[part_weight]] * 1000)</f>
        <v>194</v>
      </c>
    </row>
    <row r="607" spans="1:40">
      <c r="A607" s="1">
        <v>46041</v>
      </c>
      <c r="B607">
        <v>2</v>
      </c>
      <c r="C607">
        <v>8</v>
      </c>
      <c r="D607" t="s">
        <v>67</v>
      </c>
      <c r="E607" t="s">
        <v>41</v>
      </c>
      <c r="F607">
        <v>593537</v>
      </c>
      <c r="G607">
        <v>0</v>
      </c>
      <c r="H607" t="s">
        <v>48</v>
      </c>
      <c r="I607">
        <v>10682926</v>
      </c>
      <c r="J607">
        <v>4</v>
      </c>
      <c r="K607">
        <v>56.5</v>
      </c>
      <c r="L607">
        <v>56.8</v>
      </c>
      <c r="M607">
        <v>1190</v>
      </c>
      <c r="N607" s="2">
        <v>69000</v>
      </c>
      <c r="O607" s="2">
        <v>460</v>
      </c>
      <c r="P607" s="2">
        <v>0</v>
      </c>
      <c r="Q607" s="2">
        <v>4760</v>
      </c>
      <c r="R607" s="2">
        <v>5175</v>
      </c>
      <c r="S607">
        <v>293.94</v>
      </c>
      <c r="T607" s="2">
        <v>69000</v>
      </c>
      <c r="U607" s="2">
        <v>0</v>
      </c>
      <c r="V607">
        <v>270.36799999999999</v>
      </c>
      <c r="W607">
        <v>0</v>
      </c>
      <c r="X607">
        <v>0</v>
      </c>
      <c r="Y607">
        <v>0</v>
      </c>
      <c r="Z607">
        <v>2.5</v>
      </c>
      <c r="AA607">
        <v>9.2466564090424898E-3</v>
      </c>
      <c r="AB607">
        <v>30.4</v>
      </c>
      <c r="AC607">
        <v>10.048888888888888</v>
      </c>
      <c r="AD607">
        <v>28.5</v>
      </c>
      <c r="AI60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1.9511111111111124</v>
      </c>
      <c r="AK607" t="s">
        <v>102</v>
      </c>
      <c r="AN607">
        <f>INT(Table1[[#This Row],[reject_prod]]/Table1[[#This Row],[part_weight]] * 1000)</f>
        <v>44</v>
      </c>
    </row>
    <row r="608" spans="1:40">
      <c r="A608" s="1">
        <v>46041</v>
      </c>
      <c r="B608">
        <v>2</v>
      </c>
      <c r="C608">
        <v>8</v>
      </c>
      <c r="D608" t="s">
        <v>67</v>
      </c>
      <c r="E608" t="s">
        <v>41</v>
      </c>
      <c r="F608">
        <v>593537</v>
      </c>
      <c r="G608">
        <v>0</v>
      </c>
      <c r="H608" t="s">
        <v>48</v>
      </c>
      <c r="I608">
        <v>10685022</v>
      </c>
      <c r="J608">
        <v>4</v>
      </c>
      <c r="K608">
        <v>56.5</v>
      </c>
      <c r="L608">
        <v>56.8</v>
      </c>
      <c r="M608">
        <v>230</v>
      </c>
      <c r="N608" s="2">
        <v>69000</v>
      </c>
      <c r="O608" s="2">
        <v>0</v>
      </c>
      <c r="P608" s="2">
        <v>345</v>
      </c>
      <c r="Q608" s="2">
        <v>920</v>
      </c>
      <c r="R608" s="2">
        <v>575</v>
      </c>
      <c r="S608">
        <v>32.659999999999997</v>
      </c>
      <c r="T608" s="2">
        <v>920</v>
      </c>
      <c r="U608" s="2">
        <v>68080</v>
      </c>
      <c r="V608">
        <v>52.256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30.4</v>
      </c>
      <c r="AC608">
        <v>1.9422222222222221</v>
      </c>
      <c r="AD608">
        <v>28.5</v>
      </c>
      <c r="AI60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10.057777777777778</v>
      </c>
      <c r="AK608" t="s">
        <v>406</v>
      </c>
      <c r="AN608">
        <f>INT(Table1[[#This Row],[reject_prod]]/Table1[[#This Row],[part_weight]] * 1000)</f>
        <v>0</v>
      </c>
    </row>
    <row r="609" spans="1:40">
      <c r="A609" s="1">
        <v>46041</v>
      </c>
      <c r="B609">
        <v>2</v>
      </c>
      <c r="C609">
        <v>9</v>
      </c>
      <c r="D609" t="s">
        <v>33</v>
      </c>
      <c r="E609" t="s">
        <v>46</v>
      </c>
      <c r="F609">
        <v>586276</v>
      </c>
      <c r="G609">
        <v>0</v>
      </c>
      <c r="H609" t="s">
        <v>47</v>
      </c>
      <c r="I609">
        <v>10682924</v>
      </c>
      <c r="J609">
        <v>6</v>
      </c>
      <c r="K609">
        <v>12.3</v>
      </c>
      <c r="L609">
        <v>12.3</v>
      </c>
      <c r="M609">
        <v>0</v>
      </c>
      <c r="N609" s="2">
        <v>162000</v>
      </c>
      <c r="O609" s="2">
        <v>7290</v>
      </c>
      <c r="P609" s="2">
        <v>7290</v>
      </c>
      <c r="Q609" s="2">
        <v>0</v>
      </c>
      <c r="R609" s="2">
        <v>0</v>
      </c>
      <c r="S609">
        <v>0</v>
      </c>
      <c r="T609" s="2">
        <v>80190</v>
      </c>
      <c r="U609" s="2">
        <v>81810</v>
      </c>
      <c r="V609">
        <v>0</v>
      </c>
      <c r="W609">
        <v>0</v>
      </c>
      <c r="X609">
        <v>0</v>
      </c>
      <c r="Y609" t="e">
        <v>#DIV/0!</v>
      </c>
      <c r="Z609">
        <v>0</v>
      </c>
      <c r="AA609" t="e">
        <v>#DIV/0!</v>
      </c>
      <c r="AB609">
        <v>26</v>
      </c>
      <c r="AC609">
        <v>0</v>
      </c>
      <c r="AD609">
        <v>26</v>
      </c>
      <c r="AI60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609" t="s">
        <v>407</v>
      </c>
      <c r="AN609">
        <f>INT(Table1[[#This Row],[reject_prod]]/Table1[[#This Row],[part_weight]] * 1000)</f>
        <v>0</v>
      </c>
    </row>
    <row r="610" spans="1:40">
      <c r="A610" s="1">
        <v>46041</v>
      </c>
      <c r="B610">
        <v>2</v>
      </c>
      <c r="C610">
        <v>10</v>
      </c>
      <c r="D610" t="s">
        <v>112</v>
      </c>
      <c r="E610" t="s">
        <v>34</v>
      </c>
      <c r="F610">
        <v>323092</v>
      </c>
      <c r="G610">
        <v>0</v>
      </c>
      <c r="H610" t="s">
        <v>377</v>
      </c>
      <c r="I610">
        <v>10684857</v>
      </c>
      <c r="J610">
        <v>4</v>
      </c>
      <c r="K610">
        <v>48.9</v>
      </c>
      <c r="L610">
        <v>48.9</v>
      </c>
      <c r="M610">
        <v>1562</v>
      </c>
      <c r="N610" s="2">
        <v>37800</v>
      </c>
      <c r="O610" s="2">
        <v>105</v>
      </c>
      <c r="P610" s="2">
        <v>0</v>
      </c>
      <c r="Q610" s="2">
        <v>6248</v>
      </c>
      <c r="R610" s="2">
        <v>6300</v>
      </c>
      <c r="S610">
        <v>308.07</v>
      </c>
      <c r="T610" s="2">
        <v>18375</v>
      </c>
      <c r="U610" s="2">
        <v>19425</v>
      </c>
      <c r="V610">
        <v>305.52719999999999</v>
      </c>
      <c r="W610">
        <v>0</v>
      </c>
      <c r="X610">
        <v>0</v>
      </c>
      <c r="Y610">
        <v>0</v>
      </c>
      <c r="Z610">
        <v>2.6</v>
      </c>
      <c r="AA610">
        <v>8.5098806260130028E-3</v>
      </c>
      <c r="AB610">
        <v>27.4</v>
      </c>
      <c r="AC610">
        <v>11.888555555555556</v>
      </c>
      <c r="AD610">
        <v>27.6</v>
      </c>
      <c r="AI61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0.11144444444444446</v>
      </c>
      <c r="AK610" t="s">
        <v>214</v>
      </c>
      <c r="AN610">
        <f>INT(Table1[[#This Row],[reject_prod]]/Table1[[#This Row],[part_weight]] * 1000)</f>
        <v>53</v>
      </c>
    </row>
    <row r="611" spans="1:40">
      <c r="A611" s="1">
        <v>46041</v>
      </c>
      <c r="B611">
        <v>2</v>
      </c>
      <c r="C611">
        <v>11</v>
      </c>
      <c r="D611" t="s">
        <v>61</v>
      </c>
      <c r="E611" t="s">
        <v>46</v>
      </c>
      <c r="F611">
        <v>552181</v>
      </c>
      <c r="G611">
        <v>1</v>
      </c>
      <c r="H611" t="s">
        <v>49</v>
      </c>
      <c r="I611">
        <v>10683782</v>
      </c>
      <c r="J611">
        <v>6</v>
      </c>
      <c r="K611">
        <v>18.8</v>
      </c>
      <c r="L611">
        <v>18.8</v>
      </c>
      <c r="M611">
        <v>1417</v>
      </c>
      <c r="N611" s="2">
        <v>108000</v>
      </c>
      <c r="O611" s="2">
        <v>7830</v>
      </c>
      <c r="P611" s="2">
        <v>10800</v>
      </c>
      <c r="Q611" s="2">
        <v>8502</v>
      </c>
      <c r="R611" s="2">
        <v>5400</v>
      </c>
      <c r="S611">
        <v>101.52</v>
      </c>
      <c r="T611" s="2">
        <v>102600</v>
      </c>
      <c r="U611" s="2">
        <v>5400</v>
      </c>
      <c r="V611">
        <v>159.83760000000001</v>
      </c>
      <c r="W611">
        <v>0</v>
      </c>
      <c r="X611">
        <v>0</v>
      </c>
      <c r="Y611">
        <v>0</v>
      </c>
      <c r="Z611">
        <v>2.5</v>
      </c>
      <c r="AA611">
        <v>1.5640875488620948E-2</v>
      </c>
      <c r="AB611">
        <v>30.5</v>
      </c>
      <c r="AC611">
        <v>12</v>
      </c>
      <c r="AD611">
        <v>27</v>
      </c>
      <c r="AI61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611" t="s">
        <v>412</v>
      </c>
      <c r="AN611">
        <f>INT(Table1[[#This Row],[reject_prod]]/Table1[[#This Row],[part_weight]] * 1000)</f>
        <v>132</v>
      </c>
    </row>
    <row r="612" spans="1:40">
      <c r="A612" s="1">
        <v>46041</v>
      </c>
      <c r="B612">
        <v>2</v>
      </c>
      <c r="C612">
        <v>12</v>
      </c>
      <c r="D612" t="s">
        <v>65</v>
      </c>
      <c r="E612" t="s">
        <v>34</v>
      </c>
      <c r="F612">
        <v>620599</v>
      </c>
      <c r="G612">
        <v>0</v>
      </c>
      <c r="H612" t="s">
        <v>50</v>
      </c>
      <c r="I612">
        <v>10682929</v>
      </c>
      <c r="J612">
        <v>4</v>
      </c>
      <c r="K612">
        <v>55</v>
      </c>
      <c r="L612">
        <v>55</v>
      </c>
      <c r="M612">
        <v>1030</v>
      </c>
      <c r="N612" s="2">
        <v>72000</v>
      </c>
      <c r="O612" s="2">
        <v>900</v>
      </c>
      <c r="P612" s="2">
        <v>1350</v>
      </c>
      <c r="Q612" s="2">
        <v>4120</v>
      </c>
      <c r="R612" s="2">
        <v>3600</v>
      </c>
      <c r="S612">
        <v>198</v>
      </c>
      <c r="T612" s="2">
        <v>67950</v>
      </c>
      <c r="U612" s="2">
        <v>4050</v>
      </c>
      <c r="V612">
        <v>226.6</v>
      </c>
      <c r="W612">
        <v>0</v>
      </c>
      <c r="X612">
        <v>0</v>
      </c>
      <c r="Y612">
        <v>0</v>
      </c>
      <c r="Z612">
        <v>3.7</v>
      </c>
      <c r="AA612">
        <v>1.6328331862312445E-2</v>
      </c>
      <c r="AB612">
        <v>29.3</v>
      </c>
      <c r="AC612">
        <v>8.3830555555555559</v>
      </c>
      <c r="AD612">
        <v>28</v>
      </c>
      <c r="AI61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3.6169444444444441</v>
      </c>
      <c r="AK612" t="s">
        <v>413</v>
      </c>
      <c r="AN612">
        <f>INT(Table1[[#This Row],[reject_prod]]/Table1[[#This Row],[part_weight]] * 1000)</f>
        <v>67</v>
      </c>
    </row>
    <row r="613" spans="1:40">
      <c r="A613" s="1">
        <v>46041</v>
      </c>
      <c r="B613">
        <v>2</v>
      </c>
      <c r="C613">
        <v>13</v>
      </c>
      <c r="D613" t="s">
        <v>61</v>
      </c>
      <c r="E613" t="s">
        <v>46</v>
      </c>
      <c r="F613">
        <v>586276</v>
      </c>
      <c r="G613">
        <v>0</v>
      </c>
      <c r="H613" t="s">
        <v>47</v>
      </c>
      <c r="I613">
        <v>10683784</v>
      </c>
      <c r="J613">
        <v>6</v>
      </c>
      <c r="K613">
        <v>12.3</v>
      </c>
      <c r="L613">
        <v>12.3</v>
      </c>
      <c r="M613">
        <v>1635</v>
      </c>
      <c r="N613" s="2">
        <v>162000</v>
      </c>
      <c r="O613" s="2">
        <v>1620</v>
      </c>
      <c r="P613" s="2">
        <v>3240</v>
      </c>
      <c r="Q613" s="2">
        <v>9810</v>
      </c>
      <c r="R613" s="2">
        <v>8100</v>
      </c>
      <c r="S613">
        <v>99.63</v>
      </c>
      <c r="T613" s="2">
        <v>108540</v>
      </c>
      <c r="U613" s="2">
        <v>53460</v>
      </c>
      <c r="V613">
        <v>120.663</v>
      </c>
      <c r="W613">
        <v>0</v>
      </c>
      <c r="X613">
        <v>0</v>
      </c>
      <c r="Y613">
        <v>0</v>
      </c>
      <c r="Z613">
        <v>1.1000000000000001</v>
      </c>
      <c r="AA613">
        <v>9.1162991140614786E-3</v>
      </c>
      <c r="AB613">
        <v>26.2</v>
      </c>
      <c r="AC613">
        <v>11.899166666666668</v>
      </c>
      <c r="AD613">
        <v>26</v>
      </c>
      <c r="AI61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0.10083333333333222</v>
      </c>
      <c r="AK613" t="s">
        <v>406</v>
      </c>
      <c r="AN613">
        <f>INT(Table1[[#This Row],[reject_prod]]/Table1[[#This Row],[part_weight]] * 1000)</f>
        <v>89</v>
      </c>
    </row>
    <row r="614" spans="1:40">
      <c r="A614" s="1">
        <v>46041</v>
      </c>
      <c r="B614">
        <v>2</v>
      </c>
      <c r="C614">
        <v>14</v>
      </c>
      <c r="D614" t="s">
        <v>213</v>
      </c>
      <c r="E614" t="s">
        <v>46</v>
      </c>
      <c r="F614">
        <v>555979</v>
      </c>
      <c r="G614">
        <v>1</v>
      </c>
      <c r="H614" t="s">
        <v>52</v>
      </c>
      <c r="I614">
        <v>10683785</v>
      </c>
      <c r="J614">
        <v>6</v>
      </c>
      <c r="K614">
        <v>28</v>
      </c>
      <c r="L614">
        <v>28</v>
      </c>
      <c r="M614">
        <v>988</v>
      </c>
      <c r="N614" s="2">
        <v>100800</v>
      </c>
      <c r="O614" s="2">
        <v>336</v>
      </c>
      <c r="P614" s="2">
        <v>2856</v>
      </c>
      <c r="Q614" s="2">
        <v>5928</v>
      </c>
      <c r="R614" s="2">
        <v>3360</v>
      </c>
      <c r="S614">
        <v>94.08</v>
      </c>
      <c r="T614" s="2">
        <v>16296</v>
      </c>
      <c r="U614" s="2">
        <v>84504</v>
      </c>
      <c r="V614">
        <v>165.98400000000001</v>
      </c>
      <c r="W614">
        <v>0</v>
      </c>
      <c r="X614">
        <v>0</v>
      </c>
      <c r="Y614">
        <v>0</v>
      </c>
      <c r="Z614">
        <v>0.6</v>
      </c>
      <c r="AA614">
        <v>3.6148062463851934E-3</v>
      </c>
      <c r="AB614">
        <v>43</v>
      </c>
      <c r="AC614">
        <v>11.801111111111112</v>
      </c>
      <c r="AD614">
        <v>42</v>
      </c>
      <c r="AI61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0.198888888888888</v>
      </c>
      <c r="AK614" t="s">
        <v>406</v>
      </c>
      <c r="AN614">
        <f>INT(Table1[[#This Row],[reject_prod]]/Table1[[#This Row],[part_weight]] * 1000)</f>
        <v>21</v>
      </c>
    </row>
    <row r="615" spans="1:40">
      <c r="A615" s="1">
        <v>46041</v>
      </c>
      <c r="B615">
        <v>2</v>
      </c>
      <c r="C615">
        <v>15</v>
      </c>
      <c r="D615" t="s">
        <v>61</v>
      </c>
      <c r="E615" t="s">
        <v>46</v>
      </c>
      <c r="F615">
        <v>552181</v>
      </c>
      <c r="G615">
        <v>2</v>
      </c>
      <c r="H615" t="s">
        <v>49</v>
      </c>
      <c r="I615">
        <v>10683786</v>
      </c>
      <c r="J615">
        <v>6</v>
      </c>
      <c r="K615">
        <v>18.8</v>
      </c>
      <c r="L615">
        <v>18.8</v>
      </c>
      <c r="M615">
        <v>1359</v>
      </c>
      <c r="N615" s="2">
        <v>108000</v>
      </c>
      <c r="O615" s="2">
        <v>0</v>
      </c>
      <c r="P615" s="2">
        <v>2700</v>
      </c>
      <c r="Q615" s="2">
        <v>8154</v>
      </c>
      <c r="R615" s="2">
        <v>5400</v>
      </c>
      <c r="S615">
        <v>101.52</v>
      </c>
      <c r="T615" s="2">
        <v>72900</v>
      </c>
      <c r="U615" s="2">
        <v>35100</v>
      </c>
      <c r="V615">
        <v>153.29520000000002</v>
      </c>
      <c r="W615">
        <v>0</v>
      </c>
      <c r="X615">
        <v>0</v>
      </c>
      <c r="Y615">
        <v>0</v>
      </c>
      <c r="Z615">
        <v>1</v>
      </c>
      <c r="AA615">
        <v>6.5233614620679569E-3</v>
      </c>
      <c r="AB615">
        <v>31.2</v>
      </c>
      <c r="AC615">
        <v>11.777999999999999</v>
      </c>
      <c r="AD615">
        <v>27</v>
      </c>
      <c r="AI61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0.22200000000000131</v>
      </c>
      <c r="AK615" t="s">
        <v>406</v>
      </c>
      <c r="AN615">
        <f>INT(Table1[[#This Row],[reject_prod]]/Table1[[#This Row],[part_weight]] * 1000)</f>
        <v>53</v>
      </c>
    </row>
    <row r="616" spans="1:40" s="4" customFormat="1">
      <c r="A616" s="3">
        <v>46041</v>
      </c>
      <c r="B616" s="4">
        <v>2</v>
      </c>
      <c r="C616" s="4">
        <v>16</v>
      </c>
      <c r="D616" s="4" t="s">
        <v>149</v>
      </c>
      <c r="E616" s="4" t="s">
        <v>46</v>
      </c>
      <c r="F616" s="4">
        <v>555979</v>
      </c>
      <c r="G616" s="4">
        <v>2</v>
      </c>
      <c r="H616" s="4" t="s">
        <v>52</v>
      </c>
      <c r="I616" s="4">
        <v>10683788</v>
      </c>
      <c r="J616" s="4">
        <v>6</v>
      </c>
      <c r="K616" s="4">
        <v>28</v>
      </c>
      <c r="L616" s="4">
        <v>28</v>
      </c>
      <c r="M616" s="4">
        <v>995</v>
      </c>
      <c r="N616" s="5">
        <v>100800</v>
      </c>
      <c r="O616" s="5">
        <v>2184</v>
      </c>
      <c r="P616" s="5">
        <v>1344</v>
      </c>
      <c r="Q616" s="5">
        <v>5970</v>
      </c>
      <c r="R616" s="5">
        <v>6720</v>
      </c>
      <c r="S616" s="4">
        <v>188.16</v>
      </c>
      <c r="T616" s="5">
        <v>58464</v>
      </c>
      <c r="U616" s="5">
        <v>42336</v>
      </c>
      <c r="V616" s="4">
        <v>167.16</v>
      </c>
      <c r="W616" s="4">
        <v>0</v>
      </c>
      <c r="X616" s="4">
        <v>0</v>
      </c>
      <c r="Y616" s="4">
        <v>0</v>
      </c>
      <c r="Z616" s="4">
        <v>2.5</v>
      </c>
      <c r="AA616" s="4">
        <v>1.4955731036133046E-2</v>
      </c>
      <c r="AB616" s="4">
        <v>43.4</v>
      </c>
      <c r="AC616" s="4">
        <v>11.995277777777778</v>
      </c>
      <c r="AD616" s="4">
        <v>42</v>
      </c>
      <c r="AI61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4.7222222222220722E-3</v>
      </c>
      <c r="AK616" s="4" t="s">
        <v>406</v>
      </c>
      <c r="AN616" s="4">
        <f>INT(Table1[[#This Row],[reject_prod]]/Table1[[#This Row],[part_weight]] * 1000)</f>
        <v>89</v>
      </c>
    </row>
    <row r="617" spans="1:40">
      <c r="A617" s="1">
        <v>46042</v>
      </c>
      <c r="B617">
        <v>1</v>
      </c>
      <c r="C617">
        <v>1</v>
      </c>
      <c r="D617" t="s">
        <v>54</v>
      </c>
      <c r="E617" t="s">
        <v>34</v>
      </c>
      <c r="F617">
        <v>577492</v>
      </c>
      <c r="G617">
        <v>0</v>
      </c>
      <c r="H617" t="s">
        <v>341</v>
      </c>
      <c r="I617">
        <v>10683850</v>
      </c>
      <c r="J617">
        <v>4</v>
      </c>
      <c r="K617">
        <v>35.6</v>
      </c>
      <c r="L617">
        <v>35.6</v>
      </c>
      <c r="M617">
        <v>1104</v>
      </c>
      <c r="N617" s="2">
        <v>40480</v>
      </c>
      <c r="O617" s="2">
        <v>1104</v>
      </c>
      <c r="P617" s="2">
        <v>0</v>
      </c>
      <c r="Q617" s="2">
        <v>4416</v>
      </c>
      <c r="R617" s="2">
        <v>5520</v>
      </c>
      <c r="S617">
        <v>196.512</v>
      </c>
      <c r="T617" s="2">
        <v>40480</v>
      </c>
      <c r="U617" s="2">
        <v>0</v>
      </c>
      <c r="V617">
        <v>157.20959999999999</v>
      </c>
      <c r="W617">
        <v>0</v>
      </c>
      <c r="X617">
        <v>0</v>
      </c>
      <c r="Y617">
        <v>0</v>
      </c>
      <c r="Z617">
        <v>2</v>
      </c>
      <c r="AA617">
        <v>1.2721869402377463E-2</v>
      </c>
      <c r="AB617">
        <v>27.4</v>
      </c>
      <c r="AC617">
        <v>8.4026666666666667</v>
      </c>
      <c r="AD617">
        <v>27</v>
      </c>
      <c r="AI61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3.5973333333333333</v>
      </c>
      <c r="AK617" t="s">
        <v>248</v>
      </c>
      <c r="AN617">
        <f>INT(Table1[[#This Row],[reject_prod]]/Table1[[#This Row],[part_weight]] * 1000)</f>
        <v>56</v>
      </c>
    </row>
    <row r="618" spans="1:40">
      <c r="A618" s="1">
        <v>46042</v>
      </c>
      <c r="B618">
        <v>1</v>
      </c>
      <c r="C618">
        <v>1</v>
      </c>
      <c r="D618" t="s">
        <v>54</v>
      </c>
      <c r="E618" t="s">
        <v>34</v>
      </c>
      <c r="F618">
        <v>577492</v>
      </c>
      <c r="G618">
        <v>0</v>
      </c>
      <c r="H618" t="s">
        <v>341</v>
      </c>
      <c r="I618">
        <v>10684028</v>
      </c>
      <c r="J618">
        <v>4</v>
      </c>
      <c r="K618">
        <v>35.6</v>
      </c>
      <c r="L618">
        <v>35.6</v>
      </c>
      <c r="M618">
        <v>460</v>
      </c>
      <c r="N618" s="2">
        <v>101200</v>
      </c>
      <c r="O618" s="2">
        <v>0</v>
      </c>
      <c r="P618" s="2">
        <v>0</v>
      </c>
      <c r="Q618" s="2">
        <v>1840</v>
      </c>
      <c r="R618" s="2">
        <v>1840</v>
      </c>
      <c r="S618">
        <v>65.504000000000005</v>
      </c>
      <c r="T618" s="2">
        <v>1840</v>
      </c>
      <c r="U618" s="2">
        <v>99360</v>
      </c>
      <c r="V618">
        <v>65.504000000000005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27.4</v>
      </c>
      <c r="AC618">
        <v>3.5011111111111113</v>
      </c>
      <c r="AD618">
        <v>27</v>
      </c>
      <c r="AI61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8.4988888888888887</v>
      </c>
      <c r="AK618" t="s">
        <v>51</v>
      </c>
      <c r="AN618">
        <f>INT(Table1[[#This Row],[reject_prod]]/Table1[[#This Row],[part_weight]] * 1000)</f>
        <v>0</v>
      </c>
    </row>
    <row r="619" spans="1:40">
      <c r="A619" s="1">
        <v>46042</v>
      </c>
      <c r="B619">
        <v>1</v>
      </c>
      <c r="C619">
        <v>2</v>
      </c>
      <c r="D619" t="s">
        <v>33</v>
      </c>
      <c r="E619" t="s">
        <v>34</v>
      </c>
      <c r="F619">
        <v>416201</v>
      </c>
      <c r="G619">
        <v>0</v>
      </c>
      <c r="H619" t="s">
        <v>36</v>
      </c>
      <c r="I619">
        <v>10681779</v>
      </c>
      <c r="J619">
        <v>4</v>
      </c>
      <c r="K619">
        <v>20</v>
      </c>
      <c r="L619">
        <v>30</v>
      </c>
      <c r="M619">
        <v>0</v>
      </c>
      <c r="N619" s="2">
        <v>50400</v>
      </c>
      <c r="O619" s="2">
        <v>0</v>
      </c>
      <c r="P619" s="2">
        <v>0</v>
      </c>
      <c r="Q619" s="2">
        <v>0</v>
      </c>
      <c r="R619" s="2">
        <v>0</v>
      </c>
      <c r="S619">
        <v>0</v>
      </c>
      <c r="T619" s="2">
        <v>0</v>
      </c>
      <c r="U619" s="2">
        <v>50400</v>
      </c>
      <c r="V619">
        <v>0</v>
      </c>
      <c r="W619">
        <v>0</v>
      </c>
      <c r="X619">
        <v>0</v>
      </c>
      <c r="Y619" t="e">
        <v>#DIV/0!</v>
      </c>
      <c r="Z619">
        <v>0</v>
      </c>
      <c r="AA619" t="e">
        <v>#DIV/0!</v>
      </c>
      <c r="AB619">
        <v>23.3</v>
      </c>
      <c r="AC619">
        <v>0</v>
      </c>
      <c r="AD619">
        <v>38.64</v>
      </c>
      <c r="AI61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619" t="s">
        <v>387</v>
      </c>
      <c r="AN619">
        <f>INT(Table1[[#This Row],[reject_prod]]/Table1[[#This Row],[part_weight]] * 1000)</f>
        <v>0</v>
      </c>
    </row>
    <row r="620" spans="1:40">
      <c r="A620" s="1">
        <v>46042</v>
      </c>
      <c r="B620">
        <v>1</v>
      </c>
      <c r="C620">
        <v>3</v>
      </c>
      <c r="D620" t="s">
        <v>33</v>
      </c>
      <c r="E620" t="s">
        <v>34</v>
      </c>
      <c r="F620">
        <v>442034</v>
      </c>
      <c r="G620">
        <v>0</v>
      </c>
      <c r="H620" t="s">
        <v>37</v>
      </c>
      <c r="I620">
        <v>10681184</v>
      </c>
      <c r="J620">
        <v>4</v>
      </c>
      <c r="K620">
        <v>23</v>
      </c>
      <c r="L620">
        <v>23</v>
      </c>
      <c r="M620">
        <v>200</v>
      </c>
      <c r="N620" s="2">
        <v>139776</v>
      </c>
      <c r="O620" s="2">
        <v>1650</v>
      </c>
      <c r="P620" s="2">
        <v>2304</v>
      </c>
      <c r="Q620" s="2">
        <v>800</v>
      </c>
      <c r="R620" s="2">
        <v>0</v>
      </c>
      <c r="S620">
        <v>0</v>
      </c>
      <c r="T620" s="2">
        <v>2304</v>
      </c>
      <c r="U620" s="2">
        <v>137472</v>
      </c>
      <c r="V620">
        <v>18.399999999999999</v>
      </c>
      <c r="W620">
        <v>0</v>
      </c>
      <c r="X620">
        <v>6</v>
      </c>
      <c r="Y620">
        <v>0.32608695652173914</v>
      </c>
      <c r="Z620">
        <v>3.3</v>
      </c>
      <c r="AA620">
        <v>0.17934782608695651</v>
      </c>
      <c r="AB620">
        <v>26.7</v>
      </c>
      <c r="AC620">
        <v>1.4833333333333334</v>
      </c>
      <c r="AD620">
        <v>22</v>
      </c>
      <c r="AI62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10.516666666666666</v>
      </c>
      <c r="AK620" t="s">
        <v>420</v>
      </c>
      <c r="AL620">
        <v>7</v>
      </c>
      <c r="AM620">
        <v>4</v>
      </c>
      <c r="AN620">
        <f>INT(Table1[[#This Row],[reject_prod]]/Table1[[#This Row],[part_weight]] * 1000)</f>
        <v>143</v>
      </c>
    </row>
    <row r="621" spans="1:40">
      <c r="A621" s="1">
        <v>46042</v>
      </c>
      <c r="B621">
        <v>1</v>
      </c>
      <c r="C621">
        <v>4</v>
      </c>
      <c r="D621" t="s">
        <v>84</v>
      </c>
      <c r="E621" t="s">
        <v>34</v>
      </c>
      <c r="F621">
        <v>402305</v>
      </c>
      <c r="G621">
        <v>0</v>
      </c>
      <c r="H621" t="s">
        <v>395</v>
      </c>
      <c r="I621">
        <v>10684852</v>
      </c>
      <c r="J621">
        <v>4</v>
      </c>
      <c r="K621">
        <v>29</v>
      </c>
      <c r="L621">
        <v>29</v>
      </c>
      <c r="M621">
        <v>1780</v>
      </c>
      <c r="N621" s="2">
        <v>64896</v>
      </c>
      <c r="O621" s="2">
        <v>832</v>
      </c>
      <c r="P621" s="2">
        <v>416</v>
      </c>
      <c r="Q621" s="2">
        <v>7120</v>
      </c>
      <c r="R621" s="2">
        <v>7488</v>
      </c>
      <c r="S621">
        <v>217.15199999999999</v>
      </c>
      <c r="T621" s="2">
        <v>9152</v>
      </c>
      <c r="U621" s="2">
        <v>55744</v>
      </c>
      <c r="V621">
        <v>206.48</v>
      </c>
      <c r="W621">
        <v>0</v>
      </c>
      <c r="X621">
        <v>0</v>
      </c>
      <c r="Y621">
        <v>0</v>
      </c>
      <c r="Z621">
        <v>1</v>
      </c>
      <c r="AA621">
        <v>4.8430840759395586E-3</v>
      </c>
      <c r="AB621">
        <v>24.4</v>
      </c>
      <c r="AC621">
        <v>12</v>
      </c>
      <c r="AD621">
        <v>22</v>
      </c>
      <c r="AI62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621" t="s">
        <v>214</v>
      </c>
      <c r="AL621">
        <v>5</v>
      </c>
      <c r="AM621">
        <v>5</v>
      </c>
      <c r="AN621">
        <f>INT(Table1[[#This Row],[reject_prod]]/Table1[[#This Row],[part_weight]] * 1000)</f>
        <v>34</v>
      </c>
    </row>
    <row r="622" spans="1:40">
      <c r="A622" s="1">
        <v>46042</v>
      </c>
      <c r="B622">
        <v>1</v>
      </c>
      <c r="C622">
        <v>5</v>
      </c>
      <c r="D622" t="s">
        <v>84</v>
      </c>
      <c r="E622" t="s">
        <v>34</v>
      </c>
      <c r="F622">
        <v>322383</v>
      </c>
      <c r="G622">
        <v>0</v>
      </c>
      <c r="H622" t="s">
        <v>71</v>
      </c>
      <c r="I622">
        <v>10682756</v>
      </c>
      <c r="J622">
        <v>4</v>
      </c>
      <c r="K622">
        <v>12.5</v>
      </c>
      <c r="L622">
        <v>12.5</v>
      </c>
      <c r="M622">
        <v>2050</v>
      </c>
      <c r="N622" s="2">
        <v>66000</v>
      </c>
      <c r="O622" s="2">
        <v>1700</v>
      </c>
      <c r="P622" s="2">
        <v>9900</v>
      </c>
      <c r="Q622" s="2">
        <v>8200</v>
      </c>
      <c r="R622" s="2">
        <v>0</v>
      </c>
      <c r="S622">
        <v>0</v>
      </c>
      <c r="T622" s="2">
        <v>9900</v>
      </c>
      <c r="U622" s="2">
        <v>56100</v>
      </c>
      <c r="V622">
        <v>102.5</v>
      </c>
      <c r="W622">
        <v>0</v>
      </c>
      <c r="X622">
        <v>0</v>
      </c>
      <c r="Y622">
        <v>0</v>
      </c>
      <c r="Z622">
        <v>1</v>
      </c>
      <c r="AA622">
        <v>9.7560975609756097E-3</v>
      </c>
      <c r="AB622">
        <v>20.9</v>
      </c>
      <c r="AC622">
        <v>11.901388888888889</v>
      </c>
      <c r="AD622">
        <v>17.920000000000002</v>
      </c>
      <c r="AI62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9.8611111111111427E-2</v>
      </c>
      <c r="AK622" t="s">
        <v>214</v>
      </c>
      <c r="AL622">
        <v>4</v>
      </c>
      <c r="AM622">
        <v>5</v>
      </c>
      <c r="AN622">
        <f>INT(Table1[[#This Row],[reject_prod]]/Table1[[#This Row],[part_weight]] * 1000)</f>
        <v>80</v>
      </c>
    </row>
    <row r="623" spans="1:40">
      <c r="A623" s="1">
        <v>46042</v>
      </c>
      <c r="B623">
        <v>1</v>
      </c>
      <c r="C623">
        <v>6</v>
      </c>
      <c r="D623" t="s">
        <v>414</v>
      </c>
      <c r="E623" t="s">
        <v>34</v>
      </c>
      <c r="F623">
        <v>322409</v>
      </c>
      <c r="G623">
        <v>0</v>
      </c>
      <c r="H623" t="s">
        <v>400</v>
      </c>
      <c r="I623">
        <v>10683854</v>
      </c>
      <c r="J623">
        <v>4</v>
      </c>
      <c r="K623">
        <v>24</v>
      </c>
      <c r="L623">
        <v>24</v>
      </c>
      <c r="M623">
        <v>2000</v>
      </c>
      <c r="N623" s="2">
        <v>70200</v>
      </c>
      <c r="O623" s="2">
        <v>0</v>
      </c>
      <c r="P623" s="2">
        <v>3042</v>
      </c>
      <c r="Q623" s="2">
        <v>8000</v>
      </c>
      <c r="R623" s="2">
        <v>4680</v>
      </c>
      <c r="S623">
        <v>112.32</v>
      </c>
      <c r="T623" s="2">
        <v>11232</v>
      </c>
      <c r="U623" s="2">
        <v>58968</v>
      </c>
      <c r="V623">
        <v>192</v>
      </c>
      <c r="W623">
        <v>0</v>
      </c>
      <c r="X623">
        <v>0</v>
      </c>
      <c r="Y623">
        <v>0</v>
      </c>
      <c r="Z623">
        <v>12.8</v>
      </c>
      <c r="AA623">
        <v>6.6666666666666666E-2</v>
      </c>
      <c r="AB623">
        <v>20</v>
      </c>
      <c r="AC623">
        <v>11.111111111111111</v>
      </c>
      <c r="AD623">
        <v>20</v>
      </c>
      <c r="AI62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0.88888888888888928</v>
      </c>
      <c r="AK623" t="s">
        <v>421</v>
      </c>
      <c r="AL623">
        <v>7</v>
      </c>
      <c r="AM623">
        <v>4</v>
      </c>
      <c r="AN623">
        <f>INT(Table1[[#This Row],[reject_prod]]/Table1[[#This Row],[part_weight]] * 1000)</f>
        <v>533</v>
      </c>
    </row>
    <row r="624" spans="1:40">
      <c r="A624" s="1">
        <v>46042</v>
      </c>
      <c r="B624">
        <v>1</v>
      </c>
      <c r="C624">
        <v>7</v>
      </c>
      <c r="D624" t="s">
        <v>415</v>
      </c>
      <c r="E624" t="s">
        <v>34</v>
      </c>
      <c r="F624">
        <v>322452</v>
      </c>
      <c r="G624">
        <v>0</v>
      </c>
      <c r="H624" t="s">
        <v>374</v>
      </c>
      <c r="I624">
        <v>10683857</v>
      </c>
      <c r="J624">
        <v>4</v>
      </c>
      <c r="K624">
        <v>33.11</v>
      </c>
      <c r="L624">
        <v>34.5</v>
      </c>
      <c r="M624">
        <v>1825</v>
      </c>
      <c r="N624" s="2">
        <v>44928</v>
      </c>
      <c r="O624" s="2">
        <v>0</v>
      </c>
      <c r="P624" s="2">
        <v>1048</v>
      </c>
      <c r="Q624" s="2">
        <v>7300</v>
      </c>
      <c r="R624" s="2">
        <v>6240</v>
      </c>
      <c r="S624">
        <v>215.28</v>
      </c>
      <c r="T624" s="2">
        <v>19768</v>
      </c>
      <c r="U624" s="2">
        <v>25160</v>
      </c>
      <c r="V624">
        <v>251.85</v>
      </c>
      <c r="W624">
        <v>0</v>
      </c>
      <c r="X624">
        <v>0</v>
      </c>
      <c r="Y624">
        <v>0</v>
      </c>
      <c r="Z624">
        <v>1.3</v>
      </c>
      <c r="AA624">
        <v>5.1618026603136788E-3</v>
      </c>
      <c r="AB624">
        <v>23.57</v>
      </c>
      <c r="AC624">
        <v>11.948680555555557</v>
      </c>
      <c r="AD624">
        <v>18.04</v>
      </c>
      <c r="AI62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5.1319444444443363E-2</v>
      </c>
      <c r="AK624" t="s">
        <v>103</v>
      </c>
      <c r="AM624">
        <v>3</v>
      </c>
      <c r="AN624">
        <f>INT(Table1[[#This Row],[reject_prod]]/Table1[[#This Row],[part_weight]] * 1000)</f>
        <v>37</v>
      </c>
    </row>
    <row r="625" spans="1:40">
      <c r="A625" s="1">
        <v>46042</v>
      </c>
      <c r="B625">
        <v>1</v>
      </c>
      <c r="C625">
        <v>8</v>
      </c>
      <c r="D625" t="s">
        <v>416</v>
      </c>
      <c r="E625" t="s">
        <v>41</v>
      </c>
      <c r="F625">
        <v>593537</v>
      </c>
      <c r="G625">
        <v>0</v>
      </c>
      <c r="H625" t="s">
        <v>48</v>
      </c>
      <c r="I625">
        <v>10685022</v>
      </c>
      <c r="J625">
        <v>4</v>
      </c>
      <c r="K625">
        <v>56.5</v>
      </c>
      <c r="L625">
        <v>56.8</v>
      </c>
      <c r="M625">
        <v>1410</v>
      </c>
      <c r="N625" s="2">
        <v>69000</v>
      </c>
      <c r="O625" s="2">
        <v>345</v>
      </c>
      <c r="P625" s="2">
        <v>230</v>
      </c>
      <c r="Q625" s="2">
        <v>5640</v>
      </c>
      <c r="R625" s="2">
        <v>5750</v>
      </c>
      <c r="S625">
        <v>326.60000000000002</v>
      </c>
      <c r="T625" s="2">
        <v>6555</v>
      </c>
      <c r="U625" s="2">
        <v>62445</v>
      </c>
      <c r="V625">
        <v>320.35199999999998</v>
      </c>
      <c r="W625">
        <v>0</v>
      </c>
      <c r="X625">
        <v>0</v>
      </c>
      <c r="Y625">
        <v>0</v>
      </c>
      <c r="Z625">
        <v>1.1000000000000001</v>
      </c>
      <c r="AA625">
        <v>3.4337229048047153E-3</v>
      </c>
      <c r="AB625">
        <v>30.4</v>
      </c>
      <c r="AC625">
        <v>11.906666666666666</v>
      </c>
      <c r="AD625">
        <v>28.5</v>
      </c>
      <c r="AI62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9.3333333333333712E-2</v>
      </c>
      <c r="AK625" t="s">
        <v>51</v>
      </c>
      <c r="AN625">
        <f>INT(Table1[[#This Row],[reject_prod]]/Table1[[#This Row],[part_weight]] * 1000)</f>
        <v>19</v>
      </c>
    </row>
    <row r="626" spans="1:40">
      <c r="A626" s="1">
        <v>46042</v>
      </c>
      <c r="B626">
        <v>1</v>
      </c>
      <c r="C626">
        <v>9</v>
      </c>
      <c r="D626" t="s">
        <v>33</v>
      </c>
      <c r="E626" t="s">
        <v>46</v>
      </c>
      <c r="F626">
        <v>586276</v>
      </c>
      <c r="G626">
        <v>0</v>
      </c>
      <c r="H626" t="s">
        <v>47</v>
      </c>
      <c r="I626">
        <v>10682924</v>
      </c>
      <c r="J626">
        <v>6</v>
      </c>
      <c r="K626">
        <v>12.3</v>
      </c>
      <c r="L626">
        <v>12.3</v>
      </c>
      <c r="M626">
        <v>0</v>
      </c>
      <c r="N626" s="2">
        <v>162000</v>
      </c>
      <c r="O626" s="2">
        <v>7290</v>
      </c>
      <c r="P626" s="2">
        <v>7290</v>
      </c>
      <c r="Q626" s="2">
        <v>0</v>
      </c>
      <c r="R626" s="2">
        <v>0</v>
      </c>
      <c r="S626">
        <v>0</v>
      </c>
      <c r="T626" s="2">
        <v>80190</v>
      </c>
      <c r="U626" s="2">
        <v>81810</v>
      </c>
      <c r="V626">
        <v>0</v>
      </c>
      <c r="W626">
        <v>0</v>
      </c>
      <c r="X626">
        <v>0</v>
      </c>
      <c r="Y626" t="e">
        <v>#DIV/0!</v>
      </c>
      <c r="Z626">
        <v>0</v>
      </c>
      <c r="AA626" t="e">
        <v>#DIV/0!</v>
      </c>
      <c r="AB626">
        <v>26.2</v>
      </c>
      <c r="AC626">
        <v>0</v>
      </c>
      <c r="AD626">
        <v>26</v>
      </c>
      <c r="AI62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626" t="s">
        <v>357</v>
      </c>
      <c r="AN626">
        <f>INT(Table1[[#This Row],[reject_prod]]/Table1[[#This Row],[part_weight]] * 1000)</f>
        <v>0</v>
      </c>
    </row>
    <row r="627" spans="1:40">
      <c r="A627" s="1">
        <v>46042</v>
      </c>
      <c r="B627">
        <v>1</v>
      </c>
      <c r="C627">
        <v>10</v>
      </c>
      <c r="D627" t="s">
        <v>53</v>
      </c>
      <c r="E627" t="s">
        <v>34</v>
      </c>
      <c r="F627">
        <v>323092</v>
      </c>
      <c r="G627">
        <v>0</v>
      </c>
      <c r="H627" t="s">
        <v>377</v>
      </c>
      <c r="I627">
        <v>10684857</v>
      </c>
      <c r="J627">
        <v>4</v>
      </c>
      <c r="K627">
        <v>48.9</v>
      </c>
      <c r="L627">
        <v>48.9</v>
      </c>
      <c r="M627">
        <v>1550</v>
      </c>
      <c r="N627" s="2">
        <v>37800</v>
      </c>
      <c r="O627" s="2">
        <v>0</v>
      </c>
      <c r="P627" s="2">
        <v>420</v>
      </c>
      <c r="Q627" s="2">
        <v>6200</v>
      </c>
      <c r="R627" s="2">
        <v>5775</v>
      </c>
      <c r="S627">
        <v>282.39749999999998</v>
      </c>
      <c r="T627" s="2">
        <v>24570</v>
      </c>
      <c r="U627" s="2">
        <v>13230</v>
      </c>
      <c r="V627">
        <v>303.18</v>
      </c>
      <c r="W627">
        <v>0</v>
      </c>
      <c r="X627">
        <v>0</v>
      </c>
      <c r="Y627">
        <v>0</v>
      </c>
      <c r="Z627">
        <v>1</v>
      </c>
      <c r="AA627">
        <v>3.2983706049211688E-3</v>
      </c>
      <c r="AB627">
        <v>27.4</v>
      </c>
      <c r="AC627">
        <v>11.797222222222222</v>
      </c>
      <c r="AD627">
        <v>27.6</v>
      </c>
      <c r="AI62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0.2027777777777775</v>
      </c>
      <c r="AK627" t="s">
        <v>214</v>
      </c>
      <c r="AN627">
        <f>INT(Table1[[#This Row],[reject_prod]]/Table1[[#This Row],[part_weight]] * 1000)</f>
        <v>20</v>
      </c>
    </row>
    <row r="628" spans="1:40">
      <c r="A628" s="1">
        <v>46042</v>
      </c>
      <c r="B628">
        <v>1</v>
      </c>
      <c r="C628">
        <v>11</v>
      </c>
      <c r="D628" t="s">
        <v>59</v>
      </c>
      <c r="E628" t="s">
        <v>46</v>
      </c>
      <c r="F628">
        <v>552181</v>
      </c>
      <c r="G628">
        <v>1</v>
      </c>
      <c r="H628" t="s">
        <v>49</v>
      </c>
      <c r="I628">
        <v>10683782</v>
      </c>
      <c r="J628">
        <v>6</v>
      </c>
      <c r="K628">
        <v>18.8</v>
      </c>
      <c r="L628">
        <v>18.8</v>
      </c>
      <c r="M628">
        <v>1395</v>
      </c>
      <c r="N628" s="2">
        <v>108000</v>
      </c>
      <c r="O628" s="2">
        <v>10800</v>
      </c>
      <c r="P628" s="2">
        <v>13770</v>
      </c>
      <c r="Q628" s="2">
        <v>8370</v>
      </c>
      <c r="R628" s="2">
        <v>5400</v>
      </c>
      <c r="S628">
        <v>101.52</v>
      </c>
      <c r="T628" s="2">
        <v>105570</v>
      </c>
      <c r="U628" s="2">
        <v>2430</v>
      </c>
      <c r="V628">
        <v>157.35599999999999</v>
      </c>
      <c r="W628">
        <v>0</v>
      </c>
      <c r="X628">
        <v>0</v>
      </c>
      <c r="Y628">
        <v>0</v>
      </c>
      <c r="Z628">
        <v>7.5</v>
      </c>
      <c r="AA628">
        <v>4.7662624876077177E-2</v>
      </c>
      <c r="AB628">
        <v>30.5</v>
      </c>
      <c r="AC628">
        <v>11.818750000000001</v>
      </c>
      <c r="AD628">
        <v>27</v>
      </c>
      <c r="AI62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0.18124999999999858</v>
      </c>
      <c r="AK628" t="s">
        <v>57</v>
      </c>
      <c r="AN628">
        <f>INT(Table1[[#This Row],[reject_prod]]/Table1[[#This Row],[part_weight]] * 1000)</f>
        <v>398</v>
      </c>
    </row>
    <row r="629" spans="1:40">
      <c r="A629" s="1">
        <v>46042</v>
      </c>
      <c r="B629">
        <v>1</v>
      </c>
      <c r="C629">
        <v>12</v>
      </c>
      <c r="D629" t="s">
        <v>289</v>
      </c>
      <c r="E629" t="s">
        <v>34</v>
      </c>
      <c r="F629">
        <v>620599</v>
      </c>
      <c r="G629">
        <v>0</v>
      </c>
      <c r="H629" t="s">
        <v>50</v>
      </c>
      <c r="I629">
        <v>10682929</v>
      </c>
      <c r="J629">
        <v>4</v>
      </c>
      <c r="K629">
        <v>55</v>
      </c>
      <c r="L629">
        <v>55</v>
      </c>
      <c r="M629">
        <v>620</v>
      </c>
      <c r="N629" s="2">
        <v>72000</v>
      </c>
      <c r="O629" s="2">
        <v>1350</v>
      </c>
      <c r="P629" s="2">
        <v>225</v>
      </c>
      <c r="Q629" s="2">
        <v>2480</v>
      </c>
      <c r="R629" s="2">
        <v>3600</v>
      </c>
      <c r="S629">
        <v>198</v>
      </c>
      <c r="T629" s="2">
        <v>70425</v>
      </c>
      <c r="U629" s="2">
        <v>1575</v>
      </c>
      <c r="V629">
        <v>136.4</v>
      </c>
      <c r="W629">
        <v>0</v>
      </c>
      <c r="X629">
        <v>6</v>
      </c>
      <c r="Y629">
        <v>4.3988269794721403E-2</v>
      </c>
      <c r="Z629">
        <v>2.8</v>
      </c>
      <c r="AA629">
        <v>2.0527859237536656E-2</v>
      </c>
      <c r="AB629">
        <v>29.1</v>
      </c>
      <c r="AC629">
        <v>5</v>
      </c>
      <c r="AD629">
        <v>28</v>
      </c>
      <c r="AH629">
        <v>7</v>
      </c>
      <c r="AI62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629" t="s">
        <v>422</v>
      </c>
      <c r="AL629">
        <v>4</v>
      </c>
      <c r="AM629">
        <v>4</v>
      </c>
      <c r="AN629">
        <f>INT(Table1[[#This Row],[reject_prod]]/Table1[[#This Row],[part_weight]] * 1000)</f>
        <v>50</v>
      </c>
    </row>
    <row r="630" spans="1:40">
      <c r="A630" s="1">
        <v>46042</v>
      </c>
      <c r="B630">
        <v>1</v>
      </c>
      <c r="C630">
        <v>13</v>
      </c>
      <c r="D630" t="s">
        <v>59</v>
      </c>
      <c r="E630" t="s">
        <v>46</v>
      </c>
      <c r="F630">
        <v>586276</v>
      </c>
      <c r="G630">
        <v>0</v>
      </c>
      <c r="H630" t="s">
        <v>47</v>
      </c>
      <c r="I630">
        <v>10683784</v>
      </c>
      <c r="J630">
        <v>6</v>
      </c>
      <c r="K630">
        <v>12.3</v>
      </c>
      <c r="L630">
        <v>12.3</v>
      </c>
      <c r="M630">
        <v>1620</v>
      </c>
      <c r="N630" s="2">
        <v>162000</v>
      </c>
      <c r="O630" s="2">
        <v>3240</v>
      </c>
      <c r="P630" s="2">
        <v>4860</v>
      </c>
      <c r="Q630" s="2">
        <v>9720</v>
      </c>
      <c r="R630" s="2">
        <v>8100</v>
      </c>
      <c r="S630">
        <v>99.63</v>
      </c>
      <c r="T630" s="2">
        <v>118260</v>
      </c>
      <c r="U630" s="2">
        <v>43740</v>
      </c>
      <c r="V630">
        <v>119.556</v>
      </c>
      <c r="W630">
        <v>0</v>
      </c>
      <c r="X630">
        <v>0</v>
      </c>
      <c r="Y630">
        <v>0</v>
      </c>
      <c r="Z630">
        <v>1.4</v>
      </c>
      <c r="AA630">
        <v>1.1709993643146307E-2</v>
      </c>
      <c r="AB630">
        <v>26.2</v>
      </c>
      <c r="AC630">
        <v>11.790000000000001</v>
      </c>
      <c r="AD630">
        <v>26</v>
      </c>
      <c r="AI63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0.20999999999999908</v>
      </c>
      <c r="AK630" t="s">
        <v>51</v>
      </c>
      <c r="AN630">
        <f>INT(Table1[[#This Row],[reject_prod]]/Table1[[#This Row],[part_weight]] * 1000)</f>
        <v>113</v>
      </c>
    </row>
    <row r="631" spans="1:40">
      <c r="A631" s="1">
        <v>46042</v>
      </c>
      <c r="B631">
        <v>1</v>
      </c>
      <c r="C631">
        <v>14</v>
      </c>
      <c r="D631" t="s">
        <v>417</v>
      </c>
      <c r="E631" t="s">
        <v>46</v>
      </c>
      <c r="F631">
        <v>555979</v>
      </c>
      <c r="G631">
        <v>1</v>
      </c>
      <c r="H631" t="s">
        <v>52</v>
      </c>
      <c r="I631">
        <v>10683785</v>
      </c>
      <c r="J631">
        <v>6</v>
      </c>
      <c r="K631">
        <v>28</v>
      </c>
      <c r="L631">
        <v>28</v>
      </c>
      <c r="M631">
        <v>1008</v>
      </c>
      <c r="N631" s="2">
        <v>100800</v>
      </c>
      <c r="O631" s="2">
        <v>2856</v>
      </c>
      <c r="P631" s="2">
        <v>2184</v>
      </c>
      <c r="Q631" s="2">
        <v>6048</v>
      </c>
      <c r="R631" s="2">
        <v>6720</v>
      </c>
      <c r="S631">
        <v>188.16</v>
      </c>
      <c r="T631" s="2">
        <v>22344</v>
      </c>
      <c r="U631" s="2">
        <v>78456</v>
      </c>
      <c r="V631">
        <v>169.34399999999999</v>
      </c>
      <c r="W631">
        <v>0</v>
      </c>
      <c r="X631">
        <v>0</v>
      </c>
      <c r="Y631">
        <v>0</v>
      </c>
      <c r="Z631">
        <v>2.1</v>
      </c>
      <c r="AA631">
        <v>1.2400793650793652E-2</v>
      </c>
      <c r="AB631">
        <v>43</v>
      </c>
      <c r="AC631">
        <v>12</v>
      </c>
      <c r="AD631">
        <v>42</v>
      </c>
      <c r="AI63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631" t="s">
        <v>51</v>
      </c>
      <c r="AN631">
        <f>INT(Table1[[#This Row],[reject_prod]]/Table1[[#This Row],[part_weight]] * 1000)</f>
        <v>75</v>
      </c>
    </row>
    <row r="632" spans="1:40">
      <c r="A632" s="1">
        <v>46042</v>
      </c>
      <c r="B632">
        <v>1</v>
      </c>
      <c r="C632">
        <v>15</v>
      </c>
      <c r="D632" t="s">
        <v>59</v>
      </c>
      <c r="E632" t="s">
        <v>46</v>
      </c>
      <c r="F632">
        <v>552181</v>
      </c>
      <c r="G632">
        <v>2</v>
      </c>
      <c r="H632" t="s">
        <v>49</v>
      </c>
      <c r="I632">
        <v>10683786</v>
      </c>
      <c r="J632">
        <v>6</v>
      </c>
      <c r="K632">
        <v>18.8</v>
      </c>
      <c r="L632">
        <v>18.8</v>
      </c>
      <c r="M632">
        <v>1395</v>
      </c>
      <c r="N632" s="2">
        <v>108000</v>
      </c>
      <c r="O632" s="2">
        <v>2700</v>
      </c>
      <c r="P632" s="2">
        <v>270</v>
      </c>
      <c r="Q632" s="2">
        <v>8370</v>
      </c>
      <c r="R632" s="2">
        <v>10800</v>
      </c>
      <c r="S632">
        <v>203.04</v>
      </c>
      <c r="T632" s="2">
        <v>81270</v>
      </c>
      <c r="U632" s="2">
        <v>26730</v>
      </c>
      <c r="V632">
        <v>157.35599999999999</v>
      </c>
      <c r="W632">
        <v>0</v>
      </c>
      <c r="X632">
        <v>0</v>
      </c>
      <c r="Y632">
        <v>0</v>
      </c>
      <c r="Z632">
        <v>1</v>
      </c>
      <c r="AA632">
        <v>6.3550166501436236E-3</v>
      </c>
      <c r="AB632">
        <v>31.2</v>
      </c>
      <c r="AC632">
        <v>12</v>
      </c>
      <c r="AD632">
        <v>27</v>
      </c>
      <c r="AI63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632" t="s">
        <v>51</v>
      </c>
      <c r="AN632">
        <f>INT(Table1[[#This Row],[reject_prod]]/Table1[[#This Row],[part_weight]] * 1000)</f>
        <v>53</v>
      </c>
    </row>
    <row r="633" spans="1:40" s="4" customFormat="1">
      <c r="A633" s="3">
        <v>46042</v>
      </c>
      <c r="B633" s="4">
        <v>1</v>
      </c>
      <c r="C633" s="4">
        <v>16</v>
      </c>
      <c r="D633" s="4" t="s">
        <v>209</v>
      </c>
      <c r="E633" s="4" t="s">
        <v>46</v>
      </c>
      <c r="F633" s="4">
        <v>555979</v>
      </c>
      <c r="G633" s="4">
        <v>2</v>
      </c>
      <c r="H633" s="4" t="s">
        <v>52</v>
      </c>
      <c r="I633" s="4">
        <v>10683788</v>
      </c>
      <c r="J633" s="4">
        <v>6</v>
      </c>
      <c r="K633" s="4">
        <v>28</v>
      </c>
      <c r="L633" s="4">
        <v>28</v>
      </c>
      <c r="M633" s="4">
        <v>950</v>
      </c>
      <c r="N633" s="5">
        <v>100800</v>
      </c>
      <c r="O633" s="5">
        <v>1344</v>
      </c>
      <c r="P633" s="5">
        <v>168</v>
      </c>
      <c r="Q633" s="5">
        <v>5700</v>
      </c>
      <c r="R633" s="5">
        <v>6720</v>
      </c>
      <c r="S633" s="4">
        <v>188.16</v>
      </c>
      <c r="T633" s="5">
        <v>64008</v>
      </c>
      <c r="U633" s="5">
        <v>36792</v>
      </c>
      <c r="V633" s="4">
        <v>159.6</v>
      </c>
      <c r="W633" s="4">
        <v>0</v>
      </c>
      <c r="X633" s="4">
        <v>0</v>
      </c>
      <c r="Y633" s="4">
        <v>0</v>
      </c>
      <c r="Z633" s="4">
        <v>1.3</v>
      </c>
      <c r="AA633" s="4">
        <v>8.1453634085213045E-3</v>
      </c>
      <c r="AB633" s="4">
        <v>43.7</v>
      </c>
      <c r="AC633" s="4">
        <v>11.531944444444445</v>
      </c>
      <c r="AD633" s="4">
        <v>42</v>
      </c>
      <c r="AI63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0.468055555555555</v>
      </c>
      <c r="AK633" s="4" t="s">
        <v>51</v>
      </c>
      <c r="AN633" s="4">
        <f>INT(Table1[[#This Row],[reject_prod]]/Table1[[#This Row],[part_weight]] * 1000)</f>
        <v>46</v>
      </c>
    </row>
    <row r="634" spans="1:40">
      <c r="A634" s="1">
        <v>46042</v>
      </c>
      <c r="B634">
        <v>2</v>
      </c>
      <c r="C634">
        <v>1</v>
      </c>
      <c r="D634" t="s">
        <v>40</v>
      </c>
      <c r="E634" t="s">
        <v>34</v>
      </c>
      <c r="F634">
        <v>577492</v>
      </c>
      <c r="G634">
        <v>0</v>
      </c>
      <c r="H634" t="s">
        <v>341</v>
      </c>
      <c r="I634">
        <v>10684028</v>
      </c>
      <c r="J634">
        <v>4</v>
      </c>
      <c r="K634">
        <v>35.6</v>
      </c>
      <c r="L634">
        <v>35.6</v>
      </c>
      <c r="M634">
        <v>1578</v>
      </c>
      <c r="N634" s="2">
        <v>101200</v>
      </c>
      <c r="O634" s="2">
        <v>0</v>
      </c>
      <c r="P634" s="2">
        <v>736</v>
      </c>
      <c r="Q634" s="2">
        <v>6312</v>
      </c>
      <c r="R634" s="2">
        <v>5520</v>
      </c>
      <c r="S634">
        <v>196.512</v>
      </c>
      <c r="T634" s="2">
        <v>8096</v>
      </c>
      <c r="U634" s="2">
        <v>93104</v>
      </c>
      <c r="V634">
        <v>224.7072</v>
      </c>
      <c r="W634">
        <v>0</v>
      </c>
      <c r="X634">
        <v>0</v>
      </c>
      <c r="Y634">
        <v>0</v>
      </c>
      <c r="Z634">
        <v>2</v>
      </c>
      <c r="AA634">
        <v>8.9004713689636999E-3</v>
      </c>
      <c r="AB634">
        <v>27.1</v>
      </c>
      <c r="AC634">
        <v>11.878833333333334</v>
      </c>
      <c r="AD634">
        <v>27</v>
      </c>
      <c r="AI63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0.12116666666666553</v>
      </c>
      <c r="AK634" t="s">
        <v>406</v>
      </c>
      <c r="AN634">
        <f>INT(Table1[[#This Row],[reject_prod]]/Table1[[#This Row],[part_weight]] * 1000)</f>
        <v>56</v>
      </c>
    </row>
    <row r="635" spans="1:40">
      <c r="A635" s="1">
        <v>46042</v>
      </c>
      <c r="B635">
        <v>2</v>
      </c>
      <c r="C635">
        <v>2</v>
      </c>
      <c r="D635" t="s">
        <v>33</v>
      </c>
      <c r="E635" t="s">
        <v>34</v>
      </c>
      <c r="F635">
        <v>416201</v>
      </c>
      <c r="G635">
        <v>0</v>
      </c>
      <c r="H635" t="s">
        <v>36</v>
      </c>
      <c r="I635">
        <v>10681779</v>
      </c>
      <c r="J635">
        <v>4</v>
      </c>
      <c r="K635">
        <v>20</v>
      </c>
      <c r="L635">
        <v>30</v>
      </c>
      <c r="M635">
        <v>0</v>
      </c>
      <c r="N635" s="2">
        <v>50400</v>
      </c>
      <c r="O635" s="2">
        <v>0</v>
      </c>
      <c r="P635" s="2">
        <v>0</v>
      </c>
      <c r="Q635" s="2">
        <v>0</v>
      </c>
      <c r="R635" s="2">
        <v>0</v>
      </c>
      <c r="S635">
        <v>0</v>
      </c>
      <c r="T635" s="2">
        <v>0</v>
      </c>
      <c r="U635" s="2">
        <v>50400</v>
      </c>
      <c r="V635">
        <v>0</v>
      </c>
      <c r="W635">
        <v>0</v>
      </c>
      <c r="X635">
        <v>0</v>
      </c>
      <c r="Y635" t="e">
        <v>#DIV/0!</v>
      </c>
      <c r="Z635">
        <v>0</v>
      </c>
      <c r="AA635" t="e">
        <v>#DIV/0!</v>
      </c>
      <c r="AB635">
        <v>38.6</v>
      </c>
      <c r="AC635">
        <v>0</v>
      </c>
      <c r="AD635">
        <v>38.64</v>
      </c>
      <c r="AI63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635" t="s">
        <v>387</v>
      </c>
      <c r="AN635">
        <f>INT(Table1[[#This Row],[reject_prod]]/Table1[[#This Row],[part_weight]] * 1000)</f>
        <v>0</v>
      </c>
    </row>
    <row r="636" spans="1:40">
      <c r="A636" s="1">
        <v>46042</v>
      </c>
      <c r="B636">
        <v>2</v>
      </c>
      <c r="C636">
        <v>3</v>
      </c>
      <c r="D636" t="s">
        <v>141</v>
      </c>
      <c r="E636" t="s">
        <v>34</v>
      </c>
      <c r="F636">
        <v>442034</v>
      </c>
      <c r="G636">
        <v>0</v>
      </c>
      <c r="H636" t="s">
        <v>37</v>
      </c>
      <c r="I636">
        <v>10681184</v>
      </c>
      <c r="J636">
        <v>4</v>
      </c>
      <c r="K636">
        <v>23</v>
      </c>
      <c r="L636">
        <v>23</v>
      </c>
      <c r="M636">
        <v>1670</v>
      </c>
      <c r="N636" s="2">
        <v>139776</v>
      </c>
      <c r="O636" s="2">
        <v>2304</v>
      </c>
      <c r="P636" s="2">
        <v>4224</v>
      </c>
      <c r="Q636" s="2">
        <v>6680</v>
      </c>
      <c r="R636" s="2">
        <v>4608</v>
      </c>
      <c r="S636">
        <v>105.98399999999999</v>
      </c>
      <c r="T636" s="2">
        <v>8832</v>
      </c>
      <c r="U636" s="2">
        <v>130944</v>
      </c>
      <c r="V636">
        <v>153.63999999999999</v>
      </c>
      <c r="W636">
        <v>0</v>
      </c>
      <c r="X636">
        <v>0</v>
      </c>
      <c r="Y636">
        <v>0</v>
      </c>
      <c r="Z636">
        <v>3.5</v>
      </c>
      <c r="AA636">
        <v>2.2780525904712315E-2</v>
      </c>
      <c r="AB636">
        <v>23.5</v>
      </c>
      <c r="AC636">
        <v>10.90138888888889</v>
      </c>
      <c r="AD636">
        <v>22</v>
      </c>
      <c r="AI63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1.0986111111111097</v>
      </c>
      <c r="AK636" t="s">
        <v>423</v>
      </c>
      <c r="AN636">
        <f>INT(Table1[[#This Row],[reject_prod]]/Table1[[#This Row],[part_weight]] * 1000)</f>
        <v>152</v>
      </c>
    </row>
    <row r="637" spans="1:40">
      <c r="A637" s="1">
        <v>46042</v>
      </c>
      <c r="B637">
        <v>2</v>
      </c>
      <c r="C637">
        <v>4</v>
      </c>
      <c r="D637" t="s">
        <v>143</v>
      </c>
      <c r="E637" t="s">
        <v>34</v>
      </c>
      <c r="F637">
        <v>402305</v>
      </c>
      <c r="G637">
        <v>0</v>
      </c>
      <c r="H637" t="s">
        <v>395</v>
      </c>
      <c r="I637">
        <v>10684852</v>
      </c>
      <c r="J637">
        <v>4</v>
      </c>
      <c r="K637">
        <v>29</v>
      </c>
      <c r="L637">
        <v>29</v>
      </c>
      <c r="M637">
        <v>1707</v>
      </c>
      <c r="N637" s="2">
        <v>64896</v>
      </c>
      <c r="O637" s="2">
        <v>416</v>
      </c>
      <c r="P637" s="2">
        <v>936</v>
      </c>
      <c r="Q637" s="2">
        <v>6828</v>
      </c>
      <c r="R637" s="2">
        <v>6240</v>
      </c>
      <c r="S637">
        <v>180.96</v>
      </c>
      <c r="T637" s="2">
        <v>15912</v>
      </c>
      <c r="U637" s="2">
        <v>48984</v>
      </c>
      <c r="V637">
        <v>198.012</v>
      </c>
      <c r="W637">
        <v>0</v>
      </c>
      <c r="X637">
        <v>0</v>
      </c>
      <c r="Y637">
        <v>0</v>
      </c>
      <c r="Z637">
        <v>1.7</v>
      </c>
      <c r="AA637">
        <v>8.5853382623275361E-3</v>
      </c>
      <c r="AB637">
        <v>24.4</v>
      </c>
      <c r="AC637">
        <v>11.569666666666667</v>
      </c>
      <c r="AD637">
        <v>22</v>
      </c>
      <c r="AI63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0.43033333333333346</v>
      </c>
      <c r="AK637" t="s">
        <v>214</v>
      </c>
      <c r="AN637">
        <f>INT(Table1[[#This Row],[reject_prod]]/Table1[[#This Row],[part_weight]] * 1000)</f>
        <v>58</v>
      </c>
    </row>
    <row r="638" spans="1:40">
      <c r="A638" s="1">
        <v>46042</v>
      </c>
      <c r="B638">
        <v>2</v>
      </c>
      <c r="C638">
        <v>5</v>
      </c>
      <c r="D638" t="s">
        <v>418</v>
      </c>
      <c r="E638" t="s">
        <v>34</v>
      </c>
      <c r="F638">
        <v>322383</v>
      </c>
      <c r="G638">
        <v>0</v>
      </c>
      <c r="H638" t="s">
        <v>71</v>
      </c>
      <c r="I638">
        <v>10682756</v>
      </c>
      <c r="J638">
        <v>4</v>
      </c>
      <c r="K638">
        <v>12.5</v>
      </c>
      <c r="L638">
        <v>12.5</v>
      </c>
      <c r="M638">
        <v>2021</v>
      </c>
      <c r="N638" s="2">
        <v>66000</v>
      </c>
      <c r="O638" s="2">
        <v>9900</v>
      </c>
      <c r="P638" s="2">
        <v>4700</v>
      </c>
      <c r="Q638" s="2">
        <v>8084</v>
      </c>
      <c r="R638" s="2">
        <v>13200</v>
      </c>
      <c r="S638">
        <v>165</v>
      </c>
      <c r="T638" s="2">
        <v>17900</v>
      </c>
      <c r="U638" s="2">
        <v>48100</v>
      </c>
      <c r="V638">
        <v>101.05</v>
      </c>
      <c r="W638">
        <v>0</v>
      </c>
      <c r="X638">
        <v>0</v>
      </c>
      <c r="Y638">
        <v>0</v>
      </c>
      <c r="Z638">
        <v>1</v>
      </c>
      <c r="AA638">
        <v>9.8960910440376061E-3</v>
      </c>
      <c r="AB638">
        <v>20.9</v>
      </c>
      <c r="AC638">
        <v>11.733027777777776</v>
      </c>
      <c r="AD638">
        <v>17.920000000000002</v>
      </c>
      <c r="AI63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0.26697222222222372</v>
      </c>
      <c r="AK638" t="s">
        <v>214</v>
      </c>
      <c r="AN638">
        <f>INT(Table1[[#This Row],[reject_prod]]/Table1[[#This Row],[part_weight]] * 1000)</f>
        <v>80</v>
      </c>
    </row>
    <row r="639" spans="1:40">
      <c r="A639" s="1">
        <v>46042</v>
      </c>
      <c r="B639">
        <v>2</v>
      </c>
      <c r="C639">
        <v>6</v>
      </c>
      <c r="D639" t="s">
        <v>419</v>
      </c>
      <c r="E639" t="s">
        <v>34</v>
      </c>
      <c r="F639">
        <v>322409</v>
      </c>
      <c r="G639">
        <v>0</v>
      </c>
      <c r="H639" t="s">
        <v>400</v>
      </c>
      <c r="I639">
        <v>10683854</v>
      </c>
      <c r="J639">
        <v>4</v>
      </c>
      <c r="K639">
        <v>24</v>
      </c>
      <c r="L639">
        <v>24</v>
      </c>
      <c r="M639">
        <v>1930</v>
      </c>
      <c r="N639" s="2">
        <v>70200</v>
      </c>
      <c r="O639" s="2">
        <v>3042</v>
      </c>
      <c r="P639" s="2">
        <v>1170</v>
      </c>
      <c r="Q639" s="2">
        <v>7720</v>
      </c>
      <c r="R639" s="2">
        <v>9360</v>
      </c>
      <c r="S639">
        <v>224.64</v>
      </c>
      <c r="T639" s="2">
        <v>18720</v>
      </c>
      <c r="U639" s="2">
        <v>51480</v>
      </c>
      <c r="V639">
        <v>185.28</v>
      </c>
      <c r="W639">
        <v>0</v>
      </c>
      <c r="X639">
        <v>0</v>
      </c>
      <c r="Y639">
        <v>0</v>
      </c>
      <c r="Z639">
        <v>5.5</v>
      </c>
      <c r="AA639">
        <v>2.9684801381692574E-2</v>
      </c>
      <c r="AB639">
        <v>21.4</v>
      </c>
      <c r="AC639">
        <v>11.472777777777777</v>
      </c>
      <c r="AD639">
        <v>20</v>
      </c>
      <c r="AI63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0.52722222222222292</v>
      </c>
      <c r="AK639" t="s">
        <v>424</v>
      </c>
      <c r="AN639">
        <f>INT(Table1[[#This Row],[reject_prod]]/Table1[[#This Row],[part_weight]] * 1000)</f>
        <v>229</v>
      </c>
    </row>
    <row r="640" spans="1:40">
      <c r="A640" s="1">
        <v>46042</v>
      </c>
      <c r="B640">
        <v>2</v>
      </c>
      <c r="C640">
        <v>7</v>
      </c>
      <c r="D640" t="s">
        <v>43</v>
      </c>
      <c r="E640" t="s">
        <v>34</v>
      </c>
      <c r="F640">
        <v>322452</v>
      </c>
      <c r="G640">
        <v>0</v>
      </c>
      <c r="H640" t="s">
        <v>374</v>
      </c>
      <c r="I640">
        <v>10683857</v>
      </c>
      <c r="J640">
        <v>4</v>
      </c>
      <c r="K640">
        <v>33.11</v>
      </c>
      <c r="L640">
        <v>34.5</v>
      </c>
      <c r="M640">
        <v>1779</v>
      </c>
      <c r="N640" s="2">
        <v>44928</v>
      </c>
      <c r="O640" s="2">
        <v>1048</v>
      </c>
      <c r="P640" s="2">
        <v>624</v>
      </c>
      <c r="Q640" s="2">
        <v>7116</v>
      </c>
      <c r="R640" s="2">
        <v>7488</v>
      </c>
      <c r="S640">
        <v>258.33600000000001</v>
      </c>
      <c r="T640" s="2">
        <v>26832</v>
      </c>
      <c r="U640" s="2">
        <v>18096</v>
      </c>
      <c r="V640">
        <v>245.50200000000001</v>
      </c>
      <c r="W640">
        <v>0</v>
      </c>
      <c r="X640">
        <v>0</v>
      </c>
      <c r="Y640">
        <v>0</v>
      </c>
      <c r="Z640">
        <v>1.8</v>
      </c>
      <c r="AA640">
        <v>7.3319158296062757E-3</v>
      </c>
      <c r="AB640">
        <v>23.6</v>
      </c>
      <c r="AC640">
        <v>11.662333333333335</v>
      </c>
      <c r="AD640">
        <v>18.04</v>
      </c>
      <c r="AI64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0.33766666666666545</v>
      </c>
      <c r="AK640" t="s">
        <v>214</v>
      </c>
      <c r="AN640">
        <f>INT(Table1[[#This Row],[reject_prod]]/Table1[[#This Row],[part_weight]] * 1000)</f>
        <v>52</v>
      </c>
    </row>
    <row r="641" spans="1:40">
      <c r="A641" s="1">
        <v>46042</v>
      </c>
      <c r="B641">
        <v>2</v>
      </c>
      <c r="C641">
        <v>8</v>
      </c>
      <c r="D641" t="s">
        <v>65</v>
      </c>
      <c r="E641" t="s">
        <v>41</v>
      </c>
      <c r="F641">
        <v>593537</v>
      </c>
      <c r="G641">
        <v>0</v>
      </c>
      <c r="H641" t="s">
        <v>48</v>
      </c>
      <c r="I641">
        <v>10685022</v>
      </c>
      <c r="J641">
        <v>4</v>
      </c>
      <c r="K641">
        <v>56.5</v>
      </c>
      <c r="L641">
        <v>56.8</v>
      </c>
      <c r="M641">
        <v>1388</v>
      </c>
      <c r="N641" s="2">
        <v>69000</v>
      </c>
      <c r="O641" s="2">
        <v>230</v>
      </c>
      <c r="P641" s="2">
        <v>0</v>
      </c>
      <c r="Q641" s="2">
        <v>5552</v>
      </c>
      <c r="R641" s="2">
        <v>5750</v>
      </c>
      <c r="S641">
        <v>326.60000000000002</v>
      </c>
      <c r="T641" s="2">
        <v>12075</v>
      </c>
      <c r="U641" s="2">
        <v>56925</v>
      </c>
      <c r="V641">
        <v>315.35359999999997</v>
      </c>
      <c r="W641">
        <v>0</v>
      </c>
      <c r="X641">
        <v>0</v>
      </c>
      <c r="Y641">
        <v>0</v>
      </c>
      <c r="Z641">
        <v>1.7</v>
      </c>
      <c r="AA641">
        <v>5.3907740390469619E-3</v>
      </c>
      <c r="AB641">
        <v>30.4</v>
      </c>
      <c r="AC641">
        <v>11.720888888888888</v>
      </c>
      <c r="AD641">
        <v>28.5</v>
      </c>
      <c r="AI64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0.27911111111111175</v>
      </c>
      <c r="AK641" t="s">
        <v>406</v>
      </c>
      <c r="AN641">
        <f>INT(Table1[[#This Row],[reject_prod]]/Table1[[#This Row],[part_weight]] * 1000)</f>
        <v>29</v>
      </c>
    </row>
    <row r="642" spans="1:40">
      <c r="A642" s="1">
        <v>46042</v>
      </c>
      <c r="B642">
        <v>2</v>
      </c>
      <c r="C642">
        <v>9</v>
      </c>
      <c r="D642" t="s">
        <v>33</v>
      </c>
      <c r="E642" t="s">
        <v>46</v>
      </c>
      <c r="F642">
        <v>586276</v>
      </c>
      <c r="G642">
        <v>0</v>
      </c>
      <c r="H642" t="s">
        <v>47</v>
      </c>
      <c r="I642">
        <v>10682924</v>
      </c>
      <c r="J642">
        <v>6</v>
      </c>
      <c r="K642">
        <v>12.3</v>
      </c>
      <c r="L642">
        <v>12.3</v>
      </c>
      <c r="M642">
        <v>0</v>
      </c>
      <c r="N642" s="2">
        <v>162000</v>
      </c>
      <c r="O642" s="2">
        <v>7290</v>
      </c>
      <c r="P642" s="2">
        <v>7290</v>
      </c>
      <c r="Q642" s="2">
        <v>0</v>
      </c>
      <c r="R642" s="2">
        <v>0</v>
      </c>
      <c r="S642">
        <v>0</v>
      </c>
      <c r="T642" s="2">
        <v>80190</v>
      </c>
      <c r="U642" s="2">
        <v>81810</v>
      </c>
      <c r="V642">
        <v>0</v>
      </c>
      <c r="W642">
        <v>0</v>
      </c>
      <c r="X642">
        <v>0</v>
      </c>
      <c r="Y642" t="e">
        <v>#DIV/0!</v>
      </c>
      <c r="Z642">
        <v>0</v>
      </c>
      <c r="AA642" t="e">
        <v>#DIV/0!</v>
      </c>
      <c r="AB642">
        <v>26</v>
      </c>
      <c r="AC642">
        <v>0</v>
      </c>
      <c r="AD642">
        <v>26</v>
      </c>
      <c r="AI64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642" t="s">
        <v>407</v>
      </c>
      <c r="AN642">
        <f>INT(Table1[[#This Row],[reject_prod]]/Table1[[#This Row],[part_weight]] * 1000)</f>
        <v>0</v>
      </c>
    </row>
    <row r="643" spans="1:40">
      <c r="A643" s="1">
        <v>46042</v>
      </c>
      <c r="B643">
        <v>2</v>
      </c>
      <c r="C643">
        <v>10</v>
      </c>
      <c r="D643" t="s">
        <v>61</v>
      </c>
      <c r="E643" t="s">
        <v>34</v>
      </c>
      <c r="F643">
        <v>323092</v>
      </c>
      <c r="G643">
        <v>0</v>
      </c>
      <c r="H643" t="s">
        <v>377</v>
      </c>
      <c r="I643">
        <v>10684857</v>
      </c>
      <c r="J643">
        <v>4</v>
      </c>
      <c r="K643">
        <v>48.9</v>
      </c>
      <c r="L643">
        <v>48.9</v>
      </c>
      <c r="M643">
        <v>1547</v>
      </c>
      <c r="N643" s="2">
        <v>37800</v>
      </c>
      <c r="O643" s="2">
        <v>420</v>
      </c>
      <c r="P643" s="2">
        <v>210</v>
      </c>
      <c r="Q643" s="2">
        <v>6188</v>
      </c>
      <c r="R643" s="2">
        <v>6300</v>
      </c>
      <c r="S643">
        <v>308.07</v>
      </c>
      <c r="T643" s="2">
        <v>30660</v>
      </c>
      <c r="U643" s="2">
        <v>7140</v>
      </c>
      <c r="V643">
        <v>302.59320000000002</v>
      </c>
      <c r="W643">
        <v>0</v>
      </c>
      <c r="X643">
        <v>0</v>
      </c>
      <c r="Y643">
        <v>0</v>
      </c>
      <c r="Z643">
        <v>4.5999999999999996</v>
      </c>
      <c r="AA643">
        <v>1.5201927868835121E-2</v>
      </c>
      <c r="AB643">
        <v>27.4</v>
      </c>
      <c r="AC643">
        <v>11.774388888888888</v>
      </c>
      <c r="AD643">
        <v>27.6</v>
      </c>
      <c r="AI64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0.22561111111111209</v>
      </c>
      <c r="AK643" t="s">
        <v>75</v>
      </c>
      <c r="AN643">
        <f>INT(Table1[[#This Row],[reject_prod]]/Table1[[#This Row],[part_weight]] * 1000)</f>
        <v>94</v>
      </c>
    </row>
    <row r="644" spans="1:40">
      <c r="A644" s="1">
        <v>46042</v>
      </c>
      <c r="B644">
        <v>2</v>
      </c>
      <c r="C644">
        <v>11</v>
      </c>
      <c r="D644" t="s">
        <v>112</v>
      </c>
      <c r="E644" t="s">
        <v>46</v>
      </c>
      <c r="F644">
        <v>552181</v>
      </c>
      <c r="G644">
        <v>1</v>
      </c>
      <c r="H644" t="s">
        <v>49</v>
      </c>
      <c r="I644">
        <v>10683782</v>
      </c>
      <c r="J644">
        <v>6</v>
      </c>
      <c r="K644">
        <v>18.8</v>
      </c>
      <c r="L644">
        <v>18.8</v>
      </c>
      <c r="M644">
        <v>1422</v>
      </c>
      <c r="N644" s="2">
        <v>108000</v>
      </c>
      <c r="O644" s="2">
        <v>13770</v>
      </c>
      <c r="P644" s="2">
        <v>5130</v>
      </c>
      <c r="Q644" s="2">
        <v>8532</v>
      </c>
      <c r="R644" s="2">
        <v>10800</v>
      </c>
      <c r="S644">
        <v>203.04</v>
      </c>
      <c r="T644" s="2">
        <v>107730</v>
      </c>
      <c r="U644" s="2">
        <v>270</v>
      </c>
      <c r="V644">
        <v>160.4016</v>
      </c>
      <c r="W644">
        <v>0</v>
      </c>
      <c r="X644">
        <v>0</v>
      </c>
      <c r="Y644">
        <v>0</v>
      </c>
      <c r="Z644">
        <v>9.8000000000000007</v>
      </c>
      <c r="AA644">
        <v>6.1096647414988381E-2</v>
      </c>
      <c r="AB644">
        <v>28.7</v>
      </c>
      <c r="AC644">
        <v>11.336500000000001</v>
      </c>
      <c r="AD644">
        <v>27</v>
      </c>
      <c r="AI64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0.66349999999999909</v>
      </c>
      <c r="AK644" t="s">
        <v>425</v>
      </c>
      <c r="AN644">
        <f>INT(Table1[[#This Row],[reject_prod]]/Table1[[#This Row],[part_weight]] * 1000)</f>
        <v>521</v>
      </c>
    </row>
    <row r="645" spans="1:40">
      <c r="A645" s="1">
        <v>46042</v>
      </c>
      <c r="B645">
        <v>2</v>
      </c>
      <c r="C645">
        <v>12</v>
      </c>
      <c r="D645" t="s">
        <v>67</v>
      </c>
      <c r="E645" t="s">
        <v>34</v>
      </c>
      <c r="F645">
        <v>620599</v>
      </c>
      <c r="G645">
        <v>0</v>
      </c>
      <c r="H645" t="s">
        <v>50</v>
      </c>
      <c r="I645">
        <v>10682929</v>
      </c>
      <c r="J645">
        <v>4</v>
      </c>
      <c r="K645">
        <v>55</v>
      </c>
      <c r="L645">
        <v>55</v>
      </c>
      <c r="M645">
        <v>394</v>
      </c>
      <c r="N645" s="2">
        <v>72000</v>
      </c>
      <c r="O645" s="2">
        <v>225</v>
      </c>
      <c r="P645" s="2">
        <v>0</v>
      </c>
      <c r="Q645" s="2">
        <v>1576</v>
      </c>
      <c r="R645" s="2">
        <v>1800</v>
      </c>
      <c r="S645">
        <v>99</v>
      </c>
      <c r="T645" s="2">
        <v>72000</v>
      </c>
      <c r="U645" s="2">
        <v>0</v>
      </c>
      <c r="V645">
        <v>86.68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29.1</v>
      </c>
      <c r="AC645">
        <v>3.1848333333333332</v>
      </c>
      <c r="AD645">
        <v>28</v>
      </c>
      <c r="AI64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8.8151666666666664</v>
      </c>
      <c r="AK645" t="s">
        <v>102</v>
      </c>
      <c r="AN645">
        <f>INT(Table1[[#This Row],[reject_prod]]/Table1[[#This Row],[part_weight]] * 1000)</f>
        <v>0</v>
      </c>
    </row>
    <row r="646" spans="1:40">
      <c r="A646" s="1">
        <v>46042</v>
      </c>
      <c r="B646">
        <v>2</v>
      </c>
      <c r="C646">
        <v>12</v>
      </c>
      <c r="D646" t="s">
        <v>67</v>
      </c>
      <c r="E646" t="s">
        <v>34</v>
      </c>
      <c r="F646">
        <v>620599</v>
      </c>
      <c r="G646">
        <v>0</v>
      </c>
      <c r="H646" t="s">
        <v>50</v>
      </c>
      <c r="I646">
        <v>10684839</v>
      </c>
      <c r="J646">
        <v>4</v>
      </c>
      <c r="K646">
        <v>55</v>
      </c>
      <c r="L646">
        <v>55</v>
      </c>
      <c r="M646">
        <v>1100</v>
      </c>
      <c r="N646" s="2">
        <v>72000</v>
      </c>
      <c r="O646" s="2">
        <v>0</v>
      </c>
      <c r="P646" s="2">
        <v>675</v>
      </c>
      <c r="Q646" s="2">
        <v>4400</v>
      </c>
      <c r="R646" s="2">
        <v>3600</v>
      </c>
      <c r="S646">
        <v>198</v>
      </c>
      <c r="T646" s="2">
        <v>4275</v>
      </c>
      <c r="U646" s="2">
        <v>67725</v>
      </c>
      <c r="V646">
        <v>242</v>
      </c>
      <c r="W646">
        <v>0</v>
      </c>
      <c r="X646">
        <v>0</v>
      </c>
      <c r="Y646">
        <v>0</v>
      </c>
      <c r="Z646">
        <v>6.5</v>
      </c>
      <c r="AA646">
        <v>2.6859504132231406E-2</v>
      </c>
      <c r="AB646">
        <v>29.1</v>
      </c>
      <c r="AC646">
        <v>8.8916666666666657</v>
      </c>
      <c r="AD646">
        <v>28</v>
      </c>
      <c r="AI64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3.1083333333333343</v>
      </c>
      <c r="AK646" t="s">
        <v>426</v>
      </c>
      <c r="AN646">
        <f>INT(Table1[[#This Row],[reject_prod]]/Table1[[#This Row],[part_weight]] * 1000)</f>
        <v>118</v>
      </c>
    </row>
    <row r="647" spans="1:40">
      <c r="A647" s="1">
        <v>46042</v>
      </c>
      <c r="B647">
        <v>2</v>
      </c>
      <c r="C647">
        <v>13</v>
      </c>
      <c r="D647" t="s">
        <v>112</v>
      </c>
      <c r="E647" t="s">
        <v>46</v>
      </c>
      <c r="F647">
        <v>586276</v>
      </c>
      <c r="G647">
        <v>0</v>
      </c>
      <c r="H647" t="s">
        <v>47</v>
      </c>
      <c r="I647">
        <v>10683784</v>
      </c>
      <c r="J647">
        <v>6</v>
      </c>
      <c r="K647">
        <v>12.3</v>
      </c>
      <c r="L647">
        <v>12.3</v>
      </c>
      <c r="M647">
        <v>1641</v>
      </c>
      <c r="N647" s="2">
        <v>162000</v>
      </c>
      <c r="O647" s="2">
        <v>4860</v>
      </c>
      <c r="P647" s="2">
        <v>6480</v>
      </c>
      <c r="Q647" s="2">
        <v>9846</v>
      </c>
      <c r="R647" s="2">
        <v>8100</v>
      </c>
      <c r="S647">
        <v>99.63</v>
      </c>
      <c r="T647" s="2">
        <v>127900</v>
      </c>
      <c r="U647" s="2">
        <v>34100</v>
      </c>
      <c r="V647">
        <v>121.1058</v>
      </c>
      <c r="W647">
        <v>0</v>
      </c>
      <c r="X647">
        <v>0</v>
      </c>
      <c r="Y647">
        <v>0</v>
      </c>
      <c r="Z647">
        <v>1.5</v>
      </c>
      <c r="AA647">
        <v>1.2385864260836392E-2</v>
      </c>
      <c r="AB647">
        <v>26.2</v>
      </c>
      <c r="AC647">
        <v>11.942833333333335</v>
      </c>
      <c r="AD647">
        <v>26</v>
      </c>
      <c r="AI64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5.7166666666665478E-2</v>
      </c>
      <c r="AK647" t="s">
        <v>406</v>
      </c>
      <c r="AN647">
        <f>INT(Table1[[#This Row],[reject_prod]]/Table1[[#This Row],[part_weight]] * 1000)</f>
        <v>121</v>
      </c>
    </row>
    <row r="648" spans="1:40">
      <c r="A648" s="1">
        <v>46042</v>
      </c>
      <c r="B648">
        <v>2</v>
      </c>
      <c r="C648">
        <v>14</v>
      </c>
      <c r="D648" t="s">
        <v>305</v>
      </c>
      <c r="E648" t="s">
        <v>46</v>
      </c>
      <c r="F648">
        <v>555979</v>
      </c>
      <c r="G648">
        <v>1</v>
      </c>
      <c r="H648" t="s">
        <v>52</v>
      </c>
      <c r="I648">
        <v>10683785</v>
      </c>
      <c r="J648">
        <v>6</v>
      </c>
      <c r="K648">
        <v>28</v>
      </c>
      <c r="L648">
        <v>28</v>
      </c>
      <c r="M648">
        <v>985</v>
      </c>
      <c r="N648" s="2">
        <v>100800</v>
      </c>
      <c r="O648" s="2">
        <v>2184</v>
      </c>
      <c r="P648" s="2">
        <v>1344</v>
      </c>
      <c r="Q648" s="2">
        <v>5910</v>
      </c>
      <c r="R648" s="2">
        <v>6720</v>
      </c>
      <c r="S648">
        <v>188.16</v>
      </c>
      <c r="T648" s="2">
        <v>28224</v>
      </c>
      <c r="U648" s="2">
        <v>72576</v>
      </c>
      <c r="V648">
        <v>165.48</v>
      </c>
      <c r="W648">
        <v>0</v>
      </c>
      <c r="X648">
        <v>0</v>
      </c>
      <c r="Y648">
        <v>0</v>
      </c>
      <c r="Z648">
        <v>0.8</v>
      </c>
      <c r="AA648">
        <v>4.834421078075901E-3</v>
      </c>
      <c r="AB648">
        <v>43</v>
      </c>
      <c r="AC648">
        <v>11.765277777777778</v>
      </c>
      <c r="AD648">
        <v>42</v>
      </c>
      <c r="AI64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0.2347222222222225</v>
      </c>
      <c r="AK648" t="s">
        <v>406</v>
      </c>
      <c r="AN648">
        <f>INT(Table1[[#This Row],[reject_prod]]/Table1[[#This Row],[part_weight]] * 1000)</f>
        <v>28</v>
      </c>
    </row>
    <row r="649" spans="1:40">
      <c r="A649" s="1">
        <v>46042</v>
      </c>
      <c r="B649">
        <v>2</v>
      </c>
      <c r="C649">
        <v>15</v>
      </c>
      <c r="D649" t="s">
        <v>112</v>
      </c>
      <c r="E649" t="s">
        <v>46</v>
      </c>
      <c r="F649">
        <v>552181</v>
      </c>
      <c r="G649" s="6">
        <v>2</v>
      </c>
      <c r="H649" t="s">
        <v>49</v>
      </c>
      <c r="I649">
        <v>10683786</v>
      </c>
      <c r="J649">
        <v>6</v>
      </c>
      <c r="K649">
        <v>18.8</v>
      </c>
      <c r="L649">
        <v>18.8</v>
      </c>
      <c r="M649">
        <v>1363</v>
      </c>
      <c r="N649" s="2">
        <v>108000</v>
      </c>
      <c r="O649" s="2">
        <v>270</v>
      </c>
      <c r="P649" s="2">
        <v>2970</v>
      </c>
      <c r="Q649" s="2">
        <v>8178</v>
      </c>
      <c r="R649" s="2">
        <v>5400</v>
      </c>
      <c r="S649">
        <v>101.52</v>
      </c>
      <c r="T649" s="2">
        <v>89370</v>
      </c>
      <c r="U649" s="2">
        <v>18630</v>
      </c>
      <c r="V649">
        <v>153.74639999999999</v>
      </c>
      <c r="W649">
        <v>0</v>
      </c>
      <c r="X649">
        <v>0</v>
      </c>
      <c r="Y649">
        <v>0</v>
      </c>
      <c r="Z649">
        <v>1.5</v>
      </c>
      <c r="AA649">
        <v>9.7563260017795549E-3</v>
      </c>
      <c r="AB649">
        <v>31.2</v>
      </c>
      <c r="AC649">
        <v>11.812666666666667</v>
      </c>
      <c r="AD649">
        <v>27</v>
      </c>
      <c r="AI64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0.18733333333333313</v>
      </c>
      <c r="AK649" t="s">
        <v>406</v>
      </c>
      <c r="AN649">
        <f>INT(Table1[[#This Row],[reject_prod]]/Table1[[#This Row],[part_weight]] * 1000)</f>
        <v>79</v>
      </c>
    </row>
    <row r="650" spans="1:40" s="4" customFormat="1">
      <c r="A650" s="3">
        <v>46042</v>
      </c>
      <c r="B650" s="4">
        <v>2</v>
      </c>
      <c r="C650" s="4">
        <v>16</v>
      </c>
      <c r="D650" s="4" t="s">
        <v>69</v>
      </c>
      <c r="E650" s="4" t="s">
        <v>46</v>
      </c>
      <c r="F650" s="4">
        <v>555979</v>
      </c>
      <c r="G650" s="4">
        <v>2</v>
      </c>
      <c r="H650" s="4" t="s">
        <v>52</v>
      </c>
      <c r="I650" s="4">
        <v>10683788</v>
      </c>
      <c r="J650" s="4">
        <v>6</v>
      </c>
      <c r="K650" s="4">
        <v>28</v>
      </c>
      <c r="L650" s="4">
        <v>28</v>
      </c>
      <c r="M650" s="4">
        <v>991</v>
      </c>
      <c r="N650" s="5">
        <v>100800</v>
      </c>
      <c r="O650" s="5">
        <v>168</v>
      </c>
      <c r="P650" s="5">
        <v>2688</v>
      </c>
      <c r="Q650" s="5">
        <v>5946</v>
      </c>
      <c r="R650" s="5">
        <v>3360</v>
      </c>
      <c r="S650" s="4">
        <v>94.08</v>
      </c>
      <c r="T650" s="5">
        <v>69888</v>
      </c>
      <c r="U650" s="5">
        <v>30912</v>
      </c>
      <c r="V650" s="4">
        <v>166.488</v>
      </c>
      <c r="W650" s="4">
        <v>0</v>
      </c>
      <c r="X650" s="4">
        <v>0</v>
      </c>
      <c r="Y650" s="4">
        <v>0</v>
      </c>
      <c r="Z650" s="4">
        <v>1.6</v>
      </c>
      <c r="AA650" s="4">
        <v>9.6103022440055738E-3</v>
      </c>
      <c r="AB650" s="4">
        <v>43.4</v>
      </c>
      <c r="AC650" s="4">
        <v>11.947055555555556</v>
      </c>
      <c r="AD650" s="4">
        <v>42</v>
      </c>
      <c r="AI65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5.2944444444444017E-2</v>
      </c>
      <c r="AK650" s="4" t="s">
        <v>406</v>
      </c>
      <c r="AN650" s="4">
        <f>INT(Table1[[#This Row],[reject_prod]]/Table1[[#This Row],[part_weight]] * 1000)</f>
        <v>57</v>
      </c>
    </row>
    <row r="651" spans="1:40">
      <c r="A651" s="1">
        <v>46043</v>
      </c>
      <c r="B651">
        <v>1</v>
      </c>
      <c r="C651">
        <v>1</v>
      </c>
      <c r="D651" t="s">
        <v>53</v>
      </c>
      <c r="E651" t="s">
        <v>34</v>
      </c>
      <c r="F651">
        <v>577492</v>
      </c>
      <c r="G651">
        <v>0</v>
      </c>
      <c r="H651" t="s">
        <v>341</v>
      </c>
      <c r="I651">
        <v>10684028</v>
      </c>
      <c r="J651">
        <v>4</v>
      </c>
      <c r="K651">
        <v>35.6</v>
      </c>
      <c r="L651">
        <v>35.6</v>
      </c>
      <c r="M651">
        <v>1390</v>
      </c>
      <c r="N651" s="2">
        <v>101200</v>
      </c>
      <c r="O651" s="2">
        <v>736</v>
      </c>
      <c r="P651" s="2">
        <v>736</v>
      </c>
      <c r="Q651" s="2">
        <v>5560</v>
      </c>
      <c r="R651" s="2">
        <v>5520</v>
      </c>
      <c r="S651">
        <v>196.512</v>
      </c>
      <c r="T651" s="2">
        <v>13616</v>
      </c>
      <c r="U651" s="2">
        <v>87584</v>
      </c>
      <c r="V651">
        <v>197.93600000000001</v>
      </c>
      <c r="W651">
        <v>0</v>
      </c>
      <c r="X651">
        <v>0</v>
      </c>
      <c r="Y651">
        <v>0</v>
      </c>
      <c r="Z651">
        <v>1.3</v>
      </c>
      <c r="AA651">
        <v>6.5677794842777465E-3</v>
      </c>
      <c r="AB651">
        <v>27.1</v>
      </c>
      <c r="AC651">
        <v>10.463611111111112</v>
      </c>
      <c r="AD651">
        <v>27</v>
      </c>
      <c r="AH651">
        <v>1.5</v>
      </c>
      <c r="AI65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3.638888888888836E-2</v>
      </c>
      <c r="AK651" t="s">
        <v>433</v>
      </c>
      <c r="AN651">
        <f>INT(Table1[[#This Row],[reject_prod]]/Table1[[#This Row],[part_weight]] * 1000)</f>
        <v>36</v>
      </c>
    </row>
    <row r="652" spans="1:40">
      <c r="A652" s="1">
        <v>46043</v>
      </c>
      <c r="B652">
        <v>1</v>
      </c>
      <c r="C652">
        <v>2</v>
      </c>
      <c r="D652" t="s">
        <v>33</v>
      </c>
      <c r="E652" t="s">
        <v>34</v>
      </c>
      <c r="F652">
        <v>416201</v>
      </c>
      <c r="G652">
        <v>0</v>
      </c>
      <c r="H652" t="s">
        <v>36</v>
      </c>
      <c r="I652">
        <v>10681779</v>
      </c>
      <c r="J652">
        <v>4</v>
      </c>
      <c r="K652">
        <v>20</v>
      </c>
      <c r="L652">
        <v>30</v>
      </c>
      <c r="M652">
        <v>0</v>
      </c>
      <c r="N652" s="2">
        <v>50400</v>
      </c>
      <c r="O652" s="2">
        <v>0</v>
      </c>
      <c r="P652" s="2">
        <v>0</v>
      </c>
      <c r="Q652" s="2">
        <v>0</v>
      </c>
      <c r="R652" s="2">
        <v>0</v>
      </c>
      <c r="S652">
        <v>0</v>
      </c>
      <c r="T652" s="2">
        <v>0</v>
      </c>
      <c r="U652" s="2">
        <v>50400</v>
      </c>
      <c r="V652">
        <v>0</v>
      </c>
      <c r="W652">
        <v>0</v>
      </c>
      <c r="X652">
        <v>0</v>
      </c>
      <c r="Y652" t="e">
        <v>#DIV/0!</v>
      </c>
      <c r="Z652">
        <v>0</v>
      </c>
      <c r="AA652" t="e">
        <v>#DIV/0!</v>
      </c>
      <c r="AB652">
        <v>38.6</v>
      </c>
      <c r="AC652">
        <v>0</v>
      </c>
      <c r="AD652">
        <v>38.64</v>
      </c>
      <c r="AI65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652" t="s">
        <v>387</v>
      </c>
      <c r="AN652">
        <f>INT(Table1[[#This Row],[reject_prod]]/Table1[[#This Row],[part_weight]] * 1000)</f>
        <v>0</v>
      </c>
    </row>
    <row r="653" spans="1:40">
      <c r="A653" s="1">
        <v>46043</v>
      </c>
      <c r="B653">
        <v>1</v>
      </c>
      <c r="C653">
        <v>3</v>
      </c>
      <c r="D653" t="s">
        <v>54</v>
      </c>
      <c r="E653" t="s">
        <v>34</v>
      </c>
      <c r="F653">
        <v>442034</v>
      </c>
      <c r="G653">
        <v>0</v>
      </c>
      <c r="H653" t="s">
        <v>37</v>
      </c>
      <c r="I653">
        <v>10681184</v>
      </c>
      <c r="J653">
        <v>4</v>
      </c>
      <c r="K653">
        <v>23</v>
      </c>
      <c r="L653">
        <v>23</v>
      </c>
      <c r="M653">
        <v>1000</v>
      </c>
      <c r="N653" s="2">
        <v>139776</v>
      </c>
      <c r="O653" s="2">
        <v>4224</v>
      </c>
      <c r="P653" s="2">
        <v>3456</v>
      </c>
      <c r="Q653" s="2">
        <v>4000</v>
      </c>
      <c r="R653" s="2">
        <v>4608</v>
      </c>
      <c r="S653">
        <v>105.98399999999999</v>
      </c>
      <c r="T653" s="2">
        <v>12672</v>
      </c>
      <c r="U653" s="2">
        <v>127104</v>
      </c>
      <c r="V653">
        <v>92</v>
      </c>
      <c r="W653">
        <v>0</v>
      </c>
      <c r="X653">
        <v>0</v>
      </c>
      <c r="Y653">
        <v>0</v>
      </c>
      <c r="Z653">
        <v>14.5</v>
      </c>
      <c r="AA653">
        <v>0.15760869565217392</v>
      </c>
      <c r="AB653">
        <v>23.5</v>
      </c>
      <c r="AC653">
        <v>6.5277777777777786</v>
      </c>
      <c r="AD653">
        <v>22</v>
      </c>
      <c r="AI65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3.4722222222222214</v>
      </c>
      <c r="AJ653">
        <v>2</v>
      </c>
      <c r="AK653" t="s">
        <v>434</v>
      </c>
      <c r="AN653">
        <f>INT(Table1[[#This Row],[reject_prod]]/Table1[[#This Row],[part_weight]] * 1000)</f>
        <v>630</v>
      </c>
    </row>
    <row r="654" spans="1:40">
      <c r="A654" s="1">
        <v>46043</v>
      </c>
      <c r="B654">
        <v>1</v>
      </c>
      <c r="C654">
        <v>4</v>
      </c>
      <c r="D654" t="s">
        <v>289</v>
      </c>
      <c r="E654" t="s">
        <v>34</v>
      </c>
      <c r="F654">
        <v>402305</v>
      </c>
      <c r="G654">
        <v>0</v>
      </c>
      <c r="H654" t="s">
        <v>395</v>
      </c>
      <c r="I654">
        <v>10684852</v>
      </c>
      <c r="J654">
        <v>4</v>
      </c>
      <c r="K654">
        <v>29</v>
      </c>
      <c r="L654">
        <v>29</v>
      </c>
      <c r="M654">
        <v>1745</v>
      </c>
      <c r="N654" s="2">
        <v>64896</v>
      </c>
      <c r="O654" s="2">
        <v>936</v>
      </c>
      <c r="P654" s="2">
        <v>416</v>
      </c>
      <c r="Q654" s="2">
        <v>6980</v>
      </c>
      <c r="R654" s="2">
        <v>7488</v>
      </c>
      <c r="S654">
        <v>217.15199999999999</v>
      </c>
      <c r="T654" s="2">
        <v>22880</v>
      </c>
      <c r="U654" s="2">
        <v>42016</v>
      </c>
      <c r="V654">
        <v>202.42</v>
      </c>
      <c r="W654">
        <v>0</v>
      </c>
      <c r="X654">
        <v>0</v>
      </c>
      <c r="Y654">
        <v>0</v>
      </c>
      <c r="Z654">
        <v>1</v>
      </c>
      <c r="AA654">
        <v>4.9402232980930742E-3</v>
      </c>
      <c r="AB654">
        <v>24.4</v>
      </c>
      <c r="AC654">
        <v>11.827222222222222</v>
      </c>
      <c r="AD654">
        <v>22</v>
      </c>
      <c r="AI65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0.17277777777777814</v>
      </c>
      <c r="AK654" t="s">
        <v>214</v>
      </c>
      <c r="AN654">
        <f>INT(Table1[[#This Row],[reject_prod]]/Table1[[#This Row],[part_weight]] * 1000)</f>
        <v>34</v>
      </c>
    </row>
    <row r="655" spans="1:40">
      <c r="A655" s="1">
        <v>46043</v>
      </c>
      <c r="B655">
        <v>1</v>
      </c>
      <c r="C655">
        <v>5</v>
      </c>
      <c r="D655" t="s">
        <v>427</v>
      </c>
      <c r="E655" t="s">
        <v>34</v>
      </c>
      <c r="F655">
        <v>322383</v>
      </c>
      <c r="G655">
        <v>0</v>
      </c>
      <c r="H655" t="s">
        <v>71</v>
      </c>
      <c r="I655">
        <v>10682756</v>
      </c>
      <c r="J655">
        <v>4</v>
      </c>
      <c r="K655">
        <v>12.5</v>
      </c>
      <c r="L655">
        <v>12.5</v>
      </c>
      <c r="M655">
        <v>1980</v>
      </c>
      <c r="N655" s="2">
        <v>66000</v>
      </c>
      <c r="O655" s="2">
        <v>4700</v>
      </c>
      <c r="P655" s="2">
        <v>12100</v>
      </c>
      <c r="Q655" s="2">
        <v>7920</v>
      </c>
      <c r="R655" s="2">
        <v>0</v>
      </c>
      <c r="S655">
        <v>0</v>
      </c>
      <c r="T655" s="2">
        <v>37400</v>
      </c>
      <c r="U655" s="2">
        <v>28600</v>
      </c>
      <c r="V655">
        <v>99</v>
      </c>
      <c r="W655">
        <v>0</v>
      </c>
      <c r="X655">
        <v>0</v>
      </c>
      <c r="Y655">
        <v>0</v>
      </c>
      <c r="Z655">
        <v>1.2</v>
      </c>
      <c r="AA655">
        <v>1.2121212121212121E-2</v>
      </c>
      <c r="AB655">
        <v>21</v>
      </c>
      <c r="AC655">
        <v>11.55</v>
      </c>
      <c r="AD655">
        <v>17.920000000000002</v>
      </c>
      <c r="AI65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0.44999999999999929</v>
      </c>
      <c r="AK655" t="s">
        <v>214</v>
      </c>
      <c r="AN655">
        <f>INT(Table1[[#This Row],[reject_prod]]/Table1[[#This Row],[part_weight]] * 1000)</f>
        <v>96</v>
      </c>
    </row>
    <row r="656" spans="1:40">
      <c r="A656" s="1">
        <v>46043</v>
      </c>
      <c r="B656">
        <v>1</v>
      </c>
      <c r="C656">
        <v>6</v>
      </c>
      <c r="D656" t="s">
        <v>349</v>
      </c>
      <c r="E656" t="s">
        <v>34</v>
      </c>
      <c r="F656">
        <v>322409</v>
      </c>
      <c r="G656">
        <v>0</v>
      </c>
      <c r="H656" t="s">
        <v>400</v>
      </c>
      <c r="I656">
        <v>10683854</v>
      </c>
      <c r="J656">
        <v>4</v>
      </c>
      <c r="K656">
        <v>24</v>
      </c>
      <c r="L656">
        <v>24</v>
      </c>
      <c r="M656">
        <v>2050</v>
      </c>
      <c r="N656" s="2">
        <v>70200</v>
      </c>
      <c r="O656" s="2">
        <v>1170</v>
      </c>
      <c r="P656" s="2">
        <v>0</v>
      </c>
      <c r="Q656" s="2">
        <v>8200</v>
      </c>
      <c r="R656" s="2">
        <v>9360</v>
      </c>
      <c r="S656">
        <v>224.64</v>
      </c>
      <c r="T656" s="2">
        <v>26910</v>
      </c>
      <c r="U656" s="2">
        <v>43290</v>
      </c>
      <c r="V656">
        <v>196.8</v>
      </c>
      <c r="W656">
        <v>0</v>
      </c>
      <c r="X656">
        <v>0</v>
      </c>
      <c r="Y656">
        <v>0</v>
      </c>
      <c r="Z656">
        <v>1</v>
      </c>
      <c r="AA656">
        <v>5.08130081300813E-3</v>
      </c>
      <c r="AB656">
        <v>21</v>
      </c>
      <c r="AC656">
        <v>11.958333333333334</v>
      </c>
      <c r="AD656">
        <v>20</v>
      </c>
      <c r="AI65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4.1666666666666075E-2</v>
      </c>
      <c r="AK656" t="s">
        <v>214</v>
      </c>
      <c r="AN656">
        <f>INT(Table1[[#This Row],[reject_prod]]/Table1[[#This Row],[part_weight]] * 1000)</f>
        <v>41</v>
      </c>
    </row>
    <row r="657" spans="1:40">
      <c r="A657" s="1">
        <v>46043</v>
      </c>
      <c r="B657">
        <v>1</v>
      </c>
      <c r="C657">
        <v>7</v>
      </c>
      <c r="D657" t="s">
        <v>56</v>
      </c>
      <c r="E657" t="s">
        <v>34</v>
      </c>
      <c r="F657">
        <v>322452</v>
      </c>
      <c r="G657">
        <v>0</v>
      </c>
      <c r="H657" t="s">
        <v>374</v>
      </c>
      <c r="I657">
        <v>10683857</v>
      </c>
      <c r="J657">
        <v>4</v>
      </c>
      <c r="K657">
        <v>33.11</v>
      </c>
      <c r="L657">
        <v>34.5</v>
      </c>
      <c r="M657">
        <v>1835</v>
      </c>
      <c r="N657" s="2">
        <v>44928</v>
      </c>
      <c r="O657" s="2">
        <v>624</v>
      </c>
      <c r="P657" s="2">
        <v>462</v>
      </c>
      <c r="Q657" s="2">
        <v>7340</v>
      </c>
      <c r="R657" s="2">
        <v>7488</v>
      </c>
      <c r="S657">
        <v>258.33600000000001</v>
      </c>
      <c r="T657" s="2">
        <v>34158</v>
      </c>
      <c r="U657" s="2">
        <v>10770</v>
      </c>
      <c r="V657">
        <v>253.23</v>
      </c>
      <c r="W657">
        <v>-10.202600000000004</v>
      </c>
      <c r="X657">
        <v>0</v>
      </c>
      <c r="Y657">
        <v>0</v>
      </c>
      <c r="Z657">
        <v>1.2</v>
      </c>
      <c r="AA657">
        <v>4.7387750266556098E-3</v>
      </c>
      <c r="AB657">
        <v>23.6</v>
      </c>
      <c r="AC657">
        <v>12</v>
      </c>
      <c r="AD657">
        <v>18.04</v>
      </c>
      <c r="AI65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657" t="s">
        <v>51</v>
      </c>
      <c r="AN657">
        <f>INT(Table1[[#This Row],[reject_prod]]/Table1[[#This Row],[part_weight]] * 1000)</f>
        <v>34</v>
      </c>
    </row>
    <row r="658" spans="1:40">
      <c r="A658" s="1">
        <v>46043</v>
      </c>
      <c r="B658">
        <v>1</v>
      </c>
      <c r="C658">
        <v>8</v>
      </c>
      <c r="D658" t="s">
        <v>84</v>
      </c>
      <c r="E658" t="s">
        <v>41</v>
      </c>
      <c r="F658">
        <v>593537</v>
      </c>
      <c r="G658">
        <v>0</v>
      </c>
      <c r="H658" t="s">
        <v>48</v>
      </c>
      <c r="I658">
        <v>10685022</v>
      </c>
      <c r="J658">
        <v>4</v>
      </c>
      <c r="K658">
        <v>56.5</v>
      </c>
      <c r="L658">
        <v>56.8</v>
      </c>
      <c r="M658">
        <v>1438</v>
      </c>
      <c r="N658" s="2">
        <v>69000</v>
      </c>
      <c r="O658" s="2">
        <v>0</v>
      </c>
      <c r="P658" s="2">
        <v>0</v>
      </c>
      <c r="Q658" s="2">
        <v>5752</v>
      </c>
      <c r="R658" s="2">
        <v>5750</v>
      </c>
      <c r="S658">
        <v>326.60000000000002</v>
      </c>
      <c r="T658" s="2">
        <v>17825</v>
      </c>
      <c r="U658" s="2">
        <v>51175</v>
      </c>
      <c r="V658">
        <v>326.71359999999999</v>
      </c>
      <c r="W658">
        <v>-1.7255999999999836</v>
      </c>
      <c r="X658">
        <v>0</v>
      </c>
      <c r="Y658">
        <v>0</v>
      </c>
      <c r="Z658">
        <v>0.5</v>
      </c>
      <c r="AA658">
        <v>1.5303923681169074E-3</v>
      </c>
      <c r="AB658">
        <v>30</v>
      </c>
      <c r="AC658">
        <v>11.983333333333333</v>
      </c>
      <c r="AD658">
        <v>28.5</v>
      </c>
      <c r="AI65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1.6666666666667496E-2</v>
      </c>
      <c r="AK658" t="s">
        <v>51</v>
      </c>
      <c r="AN658">
        <f>INT(Table1[[#This Row],[reject_prod]]/Table1[[#This Row],[part_weight]] * 1000)</f>
        <v>8</v>
      </c>
    </row>
    <row r="659" spans="1:40">
      <c r="A659" s="1">
        <v>46043</v>
      </c>
      <c r="B659">
        <v>1</v>
      </c>
      <c r="C659">
        <v>9</v>
      </c>
      <c r="D659" t="s">
        <v>33</v>
      </c>
      <c r="E659" t="s">
        <v>46</v>
      </c>
      <c r="F659">
        <v>586276</v>
      </c>
      <c r="G659">
        <v>0</v>
      </c>
      <c r="H659" t="s">
        <v>47</v>
      </c>
      <c r="I659">
        <v>10682924</v>
      </c>
      <c r="J659">
        <v>6</v>
      </c>
      <c r="K659">
        <v>12.3</v>
      </c>
      <c r="L659">
        <v>12.3</v>
      </c>
      <c r="M659">
        <v>0</v>
      </c>
      <c r="N659" s="2">
        <v>162000</v>
      </c>
      <c r="O659" s="2">
        <v>7290</v>
      </c>
      <c r="P659" s="2">
        <v>0</v>
      </c>
      <c r="Q659" s="2">
        <v>0</v>
      </c>
      <c r="R659" s="2">
        <v>0</v>
      </c>
      <c r="S659">
        <v>0</v>
      </c>
      <c r="T659" s="2">
        <v>80190</v>
      </c>
      <c r="U659" s="2">
        <v>81810</v>
      </c>
      <c r="V659">
        <v>0</v>
      </c>
      <c r="W659">
        <v>0</v>
      </c>
      <c r="X659">
        <v>0</v>
      </c>
      <c r="Y659" t="e">
        <v>#DIV/0!</v>
      </c>
      <c r="Z659">
        <v>0</v>
      </c>
      <c r="AA659" t="e">
        <v>#DIV/0!</v>
      </c>
      <c r="AB659">
        <v>26</v>
      </c>
      <c r="AC659">
        <v>0</v>
      </c>
      <c r="AD659">
        <v>26</v>
      </c>
      <c r="AI65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659" t="s">
        <v>407</v>
      </c>
      <c r="AN659">
        <f>INT(Table1[[#This Row],[reject_prod]]/Table1[[#This Row],[part_weight]] * 1000)</f>
        <v>0</v>
      </c>
    </row>
    <row r="660" spans="1:40">
      <c r="A660" s="1">
        <v>46043</v>
      </c>
      <c r="B660">
        <v>1</v>
      </c>
      <c r="C660">
        <v>10</v>
      </c>
      <c r="D660" t="s">
        <v>59</v>
      </c>
      <c r="E660" t="s">
        <v>34</v>
      </c>
      <c r="F660">
        <v>323092</v>
      </c>
      <c r="G660">
        <v>0</v>
      </c>
      <c r="H660" t="s">
        <v>377</v>
      </c>
      <c r="I660">
        <v>10684857</v>
      </c>
      <c r="J660">
        <v>4</v>
      </c>
      <c r="K660">
        <v>48.9</v>
      </c>
      <c r="L660">
        <v>48.9</v>
      </c>
      <c r="M660">
        <v>1575</v>
      </c>
      <c r="N660" s="2">
        <v>37800</v>
      </c>
      <c r="O660" s="2">
        <v>210</v>
      </c>
      <c r="P660" s="2">
        <v>210</v>
      </c>
      <c r="Q660" s="2">
        <v>6300</v>
      </c>
      <c r="R660" s="2">
        <v>6300</v>
      </c>
      <c r="S660">
        <v>308.07</v>
      </c>
      <c r="T660" s="2">
        <v>36960</v>
      </c>
      <c r="U660" s="2">
        <v>840</v>
      </c>
      <c r="V660">
        <v>308.07</v>
      </c>
      <c r="W660">
        <v>0</v>
      </c>
      <c r="X660">
        <v>0</v>
      </c>
      <c r="Y660">
        <v>0</v>
      </c>
      <c r="Z660">
        <v>3.6</v>
      </c>
      <c r="AA660">
        <v>1.1685655857434999E-2</v>
      </c>
      <c r="AB660">
        <v>27.4</v>
      </c>
      <c r="AC660">
        <v>11.987500000000001</v>
      </c>
      <c r="AD660">
        <v>27.6</v>
      </c>
      <c r="AI66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1.2499999999999289E-2</v>
      </c>
      <c r="AK660" t="s">
        <v>214</v>
      </c>
      <c r="AN660">
        <f>INT(Table1[[#This Row],[reject_prod]]/Table1[[#This Row],[part_weight]] * 1000)</f>
        <v>73</v>
      </c>
    </row>
    <row r="661" spans="1:40">
      <c r="A661" s="1">
        <v>46043</v>
      </c>
      <c r="B661">
        <v>1</v>
      </c>
      <c r="C661">
        <v>11</v>
      </c>
      <c r="D661" t="s">
        <v>139</v>
      </c>
      <c r="E661" t="s">
        <v>46</v>
      </c>
      <c r="F661">
        <v>552181</v>
      </c>
      <c r="G661">
        <v>0</v>
      </c>
      <c r="H661" t="s">
        <v>49</v>
      </c>
      <c r="I661">
        <v>10683782</v>
      </c>
      <c r="J661">
        <v>6</v>
      </c>
      <c r="K661">
        <v>18.8</v>
      </c>
      <c r="L661">
        <v>18.8</v>
      </c>
      <c r="M661">
        <v>45</v>
      </c>
      <c r="N661" s="2">
        <v>108000</v>
      </c>
      <c r="O661" s="2">
        <v>5130</v>
      </c>
      <c r="P661" s="2"/>
      <c r="Q661" s="2">
        <v>270</v>
      </c>
      <c r="R661" s="2">
        <v>5400</v>
      </c>
      <c r="S661">
        <v>101.52</v>
      </c>
      <c r="T661" s="2">
        <v>108000</v>
      </c>
      <c r="U661" s="2">
        <v>0</v>
      </c>
      <c r="V661">
        <v>5.0759999999999996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28.7</v>
      </c>
      <c r="AC661">
        <v>0.35875000000000001</v>
      </c>
      <c r="AD661">
        <v>27</v>
      </c>
      <c r="AI66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11.641249999999999</v>
      </c>
      <c r="AK661" t="s">
        <v>248</v>
      </c>
      <c r="AN661">
        <f>INT(Table1[[#This Row],[reject_prod]]/Table1[[#This Row],[part_weight]] * 1000)</f>
        <v>0</v>
      </c>
    </row>
    <row r="662" spans="1:40">
      <c r="A662" s="1">
        <v>46043</v>
      </c>
      <c r="B662">
        <v>1</v>
      </c>
      <c r="C662">
        <v>11</v>
      </c>
      <c r="D662" t="s">
        <v>139</v>
      </c>
      <c r="E662" t="s">
        <v>46</v>
      </c>
      <c r="F662">
        <v>552181</v>
      </c>
      <c r="G662">
        <v>1</v>
      </c>
      <c r="H662" t="s">
        <v>49</v>
      </c>
      <c r="I662">
        <v>10683783</v>
      </c>
      <c r="J662">
        <v>6</v>
      </c>
      <c r="K662">
        <v>18.8</v>
      </c>
      <c r="L662">
        <v>18.8</v>
      </c>
      <c r="M662">
        <v>1395</v>
      </c>
      <c r="N662" s="2">
        <v>108000</v>
      </c>
      <c r="O662" s="2">
        <v>0</v>
      </c>
      <c r="P662" s="2">
        <v>8370</v>
      </c>
      <c r="Q662" s="2">
        <v>8370</v>
      </c>
      <c r="R662" s="2">
        <v>0</v>
      </c>
      <c r="S662">
        <v>0</v>
      </c>
      <c r="T662" s="2">
        <v>8370</v>
      </c>
      <c r="U662" s="2">
        <v>99630</v>
      </c>
      <c r="V662">
        <v>157.35599999999999</v>
      </c>
      <c r="W662">
        <v>0</v>
      </c>
      <c r="X662">
        <v>0</v>
      </c>
      <c r="Y662">
        <v>0</v>
      </c>
      <c r="Z662">
        <v>1</v>
      </c>
      <c r="AA662">
        <v>6.3550166501436236E-3</v>
      </c>
      <c r="AB662">
        <v>28.7</v>
      </c>
      <c r="AC662">
        <v>11.12125</v>
      </c>
      <c r="AD662">
        <v>27</v>
      </c>
      <c r="AI66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0.87875000000000014</v>
      </c>
      <c r="AK662" t="s">
        <v>51</v>
      </c>
      <c r="AN662">
        <f>INT(Table1[[#This Row],[reject_prod]]/Table1[[#This Row],[part_weight]] * 1000)</f>
        <v>53</v>
      </c>
    </row>
    <row r="663" spans="1:40">
      <c r="A663" s="1">
        <v>46043</v>
      </c>
      <c r="B663">
        <v>1</v>
      </c>
      <c r="C663">
        <v>12</v>
      </c>
      <c r="D663" t="s">
        <v>208</v>
      </c>
      <c r="E663" t="s">
        <v>34</v>
      </c>
      <c r="F663">
        <v>620599</v>
      </c>
      <c r="G663">
        <v>0</v>
      </c>
      <c r="H663" t="s">
        <v>50</v>
      </c>
      <c r="I663">
        <v>10684839</v>
      </c>
      <c r="J663">
        <v>4</v>
      </c>
      <c r="K663">
        <v>55</v>
      </c>
      <c r="L663">
        <v>55</v>
      </c>
      <c r="M663">
        <v>1240</v>
      </c>
      <c r="N663" s="2">
        <v>72000</v>
      </c>
      <c r="O663" s="2">
        <v>675</v>
      </c>
      <c r="P663" s="2">
        <v>225</v>
      </c>
      <c r="Q663" s="2">
        <v>4960</v>
      </c>
      <c r="R663" s="2">
        <v>5400</v>
      </c>
      <c r="S663">
        <v>297</v>
      </c>
      <c r="T663" s="2">
        <v>9225</v>
      </c>
      <c r="U663" s="2">
        <v>62775</v>
      </c>
      <c r="V663">
        <v>272.8</v>
      </c>
      <c r="W663">
        <v>0</v>
      </c>
      <c r="X663">
        <v>8</v>
      </c>
      <c r="Y663">
        <v>2.9325513196480937E-2</v>
      </c>
      <c r="Z663">
        <v>2</v>
      </c>
      <c r="AA663">
        <v>7.3313782991202342E-3</v>
      </c>
      <c r="AB663">
        <v>29.1</v>
      </c>
      <c r="AC663">
        <v>10</v>
      </c>
      <c r="AD663">
        <v>28</v>
      </c>
      <c r="AH663">
        <v>2</v>
      </c>
      <c r="AI66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663" t="s">
        <v>435</v>
      </c>
      <c r="AN663">
        <f>INT(Table1[[#This Row],[reject_prod]]/Table1[[#This Row],[part_weight]] * 1000)</f>
        <v>36</v>
      </c>
    </row>
    <row r="664" spans="1:40">
      <c r="A664" s="1">
        <v>46043</v>
      </c>
      <c r="B664">
        <v>1</v>
      </c>
      <c r="C664">
        <v>13</v>
      </c>
      <c r="D664" t="s">
        <v>139</v>
      </c>
      <c r="E664" t="s">
        <v>46</v>
      </c>
      <c r="F664">
        <v>586276</v>
      </c>
      <c r="G664">
        <v>0</v>
      </c>
      <c r="H664" t="s">
        <v>47</v>
      </c>
      <c r="I664">
        <v>10683784</v>
      </c>
      <c r="J664">
        <v>6</v>
      </c>
      <c r="K664">
        <v>12.3</v>
      </c>
      <c r="L664">
        <v>12.3</v>
      </c>
      <c r="M664">
        <v>1660</v>
      </c>
      <c r="N664" s="2">
        <v>162000</v>
      </c>
      <c r="O664" s="2">
        <v>6480</v>
      </c>
      <c r="P664" s="2">
        <v>405</v>
      </c>
      <c r="Q664" s="2">
        <v>9960</v>
      </c>
      <c r="R664" s="2">
        <v>16200</v>
      </c>
      <c r="S664">
        <v>199.26</v>
      </c>
      <c r="T664" s="2">
        <v>138105</v>
      </c>
      <c r="U664" s="2">
        <v>23895</v>
      </c>
      <c r="V664">
        <v>122.508</v>
      </c>
      <c r="W664">
        <v>0</v>
      </c>
      <c r="X664">
        <v>0</v>
      </c>
      <c r="Y664">
        <v>0</v>
      </c>
      <c r="Z664">
        <v>1</v>
      </c>
      <c r="AA664">
        <v>8.1627322297319355E-3</v>
      </c>
      <c r="AB664">
        <v>26.2</v>
      </c>
      <c r="AC664">
        <v>12</v>
      </c>
      <c r="AD664">
        <v>26</v>
      </c>
      <c r="AI66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664" t="s">
        <v>51</v>
      </c>
      <c r="AN664">
        <f>INT(Table1[[#This Row],[reject_prod]]/Table1[[#This Row],[part_weight]] * 1000)</f>
        <v>81</v>
      </c>
    </row>
    <row r="665" spans="1:40">
      <c r="A665" s="1">
        <v>46043</v>
      </c>
      <c r="B665">
        <v>1</v>
      </c>
      <c r="C665">
        <v>14</v>
      </c>
      <c r="D665" t="s">
        <v>428</v>
      </c>
      <c r="E665" t="s">
        <v>46</v>
      </c>
      <c r="F665">
        <v>555979</v>
      </c>
      <c r="G665">
        <v>1</v>
      </c>
      <c r="H665" t="s">
        <v>52</v>
      </c>
      <c r="I665">
        <v>10683785</v>
      </c>
      <c r="J665">
        <v>6</v>
      </c>
      <c r="K665">
        <v>28</v>
      </c>
      <c r="L665">
        <v>28</v>
      </c>
      <c r="M665">
        <v>336</v>
      </c>
      <c r="N665" s="2">
        <v>100800</v>
      </c>
      <c r="O665" s="2">
        <v>1344</v>
      </c>
      <c r="P665" s="2">
        <v>0</v>
      </c>
      <c r="Q665" s="2">
        <v>2016</v>
      </c>
      <c r="R665" s="2">
        <v>3360</v>
      </c>
      <c r="S665">
        <v>94.08</v>
      </c>
      <c r="T665" s="2">
        <v>30240</v>
      </c>
      <c r="U665" s="2">
        <v>70560</v>
      </c>
      <c r="V665">
        <v>56.448</v>
      </c>
      <c r="W665">
        <v>0</v>
      </c>
      <c r="X665">
        <v>0</v>
      </c>
      <c r="Y665">
        <v>0</v>
      </c>
      <c r="Z665">
        <v>2</v>
      </c>
      <c r="AA665">
        <v>3.5430839002267574E-2</v>
      </c>
      <c r="AB665">
        <v>43</v>
      </c>
      <c r="AC665">
        <v>4.0133333333333336</v>
      </c>
      <c r="AD665">
        <v>42</v>
      </c>
      <c r="AI66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7.9866666666666664</v>
      </c>
      <c r="AK665" t="s">
        <v>436</v>
      </c>
      <c r="AN665">
        <f>INT(Table1[[#This Row],[reject_prod]]/Table1[[#This Row],[part_weight]] * 1000)</f>
        <v>71</v>
      </c>
    </row>
    <row r="666" spans="1:40">
      <c r="A666" s="1">
        <v>46043</v>
      </c>
      <c r="B666">
        <v>1</v>
      </c>
      <c r="C666">
        <v>14</v>
      </c>
      <c r="D666" t="s">
        <v>33</v>
      </c>
      <c r="E666" t="s">
        <v>46</v>
      </c>
      <c r="F666">
        <v>555979</v>
      </c>
      <c r="G666">
        <v>1</v>
      </c>
      <c r="H666" t="s">
        <v>52</v>
      </c>
      <c r="I666" t="s">
        <v>437</v>
      </c>
      <c r="J666">
        <v>6</v>
      </c>
      <c r="K666">
        <v>28</v>
      </c>
      <c r="L666">
        <v>28</v>
      </c>
      <c r="M666">
        <v>0</v>
      </c>
      <c r="N666" s="2">
        <v>2000</v>
      </c>
      <c r="O666" s="2">
        <v>0</v>
      </c>
      <c r="P666" s="2">
        <v>0</v>
      </c>
      <c r="Q666" s="2">
        <v>0</v>
      </c>
      <c r="R666" s="2">
        <v>0</v>
      </c>
      <c r="S666">
        <v>0</v>
      </c>
      <c r="T666" s="2">
        <v>0</v>
      </c>
      <c r="U666" s="2">
        <v>2000</v>
      </c>
      <c r="V666">
        <v>0</v>
      </c>
      <c r="W666">
        <v>0</v>
      </c>
      <c r="X666">
        <v>0</v>
      </c>
      <c r="Y666" t="e">
        <v>#DIV/0!</v>
      </c>
      <c r="Z666">
        <v>0</v>
      </c>
      <c r="AA666" t="e">
        <v>#DIV/0!</v>
      </c>
      <c r="AB666">
        <v>43</v>
      </c>
      <c r="AC666">
        <v>0</v>
      </c>
      <c r="AD666">
        <v>42</v>
      </c>
      <c r="AI66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666" t="s">
        <v>438</v>
      </c>
      <c r="AN666">
        <f>INT(Table1[[#This Row],[reject_prod]]/Table1[[#This Row],[part_weight]] * 1000)</f>
        <v>0</v>
      </c>
    </row>
    <row r="667" spans="1:40">
      <c r="A667" s="1">
        <v>46043</v>
      </c>
      <c r="B667">
        <v>1</v>
      </c>
      <c r="C667">
        <v>15</v>
      </c>
      <c r="D667" t="s">
        <v>139</v>
      </c>
      <c r="E667" t="s">
        <v>46</v>
      </c>
      <c r="F667">
        <v>552181</v>
      </c>
      <c r="G667" s="6">
        <v>2</v>
      </c>
      <c r="H667" t="s">
        <v>49</v>
      </c>
      <c r="I667">
        <v>10683786</v>
      </c>
      <c r="J667">
        <v>6</v>
      </c>
      <c r="K667">
        <v>18.8</v>
      </c>
      <c r="L667">
        <v>18.8</v>
      </c>
      <c r="M667">
        <v>1395</v>
      </c>
      <c r="N667" s="2">
        <v>108000</v>
      </c>
      <c r="O667" s="2">
        <v>2970</v>
      </c>
      <c r="P667" s="2">
        <v>540</v>
      </c>
      <c r="Q667" s="2">
        <v>8370</v>
      </c>
      <c r="R667" s="2">
        <v>10800</v>
      </c>
      <c r="S667">
        <v>203.04</v>
      </c>
      <c r="T667" s="2">
        <v>97740</v>
      </c>
      <c r="U667" s="2">
        <v>10260</v>
      </c>
      <c r="V667">
        <v>157.35599999999999</v>
      </c>
      <c r="W667">
        <v>0</v>
      </c>
      <c r="X667">
        <v>0</v>
      </c>
      <c r="Y667">
        <v>0</v>
      </c>
      <c r="Z667">
        <v>1</v>
      </c>
      <c r="AA667">
        <v>6.3550166501436236E-3</v>
      </c>
      <c r="AB667">
        <v>31.2</v>
      </c>
      <c r="AC667">
        <v>12</v>
      </c>
      <c r="AD667">
        <v>27</v>
      </c>
      <c r="AI66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667" t="s">
        <v>51</v>
      </c>
      <c r="AN667">
        <f>INT(Table1[[#This Row],[reject_prod]]/Table1[[#This Row],[part_weight]] * 1000)</f>
        <v>53</v>
      </c>
    </row>
    <row r="668" spans="1:40" s="4" customFormat="1">
      <c r="A668" s="3">
        <v>46043</v>
      </c>
      <c r="B668" s="4">
        <v>1</v>
      </c>
      <c r="C668" s="4">
        <v>16</v>
      </c>
      <c r="D668" s="4" t="s">
        <v>429</v>
      </c>
      <c r="E668" s="4" t="s">
        <v>46</v>
      </c>
      <c r="F668" s="4">
        <v>555979</v>
      </c>
      <c r="G668" s="4">
        <v>2</v>
      </c>
      <c r="H668" s="4" t="s">
        <v>52</v>
      </c>
      <c r="I668" s="4">
        <v>10683788</v>
      </c>
      <c r="J668" s="4">
        <v>6</v>
      </c>
      <c r="K668" s="4">
        <v>28</v>
      </c>
      <c r="L668" s="4">
        <v>28</v>
      </c>
      <c r="M668" s="4">
        <v>920</v>
      </c>
      <c r="N668" s="5">
        <v>100800</v>
      </c>
      <c r="O668" s="5">
        <v>2688</v>
      </c>
      <c r="P668" s="5">
        <v>1008</v>
      </c>
      <c r="Q668" s="5">
        <v>5520</v>
      </c>
      <c r="R668" s="5">
        <v>6720</v>
      </c>
      <c r="S668" s="4">
        <v>188.16</v>
      </c>
      <c r="T668" s="5">
        <v>74928</v>
      </c>
      <c r="U668" s="5">
        <v>25872</v>
      </c>
      <c r="V668" s="4">
        <v>154.56</v>
      </c>
      <c r="W668" s="4">
        <v>0</v>
      </c>
      <c r="X668" s="4">
        <v>0</v>
      </c>
      <c r="Y668" s="4">
        <v>0</v>
      </c>
      <c r="Z668" s="4">
        <v>1.2</v>
      </c>
      <c r="AA668" s="4">
        <v>7.763975155279503E-3</v>
      </c>
      <c r="AB668" s="4">
        <v>43.4</v>
      </c>
      <c r="AC668" s="4">
        <v>11.091111111111111</v>
      </c>
      <c r="AD668" s="4">
        <v>42</v>
      </c>
      <c r="AI66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0.90888888888888886</v>
      </c>
      <c r="AK668" s="4" t="s">
        <v>439</v>
      </c>
      <c r="AN668" s="4">
        <f>INT(Table1[[#This Row],[reject_prod]]/Table1[[#This Row],[part_weight]] * 1000)</f>
        <v>42</v>
      </c>
    </row>
    <row r="669" spans="1:40">
      <c r="A669" s="1">
        <v>46043</v>
      </c>
      <c r="B669">
        <v>2</v>
      </c>
      <c r="C669">
        <v>1</v>
      </c>
      <c r="D669" t="s">
        <v>43</v>
      </c>
      <c r="E669" t="s">
        <v>34</v>
      </c>
      <c r="F669">
        <v>577492</v>
      </c>
      <c r="G669">
        <v>0</v>
      </c>
      <c r="H669" t="s">
        <v>341</v>
      </c>
      <c r="I669">
        <v>10684028</v>
      </c>
      <c r="J669">
        <v>4</v>
      </c>
      <c r="K669">
        <v>35.6</v>
      </c>
      <c r="L669">
        <v>35.6</v>
      </c>
      <c r="M669">
        <v>1570</v>
      </c>
      <c r="N669" s="2">
        <v>101200</v>
      </c>
      <c r="O669" s="2">
        <v>736</v>
      </c>
      <c r="P669" s="2">
        <v>1472</v>
      </c>
      <c r="Q669" s="2">
        <v>6280</v>
      </c>
      <c r="R669" s="2">
        <v>5520</v>
      </c>
      <c r="S669">
        <v>196.512</v>
      </c>
      <c r="T669" s="2">
        <v>19872</v>
      </c>
      <c r="U669" s="2">
        <v>81328</v>
      </c>
      <c r="V669">
        <v>223.56800000000001</v>
      </c>
      <c r="W669">
        <v>0</v>
      </c>
      <c r="X669">
        <v>0</v>
      </c>
      <c r="Y669">
        <v>0</v>
      </c>
      <c r="Z669">
        <v>0.8</v>
      </c>
      <c r="AA669">
        <v>3.5783296357260429E-3</v>
      </c>
      <c r="AB669">
        <v>27.1</v>
      </c>
      <c r="AC669">
        <v>11.818611111111112</v>
      </c>
      <c r="AD669">
        <v>27</v>
      </c>
      <c r="AI66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0.18138888888888793</v>
      </c>
      <c r="AK669" t="s">
        <v>51</v>
      </c>
      <c r="AN669">
        <f>INT(Table1[[#This Row],[reject_prod]]/Table1[[#This Row],[part_weight]] * 1000)</f>
        <v>22</v>
      </c>
    </row>
    <row r="670" spans="1:40">
      <c r="A670" s="1">
        <v>46043</v>
      </c>
      <c r="B670">
        <v>2</v>
      </c>
      <c r="C670">
        <v>2</v>
      </c>
      <c r="D670" t="s">
        <v>33</v>
      </c>
      <c r="E670" t="s">
        <v>34</v>
      </c>
      <c r="F670">
        <v>416201</v>
      </c>
      <c r="G670">
        <v>0</v>
      </c>
      <c r="H670" t="s">
        <v>36</v>
      </c>
      <c r="I670">
        <v>10681779</v>
      </c>
      <c r="J670">
        <v>4</v>
      </c>
      <c r="K670">
        <v>20</v>
      </c>
      <c r="L670">
        <v>30</v>
      </c>
      <c r="M670">
        <v>0</v>
      </c>
      <c r="N670" s="2">
        <v>50400</v>
      </c>
      <c r="O670" s="2">
        <v>0</v>
      </c>
      <c r="P670" s="2">
        <v>0</v>
      </c>
      <c r="Q670" s="2">
        <v>0</v>
      </c>
      <c r="R670" s="2">
        <v>0</v>
      </c>
      <c r="S670">
        <v>0</v>
      </c>
      <c r="T670" s="2">
        <v>0</v>
      </c>
      <c r="U670" s="2">
        <v>50400</v>
      </c>
      <c r="V670">
        <v>0</v>
      </c>
      <c r="W670">
        <v>0</v>
      </c>
      <c r="X670">
        <v>0</v>
      </c>
      <c r="Y670" t="e">
        <v>#DIV/0!</v>
      </c>
      <c r="Z670">
        <v>0</v>
      </c>
      <c r="AA670" t="e">
        <v>#DIV/0!</v>
      </c>
      <c r="AB670">
        <v>38.6</v>
      </c>
      <c r="AC670">
        <v>0</v>
      </c>
      <c r="AD670">
        <v>38.64</v>
      </c>
      <c r="AI67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670" t="s">
        <v>387</v>
      </c>
      <c r="AN670">
        <f>INT(Table1[[#This Row],[reject_prod]]/Table1[[#This Row],[part_weight]] * 1000)</f>
        <v>0</v>
      </c>
    </row>
    <row r="671" spans="1:40">
      <c r="A671" s="1">
        <v>46043</v>
      </c>
      <c r="B671">
        <v>2</v>
      </c>
      <c r="C671">
        <v>3</v>
      </c>
      <c r="D671" t="s">
        <v>65</v>
      </c>
      <c r="E671" t="s">
        <v>34</v>
      </c>
      <c r="F671">
        <v>442034</v>
      </c>
      <c r="G671">
        <v>0</v>
      </c>
      <c r="H671" t="s">
        <v>37</v>
      </c>
      <c r="I671">
        <v>10681184</v>
      </c>
      <c r="J671">
        <v>4</v>
      </c>
      <c r="K671">
        <v>23</v>
      </c>
      <c r="L671">
        <v>23</v>
      </c>
      <c r="M671">
        <v>903</v>
      </c>
      <c r="N671" s="2">
        <v>139776</v>
      </c>
      <c r="O671" s="2">
        <v>3456</v>
      </c>
      <c r="P671" s="2">
        <v>2176</v>
      </c>
      <c r="Q671" s="2">
        <v>3612</v>
      </c>
      <c r="R671" s="2">
        <v>4608</v>
      </c>
      <c r="S671">
        <v>105.98399999999999</v>
      </c>
      <c r="T671" s="2">
        <v>16000</v>
      </c>
      <c r="U671" s="2">
        <v>123776</v>
      </c>
      <c r="V671">
        <v>83.075999999999993</v>
      </c>
      <c r="W671">
        <v>0</v>
      </c>
      <c r="X671">
        <v>0</v>
      </c>
      <c r="Y671">
        <v>0</v>
      </c>
      <c r="Z671">
        <v>6.5</v>
      </c>
      <c r="AA671">
        <v>7.8241610091963995E-2</v>
      </c>
      <c r="AB671">
        <v>26.2</v>
      </c>
      <c r="AC671">
        <v>6.5718333333333332</v>
      </c>
      <c r="AD671">
        <v>22</v>
      </c>
      <c r="AI67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5.4281666666666668</v>
      </c>
      <c r="AK671" t="s">
        <v>440</v>
      </c>
      <c r="AN671">
        <f>INT(Table1[[#This Row],[reject_prod]]/Table1[[#This Row],[part_weight]] * 1000)</f>
        <v>282</v>
      </c>
    </row>
    <row r="672" spans="1:40">
      <c r="A672" s="1">
        <v>46043</v>
      </c>
      <c r="B672">
        <v>2</v>
      </c>
      <c r="C672">
        <v>4</v>
      </c>
      <c r="D672" t="s">
        <v>141</v>
      </c>
      <c r="E672" t="s">
        <v>34</v>
      </c>
      <c r="F672">
        <v>402305</v>
      </c>
      <c r="G672">
        <v>0</v>
      </c>
      <c r="H672" t="s">
        <v>395</v>
      </c>
      <c r="I672">
        <v>10684852</v>
      </c>
      <c r="J672">
        <v>4</v>
      </c>
      <c r="K672">
        <v>29</v>
      </c>
      <c r="L672">
        <v>29</v>
      </c>
      <c r="M672">
        <v>1347</v>
      </c>
      <c r="N672" s="2">
        <v>64896</v>
      </c>
      <c r="O672" s="2">
        <v>416</v>
      </c>
      <c r="P672" s="2">
        <v>520</v>
      </c>
      <c r="Q672" s="2">
        <v>5388</v>
      </c>
      <c r="R672" s="2">
        <v>4992</v>
      </c>
      <c r="S672">
        <v>144.768</v>
      </c>
      <c r="T672" s="2">
        <v>27976</v>
      </c>
      <c r="U672" s="2">
        <v>36920</v>
      </c>
      <c r="V672">
        <v>156.25200000000001</v>
      </c>
      <c r="W672">
        <v>0</v>
      </c>
      <c r="X672">
        <v>0</v>
      </c>
      <c r="Y672">
        <v>0</v>
      </c>
      <c r="Z672">
        <v>8.5</v>
      </c>
      <c r="AA672">
        <v>5.4399303688912777E-2</v>
      </c>
      <c r="AB672">
        <v>24.4</v>
      </c>
      <c r="AC672">
        <v>9.129666666666667</v>
      </c>
      <c r="AD672">
        <v>22</v>
      </c>
      <c r="AI67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2.870333333333333</v>
      </c>
      <c r="AK672" t="s">
        <v>441</v>
      </c>
      <c r="AN672">
        <f>INT(Table1[[#This Row],[reject_prod]]/Table1[[#This Row],[part_weight]] * 1000)</f>
        <v>293</v>
      </c>
    </row>
    <row r="673" spans="1:40">
      <c r="A673" s="1">
        <v>46043</v>
      </c>
      <c r="B673">
        <v>2</v>
      </c>
      <c r="C673">
        <v>5</v>
      </c>
      <c r="D673" t="s">
        <v>430</v>
      </c>
      <c r="E673" t="s">
        <v>34</v>
      </c>
      <c r="F673">
        <v>322383</v>
      </c>
      <c r="G673">
        <v>0</v>
      </c>
      <c r="H673" t="s">
        <v>71</v>
      </c>
      <c r="I673">
        <v>10682756</v>
      </c>
      <c r="J673">
        <v>4</v>
      </c>
      <c r="K673">
        <v>12.5</v>
      </c>
      <c r="L673">
        <v>12.5</v>
      </c>
      <c r="M673">
        <v>1946</v>
      </c>
      <c r="N673" s="2">
        <v>66000</v>
      </c>
      <c r="O673" s="2">
        <v>12100</v>
      </c>
      <c r="P673" s="2">
        <v>6600</v>
      </c>
      <c r="Q673" s="2">
        <v>7784</v>
      </c>
      <c r="R673" s="2">
        <v>13200</v>
      </c>
      <c r="S673">
        <v>165</v>
      </c>
      <c r="T673" s="2">
        <v>33000</v>
      </c>
      <c r="U673" s="2">
        <v>33000</v>
      </c>
      <c r="V673">
        <v>97.3</v>
      </c>
      <c r="W673">
        <v>0</v>
      </c>
      <c r="X673">
        <v>0</v>
      </c>
      <c r="Y673">
        <v>0</v>
      </c>
      <c r="Z673">
        <v>1</v>
      </c>
      <c r="AA673">
        <v>1.0277492291880781E-2</v>
      </c>
      <c r="AB673">
        <v>20.9</v>
      </c>
      <c r="AC673">
        <v>11.297611111111109</v>
      </c>
      <c r="AD673">
        <v>17.920000000000002</v>
      </c>
      <c r="AI67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0.70238888888889051</v>
      </c>
      <c r="AK673" t="s">
        <v>442</v>
      </c>
      <c r="AN673">
        <f>INT(Table1[[#This Row],[reject_prod]]/Table1[[#This Row],[part_weight]] * 1000)</f>
        <v>80</v>
      </c>
    </row>
    <row r="674" spans="1:40">
      <c r="A674" s="1">
        <v>46043</v>
      </c>
      <c r="B674">
        <v>2</v>
      </c>
      <c r="C674">
        <v>6</v>
      </c>
      <c r="D674" t="s">
        <v>431</v>
      </c>
      <c r="E674" t="s">
        <v>34</v>
      </c>
      <c r="F674">
        <v>322409</v>
      </c>
      <c r="G674">
        <v>0</v>
      </c>
      <c r="H674" t="s">
        <v>400</v>
      </c>
      <c r="I674">
        <v>10683854</v>
      </c>
      <c r="J674">
        <v>4</v>
      </c>
      <c r="K674">
        <v>24</v>
      </c>
      <c r="L674">
        <v>24</v>
      </c>
      <c r="M674">
        <v>2059</v>
      </c>
      <c r="N674" s="2">
        <v>70200</v>
      </c>
      <c r="O674" s="2">
        <v>0</v>
      </c>
      <c r="P674" s="2">
        <v>0</v>
      </c>
      <c r="Q674" s="2">
        <v>8236</v>
      </c>
      <c r="R674" s="2">
        <v>8190</v>
      </c>
      <c r="S674">
        <v>196.56</v>
      </c>
      <c r="T674" s="2">
        <v>35100</v>
      </c>
      <c r="U674" s="2">
        <v>35100</v>
      </c>
      <c r="V674">
        <v>197.66399999999999</v>
      </c>
      <c r="W674">
        <v>0</v>
      </c>
      <c r="X674">
        <v>0</v>
      </c>
      <c r="Y674">
        <v>0</v>
      </c>
      <c r="Z674">
        <v>1.7</v>
      </c>
      <c r="AA674">
        <v>8.6004532944795216E-3</v>
      </c>
      <c r="AB674">
        <v>21</v>
      </c>
      <c r="AC674">
        <v>12</v>
      </c>
      <c r="AD674">
        <v>20</v>
      </c>
      <c r="AI67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674" t="s">
        <v>214</v>
      </c>
      <c r="AN674">
        <f>INT(Table1[[#This Row],[reject_prod]]/Table1[[#This Row],[part_weight]] * 1000)</f>
        <v>70</v>
      </c>
    </row>
    <row r="675" spans="1:40">
      <c r="A675" s="1">
        <v>46043</v>
      </c>
      <c r="B675">
        <v>2</v>
      </c>
      <c r="C675">
        <v>7</v>
      </c>
      <c r="D675" t="s">
        <v>432</v>
      </c>
      <c r="E675" t="s">
        <v>34</v>
      </c>
      <c r="F675">
        <v>322452</v>
      </c>
      <c r="G675">
        <v>0</v>
      </c>
      <c r="H675" t="s">
        <v>374</v>
      </c>
      <c r="I675">
        <v>10683857</v>
      </c>
      <c r="J675">
        <v>4</v>
      </c>
      <c r="K675">
        <v>33.11</v>
      </c>
      <c r="L675">
        <v>34.5</v>
      </c>
      <c r="M675">
        <v>1765</v>
      </c>
      <c r="N675" s="2">
        <v>44928</v>
      </c>
      <c r="O675" s="2">
        <v>462</v>
      </c>
      <c r="P675" s="2">
        <v>0</v>
      </c>
      <c r="Q675" s="2">
        <v>7060</v>
      </c>
      <c r="R675" s="2">
        <v>7488</v>
      </c>
      <c r="S675">
        <v>258.33600000000001</v>
      </c>
      <c r="T675" s="2">
        <v>41184</v>
      </c>
      <c r="U675" s="2">
        <v>3744</v>
      </c>
      <c r="V675">
        <v>243.57</v>
      </c>
      <c r="W675">
        <v>0</v>
      </c>
      <c r="X675">
        <v>0</v>
      </c>
      <c r="Y675">
        <v>0</v>
      </c>
      <c r="Z675">
        <v>1.1000000000000001</v>
      </c>
      <c r="AA675">
        <v>4.5161555199737247E-3</v>
      </c>
      <c r="AB675">
        <v>23.8</v>
      </c>
      <c r="AC675">
        <v>11.668611111111112</v>
      </c>
      <c r="AD675">
        <v>18.04</v>
      </c>
      <c r="AI67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0.33138888888888829</v>
      </c>
      <c r="AK675" t="s">
        <v>214</v>
      </c>
      <c r="AN675">
        <f>INT(Table1[[#This Row],[reject_prod]]/Table1[[#This Row],[part_weight]] * 1000)</f>
        <v>31</v>
      </c>
    </row>
    <row r="676" spans="1:40">
      <c r="A676" s="1">
        <v>46043</v>
      </c>
      <c r="B676">
        <v>2</v>
      </c>
      <c r="C676">
        <v>8</v>
      </c>
      <c r="D676" t="s">
        <v>67</v>
      </c>
      <c r="E676" t="s">
        <v>41</v>
      </c>
      <c r="F676">
        <v>593537</v>
      </c>
      <c r="G676">
        <v>0</v>
      </c>
      <c r="H676" t="s">
        <v>48</v>
      </c>
      <c r="I676">
        <v>10685022</v>
      </c>
      <c r="J676">
        <v>4</v>
      </c>
      <c r="K676">
        <v>56.5</v>
      </c>
      <c r="L676">
        <v>56.8</v>
      </c>
      <c r="M676">
        <v>1442</v>
      </c>
      <c r="N676" s="2">
        <v>69000</v>
      </c>
      <c r="O676" s="2">
        <v>0</v>
      </c>
      <c r="P676" s="2">
        <v>0</v>
      </c>
      <c r="Q676" s="2">
        <v>5768</v>
      </c>
      <c r="R676" s="2">
        <v>5750</v>
      </c>
      <c r="S676">
        <v>326.60000000000002</v>
      </c>
      <c r="T676" s="2">
        <v>23575</v>
      </c>
      <c r="U676" s="2">
        <v>45425</v>
      </c>
      <c r="V676">
        <v>327.62239999999997</v>
      </c>
      <c r="W676">
        <v>0</v>
      </c>
      <c r="X676">
        <v>0</v>
      </c>
      <c r="Y676">
        <v>0</v>
      </c>
      <c r="Z676">
        <v>0.8</v>
      </c>
      <c r="AA676">
        <v>2.4418354788927747E-3</v>
      </c>
      <c r="AB676">
        <v>30</v>
      </c>
      <c r="AC676">
        <v>12</v>
      </c>
      <c r="AD676">
        <v>28.5</v>
      </c>
      <c r="AI67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676" t="s">
        <v>51</v>
      </c>
      <c r="AN676">
        <f>INT(Table1[[#This Row],[reject_prod]]/Table1[[#This Row],[part_weight]] * 1000)</f>
        <v>14</v>
      </c>
    </row>
    <row r="677" spans="1:40">
      <c r="A677" s="1">
        <v>46043</v>
      </c>
      <c r="B677">
        <v>2</v>
      </c>
      <c r="C677">
        <v>9</v>
      </c>
      <c r="D677" t="s">
        <v>33</v>
      </c>
      <c r="E677" t="s">
        <v>46</v>
      </c>
      <c r="F677">
        <v>586276</v>
      </c>
      <c r="G677">
        <v>0</v>
      </c>
      <c r="H677" t="s">
        <v>47</v>
      </c>
      <c r="I677">
        <v>10682924</v>
      </c>
      <c r="J677">
        <v>6</v>
      </c>
      <c r="K677">
        <v>12.3</v>
      </c>
      <c r="L677">
        <v>12.3</v>
      </c>
      <c r="M677">
        <v>0</v>
      </c>
      <c r="N677" s="2">
        <v>162000</v>
      </c>
      <c r="O677" s="2">
        <v>7290</v>
      </c>
      <c r="P677" s="2">
        <v>7290</v>
      </c>
      <c r="Q677" s="2">
        <v>0</v>
      </c>
      <c r="R677" s="2">
        <v>0</v>
      </c>
      <c r="S677">
        <v>0</v>
      </c>
      <c r="T677" s="2">
        <v>80190</v>
      </c>
      <c r="U677" s="2">
        <v>81810</v>
      </c>
      <c r="V677">
        <v>0</v>
      </c>
      <c r="W677">
        <v>0</v>
      </c>
      <c r="X677">
        <v>0</v>
      </c>
      <c r="Y677" t="e">
        <v>#DIV/0!</v>
      </c>
      <c r="Z677">
        <v>0</v>
      </c>
      <c r="AA677" t="e">
        <v>#DIV/0!</v>
      </c>
      <c r="AB677">
        <v>26</v>
      </c>
      <c r="AC677">
        <v>0</v>
      </c>
      <c r="AD677">
        <v>26</v>
      </c>
      <c r="AI67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677" t="s">
        <v>443</v>
      </c>
      <c r="AN677">
        <f>INT(Table1[[#This Row],[reject_prod]]/Table1[[#This Row],[part_weight]] * 1000)</f>
        <v>0</v>
      </c>
    </row>
    <row r="678" spans="1:40">
      <c r="A678" s="1">
        <v>46043</v>
      </c>
      <c r="B678">
        <v>2</v>
      </c>
      <c r="C678">
        <v>10</v>
      </c>
      <c r="D678" t="s">
        <v>33</v>
      </c>
      <c r="E678" t="s">
        <v>34</v>
      </c>
      <c r="F678">
        <v>323092</v>
      </c>
      <c r="G678">
        <v>0</v>
      </c>
      <c r="H678" t="s">
        <v>377</v>
      </c>
      <c r="I678">
        <v>10684857</v>
      </c>
      <c r="J678">
        <v>4</v>
      </c>
      <c r="K678">
        <v>48.9</v>
      </c>
      <c r="L678">
        <v>48.9</v>
      </c>
      <c r="M678">
        <v>214</v>
      </c>
      <c r="N678" s="2">
        <v>37800</v>
      </c>
      <c r="O678" s="2">
        <v>210</v>
      </c>
      <c r="P678" s="2">
        <v>0</v>
      </c>
      <c r="Q678" s="2">
        <v>856</v>
      </c>
      <c r="R678" s="2">
        <v>1050</v>
      </c>
      <c r="S678">
        <v>51.344999999999999</v>
      </c>
      <c r="T678" s="2">
        <v>37800</v>
      </c>
      <c r="U678" s="2">
        <v>0</v>
      </c>
      <c r="V678">
        <v>41.858400000000003</v>
      </c>
      <c r="W678">
        <v>0</v>
      </c>
      <c r="X678">
        <v>0</v>
      </c>
      <c r="Y678">
        <v>0</v>
      </c>
      <c r="Z678">
        <v>0.7</v>
      </c>
      <c r="AA678">
        <v>1.6723047225885364E-2</v>
      </c>
      <c r="AB678">
        <v>27.4</v>
      </c>
      <c r="AC678">
        <v>1.6287777777777777</v>
      </c>
      <c r="AD678">
        <v>27.6</v>
      </c>
      <c r="AI67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10.371222222222222</v>
      </c>
      <c r="AK678" t="s">
        <v>102</v>
      </c>
      <c r="AN678">
        <f>INT(Table1[[#This Row],[reject_prod]]/Table1[[#This Row],[part_weight]] * 1000)</f>
        <v>14</v>
      </c>
    </row>
    <row r="679" spans="1:40">
      <c r="A679" s="1">
        <v>46043</v>
      </c>
      <c r="B679">
        <v>2</v>
      </c>
      <c r="C679">
        <v>10</v>
      </c>
      <c r="D679" t="s">
        <v>143</v>
      </c>
      <c r="E679" t="s">
        <v>34</v>
      </c>
      <c r="F679">
        <v>323091</v>
      </c>
      <c r="G679">
        <v>0</v>
      </c>
      <c r="H679" t="s">
        <v>444</v>
      </c>
      <c r="I679">
        <v>10684858</v>
      </c>
      <c r="J679">
        <v>4</v>
      </c>
      <c r="K679">
        <v>48.71</v>
      </c>
      <c r="L679">
        <v>48.71</v>
      </c>
      <c r="M679">
        <v>1103</v>
      </c>
      <c r="N679" s="2">
        <v>25200</v>
      </c>
      <c r="O679" s="2">
        <v>0</v>
      </c>
      <c r="P679" s="2">
        <v>210</v>
      </c>
      <c r="Q679" s="2">
        <v>4412</v>
      </c>
      <c r="R679" s="2">
        <v>4200</v>
      </c>
      <c r="S679">
        <v>204.58199999999999</v>
      </c>
      <c r="T679" s="2">
        <v>4410</v>
      </c>
      <c r="U679" s="2">
        <v>20790</v>
      </c>
      <c r="V679">
        <v>214.90851999999998</v>
      </c>
      <c r="W679">
        <v>0</v>
      </c>
      <c r="X679">
        <v>5</v>
      </c>
      <c r="Y679">
        <v>2.3265713243942124E-2</v>
      </c>
      <c r="Z679">
        <v>0</v>
      </c>
      <c r="AA679">
        <v>0</v>
      </c>
      <c r="AB679">
        <v>27</v>
      </c>
      <c r="AC679">
        <v>8.2724999999999991</v>
      </c>
      <c r="AD679">
        <v>26.4</v>
      </c>
      <c r="AG679">
        <v>2</v>
      </c>
      <c r="AI67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1.7275000000000009</v>
      </c>
      <c r="AK679" t="s">
        <v>445</v>
      </c>
      <c r="AN679">
        <f>INT(Table1[[#This Row],[reject_prod]]/Table1[[#This Row],[part_weight]] * 1000)</f>
        <v>0</v>
      </c>
    </row>
    <row r="680" spans="1:40">
      <c r="A680" s="1">
        <v>46043</v>
      </c>
      <c r="B680">
        <v>2</v>
      </c>
      <c r="C680">
        <v>11</v>
      </c>
      <c r="D680" t="s">
        <v>61</v>
      </c>
      <c r="E680" t="s">
        <v>46</v>
      </c>
      <c r="F680">
        <v>552181</v>
      </c>
      <c r="G680">
        <v>1</v>
      </c>
      <c r="H680" t="s">
        <v>49</v>
      </c>
      <c r="I680">
        <v>10683783</v>
      </c>
      <c r="J680">
        <v>6</v>
      </c>
      <c r="K680">
        <v>18.8</v>
      </c>
      <c r="L680">
        <v>18.8</v>
      </c>
      <c r="M680">
        <v>1480</v>
      </c>
      <c r="N680" s="2">
        <v>108000</v>
      </c>
      <c r="O680" s="2">
        <v>8370</v>
      </c>
      <c r="P680" s="2">
        <v>6210</v>
      </c>
      <c r="Q680" s="2">
        <v>8880</v>
      </c>
      <c r="R680" s="2">
        <v>10800</v>
      </c>
      <c r="S680">
        <v>203.04</v>
      </c>
      <c r="T680" s="2">
        <v>17010</v>
      </c>
      <c r="U680" s="2">
        <v>90990</v>
      </c>
      <c r="V680">
        <v>166.94399999999999</v>
      </c>
      <c r="W680">
        <v>0</v>
      </c>
      <c r="X680">
        <v>0</v>
      </c>
      <c r="Y680">
        <v>0</v>
      </c>
      <c r="Z680">
        <v>4.5</v>
      </c>
      <c r="AA680">
        <v>2.6955146635997702E-2</v>
      </c>
      <c r="AB680">
        <v>28.7</v>
      </c>
      <c r="AC680">
        <v>11.798888888888889</v>
      </c>
      <c r="AD680">
        <v>27</v>
      </c>
      <c r="AI68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0.20111111111111057</v>
      </c>
      <c r="AK680" t="s">
        <v>51</v>
      </c>
      <c r="AN680">
        <f>INT(Table1[[#This Row],[reject_prod]]/Table1[[#This Row],[part_weight]] * 1000)</f>
        <v>239</v>
      </c>
    </row>
    <row r="681" spans="1:40">
      <c r="A681" s="1">
        <v>46043</v>
      </c>
      <c r="B681">
        <v>2</v>
      </c>
      <c r="C681">
        <v>12</v>
      </c>
      <c r="D681" t="s">
        <v>152</v>
      </c>
      <c r="E681" t="s">
        <v>34</v>
      </c>
      <c r="F681">
        <v>620599</v>
      </c>
      <c r="G681">
        <v>0</v>
      </c>
      <c r="H681" t="s">
        <v>50</v>
      </c>
      <c r="I681">
        <v>10684839</v>
      </c>
      <c r="J681">
        <v>4</v>
      </c>
      <c r="K681">
        <v>55</v>
      </c>
      <c r="L681">
        <v>55</v>
      </c>
      <c r="M681">
        <v>1468</v>
      </c>
      <c r="N681" s="2">
        <v>72000</v>
      </c>
      <c r="O681" s="2">
        <v>225</v>
      </c>
      <c r="P681" s="2">
        <v>570</v>
      </c>
      <c r="Q681" s="2">
        <v>5872</v>
      </c>
      <c r="R681" s="2">
        <v>5400</v>
      </c>
      <c r="S681">
        <v>297</v>
      </c>
      <c r="T681" s="2">
        <v>14970</v>
      </c>
      <c r="U681" s="2">
        <v>57030</v>
      </c>
      <c r="V681">
        <v>322.95999999999998</v>
      </c>
      <c r="W681">
        <v>0</v>
      </c>
      <c r="X681">
        <v>0</v>
      </c>
      <c r="Y681">
        <v>0</v>
      </c>
      <c r="Z681">
        <v>6.8</v>
      </c>
      <c r="AA681">
        <v>2.1055239038890266E-2</v>
      </c>
      <c r="AB681">
        <v>29.1</v>
      </c>
      <c r="AC681">
        <v>11.866333333333333</v>
      </c>
      <c r="AD681">
        <v>28</v>
      </c>
      <c r="AI68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0.1336666666666666</v>
      </c>
      <c r="AK681" t="s">
        <v>237</v>
      </c>
      <c r="AN681">
        <f>INT(Table1[[#This Row],[reject_prod]]/Table1[[#This Row],[part_weight]] * 1000)</f>
        <v>123</v>
      </c>
    </row>
    <row r="682" spans="1:40">
      <c r="A682" s="1">
        <v>46043</v>
      </c>
      <c r="B682">
        <v>2</v>
      </c>
      <c r="C682">
        <v>13</v>
      </c>
      <c r="D682" t="s">
        <v>61</v>
      </c>
      <c r="E682" t="s">
        <v>46</v>
      </c>
      <c r="F682">
        <v>586276</v>
      </c>
      <c r="G682">
        <v>0</v>
      </c>
      <c r="H682" t="s">
        <v>47</v>
      </c>
      <c r="I682">
        <v>10683784</v>
      </c>
      <c r="J682">
        <v>6</v>
      </c>
      <c r="K682">
        <v>12.3</v>
      </c>
      <c r="L682">
        <v>12.3</v>
      </c>
      <c r="M682">
        <v>1631</v>
      </c>
      <c r="N682" s="2">
        <v>162000</v>
      </c>
      <c r="O682" s="2">
        <v>405</v>
      </c>
      <c r="P682" s="2">
        <v>2025</v>
      </c>
      <c r="Q682" s="2">
        <v>9786</v>
      </c>
      <c r="R682" s="2">
        <v>8100</v>
      </c>
      <c r="S682">
        <v>99.63</v>
      </c>
      <c r="T682" s="2">
        <v>147825</v>
      </c>
      <c r="U682" s="2">
        <v>14175</v>
      </c>
      <c r="V682">
        <v>120.3678</v>
      </c>
      <c r="W682">
        <v>0</v>
      </c>
      <c r="X682">
        <v>0</v>
      </c>
      <c r="Y682">
        <v>0</v>
      </c>
      <c r="Z682">
        <v>0.8</v>
      </c>
      <c r="AA682">
        <v>6.6462957701312149E-3</v>
      </c>
      <c r="AB682">
        <v>26.2</v>
      </c>
      <c r="AC682">
        <v>11.870055555555556</v>
      </c>
      <c r="AD682">
        <v>26</v>
      </c>
      <c r="AI68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0.12994444444444397</v>
      </c>
      <c r="AK682" t="s">
        <v>51</v>
      </c>
      <c r="AN682">
        <f>INT(Table1[[#This Row],[reject_prod]]/Table1[[#This Row],[part_weight]] * 1000)</f>
        <v>65</v>
      </c>
    </row>
    <row r="683" spans="1:40">
      <c r="A683" s="1">
        <v>46043</v>
      </c>
      <c r="B683">
        <v>2</v>
      </c>
      <c r="C683">
        <v>14</v>
      </c>
      <c r="F683">
        <v>123456</v>
      </c>
      <c r="G683">
        <v>0</v>
      </c>
      <c r="M683">
        <v>0</v>
      </c>
      <c r="N683" s="2">
        <v>0</v>
      </c>
      <c r="O683" s="2">
        <v>0</v>
      </c>
      <c r="P683" s="2">
        <v>0</v>
      </c>
      <c r="Q683" s="2"/>
      <c r="R683" s="2">
        <v>0</v>
      </c>
      <c r="T683" s="2">
        <v>0</v>
      </c>
      <c r="U683" s="2"/>
      <c r="X683">
        <v>0</v>
      </c>
      <c r="Z683">
        <v>0</v>
      </c>
      <c r="AB683">
        <v>0</v>
      </c>
      <c r="AC683">
        <v>0</v>
      </c>
      <c r="AD683">
        <v>0</v>
      </c>
      <c r="AI68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683">
        <v>12</v>
      </c>
      <c r="AK683" t="s">
        <v>116</v>
      </c>
      <c r="AN683">
        <v>0</v>
      </c>
    </row>
    <row r="684" spans="1:40">
      <c r="A684" s="1">
        <v>46043</v>
      </c>
      <c r="B684">
        <v>2</v>
      </c>
      <c r="C684">
        <v>15</v>
      </c>
      <c r="D684" t="s">
        <v>61</v>
      </c>
      <c r="E684" t="s">
        <v>46</v>
      </c>
      <c r="F684">
        <v>552181</v>
      </c>
      <c r="G684">
        <v>2</v>
      </c>
      <c r="H684" t="s">
        <v>49</v>
      </c>
      <c r="I684">
        <v>10683786</v>
      </c>
      <c r="J684">
        <v>6</v>
      </c>
      <c r="K684">
        <v>18.8</v>
      </c>
      <c r="L684">
        <v>18.8</v>
      </c>
      <c r="M684">
        <v>1361</v>
      </c>
      <c r="N684" s="2">
        <v>108000</v>
      </c>
      <c r="O684" s="2">
        <v>540</v>
      </c>
      <c r="P684" s="2">
        <v>3240</v>
      </c>
      <c r="Q684" s="2">
        <v>8166</v>
      </c>
      <c r="R684" s="2">
        <v>5400</v>
      </c>
      <c r="S684">
        <v>101.52</v>
      </c>
      <c r="T684" s="2">
        <v>105840</v>
      </c>
      <c r="U684" s="2">
        <v>2160</v>
      </c>
      <c r="V684">
        <v>153.52080000000001</v>
      </c>
      <c r="W684">
        <v>0</v>
      </c>
      <c r="X684">
        <v>0</v>
      </c>
      <c r="Y684">
        <v>0</v>
      </c>
      <c r="Z684">
        <v>1.1000000000000001</v>
      </c>
      <c r="AA684">
        <v>7.1651528652794932E-3</v>
      </c>
      <c r="AB684">
        <v>31.2</v>
      </c>
      <c r="AC684">
        <v>11.795333333333334</v>
      </c>
      <c r="AD684">
        <v>27</v>
      </c>
      <c r="AI68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0.20466666666666633</v>
      </c>
      <c r="AK684" t="s">
        <v>51</v>
      </c>
      <c r="AN684">
        <f>INT(Table1[[#This Row],[reject_prod]]/Table1[[#This Row],[part_weight]] * 1000)</f>
        <v>58</v>
      </c>
    </row>
    <row r="685" spans="1:40" s="4" customFormat="1">
      <c r="A685" s="3">
        <v>46043</v>
      </c>
      <c r="B685" s="4">
        <v>2</v>
      </c>
      <c r="C685" s="4">
        <v>16</v>
      </c>
      <c r="D685" s="4" t="s">
        <v>115</v>
      </c>
      <c r="E685" s="4" t="s">
        <v>46</v>
      </c>
      <c r="F685" s="4">
        <v>555979</v>
      </c>
      <c r="G685" s="4">
        <v>2</v>
      </c>
      <c r="H685" s="4" t="s">
        <v>52</v>
      </c>
      <c r="I685" s="4">
        <v>10683788</v>
      </c>
      <c r="J685" s="4">
        <v>6</v>
      </c>
      <c r="K685" s="4">
        <v>28</v>
      </c>
      <c r="L685" s="4">
        <v>28</v>
      </c>
      <c r="M685" s="4">
        <v>893</v>
      </c>
      <c r="N685" s="5">
        <v>100800</v>
      </c>
      <c r="O685" s="5">
        <v>1008</v>
      </c>
      <c r="P685" s="5">
        <v>2856</v>
      </c>
      <c r="Q685" s="5">
        <v>5358</v>
      </c>
      <c r="R685" s="5">
        <v>3360</v>
      </c>
      <c r="S685" s="4">
        <v>94.08</v>
      </c>
      <c r="T685" s="5">
        <v>77280</v>
      </c>
      <c r="U685" s="5">
        <v>23520</v>
      </c>
      <c r="V685" s="4">
        <v>150.024</v>
      </c>
      <c r="W685" s="4">
        <v>0</v>
      </c>
      <c r="X685" s="4">
        <v>0</v>
      </c>
      <c r="Y685" s="4">
        <v>0</v>
      </c>
      <c r="Z685" s="4">
        <v>4.5999999999999996</v>
      </c>
      <c r="AA685" s="4">
        <v>3.0661760784941074E-2</v>
      </c>
      <c r="AB685" s="4">
        <v>43.4</v>
      </c>
      <c r="AC685" s="4">
        <v>10.765611111111111</v>
      </c>
      <c r="AD685" s="4">
        <v>42</v>
      </c>
      <c r="AI68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1.2343888888888888</v>
      </c>
      <c r="AK685" s="4" t="s">
        <v>446</v>
      </c>
      <c r="AN685" s="4">
        <f>INT(Table1[[#This Row],[reject_prod]]/Table1[[#This Row],[part_weight]] * 1000)</f>
        <v>164</v>
      </c>
    </row>
    <row r="686" spans="1:40">
      <c r="A686" s="1">
        <v>46044</v>
      </c>
      <c r="B686">
        <v>1</v>
      </c>
      <c r="C686">
        <v>1</v>
      </c>
      <c r="D686" t="s">
        <v>289</v>
      </c>
      <c r="E686" t="s">
        <v>34</v>
      </c>
      <c r="F686">
        <v>577492</v>
      </c>
      <c r="G686">
        <v>0</v>
      </c>
      <c r="H686" t="s">
        <v>341</v>
      </c>
      <c r="I686">
        <v>10684028</v>
      </c>
      <c r="J686">
        <v>4</v>
      </c>
      <c r="K686">
        <v>35.6</v>
      </c>
      <c r="L686">
        <v>35.6</v>
      </c>
      <c r="M686">
        <v>1564</v>
      </c>
      <c r="N686" s="2">
        <v>101200</v>
      </c>
      <c r="O686" s="2">
        <v>1472</v>
      </c>
      <c r="P686" s="2">
        <v>368</v>
      </c>
      <c r="Q686" s="2">
        <v>6256</v>
      </c>
      <c r="R686" s="2">
        <v>7360</v>
      </c>
      <c r="S686">
        <v>262.01600000000002</v>
      </c>
      <c r="T686" s="2">
        <v>26128</v>
      </c>
      <c r="U686" s="2">
        <v>75072</v>
      </c>
      <c r="V686">
        <v>222.71360000000001</v>
      </c>
      <c r="W686">
        <v>0</v>
      </c>
      <c r="X686">
        <v>0</v>
      </c>
      <c r="Y686">
        <v>0</v>
      </c>
      <c r="Z686">
        <v>2.5</v>
      </c>
      <c r="AA686">
        <v>1.1225178884450702E-2</v>
      </c>
      <c r="AB686">
        <v>27.1</v>
      </c>
      <c r="AC686">
        <v>11.773444444444445</v>
      </c>
      <c r="AD686">
        <v>27</v>
      </c>
      <c r="AI68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0.22655555555555473</v>
      </c>
      <c r="AK686" t="s">
        <v>51</v>
      </c>
      <c r="AL686">
        <v>3</v>
      </c>
      <c r="AM686">
        <v>2</v>
      </c>
      <c r="AN686">
        <f>INT(Table1[[#This Row],[reject_prod]]/Table1[[#This Row],[part_weight]] * 1000)</f>
        <v>70</v>
      </c>
    </row>
    <row r="687" spans="1:40">
      <c r="A687" s="1">
        <v>46044</v>
      </c>
      <c r="B687">
        <v>1</v>
      </c>
      <c r="C687">
        <v>2</v>
      </c>
      <c r="D687" t="s">
        <v>33</v>
      </c>
      <c r="E687" t="s">
        <v>34</v>
      </c>
      <c r="F687">
        <v>416201</v>
      </c>
      <c r="G687">
        <v>0</v>
      </c>
      <c r="H687" t="s">
        <v>36</v>
      </c>
      <c r="I687">
        <v>10681779</v>
      </c>
      <c r="J687">
        <v>4</v>
      </c>
      <c r="K687">
        <v>20</v>
      </c>
      <c r="L687">
        <v>30</v>
      </c>
      <c r="M687">
        <v>0</v>
      </c>
      <c r="N687" s="2">
        <v>50400</v>
      </c>
      <c r="O687" s="2">
        <v>0</v>
      </c>
      <c r="P687" s="2">
        <v>0</v>
      </c>
      <c r="Q687" s="2">
        <v>0</v>
      </c>
      <c r="R687" s="2">
        <v>0</v>
      </c>
      <c r="S687">
        <v>0</v>
      </c>
      <c r="T687" s="2">
        <v>0</v>
      </c>
      <c r="U687" s="2">
        <v>50400</v>
      </c>
      <c r="V687">
        <v>0</v>
      </c>
      <c r="W687">
        <v>0</v>
      </c>
      <c r="X687">
        <v>0</v>
      </c>
      <c r="Y687" t="e">
        <v>#DIV/0!</v>
      </c>
      <c r="Z687">
        <v>0</v>
      </c>
      <c r="AA687" t="e">
        <v>#DIV/0!</v>
      </c>
      <c r="AB687">
        <v>38.6</v>
      </c>
      <c r="AC687">
        <v>0</v>
      </c>
      <c r="AD687">
        <v>38.64</v>
      </c>
      <c r="AI68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687" t="s">
        <v>387</v>
      </c>
      <c r="AN687">
        <f>INT(Table1[[#This Row],[reject_prod]]/Table1[[#This Row],[part_weight]] * 1000)</f>
        <v>0</v>
      </c>
    </row>
    <row r="688" spans="1:40">
      <c r="A688" s="1">
        <v>46044</v>
      </c>
      <c r="B688">
        <v>1</v>
      </c>
      <c r="C688">
        <v>3</v>
      </c>
      <c r="D688" t="s">
        <v>59</v>
      </c>
      <c r="E688" t="s">
        <v>34</v>
      </c>
      <c r="F688">
        <v>442034</v>
      </c>
      <c r="G688">
        <v>0</v>
      </c>
      <c r="H688" t="s">
        <v>37</v>
      </c>
      <c r="I688">
        <v>10681184</v>
      </c>
      <c r="J688">
        <v>4</v>
      </c>
      <c r="K688">
        <v>23</v>
      </c>
      <c r="L688">
        <v>23</v>
      </c>
      <c r="M688">
        <v>1580</v>
      </c>
      <c r="N688" s="2">
        <v>139776</v>
      </c>
      <c r="O688" s="2">
        <v>2176</v>
      </c>
      <c r="P688" s="2">
        <v>3840</v>
      </c>
      <c r="Q688" s="2">
        <v>6320</v>
      </c>
      <c r="R688" s="2">
        <v>4608</v>
      </c>
      <c r="S688">
        <v>105.98399999999999</v>
      </c>
      <c r="T688" s="2">
        <v>22272</v>
      </c>
      <c r="U688" s="2">
        <v>117504</v>
      </c>
      <c r="V688">
        <v>145.36000000000001</v>
      </c>
      <c r="W688">
        <v>0</v>
      </c>
      <c r="X688">
        <v>0</v>
      </c>
      <c r="Y688">
        <v>0</v>
      </c>
      <c r="Z688">
        <v>3.2</v>
      </c>
      <c r="AA688">
        <v>2.2014309301045677E-2</v>
      </c>
      <c r="AB688">
        <v>26.2</v>
      </c>
      <c r="AC688">
        <v>11.498888888888889</v>
      </c>
      <c r="AD688">
        <v>22</v>
      </c>
      <c r="AI68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0.50111111111111128</v>
      </c>
      <c r="AK688" t="s">
        <v>103</v>
      </c>
      <c r="AL688">
        <v>3</v>
      </c>
      <c r="AM688">
        <v>5</v>
      </c>
      <c r="AN688">
        <f>INT(Table1[[#This Row],[reject_prod]]/Table1[[#This Row],[part_weight]] * 1000)</f>
        <v>139</v>
      </c>
    </row>
    <row r="689" spans="1:40">
      <c r="A689" s="1">
        <v>46044</v>
      </c>
      <c r="B689">
        <v>1</v>
      </c>
      <c r="C689">
        <v>4</v>
      </c>
      <c r="D689" t="s">
        <v>54</v>
      </c>
      <c r="E689" t="s">
        <v>34</v>
      </c>
      <c r="F689">
        <v>402305</v>
      </c>
      <c r="G689">
        <v>0</v>
      </c>
      <c r="H689" t="s">
        <v>395</v>
      </c>
      <c r="I689">
        <v>10684852</v>
      </c>
      <c r="J689">
        <v>4</v>
      </c>
      <c r="K689">
        <v>29</v>
      </c>
      <c r="L689">
        <v>29</v>
      </c>
      <c r="M689">
        <v>1745</v>
      </c>
      <c r="N689" s="2">
        <v>64896</v>
      </c>
      <c r="O689" s="2">
        <v>520</v>
      </c>
      <c r="P689" s="2">
        <v>0</v>
      </c>
      <c r="Q689" s="2">
        <v>6980</v>
      </c>
      <c r="R689" s="2">
        <v>7488</v>
      </c>
      <c r="S689">
        <v>217.15199999999999</v>
      </c>
      <c r="T689" s="2">
        <v>34944</v>
      </c>
      <c r="U689" s="2">
        <v>29952</v>
      </c>
      <c r="V689">
        <v>202.42</v>
      </c>
      <c r="W689">
        <v>0</v>
      </c>
      <c r="X689">
        <v>0</v>
      </c>
      <c r="Y689">
        <v>0</v>
      </c>
      <c r="Z689">
        <v>1.8</v>
      </c>
      <c r="AA689">
        <v>8.892401936567533E-3</v>
      </c>
      <c r="AB689">
        <v>24.4</v>
      </c>
      <c r="AC689">
        <v>11.827222222222222</v>
      </c>
      <c r="AD689">
        <v>22</v>
      </c>
      <c r="AI68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0.17277777777777814</v>
      </c>
      <c r="AK689" t="s">
        <v>214</v>
      </c>
      <c r="AL689">
        <v>2</v>
      </c>
      <c r="AM689">
        <v>4</v>
      </c>
      <c r="AN689">
        <f>INT(Table1[[#This Row],[reject_prod]]/Table1[[#This Row],[part_weight]] * 1000)</f>
        <v>62</v>
      </c>
    </row>
    <row r="690" spans="1:40">
      <c r="A690" s="1">
        <v>46044</v>
      </c>
      <c r="B690">
        <v>1</v>
      </c>
      <c r="C690">
        <v>5</v>
      </c>
      <c r="D690" t="s">
        <v>447</v>
      </c>
      <c r="E690" t="s">
        <v>34</v>
      </c>
      <c r="F690">
        <v>322383</v>
      </c>
      <c r="G690">
        <v>0</v>
      </c>
      <c r="H690" t="s">
        <v>71</v>
      </c>
      <c r="I690">
        <v>10682756</v>
      </c>
      <c r="J690">
        <v>4</v>
      </c>
      <c r="K690">
        <v>12.5</v>
      </c>
      <c r="L690">
        <v>12.5</v>
      </c>
      <c r="M690">
        <v>1925</v>
      </c>
      <c r="N690" s="2">
        <v>66000</v>
      </c>
      <c r="O690" s="2">
        <v>6600</v>
      </c>
      <c r="P690" s="2">
        <v>1100</v>
      </c>
      <c r="Q690" s="2">
        <v>7700</v>
      </c>
      <c r="R690" s="2">
        <v>13200</v>
      </c>
      <c r="S690">
        <v>165</v>
      </c>
      <c r="T690" s="2">
        <v>40700</v>
      </c>
      <c r="U690" s="2">
        <v>25300</v>
      </c>
      <c r="V690">
        <v>96.25</v>
      </c>
      <c r="W690">
        <v>0</v>
      </c>
      <c r="X690">
        <v>0</v>
      </c>
      <c r="Y690">
        <v>0</v>
      </c>
      <c r="Z690">
        <v>6.2</v>
      </c>
      <c r="AA690">
        <v>6.4415584415584412E-2</v>
      </c>
      <c r="AB690">
        <v>20.9</v>
      </c>
      <c r="AC690">
        <v>11.175694444444444</v>
      </c>
      <c r="AD690">
        <v>17.920000000000002</v>
      </c>
      <c r="AI69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0.82430555555555607</v>
      </c>
      <c r="AK690" t="s">
        <v>456</v>
      </c>
      <c r="AL690">
        <v>2</v>
      </c>
      <c r="AM690">
        <v>2</v>
      </c>
      <c r="AN690">
        <f>INT(Table1[[#This Row],[reject_prod]]/Table1[[#This Row],[part_weight]] * 1000)</f>
        <v>496</v>
      </c>
    </row>
    <row r="691" spans="1:40">
      <c r="A691" s="1">
        <v>46044</v>
      </c>
      <c r="B691">
        <v>1</v>
      </c>
      <c r="C691">
        <v>6</v>
      </c>
      <c r="D691" t="s">
        <v>448</v>
      </c>
      <c r="E691" t="s">
        <v>34</v>
      </c>
      <c r="F691">
        <v>322409</v>
      </c>
      <c r="G691">
        <v>0</v>
      </c>
      <c r="H691" t="s">
        <v>400</v>
      </c>
      <c r="I691">
        <v>10683854</v>
      </c>
      <c r="J691">
        <v>4</v>
      </c>
      <c r="K691">
        <v>24</v>
      </c>
      <c r="L691">
        <v>24</v>
      </c>
      <c r="M691">
        <v>1980</v>
      </c>
      <c r="N691" s="2">
        <v>70200</v>
      </c>
      <c r="O691" s="2">
        <v>0</v>
      </c>
      <c r="P691" s="2">
        <v>780</v>
      </c>
      <c r="Q691" s="2">
        <v>7920</v>
      </c>
      <c r="R691" s="2">
        <v>7020</v>
      </c>
      <c r="S691">
        <v>168.48</v>
      </c>
      <c r="T691" s="2">
        <v>42900</v>
      </c>
      <c r="U691" s="2">
        <v>27300</v>
      </c>
      <c r="V691">
        <v>190.08</v>
      </c>
      <c r="W691">
        <v>0</v>
      </c>
      <c r="X691">
        <v>0</v>
      </c>
      <c r="Y691">
        <v>0</v>
      </c>
      <c r="Z691">
        <v>1</v>
      </c>
      <c r="AA691">
        <v>5.2609427609427604E-3</v>
      </c>
      <c r="AB691">
        <v>21.5</v>
      </c>
      <c r="AC691">
        <v>11.825000000000001</v>
      </c>
      <c r="AD691">
        <v>20</v>
      </c>
      <c r="AI69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0.17499999999999893</v>
      </c>
      <c r="AK691" t="s">
        <v>214</v>
      </c>
      <c r="AL691">
        <v>3</v>
      </c>
      <c r="AM691">
        <v>2</v>
      </c>
      <c r="AN691">
        <f>INT(Table1[[#This Row],[reject_prod]]/Table1[[#This Row],[part_weight]] * 1000)</f>
        <v>41</v>
      </c>
    </row>
    <row r="692" spans="1:40">
      <c r="A692" s="1">
        <v>46044</v>
      </c>
      <c r="B692">
        <v>1</v>
      </c>
      <c r="C692">
        <v>7</v>
      </c>
      <c r="D692" t="s">
        <v>449</v>
      </c>
      <c r="E692" t="s">
        <v>34</v>
      </c>
      <c r="F692">
        <v>322452</v>
      </c>
      <c r="G692">
        <v>0</v>
      </c>
      <c r="H692" t="s">
        <v>374</v>
      </c>
      <c r="I692">
        <v>10683857</v>
      </c>
      <c r="J692">
        <v>4</v>
      </c>
      <c r="K692">
        <v>33.11</v>
      </c>
      <c r="L692">
        <v>34.5</v>
      </c>
      <c r="M692">
        <v>940</v>
      </c>
      <c r="N692" s="2">
        <v>44928</v>
      </c>
      <c r="O692" s="2">
        <v>0</v>
      </c>
      <c r="P692" s="2">
        <v>0</v>
      </c>
      <c r="Q692" s="2">
        <v>3760</v>
      </c>
      <c r="R692" s="2">
        <v>3744</v>
      </c>
      <c r="S692">
        <v>129.16800000000001</v>
      </c>
      <c r="T692" s="2">
        <v>44928</v>
      </c>
      <c r="U692" s="2">
        <v>0</v>
      </c>
      <c r="V692">
        <v>129.72</v>
      </c>
      <c r="W692">
        <v>-5.2264000000000026</v>
      </c>
      <c r="X692">
        <v>0</v>
      </c>
      <c r="Y692">
        <v>0</v>
      </c>
      <c r="Z692">
        <v>1</v>
      </c>
      <c r="AA692">
        <v>7.7089115016959605E-3</v>
      </c>
      <c r="AB692">
        <v>23.8</v>
      </c>
      <c r="AC692">
        <v>6.2144444444444442</v>
      </c>
      <c r="AD692">
        <v>18.04</v>
      </c>
      <c r="AI69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5.7855555555555558</v>
      </c>
      <c r="AK692" t="s">
        <v>457</v>
      </c>
      <c r="AL692">
        <v>4</v>
      </c>
      <c r="AM692">
        <v>6</v>
      </c>
      <c r="AN692">
        <f>INT(Table1[[#This Row],[reject_prod]]/Table1[[#This Row],[part_weight]] * 1000)</f>
        <v>28</v>
      </c>
    </row>
    <row r="693" spans="1:40">
      <c r="A693" s="1">
        <v>46044</v>
      </c>
      <c r="B693">
        <v>1</v>
      </c>
      <c r="C693">
        <v>7</v>
      </c>
      <c r="D693" t="s">
        <v>449</v>
      </c>
      <c r="E693" t="s">
        <v>34</v>
      </c>
      <c r="F693">
        <v>322452</v>
      </c>
      <c r="G693">
        <v>0</v>
      </c>
      <c r="H693" t="s">
        <v>374</v>
      </c>
      <c r="I693">
        <v>10685079</v>
      </c>
      <c r="J693">
        <v>4</v>
      </c>
      <c r="K693">
        <v>33.11</v>
      </c>
      <c r="L693">
        <v>34.5</v>
      </c>
      <c r="M693">
        <v>150</v>
      </c>
      <c r="N693" s="2">
        <v>588</v>
      </c>
      <c r="O693" s="2">
        <v>0</v>
      </c>
      <c r="P693" s="2">
        <v>0</v>
      </c>
      <c r="Q693" s="2">
        <v>600</v>
      </c>
      <c r="R693" s="2">
        <v>588</v>
      </c>
      <c r="S693">
        <v>20.286000000000001</v>
      </c>
      <c r="T693" s="2">
        <v>588</v>
      </c>
      <c r="U693" s="2">
        <v>0</v>
      </c>
      <c r="V693">
        <v>20.7</v>
      </c>
      <c r="W693">
        <v>-0.8340000000000003</v>
      </c>
      <c r="X693">
        <v>0</v>
      </c>
      <c r="Y693">
        <v>0</v>
      </c>
      <c r="Z693">
        <v>0</v>
      </c>
      <c r="AA693">
        <v>0</v>
      </c>
      <c r="AB693">
        <v>23.8</v>
      </c>
      <c r="AC693">
        <v>0.9916666666666667</v>
      </c>
      <c r="AD693">
        <v>18.04</v>
      </c>
      <c r="AI69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11.008333333333333</v>
      </c>
      <c r="AK693" t="s">
        <v>457</v>
      </c>
      <c r="AN693">
        <f>INT(Table1[[#This Row],[reject_prod]]/Table1[[#This Row],[part_weight]] * 1000)</f>
        <v>0</v>
      </c>
    </row>
    <row r="694" spans="1:40">
      <c r="A694" s="1">
        <v>46044</v>
      </c>
      <c r="B694">
        <v>1</v>
      </c>
      <c r="C694">
        <v>7</v>
      </c>
      <c r="D694" t="s">
        <v>449</v>
      </c>
      <c r="E694" t="s">
        <v>34</v>
      </c>
      <c r="F694">
        <v>647556</v>
      </c>
      <c r="G694">
        <v>0</v>
      </c>
      <c r="H694" t="s">
        <v>458</v>
      </c>
      <c r="I694">
        <v>10683858</v>
      </c>
      <c r="J694">
        <v>4</v>
      </c>
      <c r="K694">
        <v>35</v>
      </c>
      <c r="L694">
        <v>34.5</v>
      </c>
      <c r="M694">
        <v>80</v>
      </c>
      <c r="N694" s="2">
        <v>27720</v>
      </c>
      <c r="O694" s="2">
        <v>0</v>
      </c>
      <c r="P694" s="2">
        <v>308</v>
      </c>
      <c r="Q694" s="2">
        <v>320</v>
      </c>
      <c r="R694" s="2">
        <v>0</v>
      </c>
      <c r="S694">
        <v>0</v>
      </c>
      <c r="T694" s="2">
        <v>308</v>
      </c>
      <c r="U694" s="2">
        <v>27412</v>
      </c>
      <c r="V694">
        <v>11.04</v>
      </c>
      <c r="W694">
        <v>0.16</v>
      </c>
      <c r="X694">
        <v>11.8</v>
      </c>
      <c r="Y694">
        <v>1.068840579710145</v>
      </c>
      <c r="Z694">
        <v>0</v>
      </c>
      <c r="AA694">
        <v>0</v>
      </c>
      <c r="AB694">
        <v>21</v>
      </c>
      <c r="AC694">
        <v>0.46666666666666667</v>
      </c>
      <c r="AD694">
        <v>20.399999999999999</v>
      </c>
      <c r="AG694">
        <v>1.5</v>
      </c>
      <c r="AI69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10.033333333333333</v>
      </c>
      <c r="AK694" t="s">
        <v>459</v>
      </c>
      <c r="AN694">
        <f>INT(Table1[[#This Row],[reject_prod]]/Table1[[#This Row],[part_weight]] * 1000)</f>
        <v>0</v>
      </c>
    </row>
    <row r="695" spans="1:40">
      <c r="A695" s="1">
        <v>46044</v>
      </c>
      <c r="B695">
        <v>1</v>
      </c>
      <c r="C695">
        <v>8</v>
      </c>
      <c r="D695" t="s">
        <v>56</v>
      </c>
      <c r="E695" t="s">
        <v>41</v>
      </c>
      <c r="F695">
        <v>593537</v>
      </c>
      <c r="G695">
        <v>0</v>
      </c>
      <c r="H695" t="s">
        <v>48</v>
      </c>
      <c r="I695">
        <v>10685022</v>
      </c>
      <c r="J695">
        <v>4</v>
      </c>
      <c r="K695">
        <v>56.5</v>
      </c>
      <c r="L695">
        <v>56.8</v>
      </c>
      <c r="M695">
        <v>1440</v>
      </c>
      <c r="N695" s="2">
        <v>69000</v>
      </c>
      <c r="O695" s="2">
        <v>0</v>
      </c>
      <c r="P695" s="2">
        <v>0</v>
      </c>
      <c r="Q695" s="2">
        <v>5760</v>
      </c>
      <c r="R695" s="2">
        <v>5750</v>
      </c>
      <c r="S695">
        <v>326.60000000000002</v>
      </c>
      <c r="T695" s="2">
        <v>29325</v>
      </c>
      <c r="U695" s="2">
        <v>39675</v>
      </c>
      <c r="V695">
        <v>327.16800000000001</v>
      </c>
      <c r="W695">
        <v>-1.7279999999999835</v>
      </c>
      <c r="X695">
        <v>0</v>
      </c>
      <c r="Y695">
        <v>0</v>
      </c>
      <c r="Z695">
        <v>1</v>
      </c>
      <c r="AA695">
        <v>3.0565336463223786E-3</v>
      </c>
      <c r="AB695">
        <v>30.4</v>
      </c>
      <c r="AC695">
        <v>12</v>
      </c>
      <c r="AD695">
        <v>28.5</v>
      </c>
      <c r="AI69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695" t="s">
        <v>51</v>
      </c>
      <c r="AL695">
        <v>2</v>
      </c>
      <c r="AM695">
        <v>3</v>
      </c>
      <c r="AN695">
        <f>INT(Table1[[#This Row],[reject_prod]]/Table1[[#This Row],[part_weight]] * 1000)</f>
        <v>17</v>
      </c>
    </row>
    <row r="696" spans="1:40">
      <c r="A696" s="1">
        <v>46044</v>
      </c>
      <c r="B696">
        <v>1</v>
      </c>
      <c r="C696">
        <v>9</v>
      </c>
      <c r="D696" t="s">
        <v>33</v>
      </c>
      <c r="E696" t="s">
        <v>46</v>
      </c>
      <c r="F696">
        <v>586276</v>
      </c>
      <c r="G696">
        <v>0</v>
      </c>
      <c r="H696" t="s">
        <v>47</v>
      </c>
      <c r="I696">
        <v>10682924</v>
      </c>
      <c r="J696">
        <v>6</v>
      </c>
      <c r="K696">
        <v>12.3</v>
      </c>
      <c r="L696">
        <v>12.3</v>
      </c>
      <c r="M696">
        <v>0</v>
      </c>
      <c r="N696" s="2">
        <v>162000</v>
      </c>
      <c r="O696" s="2">
        <v>7290</v>
      </c>
      <c r="P696" s="2">
        <v>7290</v>
      </c>
      <c r="Q696" s="2">
        <v>0</v>
      </c>
      <c r="R696" s="2">
        <v>0</v>
      </c>
      <c r="S696">
        <v>0</v>
      </c>
      <c r="T696" s="2">
        <v>80190</v>
      </c>
      <c r="U696" s="2">
        <v>81810</v>
      </c>
      <c r="V696">
        <v>0</v>
      </c>
      <c r="W696">
        <v>0</v>
      </c>
      <c r="X696">
        <v>0</v>
      </c>
      <c r="Y696" t="e">
        <v>#DIV/0!</v>
      </c>
      <c r="Z696">
        <v>0</v>
      </c>
      <c r="AA696" t="e">
        <v>#DIV/0!</v>
      </c>
      <c r="AB696">
        <v>26</v>
      </c>
      <c r="AC696">
        <v>0</v>
      </c>
      <c r="AD696">
        <v>26</v>
      </c>
      <c r="AI69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696" t="s">
        <v>443</v>
      </c>
      <c r="AN696">
        <f>INT(Table1[[#This Row],[reject_prod]]/Table1[[#This Row],[part_weight]] * 1000)</f>
        <v>0</v>
      </c>
    </row>
    <row r="697" spans="1:40">
      <c r="A697" s="1">
        <v>46044</v>
      </c>
      <c r="B697">
        <v>1</v>
      </c>
      <c r="C697">
        <v>10</v>
      </c>
      <c r="D697" t="s">
        <v>117</v>
      </c>
      <c r="E697" t="s">
        <v>34</v>
      </c>
      <c r="F697">
        <v>323091</v>
      </c>
      <c r="G697">
        <v>0</v>
      </c>
      <c r="H697" t="s">
        <v>444</v>
      </c>
      <c r="I697">
        <v>10684858</v>
      </c>
      <c r="J697">
        <v>4</v>
      </c>
      <c r="K697">
        <v>48.71</v>
      </c>
      <c r="L697">
        <v>48.71</v>
      </c>
      <c r="M697">
        <v>1575</v>
      </c>
      <c r="N697" s="2">
        <v>25200</v>
      </c>
      <c r="O697" s="2">
        <v>210</v>
      </c>
      <c r="P697" s="2">
        <v>210</v>
      </c>
      <c r="Q697" s="2">
        <v>6300</v>
      </c>
      <c r="R697" s="2">
        <v>6300</v>
      </c>
      <c r="S697">
        <v>306.87299999999999</v>
      </c>
      <c r="T697" s="2">
        <v>10710</v>
      </c>
      <c r="U697" s="2">
        <v>14490</v>
      </c>
      <c r="V697">
        <v>306.87299999999999</v>
      </c>
      <c r="W697">
        <v>0</v>
      </c>
      <c r="X697">
        <v>0</v>
      </c>
      <c r="Y697">
        <v>0</v>
      </c>
      <c r="Z697">
        <v>1.2</v>
      </c>
      <c r="AA697">
        <v>3.9104124507532432E-3</v>
      </c>
      <c r="AB697">
        <v>27</v>
      </c>
      <c r="AC697">
        <v>11.8125</v>
      </c>
      <c r="AD697">
        <v>26.4</v>
      </c>
      <c r="AI69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0.1875</v>
      </c>
      <c r="AK697" t="s">
        <v>214</v>
      </c>
      <c r="AL697">
        <v>4</v>
      </c>
      <c r="AM697">
        <v>3</v>
      </c>
      <c r="AN697">
        <f>INT(Table1[[#This Row],[reject_prod]]/Table1[[#This Row],[part_weight]] * 1000)</f>
        <v>24</v>
      </c>
    </row>
    <row r="698" spans="1:40">
      <c r="A698" s="1">
        <v>46044</v>
      </c>
      <c r="B698">
        <v>1</v>
      </c>
      <c r="C698">
        <v>11</v>
      </c>
      <c r="D698" t="s">
        <v>208</v>
      </c>
      <c r="E698" t="s">
        <v>46</v>
      </c>
      <c r="F698">
        <v>552181</v>
      </c>
      <c r="G698">
        <v>1</v>
      </c>
      <c r="H698" t="s">
        <v>49</v>
      </c>
      <c r="I698">
        <v>10683783</v>
      </c>
      <c r="J698">
        <v>6</v>
      </c>
      <c r="K698">
        <v>18.8</v>
      </c>
      <c r="L698">
        <v>18.8</v>
      </c>
      <c r="M698">
        <v>1510</v>
      </c>
      <c r="N698" s="2">
        <v>108000</v>
      </c>
      <c r="O698" s="2">
        <v>6210</v>
      </c>
      <c r="P698" s="2">
        <v>4590</v>
      </c>
      <c r="Q698" s="2">
        <v>9060</v>
      </c>
      <c r="R698" s="2">
        <v>10800</v>
      </c>
      <c r="S698">
        <v>203.04</v>
      </c>
      <c r="T698" s="2">
        <v>21600</v>
      </c>
      <c r="U698" s="2">
        <v>86400</v>
      </c>
      <c r="V698">
        <v>170.328</v>
      </c>
      <c r="W698">
        <v>0</v>
      </c>
      <c r="X698">
        <v>0</v>
      </c>
      <c r="Y698">
        <v>0</v>
      </c>
      <c r="Z698">
        <v>1</v>
      </c>
      <c r="AA698">
        <v>5.8710253158611621E-3</v>
      </c>
      <c r="AB698">
        <v>28.7</v>
      </c>
      <c r="AC698">
        <v>12</v>
      </c>
      <c r="AD698">
        <v>27</v>
      </c>
      <c r="AI69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698" t="s">
        <v>51</v>
      </c>
      <c r="AN698">
        <f>INT(Table1[[#This Row],[reject_prod]]/Table1[[#This Row],[part_weight]] * 1000)</f>
        <v>53</v>
      </c>
    </row>
    <row r="699" spans="1:40">
      <c r="A699" s="1">
        <v>46044</v>
      </c>
      <c r="B699">
        <v>1</v>
      </c>
      <c r="C699">
        <v>12</v>
      </c>
      <c r="D699" t="s">
        <v>84</v>
      </c>
      <c r="E699" t="s">
        <v>34</v>
      </c>
      <c r="F699">
        <v>620599</v>
      </c>
      <c r="G699">
        <v>0</v>
      </c>
      <c r="H699" t="s">
        <v>50</v>
      </c>
      <c r="I699">
        <v>10684839</v>
      </c>
      <c r="J699">
        <v>4</v>
      </c>
      <c r="K699">
        <v>55</v>
      </c>
      <c r="L699">
        <v>55</v>
      </c>
      <c r="M699">
        <v>1432</v>
      </c>
      <c r="N699" s="2">
        <v>72000</v>
      </c>
      <c r="O699" s="2">
        <v>570</v>
      </c>
      <c r="P699" s="2">
        <v>900</v>
      </c>
      <c r="Q699" s="2">
        <v>5728</v>
      </c>
      <c r="R699" s="2">
        <v>5400</v>
      </c>
      <c r="S699">
        <v>297</v>
      </c>
      <c r="T699" s="2">
        <v>20700</v>
      </c>
      <c r="U699" s="2">
        <v>51300</v>
      </c>
      <c r="V699">
        <v>315.04000000000002</v>
      </c>
      <c r="W699">
        <v>0</v>
      </c>
      <c r="X699">
        <v>0</v>
      </c>
      <c r="Y699">
        <v>0</v>
      </c>
      <c r="Z699">
        <v>11.3</v>
      </c>
      <c r="AA699">
        <v>3.5868461147790756E-2</v>
      </c>
      <c r="AB699">
        <v>29.1</v>
      </c>
      <c r="AC699">
        <v>11.575333333333333</v>
      </c>
      <c r="AD699">
        <v>28</v>
      </c>
      <c r="AI69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0.42466666666666697</v>
      </c>
      <c r="AK699" t="s">
        <v>460</v>
      </c>
      <c r="AL699">
        <v>5</v>
      </c>
      <c r="AM699">
        <v>5</v>
      </c>
      <c r="AN699">
        <f>INT(Table1[[#This Row],[reject_prod]]/Table1[[#This Row],[part_weight]] * 1000)</f>
        <v>205</v>
      </c>
    </row>
    <row r="700" spans="1:40">
      <c r="A700" s="1">
        <v>46044</v>
      </c>
      <c r="B700">
        <v>1</v>
      </c>
      <c r="C700">
        <v>13</v>
      </c>
      <c r="D700" t="s">
        <v>208</v>
      </c>
      <c r="E700" t="s">
        <v>46</v>
      </c>
      <c r="F700">
        <v>586276</v>
      </c>
      <c r="G700">
        <v>0</v>
      </c>
      <c r="H700" t="s">
        <v>47</v>
      </c>
      <c r="I700">
        <v>10683784</v>
      </c>
      <c r="J700">
        <v>6</v>
      </c>
      <c r="K700">
        <v>12.3</v>
      </c>
      <c r="L700">
        <v>12.3</v>
      </c>
      <c r="M700">
        <v>1635</v>
      </c>
      <c r="N700" s="2">
        <v>162000</v>
      </c>
      <c r="O700" s="2">
        <v>2025</v>
      </c>
      <c r="P700" s="2">
        <v>3645</v>
      </c>
      <c r="Q700" s="2">
        <v>9810</v>
      </c>
      <c r="R700" s="2">
        <v>8100</v>
      </c>
      <c r="S700">
        <v>99.63</v>
      </c>
      <c r="T700" s="2">
        <v>157545</v>
      </c>
      <c r="U700" s="2">
        <v>4455</v>
      </c>
      <c r="V700">
        <v>120.663</v>
      </c>
      <c r="W700">
        <v>0</v>
      </c>
      <c r="X700">
        <v>0</v>
      </c>
      <c r="Y700">
        <v>0</v>
      </c>
      <c r="Z700">
        <v>1</v>
      </c>
      <c r="AA700">
        <v>8.2875446491467979E-3</v>
      </c>
      <c r="AB700">
        <v>26.2</v>
      </c>
      <c r="AC700">
        <v>11.899166666666668</v>
      </c>
      <c r="AD700">
        <v>26</v>
      </c>
      <c r="AI70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0.10083333333333222</v>
      </c>
      <c r="AK700" t="s">
        <v>51</v>
      </c>
      <c r="AN700">
        <f>INT(Table1[[#This Row],[reject_prod]]/Table1[[#This Row],[part_weight]] * 1000)</f>
        <v>81</v>
      </c>
    </row>
    <row r="701" spans="1:40">
      <c r="A701" s="1">
        <v>46044</v>
      </c>
      <c r="B701">
        <v>1</v>
      </c>
      <c r="C701">
        <v>14</v>
      </c>
      <c r="F701">
        <v>123456</v>
      </c>
      <c r="G701">
        <v>0</v>
      </c>
      <c r="M701">
        <v>0</v>
      </c>
      <c r="N701" s="2">
        <v>0</v>
      </c>
      <c r="O701" s="2">
        <v>0</v>
      </c>
      <c r="P701" s="2">
        <v>0</v>
      </c>
      <c r="Q701" s="2"/>
      <c r="R701" s="2">
        <v>0</v>
      </c>
      <c r="T701" s="2">
        <v>0</v>
      </c>
      <c r="U701" s="2"/>
      <c r="X701">
        <v>0</v>
      </c>
      <c r="Z701">
        <v>0</v>
      </c>
      <c r="AB701">
        <v>0</v>
      </c>
      <c r="AC701">
        <v>0</v>
      </c>
      <c r="AD701">
        <v>0</v>
      </c>
      <c r="AI70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701">
        <v>12</v>
      </c>
      <c r="AK701" t="s">
        <v>116</v>
      </c>
      <c r="AN701">
        <v>0</v>
      </c>
    </row>
    <row r="702" spans="1:40">
      <c r="A702" s="1">
        <v>46044</v>
      </c>
      <c r="B702">
        <v>1</v>
      </c>
      <c r="C702">
        <v>15</v>
      </c>
      <c r="D702" t="s">
        <v>208</v>
      </c>
      <c r="E702" t="s">
        <v>46</v>
      </c>
      <c r="F702">
        <v>552181</v>
      </c>
      <c r="G702">
        <v>2</v>
      </c>
      <c r="H702" t="s">
        <v>49</v>
      </c>
      <c r="I702">
        <v>10683786</v>
      </c>
      <c r="J702">
        <v>6</v>
      </c>
      <c r="K702">
        <v>18.8</v>
      </c>
      <c r="L702">
        <v>18.8</v>
      </c>
      <c r="M702">
        <v>400</v>
      </c>
      <c r="N702" s="2">
        <v>108000</v>
      </c>
      <c r="O702" s="2">
        <v>3240</v>
      </c>
      <c r="P702" s="2">
        <v>0</v>
      </c>
      <c r="Q702" s="2">
        <v>2400</v>
      </c>
      <c r="R702" s="2">
        <v>5400</v>
      </c>
      <c r="S702">
        <v>101.52</v>
      </c>
      <c r="T702" s="2">
        <v>108000</v>
      </c>
      <c r="U702" s="2">
        <v>0</v>
      </c>
      <c r="V702">
        <v>45.12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31.2</v>
      </c>
      <c r="AC702">
        <v>3.4666666666666663</v>
      </c>
      <c r="AD702">
        <v>27</v>
      </c>
      <c r="AI70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8.5333333333333332</v>
      </c>
      <c r="AK702" t="s">
        <v>457</v>
      </c>
      <c r="AN702">
        <f>INT(Table1[[#This Row],[reject_prod]]/Table1[[#This Row],[part_weight]] * 1000)</f>
        <v>0</v>
      </c>
    </row>
    <row r="703" spans="1:40">
      <c r="A703" s="1">
        <v>46044</v>
      </c>
      <c r="B703">
        <v>1</v>
      </c>
      <c r="C703">
        <v>15</v>
      </c>
      <c r="D703" t="s">
        <v>208</v>
      </c>
      <c r="E703" t="s">
        <v>46</v>
      </c>
      <c r="F703">
        <v>552181</v>
      </c>
      <c r="G703">
        <v>2</v>
      </c>
      <c r="H703" t="s">
        <v>49</v>
      </c>
      <c r="I703">
        <v>10683787</v>
      </c>
      <c r="J703">
        <v>6</v>
      </c>
      <c r="K703">
        <v>18.8</v>
      </c>
      <c r="L703">
        <v>18.8</v>
      </c>
      <c r="M703">
        <v>950</v>
      </c>
      <c r="N703" s="2">
        <v>108000</v>
      </c>
      <c r="O703" s="2">
        <v>0</v>
      </c>
      <c r="P703" s="2">
        <v>270</v>
      </c>
      <c r="Q703" s="2">
        <v>5700</v>
      </c>
      <c r="R703" s="2">
        <v>5400</v>
      </c>
      <c r="S703">
        <v>101.52</v>
      </c>
      <c r="T703" s="2">
        <v>5670</v>
      </c>
      <c r="U703" s="2">
        <v>102330</v>
      </c>
      <c r="V703">
        <v>107.16</v>
      </c>
      <c r="W703">
        <v>0</v>
      </c>
      <c r="X703">
        <v>0</v>
      </c>
      <c r="Y703">
        <v>0</v>
      </c>
      <c r="Z703">
        <v>1</v>
      </c>
      <c r="AA703">
        <v>9.3318402388951113E-3</v>
      </c>
      <c r="AB703">
        <v>31.2</v>
      </c>
      <c r="AC703">
        <v>8.2333333333333325</v>
      </c>
      <c r="AD703">
        <v>27</v>
      </c>
      <c r="AI70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3.7666666666666675</v>
      </c>
      <c r="AK703" t="s">
        <v>51</v>
      </c>
      <c r="AN703">
        <f>INT(Table1[[#This Row],[reject_prod]]/Table1[[#This Row],[part_weight]] * 1000)</f>
        <v>53</v>
      </c>
    </row>
    <row r="704" spans="1:40" s="4" customFormat="1">
      <c r="A704" s="3">
        <v>46044</v>
      </c>
      <c r="B704" s="4">
        <v>1</v>
      </c>
      <c r="C704" s="4">
        <v>16</v>
      </c>
      <c r="D704" s="4" t="s">
        <v>450</v>
      </c>
      <c r="E704" s="4" t="s">
        <v>46</v>
      </c>
      <c r="F704" s="4">
        <v>555979</v>
      </c>
      <c r="G704" s="4">
        <v>2</v>
      </c>
      <c r="H704" s="4" t="s">
        <v>52</v>
      </c>
      <c r="I704" s="4">
        <v>10683788</v>
      </c>
      <c r="J704" s="4">
        <v>6</v>
      </c>
      <c r="K704" s="4">
        <v>28</v>
      </c>
      <c r="L704" s="4">
        <v>28</v>
      </c>
      <c r="M704" s="4">
        <v>930</v>
      </c>
      <c r="N704" s="5">
        <v>100800</v>
      </c>
      <c r="O704" s="5">
        <v>2856</v>
      </c>
      <c r="P704" s="5">
        <v>1680</v>
      </c>
      <c r="Q704" s="5">
        <v>5580</v>
      </c>
      <c r="R704" s="5">
        <v>6720</v>
      </c>
      <c r="S704" s="4">
        <v>188.16</v>
      </c>
      <c r="T704" s="5">
        <v>85680</v>
      </c>
      <c r="U704" s="5">
        <v>15120</v>
      </c>
      <c r="V704" s="4">
        <v>156.24</v>
      </c>
      <c r="W704" s="4">
        <v>0</v>
      </c>
      <c r="X704" s="4">
        <v>0</v>
      </c>
      <c r="Y704" s="4">
        <v>0</v>
      </c>
      <c r="Z704" s="4">
        <v>1.5</v>
      </c>
      <c r="AA704" s="4">
        <v>9.6006144393241157E-3</v>
      </c>
      <c r="AB704" s="4">
        <v>43.4</v>
      </c>
      <c r="AC704" s="4">
        <v>11.211666666666666</v>
      </c>
      <c r="AD704" s="4">
        <v>42</v>
      </c>
      <c r="AI70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0.788333333333334</v>
      </c>
      <c r="AK704" s="4" t="s">
        <v>461</v>
      </c>
      <c r="AN704" s="4">
        <f>INT(Table1[[#This Row],[reject_prod]]/Table1[[#This Row],[part_weight]] * 1000)</f>
        <v>53</v>
      </c>
    </row>
    <row r="705" spans="1:40">
      <c r="A705" s="1">
        <v>46044</v>
      </c>
      <c r="B705">
        <v>2</v>
      </c>
      <c r="C705">
        <v>1</v>
      </c>
      <c r="D705" t="s">
        <v>451</v>
      </c>
      <c r="E705" t="s">
        <v>34</v>
      </c>
      <c r="F705">
        <v>577492</v>
      </c>
      <c r="G705">
        <v>0</v>
      </c>
      <c r="H705" t="s">
        <v>341</v>
      </c>
      <c r="I705">
        <v>10684028</v>
      </c>
      <c r="J705">
        <v>4</v>
      </c>
      <c r="K705">
        <v>35.6</v>
      </c>
      <c r="L705">
        <v>35.6</v>
      </c>
      <c r="M705">
        <v>1575</v>
      </c>
      <c r="N705" s="2">
        <v>101200</v>
      </c>
      <c r="O705" s="2">
        <v>368</v>
      </c>
      <c r="P705" s="2">
        <v>1104</v>
      </c>
      <c r="Q705" s="2">
        <v>6300</v>
      </c>
      <c r="R705" s="2">
        <v>5520</v>
      </c>
      <c r="S705">
        <v>196.512</v>
      </c>
      <c r="T705" s="2">
        <v>32384</v>
      </c>
      <c r="U705" s="2">
        <v>68816</v>
      </c>
      <c r="V705">
        <v>224.28</v>
      </c>
      <c r="W705">
        <v>0</v>
      </c>
      <c r="X705">
        <v>0</v>
      </c>
      <c r="Y705">
        <v>0</v>
      </c>
      <c r="Z705">
        <v>1.6</v>
      </c>
      <c r="AA705">
        <v>7.1339397182093815E-3</v>
      </c>
      <c r="AB705">
        <v>27.1</v>
      </c>
      <c r="AC705">
        <v>11.856250000000001</v>
      </c>
      <c r="AD705">
        <v>27</v>
      </c>
      <c r="AI70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0.14374999999999893</v>
      </c>
      <c r="AK705" t="s">
        <v>51</v>
      </c>
      <c r="AN705">
        <f>INT(Table1[[#This Row],[reject_prod]]/Table1[[#This Row],[part_weight]] * 1000)</f>
        <v>44</v>
      </c>
    </row>
    <row r="706" spans="1:40">
      <c r="A706" s="1">
        <v>46044</v>
      </c>
      <c r="B706">
        <v>2</v>
      </c>
      <c r="C706">
        <v>2</v>
      </c>
      <c r="D706" t="s">
        <v>33</v>
      </c>
      <c r="E706" t="s">
        <v>34</v>
      </c>
      <c r="F706">
        <v>416201</v>
      </c>
      <c r="G706">
        <v>0</v>
      </c>
      <c r="H706" t="s">
        <v>36</v>
      </c>
      <c r="I706">
        <v>10681779</v>
      </c>
      <c r="J706">
        <v>4</v>
      </c>
      <c r="K706">
        <v>20</v>
      </c>
      <c r="L706">
        <v>30</v>
      </c>
      <c r="M706">
        <v>0</v>
      </c>
      <c r="N706" s="2">
        <v>50400</v>
      </c>
      <c r="O706" s="2">
        <v>0</v>
      </c>
      <c r="P706" s="2">
        <v>0</v>
      </c>
      <c r="Q706" s="2">
        <v>0</v>
      </c>
      <c r="R706" s="2">
        <v>0</v>
      </c>
      <c r="S706">
        <v>0</v>
      </c>
      <c r="T706" s="2">
        <v>0</v>
      </c>
      <c r="U706" s="2">
        <v>50400</v>
      </c>
      <c r="V706">
        <v>0</v>
      </c>
      <c r="W706">
        <v>0</v>
      </c>
      <c r="X706">
        <v>0</v>
      </c>
      <c r="Y706" t="e">
        <v>#DIV/0!</v>
      </c>
      <c r="Z706">
        <v>0</v>
      </c>
      <c r="AA706" t="e">
        <v>#DIV/0!</v>
      </c>
      <c r="AB706">
        <v>38.6</v>
      </c>
      <c r="AC706">
        <v>0</v>
      </c>
      <c r="AD706">
        <v>38.64</v>
      </c>
      <c r="AI70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706" t="s">
        <v>387</v>
      </c>
      <c r="AN706">
        <f>INT(Table1[[#This Row],[reject_prod]]/Table1[[#This Row],[part_weight]] * 1000)</f>
        <v>0</v>
      </c>
    </row>
    <row r="707" spans="1:40">
      <c r="A707" s="1">
        <v>46044</v>
      </c>
      <c r="B707">
        <v>2</v>
      </c>
      <c r="C707">
        <v>3</v>
      </c>
      <c r="D707" t="s">
        <v>152</v>
      </c>
      <c r="E707" t="s">
        <v>34</v>
      </c>
      <c r="F707">
        <v>442034</v>
      </c>
      <c r="G707">
        <v>0</v>
      </c>
      <c r="H707" t="s">
        <v>37</v>
      </c>
      <c r="I707">
        <v>10681184</v>
      </c>
      <c r="J707">
        <v>4</v>
      </c>
      <c r="K707">
        <v>23</v>
      </c>
      <c r="L707">
        <v>23</v>
      </c>
      <c r="M707">
        <v>1602</v>
      </c>
      <c r="N707" s="2">
        <v>139776</v>
      </c>
      <c r="O707" s="2">
        <v>3840</v>
      </c>
      <c r="P707" s="2">
        <v>768</v>
      </c>
      <c r="Q707" s="2">
        <v>6408</v>
      </c>
      <c r="R707" s="2">
        <v>9216</v>
      </c>
      <c r="S707">
        <v>211.96799999999999</v>
      </c>
      <c r="T707" s="2">
        <v>28416</v>
      </c>
      <c r="U707" s="2">
        <v>111360</v>
      </c>
      <c r="V707">
        <v>147.38399999999999</v>
      </c>
      <c r="W707">
        <v>0</v>
      </c>
      <c r="X707">
        <v>0</v>
      </c>
      <c r="Y707">
        <v>0</v>
      </c>
      <c r="Z707">
        <v>6.7</v>
      </c>
      <c r="AA707">
        <v>4.545947999782881E-2</v>
      </c>
      <c r="AB707">
        <v>26.2</v>
      </c>
      <c r="AC707">
        <v>11.659000000000001</v>
      </c>
      <c r="AD707">
        <v>22</v>
      </c>
      <c r="AI70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0.3409999999999993</v>
      </c>
      <c r="AK707" t="s">
        <v>103</v>
      </c>
      <c r="AN707">
        <f>INT(Table1[[#This Row],[reject_prod]]/Table1[[#This Row],[part_weight]] * 1000)</f>
        <v>291</v>
      </c>
    </row>
    <row r="708" spans="1:40">
      <c r="A708" s="1">
        <v>46044</v>
      </c>
      <c r="B708">
        <v>2</v>
      </c>
      <c r="C708">
        <v>4</v>
      </c>
      <c r="D708" t="s">
        <v>40</v>
      </c>
      <c r="E708" t="s">
        <v>34</v>
      </c>
      <c r="F708">
        <v>402305</v>
      </c>
      <c r="G708">
        <v>0</v>
      </c>
      <c r="H708" t="s">
        <v>395</v>
      </c>
      <c r="I708">
        <v>10684852</v>
      </c>
      <c r="J708">
        <v>4</v>
      </c>
      <c r="K708">
        <v>29</v>
      </c>
      <c r="L708">
        <v>29</v>
      </c>
      <c r="M708">
        <v>1676</v>
      </c>
      <c r="N708" s="2">
        <v>64896</v>
      </c>
      <c r="O708" s="2">
        <v>0</v>
      </c>
      <c r="P708" s="2">
        <v>416</v>
      </c>
      <c r="Q708" s="2">
        <v>6704</v>
      </c>
      <c r="R708" s="2">
        <v>6240</v>
      </c>
      <c r="S708">
        <v>180.96</v>
      </c>
      <c r="T708" s="2">
        <v>41600</v>
      </c>
      <c r="U708" s="2">
        <v>23296</v>
      </c>
      <c r="V708">
        <v>194.416</v>
      </c>
      <c r="W708">
        <v>0</v>
      </c>
      <c r="X708">
        <v>0</v>
      </c>
      <c r="Y708">
        <v>0</v>
      </c>
      <c r="Z708">
        <v>1.4</v>
      </c>
      <c r="AA708">
        <v>7.2010534112418728E-3</v>
      </c>
      <c r="AB708">
        <v>25.4</v>
      </c>
      <c r="AC708">
        <v>11.825111111111111</v>
      </c>
      <c r="AD708">
        <v>22</v>
      </c>
      <c r="AI70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0.17488888888888887</v>
      </c>
      <c r="AK708" t="s">
        <v>214</v>
      </c>
      <c r="AN708">
        <f>INT(Table1[[#This Row],[reject_prod]]/Table1[[#This Row],[part_weight]] * 1000)</f>
        <v>48</v>
      </c>
    </row>
    <row r="709" spans="1:40">
      <c r="A709" s="1">
        <v>46044</v>
      </c>
      <c r="B709">
        <v>2</v>
      </c>
      <c r="C709">
        <v>5</v>
      </c>
      <c r="D709" t="s">
        <v>452</v>
      </c>
      <c r="E709" t="s">
        <v>34</v>
      </c>
      <c r="F709">
        <v>322383</v>
      </c>
      <c r="G709">
        <v>0</v>
      </c>
      <c r="H709" t="s">
        <v>71</v>
      </c>
      <c r="I709">
        <v>10682756</v>
      </c>
      <c r="J709">
        <v>4</v>
      </c>
      <c r="K709">
        <v>12.5</v>
      </c>
      <c r="L709">
        <v>12.5</v>
      </c>
      <c r="M709">
        <v>2029</v>
      </c>
      <c r="N709" s="2">
        <v>66000</v>
      </c>
      <c r="O709" s="2">
        <v>1100</v>
      </c>
      <c r="P709" s="2">
        <v>9100</v>
      </c>
      <c r="Q709" s="2">
        <v>8116</v>
      </c>
      <c r="R709" s="2">
        <v>0</v>
      </c>
      <c r="S709">
        <v>0</v>
      </c>
      <c r="T709" s="2">
        <v>48700</v>
      </c>
      <c r="U709" s="2">
        <v>17300</v>
      </c>
      <c r="V709">
        <v>101.45</v>
      </c>
      <c r="W709">
        <v>0</v>
      </c>
      <c r="X709">
        <v>0</v>
      </c>
      <c r="Y709">
        <v>0</v>
      </c>
      <c r="Z709">
        <v>1</v>
      </c>
      <c r="AA709">
        <v>9.857072449482503E-3</v>
      </c>
      <c r="AB709">
        <v>20.9</v>
      </c>
      <c r="AC709">
        <v>11.779472222222221</v>
      </c>
      <c r="AD709">
        <v>17.920000000000002</v>
      </c>
      <c r="AI70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0.22052777777777877</v>
      </c>
      <c r="AK709" t="s">
        <v>103</v>
      </c>
      <c r="AN709">
        <f>INT(Table1[[#This Row],[reject_prod]]/Table1[[#This Row],[part_weight]] * 1000)</f>
        <v>80</v>
      </c>
    </row>
    <row r="710" spans="1:40">
      <c r="A710" s="1">
        <v>46044</v>
      </c>
      <c r="B710">
        <v>2</v>
      </c>
      <c r="C710">
        <v>6</v>
      </c>
      <c r="D710" t="s">
        <v>453</v>
      </c>
      <c r="E710" t="s">
        <v>34</v>
      </c>
      <c r="F710">
        <v>322409</v>
      </c>
      <c r="G710">
        <v>0</v>
      </c>
      <c r="H710" t="s">
        <v>400</v>
      </c>
      <c r="I710">
        <v>10683854</v>
      </c>
      <c r="J710">
        <v>4</v>
      </c>
      <c r="K710">
        <v>24</v>
      </c>
      <c r="L710">
        <v>24</v>
      </c>
      <c r="M710">
        <v>1977</v>
      </c>
      <c r="N710" s="2">
        <v>70200</v>
      </c>
      <c r="O710" s="2">
        <v>780</v>
      </c>
      <c r="P710" s="2">
        <v>390</v>
      </c>
      <c r="Q710" s="2">
        <v>7908</v>
      </c>
      <c r="R710" s="2">
        <v>8190</v>
      </c>
      <c r="S710">
        <v>196.56</v>
      </c>
      <c r="T710" s="2">
        <v>50700</v>
      </c>
      <c r="U710" s="2">
        <v>19500</v>
      </c>
      <c r="V710">
        <v>189.792</v>
      </c>
      <c r="W710">
        <v>0</v>
      </c>
      <c r="X710">
        <v>0</v>
      </c>
      <c r="Y710">
        <v>0</v>
      </c>
      <c r="Z710">
        <v>2.5</v>
      </c>
      <c r="AA710">
        <v>1.3172314955319507E-2</v>
      </c>
      <c r="AB710">
        <v>21.5</v>
      </c>
      <c r="AC710">
        <v>11.807083333333335</v>
      </c>
      <c r="AD710">
        <v>20</v>
      </c>
      <c r="AI71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0.19291666666666529</v>
      </c>
      <c r="AK710" t="s">
        <v>214</v>
      </c>
      <c r="AN710">
        <f>INT(Table1[[#This Row],[reject_prod]]/Table1[[#This Row],[part_weight]] * 1000)</f>
        <v>104</v>
      </c>
    </row>
    <row r="711" spans="1:40">
      <c r="A711" s="1">
        <v>46044</v>
      </c>
      <c r="B711">
        <v>2</v>
      </c>
      <c r="C711">
        <v>7</v>
      </c>
      <c r="D711" t="s">
        <v>170</v>
      </c>
      <c r="E711" t="s">
        <v>34</v>
      </c>
      <c r="F711">
        <v>647556</v>
      </c>
      <c r="G711">
        <v>0</v>
      </c>
      <c r="H711" t="s">
        <v>458</v>
      </c>
      <c r="I711">
        <v>10683858</v>
      </c>
      <c r="J711">
        <v>4</v>
      </c>
      <c r="K711">
        <v>35</v>
      </c>
      <c r="L711">
        <v>34.5</v>
      </c>
      <c r="M711">
        <v>1356</v>
      </c>
      <c r="N711" s="2">
        <v>27720</v>
      </c>
      <c r="O711" s="2">
        <v>308</v>
      </c>
      <c r="P711" s="2">
        <v>0</v>
      </c>
      <c r="Q711" s="2">
        <v>5424</v>
      </c>
      <c r="R711" s="2">
        <v>5544</v>
      </c>
      <c r="S711">
        <v>191.268</v>
      </c>
      <c r="T711" s="2">
        <v>5544</v>
      </c>
      <c r="U711" s="2">
        <v>22176</v>
      </c>
      <c r="V711">
        <v>187.12799999999999</v>
      </c>
      <c r="W711">
        <v>0</v>
      </c>
      <c r="X711">
        <v>6</v>
      </c>
      <c r="Y711">
        <v>3.2063614210593817E-2</v>
      </c>
      <c r="Z711">
        <v>0.5</v>
      </c>
      <c r="AA711">
        <v>2.6719678508828185E-3</v>
      </c>
      <c r="AB711">
        <v>22</v>
      </c>
      <c r="AC711">
        <v>8.2866666666666671</v>
      </c>
      <c r="AD711">
        <v>20.399999999999999</v>
      </c>
      <c r="AI71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3.7133333333333329</v>
      </c>
      <c r="AK711" t="s">
        <v>462</v>
      </c>
      <c r="AN711">
        <f>INT(Table1[[#This Row],[reject_prod]]/Table1[[#This Row],[part_weight]] * 1000)</f>
        <v>14</v>
      </c>
    </row>
    <row r="712" spans="1:40">
      <c r="A712" s="1">
        <v>46044</v>
      </c>
      <c r="B712">
        <v>2</v>
      </c>
      <c r="C712">
        <v>8</v>
      </c>
      <c r="D712" t="s">
        <v>141</v>
      </c>
      <c r="E712" t="s">
        <v>41</v>
      </c>
      <c r="F712">
        <v>593537</v>
      </c>
      <c r="G712">
        <v>0</v>
      </c>
      <c r="H712" t="s">
        <v>48</v>
      </c>
      <c r="I712">
        <v>10685022</v>
      </c>
      <c r="J712">
        <v>4</v>
      </c>
      <c r="K712">
        <v>56.5</v>
      </c>
      <c r="L712">
        <v>56.8</v>
      </c>
      <c r="M712">
        <v>1384</v>
      </c>
      <c r="N712" s="2">
        <v>69000</v>
      </c>
      <c r="O712" s="2">
        <v>0</v>
      </c>
      <c r="P712" s="2">
        <v>345</v>
      </c>
      <c r="Q712" s="2">
        <v>5536</v>
      </c>
      <c r="R712" s="2">
        <v>5175</v>
      </c>
      <c r="S712">
        <v>293.94</v>
      </c>
      <c r="T712" s="2">
        <v>34845</v>
      </c>
      <c r="U712" s="2">
        <v>34155</v>
      </c>
      <c r="V712">
        <v>314.44479999999999</v>
      </c>
      <c r="W712">
        <v>0</v>
      </c>
      <c r="X712">
        <v>0</v>
      </c>
      <c r="Y712">
        <v>0</v>
      </c>
      <c r="Z712">
        <v>0.8</v>
      </c>
      <c r="AA712">
        <v>2.544166734511113E-3</v>
      </c>
      <c r="AB712">
        <v>30.4</v>
      </c>
      <c r="AC712">
        <v>11.687111111111109</v>
      </c>
      <c r="AD712">
        <v>28.5</v>
      </c>
      <c r="AI71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0.31288888888889055</v>
      </c>
      <c r="AK712" t="s">
        <v>51</v>
      </c>
      <c r="AN712">
        <f>INT(Table1[[#This Row],[reject_prod]]/Table1[[#This Row],[part_weight]] * 1000)</f>
        <v>14</v>
      </c>
    </row>
    <row r="713" spans="1:40">
      <c r="A713" s="1">
        <v>46044</v>
      </c>
      <c r="B713">
        <v>2</v>
      </c>
      <c r="C713">
        <v>9</v>
      </c>
      <c r="D713" t="s">
        <v>33</v>
      </c>
      <c r="E713" t="s">
        <v>46</v>
      </c>
      <c r="F713">
        <v>586276</v>
      </c>
      <c r="G713">
        <v>0</v>
      </c>
      <c r="H713" t="s">
        <v>47</v>
      </c>
      <c r="I713">
        <v>10682924</v>
      </c>
      <c r="J713">
        <v>6</v>
      </c>
      <c r="K713">
        <v>12.3</v>
      </c>
      <c r="L713">
        <v>12.3</v>
      </c>
      <c r="M713">
        <v>0</v>
      </c>
      <c r="N713" s="2">
        <v>162000</v>
      </c>
      <c r="O713" s="2">
        <v>7290</v>
      </c>
      <c r="P713" s="2">
        <v>7290</v>
      </c>
      <c r="Q713" s="2">
        <v>0</v>
      </c>
      <c r="R713" s="2">
        <v>0</v>
      </c>
      <c r="S713">
        <v>0</v>
      </c>
      <c r="T713" s="2">
        <v>80190</v>
      </c>
      <c r="U713" s="2">
        <v>81810</v>
      </c>
      <c r="V713">
        <v>0</v>
      </c>
      <c r="W713">
        <v>0</v>
      </c>
      <c r="X713">
        <v>20.5</v>
      </c>
      <c r="Y713" t="e">
        <v>#DIV/0!</v>
      </c>
      <c r="Z713">
        <v>0</v>
      </c>
      <c r="AA713" t="e">
        <v>#DIV/0!</v>
      </c>
      <c r="AB713">
        <v>26</v>
      </c>
      <c r="AC713">
        <v>0</v>
      </c>
      <c r="AD713">
        <v>26</v>
      </c>
      <c r="AI71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713" t="s">
        <v>463</v>
      </c>
      <c r="AN713">
        <f>INT(Table1[[#This Row],[reject_prod]]/Table1[[#This Row],[part_weight]] * 1000)</f>
        <v>0</v>
      </c>
    </row>
    <row r="714" spans="1:40">
      <c r="A714" s="1">
        <v>46044</v>
      </c>
      <c r="B714">
        <v>2</v>
      </c>
      <c r="C714">
        <v>10</v>
      </c>
      <c r="D714" t="s">
        <v>454</v>
      </c>
      <c r="E714" t="s">
        <v>34</v>
      </c>
      <c r="F714">
        <v>323091</v>
      </c>
      <c r="G714">
        <v>0</v>
      </c>
      <c r="H714" t="s">
        <v>444</v>
      </c>
      <c r="I714">
        <v>10684858</v>
      </c>
      <c r="J714">
        <v>4</v>
      </c>
      <c r="K714">
        <v>48.71</v>
      </c>
      <c r="L714">
        <v>48.71</v>
      </c>
      <c r="M714">
        <v>1592</v>
      </c>
      <c r="N714" s="2">
        <v>25200</v>
      </c>
      <c r="O714" s="2">
        <v>210</v>
      </c>
      <c r="P714" s="2">
        <v>210</v>
      </c>
      <c r="Q714" s="2">
        <v>6368</v>
      </c>
      <c r="R714" s="2">
        <v>6300</v>
      </c>
      <c r="S714">
        <v>306.87299999999999</v>
      </c>
      <c r="T714" s="2">
        <v>17010</v>
      </c>
      <c r="U714" s="2">
        <v>8190</v>
      </c>
      <c r="V714">
        <v>310.18528000000003</v>
      </c>
      <c r="W714">
        <v>0</v>
      </c>
      <c r="X714">
        <v>0</v>
      </c>
      <c r="Y714">
        <v>0</v>
      </c>
      <c r="Z714">
        <v>3.4</v>
      </c>
      <c r="AA714">
        <v>1.0961190679325593E-2</v>
      </c>
      <c r="AB714">
        <v>27</v>
      </c>
      <c r="AC714">
        <v>11.94</v>
      </c>
      <c r="AD714">
        <v>26.4</v>
      </c>
      <c r="AI71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6.0000000000000497E-2</v>
      </c>
      <c r="AK714" t="s">
        <v>75</v>
      </c>
      <c r="AN714">
        <f>INT(Table1[[#This Row],[reject_prod]]/Table1[[#This Row],[part_weight]] * 1000)</f>
        <v>69</v>
      </c>
    </row>
    <row r="715" spans="1:40">
      <c r="A715" s="1">
        <v>46044</v>
      </c>
      <c r="B715">
        <v>2</v>
      </c>
      <c r="C715">
        <v>11</v>
      </c>
      <c r="D715" t="s">
        <v>61</v>
      </c>
      <c r="E715" t="s">
        <v>46</v>
      </c>
      <c r="F715">
        <v>552181</v>
      </c>
      <c r="G715">
        <v>1</v>
      </c>
      <c r="H715" t="s">
        <v>49</v>
      </c>
      <c r="I715">
        <v>10683783</v>
      </c>
      <c r="J715">
        <v>6</v>
      </c>
      <c r="K715">
        <v>18.8</v>
      </c>
      <c r="L715">
        <v>18.8</v>
      </c>
      <c r="M715">
        <v>1443</v>
      </c>
      <c r="N715" s="2">
        <v>108000</v>
      </c>
      <c r="O715" s="2">
        <v>4590</v>
      </c>
      <c r="P715" s="2">
        <v>7560</v>
      </c>
      <c r="Q715" s="2">
        <v>8658</v>
      </c>
      <c r="R715" s="2">
        <v>5400</v>
      </c>
      <c r="S715">
        <v>101.52</v>
      </c>
      <c r="T715" s="2">
        <v>34560</v>
      </c>
      <c r="U715" s="2">
        <v>73440</v>
      </c>
      <c r="V715">
        <v>162.7704</v>
      </c>
      <c r="W715">
        <v>0</v>
      </c>
      <c r="X715">
        <v>0</v>
      </c>
      <c r="Y715">
        <v>0</v>
      </c>
      <c r="Z715">
        <v>5.4</v>
      </c>
      <c r="AA715">
        <v>3.3175565090458714E-2</v>
      </c>
      <c r="AB715">
        <v>29.6</v>
      </c>
      <c r="AC715">
        <v>11.864666666666668</v>
      </c>
      <c r="AD715">
        <v>27</v>
      </c>
      <c r="AI71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0.13533333333333175</v>
      </c>
      <c r="AK715" t="s">
        <v>51</v>
      </c>
      <c r="AN715">
        <f>INT(Table1[[#This Row],[reject_prod]]/Table1[[#This Row],[part_weight]] * 1000)</f>
        <v>287</v>
      </c>
    </row>
    <row r="716" spans="1:40">
      <c r="A716" s="1">
        <v>46044</v>
      </c>
      <c r="B716">
        <v>2</v>
      </c>
      <c r="C716">
        <v>12</v>
      </c>
      <c r="D716" t="s">
        <v>65</v>
      </c>
      <c r="E716" t="s">
        <v>34</v>
      </c>
      <c r="F716">
        <v>620599</v>
      </c>
      <c r="G716">
        <v>0</v>
      </c>
      <c r="H716" t="s">
        <v>50</v>
      </c>
      <c r="I716">
        <v>10684839</v>
      </c>
      <c r="J716">
        <v>4</v>
      </c>
      <c r="K716">
        <v>55</v>
      </c>
      <c r="L716">
        <v>55</v>
      </c>
      <c r="M716">
        <v>1494</v>
      </c>
      <c r="N716" s="2">
        <v>72000</v>
      </c>
      <c r="O716" s="2">
        <v>900</v>
      </c>
      <c r="P716" s="2">
        <v>1350</v>
      </c>
      <c r="Q716" s="2">
        <v>5976</v>
      </c>
      <c r="R716" s="2">
        <v>5400</v>
      </c>
      <c r="S716">
        <v>297</v>
      </c>
      <c r="T716" s="2">
        <v>26550</v>
      </c>
      <c r="U716" s="2">
        <v>45450</v>
      </c>
      <c r="V716">
        <v>328.68</v>
      </c>
      <c r="W716">
        <v>0</v>
      </c>
      <c r="X716">
        <v>0</v>
      </c>
      <c r="Y716">
        <v>0</v>
      </c>
      <c r="Z716">
        <v>6.7</v>
      </c>
      <c r="AA716">
        <v>2.0384568577339661E-2</v>
      </c>
      <c r="AB716">
        <v>29.1</v>
      </c>
      <c r="AC716">
        <v>12</v>
      </c>
      <c r="AD716">
        <v>28</v>
      </c>
      <c r="AI71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716" t="s">
        <v>464</v>
      </c>
      <c r="AN716">
        <f>INT(Table1[[#This Row],[reject_prod]]/Table1[[#This Row],[part_weight]] * 1000)</f>
        <v>121</v>
      </c>
    </row>
    <row r="717" spans="1:40">
      <c r="A717" s="1">
        <v>46044</v>
      </c>
      <c r="B717">
        <v>2</v>
      </c>
      <c r="C717">
        <v>13</v>
      </c>
      <c r="D717" t="s">
        <v>61</v>
      </c>
      <c r="E717" t="s">
        <v>46</v>
      </c>
      <c r="F717">
        <v>586276</v>
      </c>
      <c r="G717">
        <v>0</v>
      </c>
      <c r="H717" t="s">
        <v>47</v>
      </c>
      <c r="I717">
        <v>10683784</v>
      </c>
      <c r="J717">
        <v>6</v>
      </c>
      <c r="K717">
        <v>12.3</v>
      </c>
      <c r="L717">
        <v>12.3</v>
      </c>
      <c r="M717">
        <v>743</v>
      </c>
      <c r="N717" s="2">
        <v>162000</v>
      </c>
      <c r="O717" s="2">
        <v>3645</v>
      </c>
      <c r="P717" s="2">
        <v>0</v>
      </c>
      <c r="Q717" s="2">
        <v>4458</v>
      </c>
      <c r="R717" s="2">
        <v>8100</v>
      </c>
      <c r="S717">
        <v>99.63</v>
      </c>
      <c r="T717" s="2">
        <v>162000</v>
      </c>
      <c r="U717" s="2">
        <v>0</v>
      </c>
      <c r="V717">
        <v>54.833400000000005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26.2</v>
      </c>
      <c r="AC717">
        <v>5.4073888888888888</v>
      </c>
      <c r="AD717">
        <v>26</v>
      </c>
      <c r="AI71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6.5926111111111112</v>
      </c>
      <c r="AK717" t="s">
        <v>51</v>
      </c>
      <c r="AN717">
        <f>INT(Table1[[#This Row],[reject_prod]]/Table1[[#This Row],[part_weight]] * 1000)</f>
        <v>0</v>
      </c>
    </row>
    <row r="718" spans="1:40">
      <c r="A718" s="1">
        <v>46044</v>
      </c>
      <c r="B718">
        <v>2</v>
      </c>
      <c r="C718">
        <v>13</v>
      </c>
      <c r="D718" t="s">
        <v>61</v>
      </c>
      <c r="E718" t="s">
        <v>46</v>
      </c>
      <c r="F718">
        <v>586276</v>
      </c>
      <c r="G718">
        <v>0</v>
      </c>
      <c r="H718" t="s">
        <v>47</v>
      </c>
      <c r="I718">
        <v>10684862</v>
      </c>
      <c r="J718">
        <v>6</v>
      </c>
      <c r="K718">
        <v>12.3</v>
      </c>
      <c r="L718">
        <v>12.3</v>
      </c>
      <c r="M718">
        <v>889</v>
      </c>
      <c r="N718" s="2">
        <v>162000</v>
      </c>
      <c r="O718" s="2">
        <v>0</v>
      </c>
      <c r="P718" s="2">
        <v>5265</v>
      </c>
      <c r="Q718" s="2">
        <v>5334</v>
      </c>
      <c r="R718" s="2">
        <v>0</v>
      </c>
      <c r="S718">
        <v>0</v>
      </c>
      <c r="T718" s="2">
        <v>5265</v>
      </c>
      <c r="U718" s="2">
        <v>156735</v>
      </c>
      <c r="V718">
        <v>65.608199999999997</v>
      </c>
      <c r="W718">
        <v>0</v>
      </c>
      <c r="X718">
        <v>0</v>
      </c>
      <c r="Y718">
        <v>0</v>
      </c>
      <c r="Z718">
        <v>0.8</v>
      </c>
      <c r="AA718">
        <v>1.2193597751500576E-2</v>
      </c>
      <c r="AB718">
        <v>26.2</v>
      </c>
      <c r="AC718">
        <v>6.4699444444444447</v>
      </c>
      <c r="AD718">
        <v>26</v>
      </c>
      <c r="AI71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5.5300555555555553</v>
      </c>
      <c r="AK718" t="s">
        <v>51</v>
      </c>
      <c r="AN718">
        <f>INT(Table1[[#This Row],[reject_prod]]/Table1[[#This Row],[part_weight]] * 1000)</f>
        <v>65</v>
      </c>
    </row>
    <row r="719" spans="1:40">
      <c r="A719" s="1">
        <v>46044</v>
      </c>
      <c r="B719">
        <v>2</v>
      </c>
      <c r="C719">
        <v>14</v>
      </c>
      <c r="F719">
        <v>123456</v>
      </c>
      <c r="G719">
        <v>0</v>
      </c>
      <c r="M719">
        <v>0</v>
      </c>
      <c r="N719" s="2">
        <v>0</v>
      </c>
      <c r="O719" s="2">
        <v>0</v>
      </c>
      <c r="P719" s="2">
        <v>0</v>
      </c>
      <c r="Q719" s="2"/>
      <c r="R719" s="2">
        <v>0</v>
      </c>
      <c r="T719" s="2">
        <v>0</v>
      </c>
      <c r="U719" s="2"/>
      <c r="X719">
        <v>0</v>
      </c>
      <c r="Z719">
        <v>0</v>
      </c>
      <c r="AB719">
        <v>0</v>
      </c>
      <c r="AC719">
        <v>0</v>
      </c>
      <c r="AD719">
        <v>0</v>
      </c>
      <c r="AI71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719">
        <v>12</v>
      </c>
      <c r="AK719" t="s">
        <v>116</v>
      </c>
      <c r="AN719">
        <v>0</v>
      </c>
    </row>
    <row r="720" spans="1:40">
      <c r="A720" s="1">
        <v>46044</v>
      </c>
      <c r="B720">
        <v>2</v>
      </c>
      <c r="C720">
        <v>15</v>
      </c>
      <c r="D720" t="s">
        <v>61</v>
      </c>
      <c r="E720" t="s">
        <v>46</v>
      </c>
      <c r="F720">
        <v>552181</v>
      </c>
      <c r="G720">
        <v>2</v>
      </c>
      <c r="H720" t="s">
        <v>49</v>
      </c>
      <c r="I720">
        <v>10683787</v>
      </c>
      <c r="J720">
        <v>6</v>
      </c>
      <c r="K720">
        <v>18.8</v>
      </c>
      <c r="L720">
        <v>18.8</v>
      </c>
      <c r="M720">
        <v>1360</v>
      </c>
      <c r="N720" s="2">
        <v>108000</v>
      </c>
      <c r="O720" s="2">
        <v>270</v>
      </c>
      <c r="P720" s="2">
        <v>2970</v>
      </c>
      <c r="Q720" s="2">
        <v>8160</v>
      </c>
      <c r="R720" s="2">
        <v>5400</v>
      </c>
      <c r="S720">
        <v>101.52</v>
      </c>
      <c r="T720" s="2">
        <v>13770</v>
      </c>
      <c r="U720" s="2">
        <v>94230</v>
      </c>
      <c r="V720">
        <v>153.40799999999999</v>
      </c>
      <c r="W720">
        <v>0</v>
      </c>
      <c r="X720">
        <v>0</v>
      </c>
      <c r="Y720">
        <v>0</v>
      </c>
      <c r="Z720">
        <v>1.1000000000000001</v>
      </c>
      <c r="AA720">
        <v>7.1704213600333761E-3</v>
      </c>
      <c r="AB720">
        <v>31.2</v>
      </c>
      <c r="AC720">
        <v>11.786666666666665</v>
      </c>
      <c r="AD720">
        <v>27</v>
      </c>
      <c r="AI72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0.21333333333333471</v>
      </c>
      <c r="AK720" t="s">
        <v>51</v>
      </c>
      <c r="AN720">
        <f>INT(Table1[[#This Row],[reject_prod]]/Table1[[#This Row],[part_weight]] * 1000)</f>
        <v>58</v>
      </c>
    </row>
    <row r="721" spans="1:40" s="4" customFormat="1">
      <c r="A721" s="3">
        <v>46044</v>
      </c>
      <c r="B721" s="4">
        <v>2</v>
      </c>
      <c r="C721" s="4">
        <v>16</v>
      </c>
      <c r="D721" s="4" t="s">
        <v>455</v>
      </c>
      <c r="E721" s="4" t="s">
        <v>46</v>
      </c>
      <c r="F721" s="4">
        <v>555979</v>
      </c>
      <c r="G721" s="4">
        <v>2</v>
      </c>
      <c r="H721" s="4" t="s">
        <v>52</v>
      </c>
      <c r="I721" s="4">
        <v>10683788</v>
      </c>
      <c r="J721" s="4">
        <v>6</v>
      </c>
      <c r="K721" s="4">
        <v>28</v>
      </c>
      <c r="L721" s="4">
        <v>28</v>
      </c>
      <c r="M721" s="4">
        <v>966</v>
      </c>
      <c r="N721" s="5">
        <v>100800</v>
      </c>
      <c r="O721" s="5">
        <v>1680</v>
      </c>
      <c r="P721" s="5">
        <v>672</v>
      </c>
      <c r="Q721" s="5">
        <v>5796</v>
      </c>
      <c r="R721" s="5">
        <v>6720</v>
      </c>
      <c r="S721" s="4">
        <v>188.16</v>
      </c>
      <c r="T721" s="5">
        <v>91392</v>
      </c>
      <c r="U721" s="5">
        <v>9408</v>
      </c>
      <c r="V721" s="4">
        <v>162.28800000000001</v>
      </c>
      <c r="W721" s="4">
        <v>0</v>
      </c>
      <c r="X721" s="4">
        <v>0</v>
      </c>
      <c r="Y721" s="4">
        <v>0</v>
      </c>
      <c r="Z721" s="4">
        <v>2.2999999999999998</v>
      </c>
      <c r="AA721" s="4">
        <v>1.4172335600907027E-2</v>
      </c>
      <c r="AB721" s="4">
        <v>43.4</v>
      </c>
      <c r="AC721" s="4">
        <v>11.645666666666667</v>
      </c>
      <c r="AD721" s="4">
        <v>42</v>
      </c>
      <c r="AI72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0.35433333333333294</v>
      </c>
      <c r="AK721" s="4" t="s">
        <v>51</v>
      </c>
      <c r="AN721" s="4">
        <f>INT(Table1[[#This Row],[reject_prod]]/Table1[[#This Row],[part_weight]] * 1000)</f>
        <v>82</v>
      </c>
    </row>
    <row r="722" spans="1:40">
      <c r="A722" s="1">
        <v>46045</v>
      </c>
      <c r="B722">
        <v>1</v>
      </c>
      <c r="C722">
        <v>1</v>
      </c>
      <c r="D722" t="s">
        <v>84</v>
      </c>
      <c r="E722" t="s">
        <v>34</v>
      </c>
      <c r="F722">
        <v>577492</v>
      </c>
      <c r="G722">
        <v>0</v>
      </c>
      <c r="H722" t="s">
        <v>341</v>
      </c>
      <c r="I722">
        <v>10684028</v>
      </c>
      <c r="J722">
        <v>4</v>
      </c>
      <c r="K722">
        <v>35.6</v>
      </c>
      <c r="L722">
        <v>35.6</v>
      </c>
      <c r="M722">
        <v>1570</v>
      </c>
      <c r="N722" s="2">
        <v>101200</v>
      </c>
      <c r="O722" s="2">
        <v>1104</v>
      </c>
      <c r="P722" s="2">
        <v>0</v>
      </c>
      <c r="Q722" s="2">
        <v>6280</v>
      </c>
      <c r="R722" s="2">
        <v>7360</v>
      </c>
      <c r="S722">
        <v>262.01600000000002</v>
      </c>
      <c r="T722" s="2">
        <v>38640</v>
      </c>
      <c r="U722" s="2">
        <v>62560</v>
      </c>
      <c r="V722">
        <v>223.56800000000001</v>
      </c>
      <c r="W722">
        <v>0</v>
      </c>
      <c r="X722">
        <v>0</v>
      </c>
      <c r="Y722">
        <v>0</v>
      </c>
      <c r="Z722">
        <v>2</v>
      </c>
      <c r="AA722">
        <v>8.9458240893151072E-3</v>
      </c>
      <c r="AB722">
        <v>27.1</v>
      </c>
      <c r="AC722">
        <v>11.818611111111112</v>
      </c>
      <c r="AD722">
        <v>27</v>
      </c>
      <c r="AI72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0.18138888888888793</v>
      </c>
      <c r="AK722" t="s">
        <v>470</v>
      </c>
      <c r="AN722">
        <f>INT(Table1[[#This Row],[reject_prod]]/Table1[[#This Row],[part_weight]] * 1000)</f>
        <v>56</v>
      </c>
    </row>
    <row r="723" spans="1:40">
      <c r="A723" s="1">
        <v>46045</v>
      </c>
      <c r="B723">
        <v>1</v>
      </c>
      <c r="C723">
        <v>2</v>
      </c>
      <c r="D723" t="s">
        <v>33</v>
      </c>
      <c r="E723" t="s">
        <v>34</v>
      </c>
      <c r="F723">
        <v>416201</v>
      </c>
      <c r="G723">
        <v>0</v>
      </c>
      <c r="H723" t="s">
        <v>36</v>
      </c>
      <c r="I723">
        <v>10681779</v>
      </c>
      <c r="J723">
        <v>4</v>
      </c>
      <c r="K723">
        <v>20</v>
      </c>
      <c r="L723">
        <v>30</v>
      </c>
      <c r="M723">
        <v>0</v>
      </c>
      <c r="N723" s="2">
        <v>50400</v>
      </c>
      <c r="O723" s="2">
        <v>0</v>
      </c>
      <c r="P723" s="2">
        <v>0</v>
      </c>
      <c r="Q723" s="2">
        <v>0</v>
      </c>
      <c r="R723" s="2">
        <v>0</v>
      </c>
      <c r="S723">
        <v>0</v>
      </c>
      <c r="T723" s="2">
        <v>0</v>
      </c>
      <c r="U723" s="2">
        <v>50400</v>
      </c>
      <c r="V723">
        <v>0</v>
      </c>
      <c r="W723">
        <v>0</v>
      </c>
      <c r="X723">
        <v>0</v>
      </c>
      <c r="Y723" t="e">
        <v>#DIV/0!</v>
      </c>
      <c r="Z723">
        <v>0</v>
      </c>
      <c r="AA723" t="e">
        <v>#DIV/0!</v>
      </c>
      <c r="AB723">
        <v>38.6</v>
      </c>
      <c r="AC723">
        <v>0</v>
      </c>
      <c r="AD723">
        <v>38.64</v>
      </c>
      <c r="AI72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723" t="s">
        <v>387</v>
      </c>
      <c r="AN723">
        <f>INT(Table1[[#This Row],[reject_prod]]/Table1[[#This Row],[part_weight]] * 1000)</f>
        <v>0</v>
      </c>
    </row>
    <row r="724" spans="1:40">
      <c r="A724" s="1">
        <v>46045</v>
      </c>
      <c r="B724">
        <v>1</v>
      </c>
      <c r="C724">
        <v>3</v>
      </c>
      <c r="D724" t="s">
        <v>289</v>
      </c>
      <c r="E724" t="s">
        <v>34</v>
      </c>
      <c r="F724">
        <v>442034</v>
      </c>
      <c r="G724">
        <v>0</v>
      </c>
      <c r="H724" t="s">
        <v>37</v>
      </c>
      <c r="I724">
        <v>10681184</v>
      </c>
      <c r="J724">
        <v>4</v>
      </c>
      <c r="K724">
        <v>23</v>
      </c>
      <c r="L724">
        <v>23</v>
      </c>
      <c r="M724">
        <v>650</v>
      </c>
      <c r="N724" s="2">
        <v>139776</v>
      </c>
      <c r="O724" s="2">
        <v>768</v>
      </c>
      <c r="P724" s="2">
        <v>1920</v>
      </c>
      <c r="Q724" s="2">
        <v>2600</v>
      </c>
      <c r="R724" s="2">
        <v>0</v>
      </c>
      <c r="S724">
        <v>0</v>
      </c>
      <c r="T724" s="2">
        <v>29568</v>
      </c>
      <c r="U724" s="2">
        <v>110208</v>
      </c>
      <c r="V724">
        <v>59.8</v>
      </c>
      <c r="W724">
        <v>0</v>
      </c>
      <c r="X724">
        <v>3</v>
      </c>
      <c r="Y724">
        <v>5.016722408026756E-2</v>
      </c>
      <c r="Z724">
        <v>0</v>
      </c>
      <c r="AA724">
        <v>0</v>
      </c>
      <c r="AB724">
        <v>26.2</v>
      </c>
      <c r="AC724">
        <v>4.7</v>
      </c>
      <c r="AD724">
        <v>22</v>
      </c>
      <c r="AH724">
        <v>7.3</v>
      </c>
      <c r="AI72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724" t="s">
        <v>471</v>
      </c>
      <c r="AL724">
        <v>5</v>
      </c>
      <c r="AM724">
        <v>2.5</v>
      </c>
      <c r="AN724">
        <f>INT(Table1[[#This Row],[reject_prod]]/Table1[[#This Row],[part_weight]] * 1000)</f>
        <v>0</v>
      </c>
    </row>
    <row r="725" spans="1:40">
      <c r="A725" s="1">
        <v>46045</v>
      </c>
      <c r="B725">
        <v>1</v>
      </c>
      <c r="C725">
        <v>4</v>
      </c>
      <c r="D725" t="s">
        <v>53</v>
      </c>
      <c r="E725" t="s">
        <v>34</v>
      </c>
      <c r="F725">
        <v>402305</v>
      </c>
      <c r="G725">
        <v>0</v>
      </c>
      <c r="H725" t="s">
        <v>395</v>
      </c>
      <c r="I725">
        <v>10684852</v>
      </c>
      <c r="J725">
        <v>4</v>
      </c>
      <c r="K725">
        <v>29</v>
      </c>
      <c r="L725">
        <v>29</v>
      </c>
      <c r="M725">
        <v>1720</v>
      </c>
      <c r="N725" s="2">
        <v>64896</v>
      </c>
      <c r="O725" s="2">
        <v>416</v>
      </c>
      <c r="P725" s="2">
        <v>1040</v>
      </c>
      <c r="Q725" s="2">
        <v>6880</v>
      </c>
      <c r="R725" s="2">
        <v>6240</v>
      </c>
      <c r="S725">
        <v>180.96</v>
      </c>
      <c r="T725" s="2">
        <v>48464</v>
      </c>
      <c r="U725" s="2">
        <v>16432</v>
      </c>
      <c r="V725">
        <v>199.52</v>
      </c>
      <c r="W725">
        <v>0</v>
      </c>
      <c r="X725">
        <v>0</v>
      </c>
      <c r="Y725">
        <v>0</v>
      </c>
      <c r="Z725">
        <v>1</v>
      </c>
      <c r="AA725">
        <v>5.012028869286287E-3</v>
      </c>
      <c r="AB725">
        <v>24.4</v>
      </c>
      <c r="AC725">
        <v>11.657777777777778</v>
      </c>
      <c r="AD725">
        <v>22</v>
      </c>
      <c r="AI72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0.34222222222222243</v>
      </c>
      <c r="AK725" t="s">
        <v>168</v>
      </c>
      <c r="AN725">
        <f>INT(Table1[[#This Row],[reject_prod]]/Table1[[#This Row],[part_weight]] * 1000)</f>
        <v>34</v>
      </c>
    </row>
    <row r="726" spans="1:40">
      <c r="A726" s="1">
        <v>46045</v>
      </c>
      <c r="B726">
        <v>1</v>
      </c>
      <c r="C726">
        <v>5</v>
      </c>
      <c r="D726" t="s">
        <v>465</v>
      </c>
      <c r="E726" t="s">
        <v>34</v>
      </c>
      <c r="F726">
        <v>322383</v>
      </c>
      <c r="G726">
        <v>0</v>
      </c>
      <c r="H726" t="s">
        <v>71</v>
      </c>
      <c r="I726">
        <v>10682756</v>
      </c>
      <c r="J726">
        <v>4</v>
      </c>
      <c r="K726">
        <v>12.5</v>
      </c>
      <c r="L726">
        <v>12.5</v>
      </c>
      <c r="M726">
        <v>495</v>
      </c>
      <c r="N726" s="2">
        <v>66000</v>
      </c>
      <c r="O726" s="2">
        <v>9100</v>
      </c>
      <c r="P726" s="2">
        <v>11000</v>
      </c>
      <c r="Q726" s="2">
        <v>1980</v>
      </c>
      <c r="R726" s="2">
        <v>0</v>
      </c>
      <c r="S726">
        <v>0</v>
      </c>
      <c r="T726" s="2">
        <v>50600</v>
      </c>
      <c r="U726" s="2">
        <v>15400</v>
      </c>
      <c r="V726">
        <v>24.75</v>
      </c>
      <c r="W726">
        <v>0</v>
      </c>
      <c r="X726">
        <v>0</v>
      </c>
      <c r="Y726">
        <v>0</v>
      </c>
      <c r="Z726">
        <v>1</v>
      </c>
      <c r="AA726">
        <v>4.0404040404040407E-2</v>
      </c>
      <c r="AB726">
        <v>20.9</v>
      </c>
      <c r="AC726">
        <v>2.8737499999999998</v>
      </c>
      <c r="AD726">
        <v>17.920000000000002</v>
      </c>
      <c r="AH726">
        <v>9</v>
      </c>
      <c r="AI72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0.12625000000000064</v>
      </c>
      <c r="AK726" t="s">
        <v>472</v>
      </c>
      <c r="AL726">
        <v>3</v>
      </c>
      <c r="AN726">
        <f>INT(Table1[[#This Row],[reject_prod]]/Table1[[#This Row],[part_weight]] * 1000)</f>
        <v>80</v>
      </c>
    </row>
    <row r="727" spans="1:40">
      <c r="A727" s="1">
        <v>46045</v>
      </c>
      <c r="B727">
        <v>1</v>
      </c>
      <c r="C727">
        <v>6</v>
      </c>
      <c r="D727" t="s">
        <v>466</v>
      </c>
      <c r="E727" t="s">
        <v>34</v>
      </c>
      <c r="F727">
        <v>322409</v>
      </c>
      <c r="G727">
        <v>0</v>
      </c>
      <c r="H727" t="s">
        <v>400</v>
      </c>
      <c r="I727">
        <v>10683854</v>
      </c>
      <c r="J727">
        <v>4</v>
      </c>
      <c r="K727">
        <v>24</v>
      </c>
      <c r="L727">
        <v>24</v>
      </c>
      <c r="M727">
        <v>2000</v>
      </c>
      <c r="N727" s="2">
        <v>70200</v>
      </c>
      <c r="O727" s="2">
        <v>390</v>
      </c>
      <c r="P727" s="2">
        <v>195</v>
      </c>
      <c r="Q727" s="2">
        <v>8000</v>
      </c>
      <c r="R727" s="2">
        <v>8190</v>
      </c>
      <c r="S727">
        <v>196.56</v>
      </c>
      <c r="T727" s="2">
        <v>58695</v>
      </c>
      <c r="U727" s="2">
        <v>11505</v>
      </c>
      <c r="V727">
        <v>192</v>
      </c>
      <c r="W727">
        <v>0</v>
      </c>
      <c r="X727">
        <v>0</v>
      </c>
      <c r="Y727">
        <v>0</v>
      </c>
      <c r="Z727">
        <v>2</v>
      </c>
      <c r="AA727">
        <v>1.0416666666666666E-2</v>
      </c>
      <c r="AB727">
        <v>21.5</v>
      </c>
      <c r="AC727">
        <v>11.944444444444445</v>
      </c>
      <c r="AD727">
        <v>20</v>
      </c>
      <c r="AI72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5.5555555555555358E-2</v>
      </c>
      <c r="AK727" t="s">
        <v>214</v>
      </c>
      <c r="AN727">
        <f>INT(Table1[[#This Row],[reject_prod]]/Table1[[#This Row],[part_weight]] * 1000)</f>
        <v>83</v>
      </c>
    </row>
    <row r="728" spans="1:40">
      <c r="A728" s="1">
        <v>46045</v>
      </c>
      <c r="B728">
        <v>1</v>
      </c>
      <c r="C728">
        <v>7</v>
      </c>
      <c r="D728" t="s">
        <v>427</v>
      </c>
      <c r="E728" t="s">
        <v>34</v>
      </c>
      <c r="F728">
        <v>647556</v>
      </c>
      <c r="G728">
        <v>0</v>
      </c>
      <c r="H728" t="s">
        <v>458</v>
      </c>
      <c r="I728">
        <v>10683858</v>
      </c>
      <c r="J728">
        <v>4</v>
      </c>
      <c r="K728">
        <v>35</v>
      </c>
      <c r="L728">
        <v>34.5</v>
      </c>
      <c r="M728">
        <v>1890</v>
      </c>
      <c r="N728" s="2">
        <v>27720</v>
      </c>
      <c r="O728" s="2">
        <v>0</v>
      </c>
      <c r="P728" s="2">
        <v>154</v>
      </c>
      <c r="Q728" s="2">
        <v>7560</v>
      </c>
      <c r="R728" s="2">
        <v>7392</v>
      </c>
      <c r="S728">
        <v>255.024</v>
      </c>
      <c r="T728" s="2">
        <v>13090</v>
      </c>
      <c r="U728" s="2">
        <v>14630</v>
      </c>
      <c r="V728">
        <v>260.82</v>
      </c>
      <c r="W728">
        <v>3.78</v>
      </c>
      <c r="X728">
        <v>0</v>
      </c>
      <c r="Y728">
        <v>0</v>
      </c>
      <c r="Z728">
        <v>5.3</v>
      </c>
      <c r="AA728">
        <v>2.0320527566904379E-2</v>
      </c>
      <c r="AB728">
        <v>22</v>
      </c>
      <c r="AC728">
        <v>11.55</v>
      </c>
      <c r="AD728">
        <v>20.399999999999999</v>
      </c>
      <c r="AI72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0.44999999999999929</v>
      </c>
      <c r="AK728" t="s">
        <v>103</v>
      </c>
      <c r="AL728">
        <v>3</v>
      </c>
      <c r="AM728">
        <v>4.4000000000000004</v>
      </c>
      <c r="AN728">
        <f>INT(Table1[[#This Row],[reject_prod]]/Table1[[#This Row],[part_weight]] * 1000)</f>
        <v>153</v>
      </c>
    </row>
    <row r="729" spans="1:40">
      <c r="A729" s="1">
        <v>46045</v>
      </c>
      <c r="B729">
        <v>1</v>
      </c>
      <c r="C729">
        <v>8</v>
      </c>
      <c r="D729" t="s">
        <v>467</v>
      </c>
      <c r="E729" t="s">
        <v>41</v>
      </c>
      <c r="F729">
        <v>593537</v>
      </c>
      <c r="G729">
        <v>0</v>
      </c>
      <c r="H729" t="s">
        <v>48</v>
      </c>
      <c r="I729">
        <v>10685022</v>
      </c>
      <c r="J729">
        <v>4</v>
      </c>
      <c r="K729">
        <v>56.5</v>
      </c>
      <c r="L729">
        <v>56.8</v>
      </c>
      <c r="M729">
        <v>1437</v>
      </c>
      <c r="N729" s="2">
        <v>69000</v>
      </c>
      <c r="O729" s="2">
        <v>345</v>
      </c>
      <c r="P729" s="2">
        <v>345</v>
      </c>
      <c r="Q729" s="2">
        <v>5748</v>
      </c>
      <c r="R729" s="2">
        <v>5750</v>
      </c>
      <c r="S729">
        <v>326.60000000000002</v>
      </c>
      <c r="T729" s="2">
        <v>40595</v>
      </c>
      <c r="U729" s="2">
        <v>28405</v>
      </c>
      <c r="V729">
        <v>326.48639999999995</v>
      </c>
      <c r="W729">
        <v>-1.7243999999999837</v>
      </c>
      <c r="X729">
        <v>0</v>
      </c>
      <c r="Y729">
        <v>0</v>
      </c>
      <c r="Z729">
        <v>3</v>
      </c>
      <c r="AA729">
        <v>9.1887441559587186E-3</v>
      </c>
      <c r="AB729">
        <v>30.4</v>
      </c>
      <c r="AC729">
        <v>12</v>
      </c>
      <c r="AD729">
        <v>28.5</v>
      </c>
      <c r="AI72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729" t="s">
        <v>51</v>
      </c>
      <c r="AN729">
        <f>INT(Table1[[#This Row],[reject_prod]]/Table1[[#This Row],[part_weight]] * 1000)</f>
        <v>52</v>
      </c>
    </row>
    <row r="730" spans="1:40">
      <c r="A730" s="1">
        <v>46045</v>
      </c>
      <c r="B730">
        <v>1</v>
      </c>
      <c r="C730">
        <v>9</v>
      </c>
      <c r="D730" t="s">
        <v>33</v>
      </c>
      <c r="E730" t="s">
        <v>46</v>
      </c>
      <c r="F730">
        <v>586276</v>
      </c>
      <c r="G730">
        <v>0</v>
      </c>
      <c r="H730" t="s">
        <v>47</v>
      </c>
      <c r="I730">
        <v>10682924</v>
      </c>
      <c r="J730">
        <v>6</v>
      </c>
      <c r="K730">
        <v>12.3</v>
      </c>
      <c r="L730">
        <v>12.3</v>
      </c>
      <c r="M730">
        <v>0</v>
      </c>
      <c r="N730" s="2">
        <v>162000</v>
      </c>
      <c r="O730" s="2">
        <v>7290</v>
      </c>
      <c r="P730" s="2">
        <v>7290</v>
      </c>
      <c r="Q730" s="2">
        <v>0</v>
      </c>
      <c r="R730" s="2">
        <v>0</v>
      </c>
      <c r="S730">
        <v>0</v>
      </c>
      <c r="T730" s="2">
        <v>80190</v>
      </c>
      <c r="U730" s="2">
        <v>81810</v>
      </c>
      <c r="V730">
        <v>0</v>
      </c>
      <c r="W730">
        <v>0</v>
      </c>
      <c r="X730">
        <v>0</v>
      </c>
      <c r="Y730" t="e">
        <v>#DIV/0!</v>
      </c>
      <c r="Z730">
        <v>0</v>
      </c>
      <c r="AA730" t="e">
        <v>#DIV/0!</v>
      </c>
      <c r="AB730">
        <v>26</v>
      </c>
      <c r="AC730">
        <v>0</v>
      </c>
      <c r="AD730">
        <v>26</v>
      </c>
      <c r="AI73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730" t="s">
        <v>463</v>
      </c>
      <c r="AL730">
        <v>7.4</v>
      </c>
      <c r="AM730">
        <v>5</v>
      </c>
      <c r="AN730">
        <f>INT(Table1[[#This Row],[reject_prod]]/Table1[[#This Row],[part_weight]] * 1000)</f>
        <v>0</v>
      </c>
    </row>
    <row r="731" spans="1:40">
      <c r="A731" s="1">
        <v>46045</v>
      </c>
      <c r="B731">
        <v>1</v>
      </c>
      <c r="C731">
        <v>10</v>
      </c>
      <c r="D731" t="s">
        <v>167</v>
      </c>
      <c r="E731" t="s">
        <v>34</v>
      </c>
      <c r="F731">
        <v>323091</v>
      </c>
      <c r="G731">
        <v>0</v>
      </c>
      <c r="H731" t="s">
        <v>444</v>
      </c>
      <c r="I731">
        <v>10684858</v>
      </c>
      <c r="J731">
        <v>4</v>
      </c>
      <c r="K731">
        <v>48.71</v>
      </c>
      <c r="L731">
        <v>48.71</v>
      </c>
      <c r="M731">
        <v>1627</v>
      </c>
      <c r="N731" s="2">
        <v>25200</v>
      </c>
      <c r="O731" s="2">
        <v>210</v>
      </c>
      <c r="P731" s="2">
        <v>420</v>
      </c>
      <c r="Q731" s="2">
        <v>6508</v>
      </c>
      <c r="R731" s="2">
        <v>6300</v>
      </c>
      <c r="S731">
        <v>306.87299999999999</v>
      </c>
      <c r="T731" s="2">
        <v>23520</v>
      </c>
      <c r="U731" s="2">
        <v>1680</v>
      </c>
      <c r="V731">
        <v>317.00468000000001</v>
      </c>
      <c r="W731">
        <v>0</v>
      </c>
      <c r="X731">
        <v>0</v>
      </c>
      <c r="Y731">
        <v>0</v>
      </c>
      <c r="Z731">
        <v>2.8</v>
      </c>
      <c r="AA731">
        <v>8.8326771705704785E-3</v>
      </c>
      <c r="AB731">
        <v>27</v>
      </c>
      <c r="AC731">
        <v>12</v>
      </c>
      <c r="AD731">
        <v>26.4</v>
      </c>
      <c r="AI73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731" t="s">
        <v>227</v>
      </c>
      <c r="AN731">
        <f>INT(Table1[[#This Row],[reject_prod]]/Table1[[#This Row],[part_weight]] * 1000)</f>
        <v>57</v>
      </c>
    </row>
    <row r="732" spans="1:40">
      <c r="A732" s="1">
        <v>46045</v>
      </c>
      <c r="B732">
        <v>1</v>
      </c>
      <c r="C732">
        <v>11</v>
      </c>
      <c r="D732" t="s">
        <v>139</v>
      </c>
      <c r="E732" t="s">
        <v>46</v>
      </c>
      <c r="F732">
        <v>552181</v>
      </c>
      <c r="G732">
        <v>1</v>
      </c>
      <c r="H732" t="s">
        <v>49</v>
      </c>
      <c r="I732">
        <v>10683783</v>
      </c>
      <c r="J732">
        <v>6</v>
      </c>
      <c r="K732">
        <v>18.8</v>
      </c>
      <c r="L732">
        <v>18.8</v>
      </c>
      <c r="M732">
        <v>1485</v>
      </c>
      <c r="N732" s="2">
        <v>108000</v>
      </c>
      <c r="O732" s="2">
        <v>7560</v>
      </c>
      <c r="P732" s="2">
        <v>5670</v>
      </c>
      <c r="Q732" s="2">
        <v>8910</v>
      </c>
      <c r="R732" s="2">
        <v>10800</v>
      </c>
      <c r="S732">
        <v>203.04</v>
      </c>
      <c r="T732" s="2">
        <v>43470</v>
      </c>
      <c r="U732" s="2">
        <v>64530</v>
      </c>
      <c r="V732">
        <v>167.50800000000001</v>
      </c>
      <c r="W732">
        <v>0</v>
      </c>
      <c r="X732">
        <v>0</v>
      </c>
      <c r="Y732">
        <v>0</v>
      </c>
      <c r="Z732">
        <v>1.2</v>
      </c>
      <c r="AA732">
        <v>7.1638369510709926E-3</v>
      </c>
      <c r="AB732">
        <v>28.7</v>
      </c>
      <c r="AC732">
        <v>11.838750000000001</v>
      </c>
      <c r="AD732">
        <v>27</v>
      </c>
      <c r="AI73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0.16124999999999901</v>
      </c>
      <c r="AK732" t="s">
        <v>51</v>
      </c>
      <c r="AN732">
        <f>INT(Table1[[#This Row],[reject_prod]]/Table1[[#This Row],[part_weight]] * 1000)</f>
        <v>63</v>
      </c>
    </row>
    <row r="733" spans="1:40">
      <c r="A733" s="1">
        <v>46045</v>
      </c>
      <c r="B733">
        <v>1</v>
      </c>
      <c r="C733">
        <v>12</v>
      </c>
      <c r="D733" t="s">
        <v>54</v>
      </c>
      <c r="E733" t="s">
        <v>34</v>
      </c>
      <c r="F733">
        <v>620599</v>
      </c>
      <c r="G733">
        <v>0</v>
      </c>
      <c r="H733" t="s">
        <v>50</v>
      </c>
      <c r="I733">
        <v>10684839</v>
      </c>
      <c r="J733">
        <v>4</v>
      </c>
      <c r="K733">
        <v>55</v>
      </c>
      <c r="L733">
        <v>55</v>
      </c>
      <c r="M733">
        <v>1520</v>
      </c>
      <c r="N733" s="2">
        <v>72000</v>
      </c>
      <c r="O733" s="2">
        <v>1350</v>
      </c>
      <c r="P733" s="2">
        <v>225</v>
      </c>
      <c r="Q733" s="2">
        <v>6080</v>
      </c>
      <c r="R733" s="2">
        <v>7200</v>
      </c>
      <c r="S733">
        <v>396</v>
      </c>
      <c r="T733" s="2">
        <v>32625</v>
      </c>
      <c r="U733" s="2">
        <v>39375</v>
      </c>
      <c r="V733">
        <v>334.4</v>
      </c>
      <c r="W733">
        <v>0</v>
      </c>
      <c r="X733">
        <v>0</v>
      </c>
      <c r="Y733">
        <v>0</v>
      </c>
      <c r="Z733">
        <v>1.2</v>
      </c>
      <c r="AA733">
        <v>3.5885167464114833E-3</v>
      </c>
      <c r="AB733">
        <v>29</v>
      </c>
      <c r="AC733">
        <v>12</v>
      </c>
      <c r="AD733">
        <v>28</v>
      </c>
      <c r="AI73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733" t="s">
        <v>230</v>
      </c>
      <c r="AN733">
        <f>INT(Table1[[#This Row],[reject_prod]]/Table1[[#This Row],[part_weight]] * 1000)</f>
        <v>21</v>
      </c>
    </row>
    <row r="734" spans="1:40">
      <c r="A734" s="1">
        <v>46045</v>
      </c>
      <c r="B734">
        <v>1</v>
      </c>
      <c r="C734">
        <v>13</v>
      </c>
      <c r="D734" t="s">
        <v>139</v>
      </c>
      <c r="E734" t="s">
        <v>46</v>
      </c>
      <c r="F734">
        <v>586276</v>
      </c>
      <c r="G734">
        <v>0</v>
      </c>
      <c r="H734" t="s">
        <v>47</v>
      </c>
      <c r="I734">
        <v>10684862</v>
      </c>
      <c r="J734">
        <v>6</v>
      </c>
      <c r="K734">
        <v>12.3</v>
      </c>
      <c r="L734">
        <v>12.3</v>
      </c>
      <c r="M734">
        <v>1680</v>
      </c>
      <c r="N734" s="2">
        <v>162000</v>
      </c>
      <c r="O734" s="2">
        <v>5265</v>
      </c>
      <c r="P734" s="2">
        <v>7290</v>
      </c>
      <c r="Q734" s="2">
        <v>10080</v>
      </c>
      <c r="R734" s="2">
        <v>8100</v>
      </c>
      <c r="S734">
        <v>99.63</v>
      </c>
      <c r="T734" s="2">
        <v>15390</v>
      </c>
      <c r="U734" s="2">
        <v>146610</v>
      </c>
      <c r="V734">
        <v>123.98399999999999</v>
      </c>
      <c r="W734">
        <v>0</v>
      </c>
      <c r="X734">
        <v>0</v>
      </c>
      <c r="Y734">
        <v>0</v>
      </c>
      <c r="Z734">
        <v>1</v>
      </c>
      <c r="AA734">
        <v>8.0655568460446508E-3</v>
      </c>
      <c r="AB734">
        <v>26.2</v>
      </c>
      <c r="AC734">
        <v>12</v>
      </c>
      <c r="AD734">
        <v>26</v>
      </c>
      <c r="AI73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734" t="s">
        <v>51</v>
      </c>
      <c r="AN734">
        <f>INT(Table1[[#This Row],[reject_prod]]/Table1[[#This Row],[part_weight]] * 1000)</f>
        <v>81</v>
      </c>
    </row>
    <row r="735" spans="1:40">
      <c r="A735" s="1">
        <v>46045</v>
      </c>
      <c r="B735">
        <v>1</v>
      </c>
      <c r="C735">
        <v>15</v>
      </c>
      <c r="D735" t="s">
        <v>139</v>
      </c>
      <c r="E735" t="s">
        <v>46</v>
      </c>
      <c r="F735">
        <v>552181</v>
      </c>
      <c r="G735">
        <v>2</v>
      </c>
      <c r="H735" t="s">
        <v>49</v>
      </c>
      <c r="I735">
        <v>10683787</v>
      </c>
      <c r="J735">
        <v>6</v>
      </c>
      <c r="K735">
        <v>18.8</v>
      </c>
      <c r="L735">
        <v>18.8</v>
      </c>
      <c r="M735">
        <v>1450</v>
      </c>
      <c r="N735" s="2">
        <v>108000</v>
      </c>
      <c r="O735" s="2">
        <v>2970</v>
      </c>
      <c r="P735" s="2">
        <v>1080</v>
      </c>
      <c r="Q735" s="2">
        <v>8700</v>
      </c>
      <c r="R735" s="2">
        <v>10800</v>
      </c>
      <c r="S735">
        <v>203.04</v>
      </c>
      <c r="T735" s="2">
        <v>22680</v>
      </c>
      <c r="U735" s="2">
        <v>85320</v>
      </c>
      <c r="V735">
        <v>163.56</v>
      </c>
      <c r="W735">
        <v>0</v>
      </c>
      <c r="X735">
        <v>0</v>
      </c>
      <c r="Y735">
        <v>0</v>
      </c>
      <c r="Z735">
        <v>1</v>
      </c>
      <c r="AA735">
        <v>6.1139642944485206E-3</v>
      </c>
      <c r="AB735">
        <v>30</v>
      </c>
      <c r="AC735">
        <v>12</v>
      </c>
      <c r="AD735">
        <v>27</v>
      </c>
      <c r="AI73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735" t="s">
        <v>51</v>
      </c>
      <c r="AN735">
        <f>INT(Table1[[#This Row],[reject_prod]]/Table1[[#This Row],[part_weight]] * 1000)</f>
        <v>53</v>
      </c>
    </row>
    <row r="736" spans="1:40">
      <c r="A736" s="1">
        <v>46045</v>
      </c>
      <c r="B736">
        <v>1</v>
      </c>
      <c r="C736">
        <v>14</v>
      </c>
      <c r="D736" t="s">
        <v>33</v>
      </c>
      <c r="E736" t="s">
        <v>46</v>
      </c>
      <c r="F736">
        <v>555979</v>
      </c>
      <c r="G736">
        <v>1</v>
      </c>
      <c r="H736" t="s">
        <v>52</v>
      </c>
      <c r="I736">
        <v>10683785</v>
      </c>
      <c r="J736">
        <v>6</v>
      </c>
      <c r="K736">
        <v>28</v>
      </c>
      <c r="L736">
        <v>28</v>
      </c>
      <c r="M736">
        <v>0</v>
      </c>
      <c r="N736" s="2">
        <v>100800</v>
      </c>
      <c r="O736" s="2">
        <v>0</v>
      </c>
      <c r="P736" s="2">
        <v>0</v>
      </c>
      <c r="Q736" s="2">
        <v>0</v>
      </c>
      <c r="R736" s="2">
        <v>0</v>
      </c>
      <c r="S736">
        <v>0</v>
      </c>
      <c r="T736" s="2">
        <v>0</v>
      </c>
      <c r="U736" s="2">
        <v>100800</v>
      </c>
      <c r="V736">
        <v>0</v>
      </c>
      <c r="W736">
        <v>0</v>
      </c>
      <c r="X736">
        <v>0</v>
      </c>
      <c r="Y736" t="e">
        <v>#DIV/0!</v>
      </c>
      <c r="Z736">
        <v>0</v>
      </c>
      <c r="AA736" t="e">
        <v>#DIV/0!</v>
      </c>
      <c r="AB736">
        <v>43.4</v>
      </c>
      <c r="AC736">
        <v>0</v>
      </c>
      <c r="AD736">
        <v>42</v>
      </c>
      <c r="AI73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736" t="s">
        <v>473</v>
      </c>
      <c r="AL736">
        <v>3</v>
      </c>
      <c r="AM736">
        <v>2</v>
      </c>
      <c r="AN736">
        <f>INT(Table1[[#This Row],[reject_prod]]/Table1[[#This Row],[part_weight]] * 1000)</f>
        <v>0</v>
      </c>
    </row>
    <row r="737" spans="1:40" s="4" customFormat="1">
      <c r="A737" s="3">
        <v>46045</v>
      </c>
      <c r="B737" s="4">
        <v>1</v>
      </c>
      <c r="C737" s="4">
        <v>16</v>
      </c>
      <c r="D737" s="4" t="s">
        <v>468</v>
      </c>
      <c r="E737" s="4" t="s">
        <v>46</v>
      </c>
      <c r="F737" s="4">
        <v>555979</v>
      </c>
      <c r="G737" s="4">
        <v>2</v>
      </c>
      <c r="H737" s="4" t="s">
        <v>52</v>
      </c>
      <c r="I737" s="4">
        <v>10683788</v>
      </c>
      <c r="J737" s="4">
        <v>6</v>
      </c>
      <c r="K737" s="4">
        <v>28</v>
      </c>
      <c r="L737" s="4">
        <v>28</v>
      </c>
      <c r="M737" s="4">
        <v>985</v>
      </c>
      <c r="N737" s="5">
        <v>100800</v>
      </c>
      <c r="O737" s="5">
        <v>672</v>
      </c>
      <c r="P737" s="5">
        <v>0</v>
      </c>
      <c r="Q737" s="5">
        <v>5910</v>
      </c>
      <c r="R737" s="5">
        <v>6720</v>
      </c>
      <c r="S737" s="4">
        <v>188.16</v>
      </c>
      <c r="T737" s="5">
        <v>97440</v>
      </c>
      <c r="U737" s="5">
        <v>3360</v>
      </c>
      <c r="V737" s="4">
        <v>165.48</v>
      </c>
      <c r="W737" s="4">
        <v>0</v>
      </c>
      <c r="X737" s="4">
        <v>0</v>
      </c>
      <c r="Y737" s="4">
        <v>0</v>
      </c>
      <c r="Z737" s="4">
        <v>1</v>
      </c>
      <c r="AA737" s="4">
        <v>6.0430263475948756E-3</v>
      </c>
      <c r="AB737" s="4">
        <v>43.4</v>
      </c>
      <c r="AC737" s="4">
        <v>11.874722222222221</v>
      </c>
      <c r="AD737" s="4">
        <v>42</v>
      </c>
      <c r="AI73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0.12527777777777871</v>
      </c>
      <c r="AK737" s="4" t="s">
        <v>51</v>
      </c>
      <c r="AM737" s="4">
        <v>6.5</v>
      </c>
      <c r="AN737" s="4">
        <f>INT(Table1[[#This Row],[reject_prod]]/Table1[[#This Row],[part_weight]] * 1000)</f>
        <v>35</v>
      </c>
    </row>
    <row r="738" spans="1:40">
      <c r="A738" s="1">
        <v>46045</v>
      </c>
      <c r="B738">
        <v>2</v>
      </c>
      <c r="C738">
        <v>1</v>
      </c>
      <c r="D738" t="s">
        <v>152</v>
      </c>
      <c r="E738" t="s">
        <v>34</v>
      </c>
      <c r="F738">
        <v>577492</v>
      </c>
      <c r="G738">
        <v>0</v>
      </c>
      <c r="H738" t="s">
        <v>341</v>
      </c>
      <c r="I738">
        <v>10684028</v>
      </c>
      <c r="J738">
        <v>4</v>
      </c>
      <c r="K738">
        <v>35.6</v>
      </c>
      <c r="L738">
        <v>35.6</v>
      </c>
      <c r="M738">
        <v>1588</v>
      </c>
      <c r="N738" s="2">
        <v>101200</v>
      </c>
      <c r="O738" s="2">
        <v>0</v>
      </c>
      <c r="P738" s="2">
        <v>736</v>
      </c>
      <c r="Q738" s="2">
        <v>6352</v>
      </c>
      <c r="R738" s="2">
        <v>5520</v>
      </c>
      <c r="S738">
        <v>196.512</v>
      </c>
      <c r="T738" s="2">
        <v>44896</v>
      </c>
      <c r="U738" s="2">
        <v>56304</v>
      </c>
      <c r="V738">
        <v>226.13120000000001</v>
      </c>
      <c r="W738">
        <v>0</v>
      </c>
      <c r="X738">
        <v>0</v>
      </c>
      <c r="Y738">
        <v>0</v>
      </c>
      <c r="Z738">
        <v>3.4</v>
      </c>
      <c r="AA738">
        <v>1.5035519203011348E-2</v>
      </c>
      <c r="AB738">
        <v>27.1</v>
      </c>
      <c r="AC738">
        <v>11.954111111111112</v>
      </c>
      <c r="AD738">
        <v>27</v>
      </c>
      <c r="AI73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4.5888888888887536E-2</v>
      </c>
      <c r="AK738" t="s">
        <v>51</v>
      </c>
      <c r="AN738">
        <f>INT(Table1[[#This Row],[reject_prod]]/Table1[[#This Row],[part_weight]] * 1000)</f>
        <v>95</v>
      </c>
    </row>
    <row r="739" spans="1:40">
      <c r="A739" s="1">
        <v>46045</v>
      </c>
      <c r="B739">
        <v>2</v>
      </c>
      <c r="C739">
        <v>2</v>
      </c>
      <c r="D739" t="s">
        <v>33</v>
      </c>
      <c r="E739" t="s">
        <v>34</v>
      </c>
      <c r="F739">
        <v>416201</v>
      </c>
      <c r="G739">
        <v>0</v>
      </c>
      <c r="H739" t="s">
        <v>36</v>
      </c>
      <c r="I739">
        <v>10681779</v>
      </c>
      <c r="J739">
        <v>4</v>
      </c>
      <c r="K739">
        <v>20</v>
      </c>
      <c r="L739">
        <v>30</v>
      </c>
      <c r="M739">
        <v>0</v>
      </c>
      <c r="N739" s="2">
        <v>50400</v>
      </c>
      <c r="O739" s="2">
        <v>0</v>
      </c>
      <c r="P739" s="2">
        <v>0</v>
      </c>
      <c r="Q739" s="2">
        <v>0</v>
      </c>
      <c r="R739" s="2">
        <v>0</v>
      </c>
      <c r="S739">
        <v>0</v>
      </c>
      <c r="T739" s="2">
        <v>0</v>
      </c>
      <c r="U739" s="2">
        <v>50400</v>
      </c>
      <c r="V739">
        <v>0</v>
      </c>
      <c r="W739">
        <v>0</v>
      </c>
      <c r="X739">
        <v>0</v>
      </c>
      <c r="Y739" t="e">
        <v>#DIV/0!</v>
      </c>
      <c r="Z739">
        <v>0</v>
      </c>
      <c r="AA739" t="e">
        <v>#DIV/0!</v>
      </c>
      <c r="AB739">
        <v>38.6</v>
      </c>
      <c r="AC739">
        <v>0</v>
      </c>
      <c r="AD739">
        <v>38.64</v>
      </c>
      <c r="AI73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739" t="s">
        <v>387</v>
      </c>
      <c r="AN739">
        <f>INT(Table1[[#This Row],[reject_prod]]/Table1[[#This Row],[part_weight]] * 1000)</f>
        <v>0</v>
      </c>
    </row>
    <row r="740" spans="1:40">
      <c r="A740" s="1">
        <v>46045</v>
      </c>
      <c r="B740">
        <v>2</v>
      </c>
      <c r="C740">
        <v>3</v>
      </c>
      <c r="D740" t="s">
        <v>141</v>
      </c>
      <c r="E740" t="s">
        <v>34</v>
      </c>
      <c r="F740">
        <v>442034</v>
      </c>
      <c r="G740">
        <v>0</v>
      </c>
      <c r="H740" t="s">
        <v>37</v>
      </c>
      <c r="I740">
        <v>10681184</v>
      </c>
      <c r="J740">
        <v>4</v>
      </c>
      <c r="K740">
        <v>23</v>
      </c>
      <c r="L740">
        <v>23</v>
      </c>
      <c r="M740">
        <v>1680</v>
      </c>
      <c r="N740" s="2">
        <v>139776</v>
      </c>
      <c r="O740" s="2">
        <v>1920</v>
      </c>
      <c r="P740" s="2">
        <v>3840</v>
      </c>
      <c r="Q740" s="2">
        <v>6720</v>
      </c>
      <c r="R740" s="2">
        <v>4608</v>
      </c>
      <c r="S740">
        <v>105.98399999999999</v>
      </c>
      <c r="T740" s="2">
        <v>36096</v>
      </c>
      <c r="U740" s="2">
        <v>103680</v>
      </c>
      <c r="V740">
        <v>154.56</v>
      </c>
      <c r="W740">
        <v>0</v>
      </c>
      <c r="X740">
        <v>0</v>
      </c>
      <c r="Y740">
        <v>0</v>
      </c>
      <c r="Z740">
        <v>4.4000000000000004</v>
      </c>
      <c r="AA740">
        <v>2.8467908902691512E-2</v>
      </c>
      <c r="AB740">
        <v>26</v>
      </c>
      <c r="AC740">
        <v>12</v>
      </c>
      <c r="AD740">
        <v>22</v>
      </c>
      <c r="AI74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740" t="s">
        <v>474</v>
      </c>
      <c r="AN740">
        <f>INT(Table1[[#This Row],[reject_prod]]/Table1[[#This Row],[part_weight]] * 1000)</f>
        <v>191</v>
      </c>
    </row>
    <row r="741" spans="1:40">
      <c r="A741" s="1">
        <v>46045</v>
      </c>
      <c r="B741">
        <v>2</v>
      </c>
      <c r="C741">
        <v>4</v>
      </c>
      <c r="D741" t="s">
        <v>65</v>
      </c>
      <c r="E741" t="s">
        <v>34</v>
      </c>
      <c r="F741">
        <v>402305</v>
      </c>
      <c r="G741">
        <v>0</v>
      </c>
      <c r="H741" t="s">
        <v>395</v>
      </c>
      <c r="I741">
        <v>10684852</v>
      </c>
      <c r="J741">
        <v>4</v>
      </c>
      <c r="K741">
        <v>29</v>
      </c>
      <c r="L741">
        <v>29</v>
      </c>
      <c r="M741">
        <v>1703</v>
      </c>
      <c r="N741" s="2">
        <v>64896</v>
      </c>
      <c r="O741" s="2">
        <v>1040</v>
      </c>
      <c r="P741" s="2">
        <v>312</v>
      </c>
      <c r="Q741" s="2">
        <v>6812</v>
      </c>
      <c r="R741" s="2">
        <v>7488</v>
      </c>
      <c r="S741">
        <v>217.15199999999999</v>
      </c>
      <c r="T741" s="2">
        <v>55224</v>
      </c>
      <c r="U741" s="2">
        <v>9672</v>
      </c>
      <c r="V741">
        <v>197.548</v>
      </c>
      <c r="W741">
        <v>0</v>
      </c>
      <c r="X741">
        <v>0</v>
      </c>
      <c r="Y741">
        <v>0</v>
      </c>
      <c r="Z741">
        <v>1.5</v>
      </c>
      <c r="AA741">
        <v>7.5930912993297829E-3</v>
      </c>
      <c r="AB741">
        <v>25.4</v>
      </c>
      <c r="AC741">
        <v>12</v>
      </c>
      <c r="AD741">
        <v>22</v>
      </c>
      <c r="AI74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741" t="s">
        <v>214</v>
      </c>
      <c r="AN741">
        <f>INT(Table1[[#This Row],[reject_prod]]/Table1[[#This Row],[part_weight]] * 1000)</f>
        <v>51</v>
      </c>
    </row>
    <row r="742" spans="1:40">
      <c r="A742" s="1">
        <v>46045</v>
      </c>
      <c r="B742">
        <v>2</v>
      </c>
      <c r="C742">
        <v>5</v>
      </c>
      <c r="D742" t="s">
        <v>469</v>
      </c>
      <c r="E742" t="s">
        <v>34</v>
      </c>
      <c r="F742">
        <v>322383</v>
      </c>
      <c r="G742">
        <v>0</v>
      </c>
      <c r="H742" t="s">
        <v>71</v>
      </c>
      <c r="I742">
        <v>10682756</v>
      </c>
      <c r="J742">
        <v>4</v>
      </c>
      <c r="K742">
        <v>12.5</v>
      </c>
      <c r="L742">
        <v>12.5</v>
      </c>
      <c r="M742">
        <v>1765</v>
      </c>
      <c r="N742" s="2">
        <v>66000</v>
      </c>
      <c r="O742" s="2">
        <v>11000</v>
      </c>
      <c r="P742" s="2">
        <v>4400</v>
      </c>
      <c r="Q742" s="2">
        <v>7060</v>
      </c>
      <c r="R742" s="2">
        <v>13200</v>
      </c>
      <c r="S742">
        <v>165</v>
      </c>
      <c r="T742" s="2">
        <v>57200</v>
      </c>
      <c r="U742" s="2">
        <v>8800</v>
      </c>
      <c r="V742">
        <v>88.25</v>
      </c>
      <c r="W742">
        <v>0</v>
      </c>
      <c r="X742">
        <v>0</v>
      </c>
      <c r="Y742">
        <v>0</v>
      </c>
      <c r="Z742">
        <v>5.5</v>
      </c>
      <c r="AA742">
        <v>6.2322946175637391E-2</v>
      </c>
      <c r="AB742">
        <v>20.9</v>
      </c>
      <c r="AC742">
        <v>10.246805555555556</v>
      </c>
      <c r="AD742">
        <v>17.920000000000002</v>
      </c>
      <c r="AI74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1.7531944444444445</v>
      </c>
      <c r="AK742" t="s">
        <v>475</v>
      </c>
      <c r="AN742">
        <f>INT(Table1[[#This Row],[reject_prod]]/Table1[[#This Row],[part_weight]] * 1000)</f>
        <v>440</v>
      </c>
    </row>
    <row r="743" spans="1:40">
      <c r="A743" s="1">
        <v>46045</v>
      </c>
      <c r="B743">
        <v>2</v>
      </c>
      <c r="C743">
        <v>6</v>
      </c>
      <c r="D743" t="s">
        <v>213</v>
      </c>
      <c r="E743" t="s">
        <v>34</v>
      </c>
      <c r="F743">
        <v>322409</v>
      </c>
      <c r="G743">
        <v>0</v>
      </c>
      <c r="H743" t="s">
        <v>400</v>
      </c>
      <c r="I743">
        <v>10683854</v>
      </c>
      <c r="J743">
        <v>4</v>
      </c>
      <c r="K743">
        <v>24</v>
      </c>
      <c r="L743">
        <v>24</v>
      </c>
      <c r="M743">
        <v>1997</v>
      </c>
      <c r="N743" s="2">
        <v>70200</v>
      </c>
      <c r="O743" s="2">
        <v>195</v>
      </c>
      <c r="P743" s="2">
        <v>0</v>
      </c>
      <c r="Q743" s="2">
        <v>7988</v>
      </c>
      <c r="R743" s="2">
        <v>8190</v>
      </c>
      <c r="S743">
        <v>196.56</v>
      </c>
      <c r="T743" s="2">
        <v>66690</v>
      </c>
      <c r="U743" s="2">
        <v>3510</v>
      </c>
      <c r="V743">
        <v>191.71199999999999</v>
      </c>
      <c r="W743">
        <v>0</v>
      </c>
      <c r="X743">
        <v>0</v>
      </c>
      <c r="Y743">
        <v>0</v>
      </c>
      <c r="Z743">
        <v>4.5</v>
      </c>
      <c r="AA743">
        <v>2.3472709063595394E-2</v>
      </c>
      <c r="AB743">
        <v>21.5</v>
      </c>
      <c r="AC743">
        <v>11.926527777777778</v>
      </c>
      <c r="AD743">
        <v>20</v>
      </c>
      <c r="AI74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7.3472222222221717E-2</v>
      </c>
      <c r="AK743" t="s">
        <v>476</v>
      </c>
      <c r="AN743">
        <f>INT(Table1[[#This Row],[reject_prod]]/Table1[[#This Row],[part_weight]] * 1000)</f>
        <v>187</v>
      </c>
    </row>
    <row r="744" spans="1:40">
      <c r="A744" s="1">
        <v>46045</v>
      </c>
      <c r="B744">
        <v>2</v>
      </c>
      <c r="C744">
        <v>7</v>
      </c>
      <c r="D744" t="s">
        <v>231</v>
      </c>
      <c r="E744" t="s">
        <v>34</v>
      </c>
      <c r="F744">
        <v>647556</v>
      </c>
      <c r="G744">
        <v>0</v>
      </c>
      <c r="H744" t="s">
        <v>458</v>
      </c>
      <c r="I744">
        <v>10683858</v>
      </c>
      <c r="J744">
        <v>4</v>
      </c>
      <c r="K744">
        <v>35</v>
      </c>
      <c r="L744">
        <v>34.5</v>
      </c>
      <c r="M744">
        <v>1935</v>
      </c>
      <c r="N744" s="2">
        <v>27720</v>
      </c>
      <c r="O744" s="2">
        <v>154</v>
      </c>
      <c r="P744" s="2">
        <v>396</v>
      </c>
      <c r="Q744" s="2">
        <v>7740</v>
      </c>
      <c r="R744" s="2">
        <v>7392</v>
      </c>
      <c r="S744">
        <v>255.024</v>
      </c>
      <c r="T744" s="2">
        <v>20724</v>
      </c>
      <c r="U744" s="2">
        <v>6996</v>
      </c>
      <c r="V744">
        <v>267.02999999999997</v>
      </c>
      <c r="W744">
        <v>0</v>
      </c>
      <c r="X744">
        <v>0</v>
      </c>
      <c r="Y744">
        <v>0</v>
      </c>
      <c r="Z744">
        <v>3.6</v>
      </c>
      <c r="AA744">
        <v>1.3481631277384566E-2</v>
      </c>
      <c r="AB744">
        <v>22</v>
      </c>
      <c r="AC744">
        <v>11.825000000000001</v>
      </c>
      <c r="AD744">
        <v>20.399999999999999</v>
      </c>
      <c r="AI74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0.17499999999999893</v>
      </c>
      <c r="AK744" t="s">
        <v>103</v>
      </c>
      <c r="AN744">
        <f>INT(Table1[[#This Row],[reject_prod]]/Table1[[#This Row],[part_weight]] * 1000)</f>
        <v>104</v>
      </c>
    </row>
    <row r="745" spans="1:40">
      <c r="A745" s="1">
        <v>46045</v>
      </c>
      <c r="B745">
        <v>2</v>
      </c>
      <c r="C745">
        <v>8</v>
      </c>
      <c r="D745" t="s">
        <v>40</v>
      </c>
      <c r="E745" t="s">
        <v>41</v>
      </c>
      <c r="F745">
        <v>593537</v>
      </c>
      <c r="G745">
        <v>0</v>
      </c>
      <c r="H745" t="s">
        <v>48</v>
      </c>
      <c r="I745">
        <v>10685022</v>
      </c>
      <c r="J745">
        <v>4</v>
      </c>
      <c r="K745">
        <v>56.5</v>
      </c>
      <c r="L745">
        <v>56.8</v>
      </c>
      <c r="M745">
        <v>1390</v>
      </c>
      <c r="N745" s="2">
        <v>69000</v>
      </c>
      <c r="O745" s="2">
        <v>345</v>
      </c>
      <c r="P745" s="2">
        <v>115</v>
      </c>
      <c r="Q745" s="2">
        <v>5560</v>
      </c>
      <c r="R745" s="2">
        <v>5750</v>
      </c>
      <c r="S745">
        <v>326.60000000000002</v>
      </c>
      <c r="T745" s="2">
        <v>46115</v>
      </c>
      <c r="U745" s="2">
        <v>22885</v>
      </c>
      <c r="V745">
        <v>315.80799999999999</v>
      </c>
      <c r="W745">
        <v>0</v>
      </c>
      <c r="X745">
        <v>0</v>
      </c>
      <c r="Y745">
        <v>0</v>
      </c>
      <c r="Z745">
        <v>2.2999999999999998</v>
      </c>
      <c r="AA745">
        <v>7.2829060695105887E-3</v>
      </c>
      <c r="AB745">
        <v>30.4</v>
      </c>
      <c r="AC745">
        <v>11.737777777777776</v>
      </c>
      <c r="AD745">
        <v>28.5</v>
      </c>
      <c r="AI74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0.26222222222222413</v>
      </c>
      <c r="AK745" t="s">
        <v>51</v>
      </c>
      <c r="AN745">
        <f>INT(Table1[[#This Row],[reject_prod]]/Table1[[#This Row],[part_weight]] * 1000)</f>
        <v>40</v>
      </c>
    </row>
    <row r="746" spans="1:40">
      <c r="A746" s="1">
        <v>46045</v>
      </c>
      <c r="B746">
        <v>2</v>
      </c>
      <c r="C746">
        <v>9</v>
      </c>
      <c r="D746" t="s">
        <v>33</v>
      </c>
      <c r="E746" t="s">
        <v>46</v>
      </c>
      <c r="F746">
        <v>586276</v>
      </c>
      <c r="G746">
        <v>0</v>
      </c>
      <c r="H746" t="s">
        <v>47</v>
      </c>
      <c r="I746">
        <v>10682924</v>
      </c>
      <c r="J746">
        <v>6</v>
      </c>
      <c r="K746">
        <v>12.3</v>
      </c>
      <c r="L746">
        <v>12.3</v>
      </c>
      <c r="M746">
        <v>0</v>
      </c>
      <c r="N746" s="2">
        <v>162000</v>
      </c>
      <c r="O746" s="2">
        <v>7290</v>
      </c>
      <c r="P746" s="2">
        <v>7290</v>
      </c>
      <c r="Q746" s="2">
        <v>0</v>
      </c>
      <c r="R746" s="2">
        <v>0</v>
      </c>
      <c r="S746">
        <v>0</v>
      </c>
      <c r="T746" s="2">
        <v>80190</v>
      </c>
      <c r="U746" s="2">
        <v>81810</v>
      </c>
      <c r="V746">
        <v>0</v>
      </c>
      <c r="W746">
        <v>0</v>
      </c>
      <c r="X746">
        <v>0</v>
      </c>
      <c r="Y746" t="e">
        <v>#DIV/0!</v>
      </c>
      <c r="Z746">
        <v>0</v>
      </c>
      <c r="AA746" t="e">
        <v>#DIV/0!</v>
      </c>
      <c r="AB746">
        <v>26</v>
      </c>
      <c r="AC746">
        <v>0</v>
      </c>
      <c r="AD746">
        <v>26</v>
      </c>
      <c r="AI74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746" t="s">
        <v>463</v>
      </c>
      <c r="AN746">
        <f>INT(Table1[[#This Row],[reject_prod]]/Table1[[#This Row],[part_weight]] * 1000)</f>
        <v>0</v>
      </c>
    </row>
    <row r="747" spans="1:40">
      <c r="A747" s="1">
        <v>46045</v>
      </c>
      <c r="B747">
        <v>2</v>
      </c>
      <c r="C747">
        <v>10</v>
      </c>
      <c r="D747" t="s">
        <v>43</v>
      </c>
      <c r="E747" t="s">
        <v>34</v>
      </c>
      <c r="F747">
        <v>323091</v>
      </c>
      <c r="G747">
        <v>0</v>
      </c>
      <c r="H747" t="s">
        <v>444</v>
      </c>
      <c r="I747">
        <v>10684858</v>
      </c>
      <c r="J747">
        <v>4</v>
      </c>
      <c r="K747">
        <v>48.71</v>
      </c>
      <c r="L747">
        <v>48.71</v>
      </c>
      <c r="M747">
        <v>425</v>
      </c>
      <c r="N747" s="2">
        <v>25200</v>
      </c>
      <c r="O747" s="2">
        <v>420</v>
      </c>
      <c r="P747" s="2">
        <v>0</v>
      </c>
      <c r="Q747" s="2">
        <v>1700</v>
      </c>
      <c r="R747" s="2">
        <v>2100</v>
      </c>
      <c r="S747">
        <v>102.291</v>
      </c>
      <c r="T747" s="2">
        <v>25200</v>
      </c>
      <c r="U747" s="2">
        <v>0</v>
      </c>
      <c r="V747">
        <v>82.807000000000002</v>
      </c>
      <c r="W747">
        <v>0</v>
      </c>
      <c r="X747">
        <v>0</v>
      </c>
      <c r="Y747">
        <v>0</v>
      </c>
      <c r="Z747">
        <v>1</v>
      </c>
      <c r="AA747">
        <v>1.207627374497325E-2</v>
      </c>
      <c r="AB747">
        <v>27</v>
      </c>
      <c r="AC747">
        <v>3.1875</v>
      </c>
      <c r="AD747">
        <v>26.4</v>
      </c>
      <c r="AI74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8.8125</v>
      </c>
      <c r="AK747" t="s">
        <v>477</v>
      </c>
      <c r="AN747">
        <f>INT(Table1[[#This Row],[reject_prod]]/Table1[[#This Row],[part_weight]] * 1000)</f>
        <v>20</v>
      </c>
    </row>
    <row r="748" spans="1:40">
      <c r="A748" s="1">
        <v>46045</v>
      </c>
      <c r="B748">
        <v>2</v>
      </c>
      <c r="C748">
        <v>10</v>
      </c>
      <c r="D748" t="s">
        <v>43</v>
      </c>
      <c r="E748" t="s">
        <v>34</v>
      </c>
      <c r="F748">
        <v>626029</v>
      </c>
      <c r="G748">
        <v>0</v>
      </c>
      <c r="H748" t="s">
        <v>478</v>
      </c>
      <c r="I748">
        <v>10685443</v>
      </c>
      <c r="J748">
        <v>4</v>
      </c>
      <c r="K748">
        <v>48.39</v>
      </c>
      <c r="L748">
        <v>48.39</v>
      </c>
      <c r="M748">
        <v>236</v>
      </c>
      <c r="N748" s="2">
        <v>12480</v>
      </c>
      <c r="O748" s="2">
        <v>0</v>
      </c>
      <c r="P748" s="2">
        <v>780</v>
      </c>
      <c r="Q748" s="2">
        <v>944</v>
      </c>
      <c r="R748" s="2">
        <v>0</v>
      </c>
      <c r="S748">
        <v>0</v>
      </c>
      <c r="T748" s="2">
        <v>780</v>
      </c>
      <c r="U748" s="2">
        <v>11700</v>
      </c>
      <c r="V748">
        <v>45.680160000000001</v>
      </c>
      <c r="W748">
        <v>0</v>
      </c>
      <c r="X748">
        <v>7</v>
      </c>
      <c r="Y748">
        <v>0.15323939320702903</v>
      </c>
      <c r="Z748">
        <v>0.8</v>
      </c>
      <c r="AA748">
        <v>1.7513073509374748E-2</v>
      </c>
      <c r="AB748">
        <v>30.5</v>
      </c>
      <c r="AC748">
        <v>1.9994444444444446</v>
      </c>
      <c r="AD748">
        <v>28</v>
      </c>
      <c r="AG748">
        <v>2</v>
      </c>
      <c r="AI74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8.0005555555555556</v>
      </c>
      <c r="AK748" t="s">
        <v>479</v>
      </c>
      <c r="AN748">
        <f>INT(Table1[[#This Row],[reject_prod]]/Table1[[#This Row],[part_weight]] * 1000)</f>
        <v>16</v>
      </c>
    </row>
    <row r="749" spans="1:40">
      <c r="A749" s="1">
        <v>46045</v>
      </c>
      <c r="B749">
        <v>2</v>
      </c>
      <c r="C749">
        <v>11</v>
      </c>
      <c r="D749" t="s">
        <v>112</v>
      </c>
      <c r="E749" t="s">
        <v>46</v>
      </c>
      <c r="F749">
        <v>552181</v>
      </c>
      <c r="G749">
        <v>1</v>
      </c>
      <c r="H749" t="s">
        <v>49</v>
      </c>
      <c r="I749">
        <v>10683783</v>
      </c>
      <c r="J749">
        <v>6</v>
      </c>
      <c r="K749">
        <v>18.8</v>
      </c>
      <c r="L749">
        <v>18.8</v>
      </c>
      <c r="M749">
        <v>1435</v>
      </c>
      <c r="N749" s="2">
        <v>108000</v>
      </c>
      <c r="O749" s="2">
        <v>5670</v>
      </c>
      <c r="P749" s="2">
        <v>8640</v>
      </c>
      <c r="Q749" s="2">
        <v>8610</v>
      </c>
      <c r="R749" s="2">
        <v>5400</v>
      </c>
      <c r="S749">
        <v>101.52</v>
      </c>
      <c r="T749" s="2">
        <v>51840</v>
      </c>
      <c r="U749" s="2">
        <v>56160</v>
      </c>
      <c r="V749">
        <v>161.86799999999999</v>
      </c>
      <c r="W749">
        <v>0</v>
      </c>
      <c r="X749">
        <v>0</v>
      </c>
      <c r="Y749">
        <v>0</v>
      </c>
      <c r="Z749">
        <v>4.5</v>
      </c>
      <c r="AA749">
        <v>2.7800429979983693E-2</v>
      </c>
      <c r="AB749">
        <v>29.6</v>
      </c>
      <c r="AC749">
        <v>11.798888888888889</v>
      </c>
      <c r="AD749">
        <v>27</v>
      </c>
      <c r="AI74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0.20111111111111057</v>
      </c>
      <c r="AK749" t="s">
        <v>480</v>
      </c>
      <c r="AN749">
        <f>INT(Table1[[#This Row],[reject_prod]]/Table1[[#This Row],[part_weight]] * 1000)</f>
        <v>239</v>
      </c>
    </row>
    <row r="750" spans="1:40">
      <c r="A750" s="1">
        <v>46045</v>
      </c>
      <c r="B750">
        <v>2</v>
      </c>
      <c r="C750">
        <v>12</v>
      </c>
      <c r="D750" t="s">
        <v>67</v>
      </c>
      <c r="E750" t="s">
        <v>34</v>
      </c>
      <c r="F750">
        <v>620599</v>
      </c>
      <c r="G750">
        <v>0</v>
      </c>
      <c r="H750" t="s">
        <v>50</v>
      </c>
      <c r="I750">
        <v>10684839</v>
      </c>
      <c r="J750">
        <v>4</v>
      </c>
      <c r="K750">
        <v>55</v>
      </c>
      <c r="L750">
        <v>55</v>
      </c>
      <c r="M750">
        <v>1475</v>
      </c>
      <c r="N750" s="2">
        <v>72000</v>
      </c>
      <c r="O750" s="2">
        <v>225</v>
      </c>
      <c r="P750" s="2">
        <v>600</v>
      </c>
      <c r="Q750" s="2">
        <v>5900</v>
      </c>
      <c r="R750" s="2">
        <v>5400</v>
      </c>
      <c r="S750">
        <v>297</v>
      </c>
      <c r="T750" s="2">
        <v>38400</v>
      </c>
      <c r="U750" s="2">
        <v>33600</v>
      </c>
      <c r="V750">
        <v>324.5</v>
      </c>
      <c r="W750">
        <v>0</v>
      </c>
      <c r="X750">
        <v>0</v>
      </c>
      <c r="Y750">
        <v>0</v>
      </c>
      <c r="Z750">
        <v>6.7</v>
      </c>
      <c r="AA750">
        <v>2.0647149460708784E-2</v>
      </c>
      <c r="AB750">
        <v>29.1</v>
      </c>
      <c r="AC750">
        <v>11.922916666666666</v>
      </c>
      <c r="AD750">
        <v>28</v>
      </c>
      <c r="AI75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7.7083333333334281E-2</v>
      </c>
      <c r="AK750" t="s">
        <v>464</v>
      </c>
      <c r="AN750">
        <f>INT(Table1[[#This Row],[reject_prod]]/Table1[[#This Row],[part_weight]] * 1000)</f>
        <v>121</v>
      </c>
    </row>
    <row r="751" spans="1:40">
      <c r="A751" s="1">
        <v>46045</v>
      </c>
      <c r="B751">
        <v>2</v>
      </c>
      <c r="C751">
        <v>13</v>
      </c>
      <c r="D751" t="s">
        <v>112</v>
      </c>
      <c r="E751" t="s">
        <v>46</v>
      </c>
      <c r="F751">
        <v>586276</v>
      </c>
      <c r="G751">
        <v>0</v>
      </c>
      <c r="H751" t="s">
        <v>47</v>
      </c>
      <c r="I751">
        <v>10684862</v>
      </c>
      <c r="J751">
        <v>6</v>
      </c>
      <c r="K751">
        <v>12.3</v>
      </c>
      <c r="L751">
        <v>12.3</v>
      </c>
      <c r="M751">
        <v>1627</v>
      </c>
      <c r="N751" s="2">
        <v>162000</v>
      </c>
      <c r="O751" s="2">
        <v>7290</v>
      </c>
      <c r="P751" s="2">
        <v>810</v>
      </c>
      <c r="Q751" s="2">
        <v>9762</v>
      </c>
      <c r="R751" s="2">
        <v>16200</v>
      </c>
      <c r="S751">
        <v>199.26</v>
      </c>
      <c r="T751" s="2">
        <v>25110</v>
      </c>
      <c r="U751" s="2">
        <v>136890</v>
      </c>
      <c r="V751">
        <v>120.07260000000001</v>
      </c>
      <c r="W751">
        <v>0</v>
      </c>
      <c r="X751">
        <v>0</v>
      </c>
      <c r="Y751">
        <v>0</v>
      </c>
      <c r="Z751">
        <v>0.5</v>
      </c>
      <c r="AA751">
        <v>4.1641473575153697E-3</v>
      </c>
      <c r="AB751">
        <v>26.2</v>
      </c>
      <c r="AC751">
        <v>11.840944444444444</v>
      </c>
      <c r="AD751">
        <v>26</v>
      </c>
      <c r="AI75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0.15905555555555573</v>
      </c>
      <c r="AK751" t="s">
        <v>51</v>
      </c>
      <c r="AN751">
        <f>INT(Table1[[#This Row],[reject_prod]]/Table1[[#This Row],[part_weight]] * 1000)</f>
        <v>40</v>
      </c>
    </row>
    <row r="752" spans="1:40">
      <c r="A752" s="1">
        <v>46045</v>
      </c>
      <c r="B752">
        <v>2</v>
      </c>
      <c r="C752">
        <v>14</v>
      </c>
      <c r="D752" t="s">
        <v>33</v>
      </c>
      <c r="E752" t="s">
        <v>46</v>
      </c>
      <c r="F752">
        <v>555979</v>
      </c>
      <c r="G752">
        <v>1</v>
      </c>
      <c r="H752" t="s">
        <v>52</v>
      </c>
      <c r="I752">
        <v>10683785</v>
      </c>
      <c r="J752">
        <v>6</v>
      </c>
      <c r="K752">
        <v>28</v>
      </c>
      <c r="L752">
        <v>28</v>
      </c>
      <c r="M752">
        <v>0</v>
      </c>
      <c r="N752" s="2">
        <v>100800</v>
      </c>
      <c r="O752" s="2">
        <v>0</v>
      </c>
      <c r="P752" s="2">
        <v>0</v>
      </c>
      <c r="Q752" s="2">
        <v>0</v>
      </c>
      <c r="R752" s="2">
        <v>0</v>
      </c>
      <c r="S752">
        <v>0</v>
      </c>
      <c r="T752" s="2">
        <v>0</v>
      </c>
      <c r="U752" s="2">
        <v>100800</v>
      </c>
      <c r="V752">
        <v>0</v>
      </c>
      <c r="W752">
        <v>0</v>
      </c>
      <c r="X752">
        <v>11.5</v>
      </c>
      <c r="Y752" t="e">
        <v>#DIV/0!</v>
      </c>
      <c r="Z752">
        <v>0</v>
      </c>
      <c r="AA752" t="e">
        <v>#DIV/0!</v>
      </c>
      <c r="AB752">
        <v>42</v>
      </c>
      <c r="AC752">
        <v>0</v>
      </c>
      <c r="AD752">
        <v>42</v>
      </c>
      <c r="AI75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752" t="s">
        <v>481</v>
      </c>
      <c r="AN752">
        <f>INT(Table1[[#This Row],[reject_prod]]/Table1[[#This Row],[part_weight]] * 1000)</f>
        <v>0</v>
      </c>
    </row>
    <row r="753" spans="1:40">
      <c r="A753" s="1">
        <v>46045</v>
      </c>
      <c r="B753">
        <v>2</v>
      </c>
      <c r="C753">
        <v>15</v>
      </c>
      <c r="D753" t="s">
        <v>112</v>
      </c>
      <c r="E753" t="s">
        <v>46</v>
      </c>
      <c r="F753">
        <v>552181</v>
      </c>
      <c r="G753">
        <v>2</v>
      </c>
      <c r="H753" t="s">
        <v>49</v>
      </c>
      <c r="I753">
        <v>10683787</v>
      </c>
      <c r="J753">
        <v>6</v>
      </c>
      <c r="K753">
        <v>18.8</v>
      </c>
      <c r="L753">
        <v>18.8</v>
      </c>
      <c r="M753">
        <v>1361</v>
      </c>
      <c r="N753" s="2">
        <v>108000</v>
      </c>
      <c r="O753" s="2">
        <v>1080</v>
      </c>
      <c r="P753" s="2">
        <v>3780</v>
      </c>
      <c r="Q753" s="2">
        <v>8166</v>
      </c>
      <c r="R753" s="2">
        <v>5400</v>
      </c>
      <c r="S753">
        <v>101.52</v>
      </c>
      <c r="T753" s="2">
        <v>30780</v>
      </c>
      <c r="U753" s="2">
        <v>77220</v>
      </c>
      <c r="V753">
        <v>153.52080000000001</v>
      </c>
      <c r="W753">
        <v>0</v>
      </c>
      <c r="X753">
        <v>0</v>
      </c>
      <c r="Y753">
        <v>0</v>
      </c>
      <c r="Z753">
        <v>1.2</v>
      </c>
      <c r="AA753">
        <v>7.8165303984867197E-3</v>
      </c>
      <c r="AB753">
        <v>31.2</v>
      </c>
      <c r="AC753">
        <v>11.795333333333334</v>
      </c>
      <c r="AD753">
        <v>27</v>
      </c>
      <c r="AI75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0.20466666666666633</v>
      </c>
      <c r="AK753" t="s">
        <v>51</v>
      </c>
      <c r="AN753">
        <f>INT(Table1[[#This Row],[reject_prod]]/Table1[[#This Row],[part_weight]] * 1000)</f>
        <v>63</v>
      </c>
    </row>
    <row r="754" spans="1:40">
      <c r="A754" s="1">
        <v>46045</v>
      </c>
      <c r="B754">
        <v>2</v>
      </c>
      <c r="C754">
        <v>16</v>
      </c>
      <c r="D754" t="s">
        <v>288</v>
      </c>
      <c r="E754" t="s">
        <v>46</v>
      </c>
      <c r="F754">
        <v>555979</v>
      </c>
      <c r="G754" s="6">
        <v>2</v>
      </c>
      <c r="H754" t="s">
        <v>52</v>
      </c>
      <c r="I754">
        <v>10683788</v>
      </c>
      <c r="J754">
        <v>6</v>
      </c>
      <c r="K754">
        <v>28</v>
      </c>
      <c r="L754">
        <v>28</v>
      </c>
      <c r="M754">
        <v>560</v>
      </c>
      <c r="N754" s="2">
        <v>100800</v>
      </c>
      <c r="O754" s="2">
        <v>0</v>
      </c>
      <c r="P754" s="2">
        <v>0</v>
      </c>
      <c r="Q754" s="2">
        <v>3360</v>
      </c>
      <c r="R754" s="2">
        <v>3360</v>
      </c>
      <c r="S754">
        <v>94.08</v>
      </c>
      <c r="T754" s="2">
        <v>100800</v>
      </c>
      <c r="U754" s="2">
        <v>0</v>
      </c>
      <c r="V754">
        <v>94.08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43.4</v>
      </c>
      <c r="AC754">
        <v>6.7511111111111113</v>
      </c>
      <c r="AD754">
        <v>42</v>
      </c>
      <c r="AI75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5.2488888888888887</v>
      </c>
      <c r="AK754" t="s">
        <v>51</v>
      </c>
      <c r="AN754">
        <f>INT(Table1[[#This Row],[reject_prod]]/Table1[[#This Row],[part_weight]] * 1000)</f>
        <v>0</v>
      </c>
    </row>
    <row r="755" spans="1:40" s="4" customFormat="1">
      <c r="A755" s="3">
        <v>46045</v>
      </c>
      <c r="B755" s="4">
        <v>2</v>
      </c>
      <c r="C755" s="4">
        <v>16</v>
      </c>
      <c r="D755" s="4" t="s">
        <v>288</v>
      </c>
      <c r="E755" s="4" t="s">
        <v>46</v>
      </c>
      <c r="F755" s="4">
        <v>555979</v>
      </c>
      <c r="G755" s="4">
        <v>2</v>
      </c>
      <c r="H755" s="4" t="s">
        <v>52</v>
      </c>
      <c r="I755" s="4">
        <v>10684863</v>
      </c>
      <c r="J755" s="4">
        <v>6</v>
      </c>
      <c r="K755" s="4">
        <v>28</v>
      </c>
      <c r="L755" s="4">
        <v>28</v>
      </c>
      <c r="M755" s="4">
        <v>419</v>
      </c>
      <c r="N755" s="5">
        <v>100800</v>
      </c>
      <c r="O755" s="5">
        <v>0</v>
      </c>
      <c r="P755" s="5">
        <v>2352</v>
      </c>
      <c r="Q755" s="5">
        <v>2514</v>
      </c>
      <c r="R755" s="5">
        <v>0</v>
      </c>
      <c r="S755" s="4">
        <v>0</v>
      </c>
      <c r="T755" s="5">
        <v>2352</v>
      </c>
      <c r="U755" s="5">
        <v>98448</v>
      </c>
      <c r="V755" s="4">
        <v>70.391999999999996</v>
      </c>
      <c r="W755" s="4">
        <v>0</v>
      </c>
      <c r="X755" s="4">
        <v>0</v>
      </c>
      <c r="Y755" s="4">
        <v>0</v>
      </c>
      <c r="Z755" s="4">
        <v>4.5</v>
      </c>
      <c r="AA755" s="4">
        <v>6.3927719058983978E-2</v>
      </c>
      <c r="AB755" s="4">
        <v>43.4</v>
      </c>
      <c r="AC755" s="4">
        <v>5.051277777777778</v>
      </c>
      <c r="AD755" s="4">
        <v>42</v>
      </c>
      <c r="AI75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6.948722222222222</v>
      </c>
      <c r="AK755" s="4" t="s">
        <v>51</v>
      </c>
      <c r="AN755" s="4">
        <f>INT(Table1[[#This Row],[reject_prod]]/Table1[[#This Row],[part_weight]] * 1000)</f>
        <v>160</v>
      </c>
    </row>
    <row r="756" spans="1:40">
      <c r="A756" s="1">
        <v>46046</v>
      </c>
      <c r="B756">
        <v>1</v>
      </c>
      <c r="C756">
        <v>1</v>
      </c>
      <c r="D756" t="s">
        <v>53</v>
      </c>
      <c r="E756" t="s">
        <v>34</v>
      </c>
      <c r="F756">
        <v>577492</v>
      </c>
      <c r="G756">
        <v>0</v>
      </c>
      <c r="H756" t="s">
        <v>341</v>
      </c>
      <c r="I756">
        <v>10684028</v>
      </c>
      <c r="J756">
        <v>4</v>
      </c>
      <c r="K756">
        <v>35.6</v>
      </c>
      <c r="L756">
        <v>35.6</v>
      </c>
      <c r="M756">
        <v>1590</v>
      </c>
      <c r="N756" s="2">
        <v>101200</v>
      </c>
      <c r="O756" s="2">
        <v>736</v>
      </c>
      <c r="P756" s="2">
        <v>0</v>
      </c>
      <c r="Q756" s="2">
        <v>6360</v>
      </c>
      <c r="R756" s="2">
        <v>7360</v>
      </c>
      <c r="S756">
        <v>262.01600000000002</v>
      </c>
      <c r="T756" s="2">
        <v>51520</v>
      </c>
      <c r="U756" s="2">
        <v>49680</v>
      </c>
      <c r="V756">
        <v>226.416</v>
      </c>
      <c r="W756">
        <v>0</v>
      </c>
      <c r="X756">
        <v>0</v>
      </c>
      <c r="Y756">
        <v>0</v>
      </c>
      <c r="Z756">
        <v>2.6</v>
      </c>
      <c r="AA756">
        <v>1.1483287400183733E-2</v>
      </c>
      <c r="AB756">
        <v>27.1</v>
      </c>
      <c r="AC756">
        <v>11.969166666666668</v>
      </c>
      <c r="AD756">
        <v>27</v>
      </c>
      <c r="AI75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3.0833333333331936E-2</v>
      </c>
      <c r="AK756" t="s">
        <v>470</v>
      </c>
      <c r="AN756">
        <f>INT(Table1[[#This Row],[reject_prod]]/Table1[[#This Row],[part_weight]] * 1000)</f>
        <v>73</v>
      </c>
    </row>
    <row r="757" spans="1:40">
      <c r="A757" s="1">
        <v>46046</v>
      </c>
      <c r="B757">
        <v>1</v>
      </c>
      <c r="C757">
        <v>2</v>
      </c>
      <c r="D757" t="s">
        <v>33</v>
      </c>
      <c r="E757" t="s">
        <v>34</v>
      </c>
      <c r="F757">
        <v>416201</v>
      </c>
      <c r="G757">
        <v>0</v>
      </c>
      <c r="H757" t="s">
        <v>36</v>
      </c>
      <c r="I757">
        <v>10681779</v>
      </c>
      <c r="J757">
        <v>4</v>
      </c>
      <c r="K757">
        <v>20</v>
      </c>
      <c r="L757">
        <v>30</v>
      </c>
      <c r="M757">
        <v>0</v>
      </c>
      <c r="N757" s="2">
        <v>50400</v>
      </c>
      <c r="O757" s="2">
        <v>0</v>
      </c>
      <c r="P757" s="2">
        <v>0</v>
      </c>
      <c r="Q757" s="2">
        <v>0</v>
      </c>
      <c r="R757" s="2">
        <v>0</v>
      </c>
      <c r="S757">
        <v>0</v>
      </c>
      <c r="T757" s="2">
        <v>0</v>
      </c>
      <c r="U757" s="2">
        <v>50400</v>
      </c>
      <c r="V757">
        <v>0</v>
      </c>
      <c r="W757">
        <v>0</v>
      </c>
      <c r="X757">
        <v>0</v>
      </c>
      <c r="Y757" t="e">
        <v>#DIV/0!</v>
      </c>
      <c r="Z757">
        <v>0</v>
      </c>
      <c r="AA757" t="e">
        <v>#DIV/0!</v>
      </c>
      <c r="AB757">
        <v>38.6</v>
      </c>
      <c r="AC757">
        <v>0</v>
      </c>
      <c r="AD757">
        <v>38.64</v>
      </c>
      <c r="AI75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757" t="s">
        <v>387</v>
      </c>
      <c r="AN757">
        <f>INT(Table1[[#This Row],[reject_prod]]/Table1[[#This Row],[part_weight]] * 1000)</f>
        <v>0</v>
      </c>
    </row>
    <row r="758" spans="1:40">
      <c r="A758" s="1">
        <v>46046</v>
      </c>
      <c r="B758">
        <v>1</v>
      </c>
      <c r="C758">
        <v>3</v>
      </c>
      <c r="D758" t="s">
        <v>54</v>
      </c>
      <c r="E758" t="s">
        <v>34</v>
      </c>
      <c r="F758">
        <v>442034</v>
      </c>
      <c r="G758">
        <v>0</v>
      </c>
      <c r="H758" t="s">
        <v>37</v>
      </c>
      <c r="I758">
        <v>10681184</v>
      </c>
      <c r="J758">
        <v>4</v>
      </c>
      <c r="K758">
        <v>23</v>
      </c>
      <c r="L758">
        <v>23</v>
      </c>
      <c r="M758">
        <v>1610</v>
      </c>
      <c r="N758" s="2">
        <v>139776</v>
      </c>
      <c r="O758" s="2">
        <v>3840</v>
      </c>
      <c r="P758" s="2">
        <v>1152</v>
      </c>
      <c r="Q758" s="2">
        <v>6440</v>
      </c>
      <c r="R758" s="2">
        <v>9216</v>
      </c>
      <c r="S758">
        <v>211.96799999999999</v>
      </c>
      <c r="T758" s="2">
        <v>42624</v>
      </c>
      <c r="U758" s="2">
        <v>97152</v>
      </c>
      <c r="V758">
        <v>148.12</v>
      </c>
      <c r="W758">
        <v>0</v>
      </c>
      <c r="X758">
        <v>0</v>
      </c>
      <c r="Y758">
        <v>0</v>
      </c>
      <c r="Z758">
        <v>2</v>
      </c>
      <c r="AA758">
        <v>1.3502565487442613E-2</v>
      </c>
      <c r="AB758">
        <v>26.2</v>
      </c>
      <c r="AC758">
        <v>11.717222222222222</v>
      </c>
      <c r="AD758">
        <v>22</v>
      </c>
      <c r="AI75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0.28277777777777757</v>
      </c>
      <c r="AK758" t="s">
        <v>484</v>
      </c>
      <c r="AN758">
        <f>INT(Table1[[#This Row],[reject_prod]]/Table1[[#This Row],[part_weight]] * 1000)</f>
        <v>86</v>
      </c>
    </row>
    <row r="759" spans="1:40">
      <c r="A759" s="1">
        <v>46046</v>
      </c>
      <c r="B759">
        <v>1</v>
      </c>
      <c r="C759">
        <v>4</v>
      </c>
      <c r="D759" t="s">
        <v>134</v>
      </c>
      <c r="E759" t="s">
        <v>34</v>
      </c>
      <c r="F759">
        <v>402305</v>
      </c>
      <c r="G759">
        <v>0</v>
      </c>
      <c r="H759" t="s">
        <v>395</v>
      </c>
      <c r="I759">
        <v>10684852</v>
      </c>
      <c r="J759">
        <v>4</v>
      </c>
      <c r="K759">
        <v>29</v>
      </c>
      <c r="L759">
        <v>29</v>
      </c>
      <c r="M759">
        <v>1710</v>
      </c>
      <c r="N759" s="2">
        <v>64896</v>
      </c>
      <c r="O759" s="2">
        <v>312</v>
      </c>
      <c r="P759" s="2">
        <v>520</v>
      </c>
      <c r="Q759" s="2">
        <v>6840</v>
      </c>
      <c r="R759" s="2">
        <v>6240</v>
      </c>
      <c r="S759">
        <v>180.96</v>
      </c>
      <c r="T759" s="2">
        <v>61672</v>
      </c>
      <c r="U759" s="2">
        <v>3224</v>
      </c>
      <c r="V759">
        <v>198.36</v>
      </c>
      <c r="W759">
        <v>0</v>
      </c>
      <c r="X759">
        <v>0</v>
      </c>
      <c r="Y759">
        <v>0</v>
      </c>
      <c r="Z759">
        <v>1</v>
      </c>
      <c r="AA759">
        <v>5.0413389796329904E-3</v>
      </c>
      <c r="AB759">
        <v>25.4</v>
      </c>
      <c r="AC759">
        <v>12</v>
      </c>
      <c r="AD759">
        <v>22</v>
      </c>
      <c r="AI75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759" t="s">
        <v>168</v>
      </c>
      <c r="AN759">
        <f>INT(Table1[[#This Row],[reject_prod]]/Table1[[#This Row],[part_weight]] * 1000)</f>
        <v>34</v>
      </c>
    </row>
    <row r="760" spans="1:40">
      <c r="A760" s="1">
        <v>46046</v>
      </c>
      <c r="B760">
        <v>1</v>
      </c>
      <c r="C760">
        <v>5</v>
      </c>
      <c r="D760" t="s">
        <v>33</v>
      </c>
      <c r="E760" t="s">
        <v>34</v>
      </c>
      <c r="F760">
        <v>322383</v>
      </c>
      <c r="G760">
        <v>0</v>
      </c>
      <c r="H760" t="s">
        <v>71</v>
      </c>
      <c r="I760">
        <v>10682756</v>
      </c>
      <c r="J760">
        <v>4</v>
      </c>
      <c r="K760">
        <v>12.5</v>
      </c>
      <c r="L760">
        <v>12.5</v>
      </c>
      <c r="M760">
        <v>170</v>
      </c>
      <c r="N760" s="2">
        <v>66000</v>
      </c>
      <c r="O760" s="2">
        <v>4400</v>
      </c>
      <c r="P760" s="2">
        <v>4400</v>
      </c>
      <c r="Q760" s="2">
        <v>680</v>
      </c>
      <c r="R760" s="2">
        <v>0</v>
      </c>
      <c r="S760">
        <v>0</v>
      </c>
      <c r="T760" s="2">
        <v>57200</v>
      </c>
      <c r="U760" s="2">
        <v>8800</v>
      </c>
      <c r="V760">
        <v>8.5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20.9</v>
      </c>
      <c r="AC760">
        <v>0.9869444444444444</v>
      </c>
      <c r="AD760">
        <v>17.920000000000002</v>
      </c>
      <c r="AH760">
        <v>11</v>
      </c>
      <c r="AI76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1.3055555555554932E-2</v>
      </c>
      <c r="AK760" t="s">
        <v>485</v>
      </c>
      <c r="AN760">
        <f>INT(Table1[[#This Row],[reject_prod]]/Table1[[#This Row],[part_weight]] * 1000)</f>
        <v>0</v>
      </c>
    </row>
    <row r="761" spans="1:40">
      <c r="A761" s="1">
        <v>46046</v>
      </c>
      <c r="B761">
        <v>1</v>
      </c>
      <c r="C761">
        <v>6</v>
      </c>
      <c r="D761" t="s">
        <v>465</v>
      </c>
      <c r="E761" t="s">
        <v>34</v>
      </c>
      <c r="F761">
        <v>322409</v>
      </c>
      <c r="G761">
        <v>0</v>
      </c>
      <c r="H761" t="s">
        <v>400</v>
      </c>
      <c r="I761">
        <v>10683854</v>
      </c>
      <c r="J761">
        <v>4</v>
      </c>
      <c r="K761">
        <v>24</v>
      </c>
      <c r="L761">
        <v>24</v>
      </c>
      <c r="M761">
        <v>920</v>
      </c>
      <c r="N761" s="2">
        <v>70200</v>
      </c>
      <c r="O761" s="2">
        <v>0</v>
      </c>
      <c r="P761" s="2">
        <v>0</v>
      </c>
      <c r="Q761" s="2">
        <v>3680</v>
      </c>
      <c r="R761" s="2">
        <v>3510</v>
      </c>
      <c r="S761">
        <v>84.24</v>
      </c>
      <c r="T761" s="2">
        <v>0</v>
      </c>
      <c r="U761" s="2">
        <v>70200</v>
      </c>
      <c r="V761">
        <v>88.32</v>
      </c>
      <c r="W761">
        <v>0</v>
      </c>
      <c r="X761">
        <v>0</v>
      </c>
      <c r="Y761">
        <v>0</v>
      </c>
      <c r="Z761">
        <v>2</v>
      </c>
      <c r="AA761">
        <v>2.2644927536231887E-2</v>
      </c>
      <c r="AB761">
        <v>21.5</v>
      </c>
      <c r="AC761">
        <v>5.4944444444444445</v>
      </c>
      <c r="AD761">
        <v>20</v>
      </c>
      <c r="AI76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6.5055555555555555</v>
      </c>
      <c r="AK761" t="s">
        <v>486</v>
      </c>
      <c r="AN761">
        <f>INT(Table1[[#This Row],[reject_prod]]/Table1[[#This Row],[part_weight]] * 1000)</f>
        <v>83</v>
      </c>
    </row>
    <row r="762" spans="1:40">
      <c r="A762" s="1">
        <v>46046</v>
      </c>
      <c r="B762">
        <v>1</v>
      </c>
      <c r="C762">
        <v>6</v>
      </c>
      <c r="D762" t="s">
        <v>465</v>
      </c>
      <c r="E762" t="s">
        <v>34</v>
      </c>
      <c r="F762">
        <v>322412</v>
      </c>
      <c r="G762">
        <v>0</v>
      </c>
      <c r="H762" t="s">
        <v>487</v>
      </c>
      <c r="I762">
        <v>10685211</v>
      </c>
      <c r="J762">
        <v>4</v>
      </c>
      <c r="K762">
        <v>24.3</v>
      </c>
      <c r="L762">
        <v>24</v>
      </c>
      <c r="M762">
        <v>350</v>
      </c>
      <c r="N762" s="2">
        <v>13680</v>
      </c>
      <c r="O762" s="2">
        <v>0</v>
      </c>
      <c r="P762" s="2">
        <v>1368</v>
      </c>
      <c r="Q762" s="2">
        <v>1400</v>
      </c>
      <c r="R762" s="2">
        <v>0</v>
      </c>
      <c r="S762">
        <v>0</v>
      </c>
      <c r="T762" s="2">
        <v>1368</v>
      </c>
      <c r="U762" s="2">
        <v>12312</v>
      </c>
      <c r="V762">
        <v>33.6</v>
      </c>
      <c r="W762">
        <v>0.42000000000000104</v>
      </c>
      <c r="X762">
        <v>3</v>
      </c>
      <c r="Y762">
        <v>8.9285714285714288E-2</v>
      </c>
      <c r="Z762">
        <v>0</v>
      </c>
      <c r="AA762">
        <v>0</v>
      </c>
      <c r="AB762">
        <v>23.6</v>
      </c>
      <c r="AC762">
        <v>2.2944444444444447</v>
      </c>
      <c r="AD762">
        <v>20</v>
      </c>
      <c r="AG762">
        <v>1.5</v>
      </c>
      <c r="AI76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8.2055555555555557</v>
      </c>
      <c r="AK762" t="s">
        <v>488</v>
      </c>
      <c r="AN762">
        <f>INT(Table1[[#This Row],[reject_prod]]/Table1[[#This Row],[part_weight]] * 1000)</f>
        <v>0</v>
      </c>
    </row>
    <row r="763" spans="1:40">
      <c r="A763" s="1">
        <v>46046</v>
      </c>
      <c r="B763">
        <v>1</v>
      </c>
      <c r="C763">
        <v>7</v>
      </c>
      <c r="D763" t="s">
        <v>203</v>
      </c>
      <c r="E763" t="s">
        <v>34</v>
      </c>
      <c r="F763">
        <v>647556</v>
      </c>
      <c r="G763">
        <v>0</v>
      </c>
      <c r="H763" t="s">
        <v>458</v>
      </c>
      <c r="I763">
        <v>10683858</v>
      </c>
      <c r="J763">
        <v>4</v>
      </c>
      <c r="K763">
        <v>35</v>
      </c>
      <c r="L763">
        <v>34.5</v>
      </c>
      <c r="M763">
        <v>1060</v>
      </c>
      <c r="N763" s="2">
        <v>27720</v>
      </c>
      <c r="O763" s="2">
        <v>396</v>
      </c>
      <c r="P763" s="2">
        <v>84</v>
      </c>
      <c r="Q763" s="2">
        <v>4240</v>
      </c>
      <c r="R763" s="2">
        <v>4620</v>
      </c>
      <c r="S763">
        <v>159.38999999999999</v>
      </c>
      <c r="T763" s="2">
        <v>26880</v>
      </c>
      <c r="U763" s="2">
        <v>840</v>
      </c>
      <c r="V763">
        <v>146.28</v>
      </c>
      <c r="W763">
        <v>2.12</v>
      </c>
      <c r="X763">
        <v>0</v>
      </c>
      <c r="Y763">
        <v>0</v>
      </c>
      <c r="Z763">
        <v>22</v>
      </c>
      <c r="AA763">
        <v>0.15039649986327591</v>
      </c>
      <c r="AB763">
        <v>22</v>
      </c>
      <c r="AC763">
        <v>6.4777777777777779</v>
      </c>
      <c r="AD763">
        <v>20.399999999999999</v>
      </c>
      <c r="AI76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5.5222222222222221</v>
      </c>
      <c r="AK763" t="s">
        <v>489</v>
      </c>
      <c r="AN763">
        <f>INT(Table1[[#This Row],[reject_prod]]/Table1[[#This Row],[part_weight]] * 1000)</f>
        <v>637</v>
      </c>
    </row>
    <row r="764" spans="1:40">
      <c r="A764" s="1">
        <v>46046</v>
      </c>
      <c r="B764">
        <v>1</v>
      </c>
      <c r="C764">
        <v>8</v>
      </c>
      <c r="D764" t="s">
        <v>84</v>
      </c>
      <c r="E764" t="s">
        <v>41</v>
      </c>
      <c r="F764">
        <v>593537</v>
      </c>
      <c r="G764">
        <v>0</v>
      </c>
      <c r="H764" t="s">
        <v>48</v>
      </c>
      <c r="I764">
        <v>10685022</v>
      </c>
      <c r="J764">
        <v>4</v>
      </c>
      <c r="K764">
        <v>56.5</v>
      </c>
      <c r="L764">
        <v>56.8</v>
      </c>
      <c r="M764">
        <v>1415</v>
      </c>
      <c r="N764" s="2">
        <v>69000</v>
      </c>
      <c r="O764" s="2">
        <v>115</v>
      </c>
      <c r="P764" s="2">
        <v>80</v>
      </c>
      <c r="Q764" s="2">
        <v>5660</v>
      </c>
      <c r="R764" s="2">
        <v>5750</v>
      </c>
      <c r="S764">
        <v>326.60000000000002</v>
      </c>
      <c r="T764" s="2">
        <v>51830</v>
      </c>
      <c r="U764" s="2">
        <v>17170</v>
      </c>
      <c r="V764">
        <v>321.488</v>
      </c>
      <c r="W764">
        <v>-1.697999999999984</v>
      </c>
      <c r="X764">
        <v>0</v>
      </c>
      <c r="Y764">
        <v>0</v>
      </c>
      <c r="Z764">
        <v>1</v>
      </c>
      <c r="AA764">
        <v>3.1105360075648235E-3</v>
      </c>
      <c r="AB764">
        <v>30.4</v>
      </c>
      <c r="AC764">
        <v>11.948888888888888</v>
      </c>
      <c r="AD764">
        <v>28.5</v>
      </c>
      <c r="AI76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5.1111111111111995E-2</v>
      </c>
      <c r="AK764" t="s">
        <v>51</v>
      </c>
      <c r="AN764">
        <f>INT(Table1[[#This Row],[reject_prod]]/Table1[[#This Row],[part_weight]] * 1000)</f>
        <v>17</v>
      </c>
    </row>
    <row r="765" spans="1:40">
      <c r="A765" s="1">
        <v>46046</v>
      </c>
      <c r="B765">
        <v>1</v>
      </c>
      <c r="C765">
        <v>9</v>
      </c>
      <c r="D765" t="s">
        <v>53</v>
      </c>
      <c r="E765" t="s">
        <v>46</v>
      </c>
      <c r="F765">
        <v>586276</v>
      </c>
      <c r="G765">
        <v>0</v>
      </c>
      <c r="H765" t="s">
        <v>47</v>
      </c>
      <c r="I765" t="s">
        <v>490</v>
      </c>
      <c r="J765">
        <v>6</v>
      </c>
      <c r="K765">
        <v>12.3</v>
      </c>
      <c r="L765">
        <v>12.3</v>
      </c>
      <c r="M765">
        <v>340</v>
      </c>
      <c r="N765" s="2">
        <v>0</v>
      </c>
      <c r="O765" s="2">
        <v>0</v>
      </c>
      <c r="P765" s="2">
        <v>2025</v>
      </c>
      <c r="Q765" s="2">
        <v>2040</v>
      </c>
      <c r="R765" s="2">
        <v>0</v>
      </c>
      <c r="S765">
        <v>0</v>
      </c>
      <c r="T765" s="2"/>
      <c r="U765" s="2">
        <v>0</v>
      </c>
      <c r="V765">
        <v>25.091999999999999</v>
      </c>
      <c r="W765">
        <v>0</v>
      </c>
      <c r="X765">
        <v>0</v>
      </c>
      <c r="Y765">
        <v>0</v>
      </c>
      <c r="AA765">
        <v>0</v>
      </c>
      <c r="AB765">
        <v>26</v>
      </c>
      <c r="AC765">
        <v>2.4555555555555553</v>
      </c>
      <c r="AD765">
        <v>26</v>
      </c>
      <c r="AI76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9.5444444444444443</v>
      </c>
      <c r="AK765" t="s">
        <v>491</v>
      </c>
      <c r="AN765">
        <f>INT(Table1[[#This Row],[reject_prod]]/Table1[[#This Row],[part_weight]] * 1000)</f>
        <v>0</v>
      </c>
    </row>
    <row r="766" spans="1:40">
      <c r="A766" s="1">
        <v>46046</v>
      </c>
      <c r="B766">
        <v>1</v>
      </c>
      <c r="C766">
        <v>10</v>
      </c>
      <c r="D766" t="s">
        <v>56</v>
      </c>
      <c r="E766" t="s">
        <v>34</v>
      </c>
      <c r="F766">
        <v>626029</v>
      </c>
      <c r="G766">
        <v>0</v>
      </c>
      <c r="H766" t="s">
        <v>478</v>
      </c>
      <c r="I766">
        <v>10685443</v>
      </c>
      <c r="J766">
        <v>4</v>
      </c>
      <c r="K766">
        <v>48.39</v>
      </c>
      <c r="L766">
        <v>48.39</v>
      </c>
      <c r="M766">
        <v>1360</v>
      </c>
      <c r="N766" s="2">
        <v>12480</v>
      </c>
      <c r="O766" s="2">
        <v>780</v>
      </c>
      <c r="P766" s="2">
        <v>0</v>
      </c>
      <c r="Q766" s="2">
        <v>5440</v>
      </c>
      <c r="R766" s="2">
        <v>6240</v>
      </c>
      <c r="S766">
        <v>301.95359999999999</v>
      </c>
      <c r="T766" s="2">
        <v>6520</v>
      </c>
      <c r="U766" s="2">
        <v>5960</v>
      </c>
      <c r="V766">
        <v>263.24159999999995</v>
      </c>
      <c r="W766">
        <v>0</v>
      </c>
      <c r="X766">
        <v>0</v>
      </c>
      <c r="Y766">
        <v>0</v>
      </c>
      <c r="Z766">
        <v>2</v>
      </c>
      <c r="AA766">
        <v>7.5975833606846347E-3</v>
      </c>
      <c r="AB766">
        <v>28.73</v>
      </c>
      <c r="AC766">
        <v>10.853555555555555</v>
      </c>
      <c r="AD766">
        <v>28</v>
      </c>
      <c r="AI76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1.1464444444444446</v>
      </c>
      <c r="AK766" t="s">
        <v>227</v>
      </c>
      <c r="AN766">
        <f>INT(Table1[[#This Row],[reject_prod]]/Table1[[#This Row],[part_weight]] * 1000)</f>
        <v>41</v>
      </c>
    </row>
    <row r="767" spans="1:40">
      <c r="A767" s="1">
        <v>46046</v>
      </c>
      <c r="B767">
        <v>1</v>
      </c>
      <c r="C767">
        <v>11</v>
      </c>
      <c r="D767" t="s">
        <v>59</v>
      </c>
      <c r="E767" t="s">
        <v>46</v>
      </c>
      <c r="F767">
        <v>552181</v>
      </c>
      <c r="G767">
        <v>1</v>
      </c>
      <c r="H767" t="s">
        <v>49</v>
      </c>
      <c r="I767">
        <v>10683783</v>
      </c>
      <c r="J767">
        <v>6</v>
      </c>
      <c r="K767">
        <v>18.8</v>
      </c>
      <c r="L767">
        <v>18.8</v>
      </c>
      <c r="M767">
        <v>1450</v>
      </c>
      <c r="N767" s="2">
        <v>108000</v>
      </c>
      <c r="O767" s="2">
        <v>8640</v>
      </c>
      <c r="P767" s="2">
        <v>1080</v>
      </c>
      <c r="Q767" s="2">
        <v>8700</v>
      </c>
      <c r="R767" s="2">
        <v>10800</v>
      </c>
      <c r="S767">
        <v>203.04</v>
      </c>
      <c r="T767" s="2">
        <v>55080</v>
      </c>
      <c r="U767" s="2">
        <v>52920</v>
      </c>
      <c r="V767">
        <v>163.56</v>
      </c>
      <c r="W767">
        <v>0</v>
      </c>
      <c r="X767">
        <v>0</v>
      </c>
      <c r="Y767">
        <v>0</v>
      </c>
      <c r="Z767">
        <v>2</v>
      </c>
      <c r="AA767">
        <v>1.2227928588897041E-2</v>
      </c>
      <c r="AB767">
        <v>29.6</v>
      </c>
      <c r="AC767">
        <v>11.922222222222222</v>
      </c>
      <c r="AD767">
        <v>27</v>
      </c>
      <c r="AI76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7.7777777777777501E-2</v>
      </c>
      <c r="AK767" t="s">
        <v>51</v>
      </c>
      <c r="AN767">
        <f>INT(Table1[[#This Row],[reject_prod]]/Table1[[#This Row],[part_weight]] * 1000)</f>
        <v>106</v>
      </c>
    </row>
    <row r="768" spans="1:40">
      <c r="A768" s="1">
        <v>46046</v>
      </c>
      <c r="B768">
        <v>1</v>
      </c>
      <c r="C768">
        <v>12</v>
      </c>
      <c r="D768" t="s">
        <v>289</v>
      </c>
      <c r="E768" t="s">
        <v>34</v>
      </c>
      <c r="F768">
        <v>620599</v>
      </c>
      <c r="G768">
        <v>0</v>
      </c>
      <c r="H768" t="s">
        <v>50</v>
      </c>
      <c r="I768">
        <v>10684839</v>
      </c>
      <c r="J768">
        <v>4</v>
      </c>
      <c r="K768">
        <v>55</v>
      </c>
      <c r="L768">
        <v>55</v>
      </c>
      <c r="M768">
        <v>1320</v>
      </c>
      <c r="N768" s="2">
        <v>72000</v>
      </c>
      <c r="O768" s="2">
        <v>600</v>
      </c>
      <c r="P768" s="2">
        <v>225</v>
      </c>
      <c r="Q768" s="2">
        <v>5280</v>
      </c>
      <c r="R768" s="2">
        <v>5400</v>
      </c>
      <c r="S768">
        <v>297</v>
      </c>
      <c r="T768" s="2">
        <v>43425</v>
      </c>
      <c r="U768" s="2">
        <v>28575</v>
      </c>
      <c r="V768">
        <v>290.39999999999998</v>
      </c>
      <c r="W768">
        <v>0</v>
      </c>
      <c r="X768">
        <v>0</v>
      </c>
      <c r="Y768">
        <v>0</v>
      </c>
      <c r="Z768">
        <v>8</v>
      </c>
      <c r="AA768">
        <v>2.7548209366391185E-2</v>
      </c>
      <c r="AB768">
        <v>29.1</v>
      </c>
      <c r="AC768">
        <v>10.67</v>
      </c>
      <c r="AD768">
        <v>28</v>
      </c>
      <c r="AI76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1.33</v>
      </c>
      <c r="AK768" t="s">
        <v>230</v>
      </c>
      <c r="AN768">
        <f>INT(Table1[[#This Row],[reject_prod]]/Table1[[#This Row],[part_weight]] * 1000)</f>
        <v>145</v>
      </c>
    </row>
    <row r="769" spans="1:40">
      <c r="A769" s="1">
        <v>46046</v>
      </c>
      <c r="B769">
        <v>1</v>
      </c>
      <c r="C769">
        <v>13</v>
      </c>
      <c r="D769" t="s">
        <v>59</v>
      </c>
      <c r="E769" t="s">
        <v>46</v>
      </c>
      <c r="F769">
        <v>586276</v>
      </c>
      <c r="G769">
        <v>0</v>
      </c>
      <c r="H769" t="s">
        <v>47</v>
      </c>
      <c r="I769">
        <v>10684862</v>
      </c>
      <c r="J769">
        <v>6</v>
      </c>
      <c r="K769">
        <v>12.3</v>
      </c>
      <c r="L769">
        <v>12.3</v>
      </c>
      <c r="M769">
        <v>1630</v>
      </c>
      <c r="N769" s="2">
        <v>162000</v>
      </c>
      <c r="O769" s="2">
        <v>810</v>
      </c>
      <c r="P769" s="2">
        <v>2835</v>
      </c>
      <c r="Q769" s="2">
        <v>9780</v>
      </c>
      <c r="R769" s="2">
        <v>8100</v>
      </c>
      <c r="S769">
        <v>99.63</v>
      </c>
      <c r="T769" s="2">
        <v>35235</v>
      </c>
      <c r="U769" s="2">
        <v>126765</v>
      </c>
      <c r="V769">
        <v>120.294</v>
      </c>
      <c r="W769">
        <v>0</v>
      </c>
      <c r="X769">
        <v>0</v>
      </c>
      <c r="Y769">
        <v>0</v>
      </c>
      <c r="Z769">
        <v>1</v>
      </c>
      <c r="AA769">
        <v>8.3129665652484745E-3</v>
      </c>
      <c r="AB769">
        <v>26.2</v>
      </c>
      <c r="AC769">
        <v>11.862777777777778</v>
      </c>
      <c r="AD769">
        <v>26</v>
      </c>
      <c r="AI76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0.13722222222222236</v>
      </c>
      <c r="AK769" t="s">
        <v>51</v>
      </c>
      <c r="AN769">
        <f>INT(Table1[[#This Row],[reject_prod]]/Table1[[#This Row],[part_weight]] * 1000)</f>
        <v>81</v>
      </c>
    </row>
    <row r="770" spans="1:40">
      <c r="A770" s="1">
        <v>46046</v>
      </c>
      <c r="B770">
        <v>1</v>
      </c>
      <c r="C770">
        <v>14</v>
      </c>
      <c r="D770" t="s">
        <v>33</v>
      </c>
      <c r="E770" t="s">
        <v>46</v>
      </c>
      <c r="F770">
        <v>555979</v>
      </c>
      <c r="G770">
        <v>1</v>
      </c>
      <c r="H770" t="s">
        <v>52</v>
      </c>
      <c r="I770">
        <v>10683785</v>
      </c>
      <c r="J770">
        <v>6</v>
      </c>
      <c r="K770">
        <v>28</v>
      </c>
      <c r="L770">
        <v>28</v>
      </c>
      <c r="M770">
        <v>0</v>
      </c>
      <c r="N770" s="2">
        <v>100800</v>
      </c>
      <c r="O770" s="2">
        <v>0</v>
      </c>
      <c r="P770" s="2"/>
      <c r="Q770" s="2">
        <v>0</v>
      </c>
      <c r="R770" s="2">
        <v>0</v>
      </c>
      <c r="S770">
        <v>0</v>
      </c>
      <c r="T770" s="2">
        <v>0</v>
      </c>
      <c r="U770" s="2">
        <v>100800</v>
      </c>
      <c r="V770">
        <v>0</v>
      </c>
      <c r="W770">
        <v>0</v>
      </c>
      <c r="X770">
        <v>0</v>
      </c>
      <c r="Y770" t="e">
        <v>#DIV/0!</v>
      </c>
      <c r="Z770">
        <v>3.8</v>
      </c>
      <c r="AA770" t="e">
        <v>#DIV/0!</v>
      </c>
      <c r="AB770">
        <v>43.4</v>
      </c>
      <c r="AC770">
        <v>0</v>
      </c>
      <c r="AD770">
        <v>42</v>
      </c>
      <c r="AI77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770" t="s">
        <v>481</v>
      </c>
      <c r="AN770">
        <f>INT(Table1[[#This Row],[reject_prod]]/Table1[[#This Row],[part_weight]] * 1000)</f>
        <v>135</v>
      </c>
    </row>
    <row r="771" spans="1:40">
      <c r="A771" s="1">
        <v>46046</v>
      </c>
      <c r="B771">
        <v>1</v>
      </c>
      <c r="C771">
        <v>15</v>
      </c>
      <c r="D771" t="s">
        <v>59</v>
      </c>
      <c r="E771" t="s">
        <v>46</v>
      </c>
      <c r="F771">
        <v>552181</v>
      </c>
      <c r="G771">
        <v>2</v>
      </c>
      <c r="H771" t="s">
        <v>49</v>
      </c>
      <c r="I771">
        <v>10683787</v>
      </c>
      <c r="J771">
        <v>6</v>
      </c>
      <c r="K771">
        <v>18.8</v>
      </c>
      <c r="L771">
        <v>18.8</v>
      </c>
      <c r="M771">
        <v>1420</v>
      </c>
      <c r="N771" s="2">
        <v>108000</v>
      </c>
      <c r="O771" s="2">
        <v>3780</v>
      </c>
      <c r="P771" s="2">
        <v>1620</v>
      </c>
      <c r="Q771" s="2">
        <v>8520</v>
      </c>
      <c r="R771" s="2">
        <v>10800</v>
      </c>
      <c r="S771">
        <v>203.04</v>
      </c>
      <c r="T771" s="2">
        <v>39420</v>
      </c>
      <c r="U771" s="2">
        <v>68580</v>
      </c>
      <c r="V771">
        <v>160.17599999999999</v>
      </c>
      <c r="W771">
        <v>0</v>
      </c>
      <c r="X771">
        <v>0</v>
      </c>
      <c r="Y771">
        <v>0</v>
      </c>
      <c r="Z771">
        <v>1</v>
      </c>
      <c r="AA771">
        <v>6.2431325541903908E-3</v>
      </c>
      <c r="AB771">
        <v>30.2</v>
      </c>
      <c r="AC771">
        <v>11.912222222222221</v>
      </c>
      <c r="AD771">
        <v>27</v>
      </c>
      <c r="AI77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8.7777777777779065E-2</v>
      </c>
      <c r="AK771" t="s">
        <v>51</v>
      </c>
      <c r="AN771">
        <f>INT(Table1[[#This Row],[reject_prod]]/Table1[[#This Row],[part_weight]] * 1000)</f>
        <v>53</v>
      </c>
    </row>
    <row r="772" spans="1:40" s="4" customFormat="1">
      <c r="A772" s="3">
        <v>46046</v>
      </c>
      <c r="B772" s="4">
        <v>1</v>
      </c>
      <c r="C772" s="4">
        <v>16</v>
      </c>
      <c r="D772" s="4" t="s">
        <v>482</v>
      </c>
      <c r="E772" s="4" t="s">
        <v>46</v>
      </c>
      <c r="F772" s="4">
        <v>555979</v>
      </c>
      <c r="G772" s="4">
        <v>2</v>
      </c>
      <c r="H772" s="4" t="s">
        <v>52</v>
      </c>
      <c r="I772" s="4">
        <v>10683788</v>
      </c>
      <c r="J772" s="4">
        <v>6</v>
      </c>
      <c r="K772" s="4">
        <v>28</v>
      </c>
      <c r="L772" s="4">
        <v>28</v>
      </c>
      <c r="M772" s="4">
        <v>990</v>
      </c>
      <c r="N772" s="5">
        <v>100800</v>
      </c>
      <c r="O772" s="5">
        <v>2352</v>
      </c>
      <c r="P772" s="5">
        <v>1008</v>
      </c>
      <c r="Q772" s="5">
        <v>5940</v>
      </c>
      <c r="R772" s="5">
        <v>6720</v>
      </c>
      <c r="S772" s="4">
        <v>188.16</v>
      </c>
      <c r="T772" s="5">
        <v>7728</v>
      </c>
      <c r="U772" s="5">
        <v>93072</v>
      </c>
      <c r="V772" s="4">
        <v>166.32</v>
      </c>
      <c r="W772" s="4">
        <v>0</v>
      </c>
      <c r="X772" s="4">
        <v>0</v>
      </c>
      <c r="Y772" s="4">
        <v>0</v>
      </c>
      <c r="Z772" s="4">
        <v>2</v>
      </c>
      <c r="AA772" s="4">
        <v>1.2025012025012025E-2</v>
      </c>
      <c r="AB772" s="4">
        <v>43.4</v>
      </c>
      <c r="AC772" s="4">
        <v>11.935</v>
      </c>
      <c r="AD772" s="4">
        <v>42</v>
      </c>
      <c r="AI77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6.4999999999999503E-2</v>
      </c>
      <c r="AK772" s="4" t="s">
        <v>51</v>
      </c>
      <c r="AN772" s="4">
        <f>INT(Table1[[#This Row],[reject_prod]]/Table1[[#This Row],[part_weight]] * 1000)</f>
        <v>71</v>
      </c>
    </row>
    <row r="773" spans="1:40">
      <c r="A773" s="1">
        <v>46046</v>
      </c>
      <c r="B773">
        <v>2</v>
      </c>
      <c r="C773">
        <v>1</v>
      </c>
      <c r="D773" t="s">
        <v>112</v>
      </c>
      <c r="E773" t="s">
        <v>34</v>
      </c>
      <c r="F773">
        <v>577492</v>
      </c>
      <c r="G773">
        <v>0</v>
      </c>
      <c r="H773" t="s">
        <v>341</v>
      </c>
      <c r="I773">
        <v>10684028</v>
      </c>
      <c r="J773">
        <v>4</v>
      </c>
      <c r="K773">
        <v>35.6</v>
      </c>
      <c r="L773">
        <v>35.6</v>
      </c>
      <c r="M773">
        <v>1564</v>
      </c>
      <c r="N773" s="2">
        <v>101200</v>
      </c>
      <c r="O773" s="2">
        <v>0</v>
      </c>
      <c r="P773" s="2">
        <v>736</v>
      </c>
      <c r="Q773" s="2">
        <v>6256</v>
      </c>
      <c r="R773" s="2">
        <v>5520</v>
      </c>
      <c r="S773">
        <v>196.512</v>
      </c>
      <c r="T773" s="2">
        <v>57776</v>
      </c>
      <c r="U773" s="2">
        <v>43424</v>
      </c>
      <c r="V773">
        <v>222.71360000000001</v>
      </c>
      <c r="W773">
        <v>0</v>
      </c>
      <c r="X773">
        <v>0</v>
      </c>
      <c r="Y773">
        <v>0</v>
      </c>
      <c r="Z773">
        <v>6.5</v>
      </c>
      <c r="AA773">
        <v>2.9185465099571824E-2</v>
      </c>
      <c r="AB773">
        <v>27.1</v>
      </c>
      <c r="AC773">
        <v>11.773444444444445</v>
      </c>
      <c r="AD773">
        <v>27</v>
      </c>
      <c r="AI77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0.22655555555555473</v>
      </c>
      <c r="AK773" t="s">
        <v>51</v>
      </c>
      <c r="AN773">
        <f>INT(Table1[[#This Row],[reject_prod]]/Table1[[#This Row],[part_weight]] * 1000)</f>
        <v>182</v>
      </c>
    </row>
    <row r="774" spans="1:40">
      <c r="A774" s="1">
        <v>46046</v>
      </c>
      <c r="B774">
        <v>2</v>
      </c>
      <c r="C774">
        <v>2</v>
      </c>
      <c r="F774">
        <v>123456</v>
      </c>
      <c r="G774">
        <v>0</v>
      </c>
      <c r="M774">
        <v>0</v>
      </c>
      <c r="N774" s="2">
        <v>0</v>
      </c>
      <c r="O774" s="2">
        <v>0</v>
      </c>
      <c r="P774" s="2">
        <v>0</v>
      </c>
      <c r="Q774" s="2"/>
      <c r="R774" s="2">
        <v>0</v>
      </c>
      <c r="T774" s="2">
        <v>0</v>
      </c>
      <c r="U774" s="2"/>
      <c r="X774">
        <v>0</v>
      </c>
      <c r="Z774">
        <v>0</v>
      </c>
      <c r="AB774">
        <v>0</v>
      </c>
      <c r="AC774">
        <v>0</v>
      </c>
      <c r="AD774">
        <v>0</v>
      </c>
      <c r="AI77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774">
        <v>12</v>
      </c>
      <c r="AK774" t="s">
        <v>116</v>
      </c>
      <c r="AN774">
        <v>0</v>
      </c>
    </row>
    <row r="775" spans="1:40">
      <c r="A775" s="1">
        <v>46046</v>
      </c>
      <c r="B775">
        <v>2</v>
      </c>
      <c r="C775">
        <v>3</v>
      </c>
      <c r="D775" t="s">
        <v>40</v>
      </c>
      <c r="E775" t="s">
        <v>34</v>
      </c>
      <c r="F775">
        <v>442034</v>
      </c>
      <c r="G775">
        <v>0</v>
      </c>
      <c r="H775" t="s">
        <v>37</v>
      </c>
      <c r="I775">
        <v>10681184</v>
      </c>
      <c r="J775">
        <v>4</v>
      </c>
      <c r="K775">
        <v>23</v>
      </c>
      <c r="L775">
        <v>23</v>
      </c>
      <c r="M775">
        <v>1636</v>
      </c>
      <c r="N775" s="2">
        <v>139776</v>
      </c>
      <c r="O775" s="2">
        <v>1152</v>
      </c>
      <c r="P775" s="2">
        <v>2688</v>
      </c>
      <c r="Q775" s="2">
        <v>6544</v>
      </c>
      <c r="R775" s="2">
        <v>4608</v>
      </c>
      <c r="S775">
        <v>105.98399999999999</v>
      </c>
      <c r="T775" s="2">
        <v>48768</v>
      </c>
      <c r="U775" s="2">
        <v>91008</v>
      </c>
      <c r="V775">
        <v>150.512</v>
      </c>
      <c r="W775">
        <v>0</v>
      </c>
      <c r="X775">
        <v>0</v>
      </c>
      <c r="Y775">
        <v>0</v>
      </c>
      <c r="Z775">
        <v>5.5</v>
      </c>
      <c r="AA775">
        <v>3.6541936855533114E-2</v>
      </c>
      <c r="AB775">
        <v>26</v>
      </c>
      <c r="AC775">
        <v>11.815555555555555</v>
      </c>
      <c r="AD775">
        <v>22</v>
      </c>
      <c r="AI77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0.18444444444444485</v>
      </c>
      <c r="AK775" t="s">
        <v>492</v>
      </c>
      <c r="AN775">
        <f>INT(Table1[[#This Row],[reject_prod]]/Table1[[#This Row],[part_weight]] * 1000)</f>
        <v>239</v>
      </c>
    </row>
    <row r="776" spans="1:40">
      <c r="A776" s="1">
        <v>46046</v>
      </c>
      <c r="B776">
        <v>2</v>
      </c>
      <c r="C776">
        <v>4</v>
      </c>
      <c r="F776">
        <v>123456</v>
      </c>
      <c r="G776">
        <v>0</v>
      </c>
      <c r="M776">
        <v>0</v>
      </c>
      <c r="N776" s="2">
        <v>0</v>
      </c>
      <c r="O776" s="2">
        <v>0</v>
      </c>
      <c r="P776" s="2">
        <v>0</v>
      </c>
      <c r="Q776" s="2"/>
      <c r="R776" s="2">
        <v>0</v>
      </c>
      <c r="T776" s="2">
        <v>0</v>
      </c>
      <c r="U776" s="2"/>
      <c r="X776">
        <v>0</v>
      </c>
      <c r="Z776">
        <v>0</v>
      </c>
      <c r="AB776">
        <v>0</v>
      </c>
      <c r="AC776">
        <v>0</v>
      </c>
      <c r="AD776">
        <v>0</v>
      </c>
      <c r="AI77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776">
        <v>12</v>
      </c>
      <c r="AK776" t="s">
        <v>116</v>
      </c>
      <c r="AN776">
        <v>0</v>
      </c>
    </row>
    <row r="777" spans="1:40">
      <c r="A777" s="1">
        <v>46046</v>
      </c>
      <c r="B777">
        <v>2</v>
      </c>
      <c r="C777">
        <v>5</v>
      </c>
      <c r="F777">
        <v>123456</v>
      </c>
      <c r="G777">
        <v>0</v>
      </c>
      <c r="M777">
        <v>0</v>
      </c>
      <c r="N777" s="2">
        <v>0</v>
      </c>
      <c r="O777" s="2">
        <v>0</v>
      </c>
      <c r="P777" s="2">
        <v>0</v>
      </c>
      <c r="Q777" s="2"/>
      <c r="R777" s="2">
        <v>0</v>
      </c>
      <c r="T777" s="2">
        <v>0</v>
      </c>
      <c r="U777" s="2"/>
      <c r="X777">
        <v>0</v>
      </c>
      <c r="Z777">
        <v>0</v>
      </c>
      <c r="AB777">
        <v>0</v>
      </c>
      <c r="AC777">
        <v>0</v>
      </c>
      <c r="AD777">
        <v>0</v>
      </c>
      <c r="AI77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777">
        <v>12</v>
      </c>
      <c r="AK777" t="s">
        <v>116</v>
      </c>
      <c r="AN777">
        <v>0</v>
      </c>
    </row>
    <row r="778" spans="1:40">
      <c r="A778" s="1">
        <v>46046</v>
      </c>
      <c r="B778">
        <v>2</v>
      </c>
      <c r="C778">
        <v>6</v>
      </c>
      <c r="D778" t="s">
        <v>67</v>
      </c>
      <c r="E778" t="s">
        <v>34</v>
      </c>
      <c r="F778">
        <v>322412</v>
      </c>
      <c r="G778">
        <v>0</v>
      </c>
      <c r="H778" t="s">
        <v>487</v>
      </c>
      <c r="I778">
        <v>10685211</v>
      </c>
      <c r="J778">
        <v>4</v>
      </c>
      <c r="K778">
        <v>24.3</v>
      </c>
      <c r="L778">
        <v>24</v>
      </c>
      <c r="M778">
        <v>1835</v>
      </c>
      <c r="N778" s="2">
        <v>13680</v>
      </c>
      <c r="O778" s="2">
        <v>1368</v>
      </c>
      <c r="P778" s="2">
        <v>3192</v>
      </c>
      <c r="Q778" s="2">
        <v>7340</v>
      </c>
      <c r="R778" s="2">
        <v>5472</v>
      </c>
      <c r="S778">
        <v>131.328</v>
      </c>
      <c r="T778" s="2">
        <v>8664</v>
      </c>
      <c r="U778" s="2">
        <v>5016</v>
      </c>
      <c r="V778">
        <v>176.16</v>
      </c>
      <c r="W778">
        <v>2.2020000000000048</v>
      </c>
      <c r="X778">
        <v>0</v>
      </c>
      <c r="Y778">
        <v>0</v>
      </c>
      <c r="Z778">
        <v>3.4</v>
      </c>
      <c r="AA778">
        <v>1.930063578564941E-2</v>
      </c>
      <c r="AB778">
        <v>23.6</v>
      </c>
      <c r="AC778">
        <v>12</v>
      </c>
      <c r="AD778">
        <v>20</v>
      </c>
      <c r="AI77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778" t="s">
        <v>168</v>
      </c>
      <c r="AN778">
        <f>INT(Table1[[#This Row],[reject_prod]]/Table1[[#This Row],[part_weight]] * 1000)</f>
        <v>141</v>
      </c>
    </row>
    <row r="779" spans="1:40">
      <c r="A779" s="1">
        <v>46046</v>
      </c>
      <c r="B779">
        <v>2</v>
      </c>
      <c r="C779">
        <v>7</v>
      </c>
      <c r="F779">
        <v>123456</v>
      </c>
      <c r="G779">
        <v>0</v>
      </c>
      <c r="M779">
        <v>0</v>
      </c>
      <c r="N779" s="2">
        <v>0</v>
      </c>
      <c r="O779" s="2">
        <v>0</v>
      </c>
      <c r="P779" s="2">
        <v>0</v>
      </c>
      <c r="Q779" s="2"/>
      <c r="R779" s="2">
        <v>0</v>
      </c>
      <c r="T779" s="2">
        <v>0</v>
      </c>
      <c r="U779" s="2"/>
      <c r="X779">
        <v>0</v>
      </c>
      <c r="Z779">
        <v>0</v>
      </c>
      <c r="AB779">
        <v>0</v>
      </c>
      <c r="AC779">
        <v>0</v>
      </c>
      <c r="AD779">
        <v>0</v>
      </c>
      <c r="AI77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779">
        <v>12</v>
      </c>
      <c r="AK779" t="s">
        <v>116</v>
      </c>
      <c r="AN779">
        <v>0</v>
      </c>
    </row>
    <row r="780" spans="1:40">
      <c r="A780" s="1">
        <v>46046</v>
      </c>
      <c r="B780">
        <v>2</v>
      </c>
      <c r="C780">
        <v>8</v>
      </c>
      <c r="D780" t="s">
        <v>483</v>
      </c>
      <c r="E780" t="s">
        <v>41</v>
      </c>
      <c r="F780">
        <v>593537</v>
      </c>
      <c r="G780">
        <v>0</v>
      </c>
      <c r="H780" t="s">
        <v>48</v>
      </c>
      <c r="I780">
        <v>10685022</v>
      </c>
      <c r="J780">
        <v>4</v>
      </c>
      <c r="K780">
        <v>56.5</v>
      </c>
      <c r="L780">
        <v>56.8</v>
      </c>
      <c r="M780">
        <v>1425</v>
      </c>
      <c r="N780" s="2">
        <v>69000</v>
      </c>
      <c r="O780" s="2">
        <v>80</v>
      </c>
      <c r="P780" s="2">
        <v>115</v>
      </c>
      <c r="Q780" s="2">
        <v>5700</v>
      </c>
      <c r="R780" s="2">
        <v>5750</v>
      </c>
      <c r="S780">
        <v>326.60000000000002</v>
      </c>
      <c r="T780" s="2">
        <v>57615</v>
      </c>
      <c r="U780" s="2">
        <v>11385</v>
      </c>
      <c r="V780">
        <v>323.76</v>
      </c>
      <c r="W780">
        <v>0</v>
      </c>
      <c r="X780">
        <v>0</v>
      </c>
      <c r="Y780">
        <v>0</v>
      </c>
      <c r="Z780">
        <v>1</v>
      </c>
      <c r="AA780">
        <v>3.0887076847047196E-3</v>
      </c>
      <c r="AB780">
        <v>30.4</v>
      </c>
      <c r="AC780">
        <v>12</v>
      </c>
      <c r="AD780">
        <v>28.5</v>
      </c>
      <c r="AI78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780" t="s">
        <v>51</v>
      </c>
      <c r="AN780">
        <f>INT(Table1[[#This Row],[reject_prod]]/Table1[[#This Row],[part_weight]] * 1000)</f>
        <v>17</v>
      </c>
    </row>
    <row r="781" spans="1:40">
      <c r="A781" s="1">
        <v>46046</v>
      </c>
      <c r="B781">
        <v>2</v>
      </c>
      <c r="C781">
        <v>9</v>
      </c>
      <c r="F781">
        <v>123456</v>
      </c>
      <c r="G781">
        <v>0</v>
      </c>
      <c r="M781">
        <v>0</v>
      </c>
      <c r="N781" s="2">
        <v>0</v>
      </c>
      <c r="O781" s="2">
        <v>0</v>
      </c>
      <c r="P781" s="2">
        <v>0</v>
      </c>
      <c r="Q781" s="2"/>
      <c r="R781" s="2">
        <v>0</v>
      </c>
      <c r="T781" s="2">
        <v>0</v>
      </c>
      <c r="U781" s="2"/>
      <c r="X781">
        <v>0</v>
      </c>
      <c r="Z781">
        <v>0</v>
      </c>
      <c r="AB781">
        <v>0</v>
      </c>
      <c r="AC781">
        <v>0</v>
      </c>
      <c r="AD781">
        <v>0</v>
      </c>
      <c r="AI78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781">
        <v>12</v>
      </c>
      <c r="AK781" t="s">
        <v>116</v>
      </c>
      <c r="AN781">
        <v>0</v>
      </c>
    </row>
    <row r="782" spans="1:40">
      <c r="A782" s="1">
        <v>46046</v>
      </c>
      <c r="B782">
        <v>2</v>
      </c>
      <c r="C782">
        <v>10</v>
      </c>
      <c r="F782">
        <v>123456</v>
      </c>
      <c r="G782">
        <v>0</v>
      </c>
      <c r="M782">
        <v>0</v>
      </c>
      <c r="N782" s="2">
        <v>0</v>
      </c>
      <c r="O782" s="2">
        <v>0</v>
      </c>
      <c r="P782" s="2">
        <v>0</v>
      </c>
      <c r="Q782" s="2"/>
      <c r="R782" s="2">
        <v>0</v>
      </c>
      <c r="T782" s="2">
        <v>0</v>
      </c>
      <c r="U782" s="2"/>
      <c r="X782">
        <v>0</v>
      </c>
      <c r="Z782">
        <v>0</v>
      </c>
      <c r="AB782">
        <v>0</v>
      </c>
      <c r="AC782">
        <v>0</v>
      </c>
      <c r="AD782">
        <v>0</v>
      </c>
      <c r="AI78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782">
        <v>12</v>
      </c>
      <c r="AK782" t="s">
        <v>116</v>
      </c>
      <c r="AN782">
        <v>0</v>
      </c>
    </row>
    <row r="783" spans="1:40">
      <c r="A783" s="1">
        <v>46046</v>
      </c>
      <c r="B783">
        <v>2</v>
      </c>
      <c r="C783">
        <v>11</v>
      </c>
      <c r="D783" t="s">
        <v>61</v>
      </c>
      <c r="E783" t="s">
        <v>46</v>
      </c>
      <c r="F783">
        <v>552181</v>
      </c>
      <c r="G783">
        <v>1</v>
      </c>
      <c r="H783" t="s">
        <v>49</v>
      </c>
      <c r="I783">
        <v>10683783</v>
      </c>
      <c r="J783">
        <v>6</v>
      </c>
      <c r="K783">
        <v>18.8</v>
      </c>
      <c r="L783">
        <v>18.8</v>
      </c>
      <c r="M783">
        <v>1400</v>
      </c>
      <c r="N783" s="2">
        <v>108000</v>
      </c>
      <c r="O783" s="2">
        <v>1080</v>
      </c>
      <c r="P783" s="2">
        <v>4050</v>
      </c>
      <c r="Q783" s="2">
        <v>8400</v>
      </c>
      <c r="R783" s="2">
        <v>5400</v>
      </c>
      <c r="S783">
        <v>101.52</v>
      </c>
      <c r="T783" s="2">
        <v>63450</v>
      </c>
      <c r="U783" s="2">
        <v>44550</v>
      </c>
      <c r="V783">
        <v>157.91999999999999</v>
      </c>
      <c r="W783">
        <v>0</v>
      </c>
      <c r="X783">
        <v>0</v>
      </c>
      <c r="Y783">
        <v>0</v>
      </c>
      <c r="Z783">
        <v>6.7</v>
      </c>
      <c r="AA783">
        <v>4.2426545086119559E-2</v>
      </c>
      <c r="AB783">
        <v>29.6</v>
      </c>
      <c r="AC783">
        <v>11.511111111111111</v>
      </c>
      <c r="AD783">
        <v>27</v>
      </c>
      <c r="AI78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0.48888888888888893</v>
      </c>
      <c r="AK783" t="s">
        <v>480</v>
      </c>
      <c r="AN783">
        <f>INT(Table1[[#This Row],[reject_prod]]/Table1[[#This Row],[part_weight]] * 1000)</f>
        <v>356</v>
      </c>
    </row>
    <row r="784" spans="1:40">
      <c r="A784" s="1">
        <v>46046</v>
      </c>
      <c r="B784">
        <v>2</v>
      </c>
      <c r="C784">
        <v>12</v>
      </c>
      <c r="F784">
        <v>123456</v>
      </c>
      <c r="G784">
        <v>0</v>
      </c>
      <c r="M784">
        <v>0</v>
      </c>
      <c r="N784" s="2">
        <v>0</v>
      </c>
      <c r="O784" s="2">
        <v>0</v>
      </c>
      <c r="P784" s="2">
        <v>0</v>
      </c>
      <c r="Q784" s="2"/>
      <c r="R784" s="2">
        <v>0</v>
      </c>
      <c r="T784" s="2">
        <v>0</v>
      </c>
      <c r="U784" s="2"/>
      <c r="X784">
        <v>0</v>
      </c>
      <c r="Z784">
        <v>0</v>
      </c>
      <c r="AB784">
        <v>0</v>
      </c>
      <c r="AC784">
        <v>0</v>
      </c>
      <c r="AD784">
        <v>0</v>
      </c>
      <c r="AI78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784">
        <v>12</v>
      </c>
      <c r="AK784" t="s">
        <v>116</v>
      </c>
      <c r="AN784">
        <v>0</v>
      </c>
    </row>
    <row r="785" spans="1:40">
      <c r="A785" s="1">
        <v>46046</v>
      </c>
      <c r="B785">
        <v>2</v>
      </c>
      <c r="C785">
        <v>13</v>
      </c>
      <c r="D785" t="s">
        <v>61</v>
      </c>
      <c r="E785" t="s">
        <v>46</v>
      </c>
      <c r="F785">
        <v>586276</v>
      </c>
      <c r="G785">
        <v>0</v>
      </c>
      <c r="H785" t="s">
        <v>47</v>
      </c>
      <c r="I785">
        <v>10684862</v>
      </c>
      <c r="J785">
        <v>6</v>
      </c>
      <c r="K785">
        <v>12.3</v>
      </c>
      <c r="L785">
        <v>12.3</v>
      </c>
      <c r="M785">
        <v>1652</v>
      </c>
      <c r="N785" s="2">
        <v>162000</v>
      </c>
      <c r="O785" s="2">
        <v>2835</v>
      </c>
      <c r="P785" s="2">
        <v>4455</v>
      </c>
      <c r="Q785" s="2">
        <v>9912</v>
      </c>
      <c r="R785" s="2">
        <v>8100</v>
      </c>
      <c r="S785">
        <v>99.63</v>
      </c>
      <c r="T785" s="2">
        <v>44955</v>
      </c>
      <c r="U785" s="2">
        <v>117045</v>
      </c>
      <c r="V785">
        <v>121.91760000000001</v>
      </c>
      <c r="W785">
        <v>0</v>
      </c>
      <c r="X785">
        <v>0</v>
      </c>
      <c r="Y785">
        <v>0</v>
      </c>
      <c r="Z785">
        <v>1.2</v>
      </c>
      <c r="AA785">
        <v>9.8427134392409295E-3</v>
      </c>
      <c r="AB785">
        <v>26.2</v>
      </c>
      <c r="AC785">
        <v>12</v>
      </c>
      <c r="AD785">
        <v>26</v>
      </c>
      <c r="AI78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785" t="s">
        <v>51</v>
      </c>
      <c r="AN785">
        <f>INT(Table1[[#This Row],[reject_prod]]/Table1[[#This Row],[part_weight]] * 1000)</f>
        <v>97</v>
      </c>
    </row>
    <row r="786" spans="1:40">
      <c r="A786" s="1">
        <v>46046</v>
      </c>
      <c r="B786">
        <v>2</v>
      </c>
      <c r="C786">
        <v>14</v>
      </c>
      <c r="F786">
        <v>123456</v>
      </c>
      <c r="G786">
        <v>0</v>
      </c>
      <c r="M786">
        <v>0</v>
      </c>
      <c r="N786" s="2">
        <v>0</v>
      </c>
      <c r="O786" s="2">
        <v>0</v>
      </c>
      <c r="P786" s="2">
        <v>0</v>
      </c>
      <c r="Q786" s="2"/>
      <c r="R786" s="2">
        <v>0</v>
      </c>
      <c r="T786" s="2">
        <v>0</v>
      </c>
      <c r="U786" s="2"/>
      <c r="X786">
        <v>0</v>
      </c>
      <c r="Z786">
        <v>0</v>
      </c>
      <c r="AB786">
        <v>0</v>
      </c>
      <c r="AC786">
        <v>0</v>
      </c>
      <c r="AD786">
        <v>0</v>
      </c>
      <c r="AI78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786">
        <v>12</v>
      </c>
      <c r="AK786" t="s">
        <v>116</v>
      </c>
      <c r="AN786">
        <v>0</v>
      </c>
    </row>
    <row r="787" spans="1:40">
      <c r="A787" s="1">
        <v>46046</v>
      </c>
      <c r="B787">
        <v>2</v>
      </c>
      <c r="C787">
        <v>15</v>
      </c>
      <c r="D787" t="s">
        <v>61</v>
      </c>
      <c r="E787" t="s">
        <v>46</v>
      </c>
      <c r="F787">
        <v>552181</v>
      </c>
      <c r="G787">
        <v>2</v>
      </c>
      <c r="H787" t="s">
        <v>49</v>
      </c>
      <c r="I787">
        <v>10683787</v>
      </c>
      <c r="J787">
        <v>6</v>
      </c>
      <c r="K787">
        <v>18.8</v>
      </c>
      <c r="L787">
        <v>18.8</v>
      </c>
      <c r="M787">
        <v>1386</v>
      </c>
      <c r="N787" s="2">
        <v>108000</v>
      </c>
      <c r="O787" s="2">
        <v>1620</v>
      </c>
      <c r="P787" s="2">
        <v>4320</v>
      </c>
      <c r="Q787" s="2">
        <v>8316</v>
      </c>
      <c r="R787" s="2">
        <v>5400</v>
      </c>
      <c r="S787">
        <v>101.52</v>
      </c>
      <c r="T787" s="2">
        <v>47520</v>
      </c>
      <c r="U787" s="2">
        <v>60480</v>
      </c>
      <c r="V787">
        <v>156.34080000000003</v>
      </c>
      <c r="W787">
        <v>0</v>
      </c>
      <c r="X787">
        <v>0</v>
      </c>
      <c r="Y787">
        <v>0</v>
      </c>
      <c r="Z787">
        <v>2.5</v>
      </c>
      <c r="AA787">
        <v>1.5990707480069179E-2</v>
      </c>
      <c r="AB787">
        <v>31.2</v>
      </c>
      <c r="AC787">
        <v>12</v>
      </c>
      <c r="AD787">
        <v>27</v>
      </c>
      <c r="AI78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787" t="s">
        <v>51</v>
      </c>
      <c r="AN787">
        <f>INT(Table1[[#This Row],[reject_prod]]/Table1[[#This Row],[part_weight]] * 1000)</f>
        <v>132</v>
      </c>
    </row>
    <row r="788" spans="1:40" s="4" customFormat="1">
      <c r="A788" s="3">
        <v>46046</v>
      </c>
      <c r="B788" s="4">
        <v>2</v>
      </c>
      <c r="C788" s="4">
        <v>16</v>
      </c>
      <c r="D788" s="4" t="s">
        <v>306</v>
      </c>
      <c r="E788" s="4" t="s">
        <v>46</v>
      </c>
      <c r="F788" s="4">
        <v>555979</v>
      </c>
      <c r="G788" s="4">
        <v>2</v>
      </c>
      <c r="H788" s="4" t="s">
        <v>52</v>
      </c>
      <c r="I788" s="4">
        <v>10684863</v>
      </c>
      <c r="J788" s="4">
        <v>6</v>
      </c>
      <c r="K788" s="4">
        <v>28</v>
      </c>
      <c r="L788" s="4">
        <v>28</v>
      </c>
      <c r="M788" s="4">
        <v>984</v>
      </c>
      <c r="N788" s="5">
        <v>100800</v>
      </c>
      <c r="O788" s="5">
        <v>1008</v>
      </c>
      <c r="P788" s="5">
        <v>168</v>
      </c>
      <c r="Q788" s="5">
        <v>5904</v>
      </c>
      <c r="R788" s="5">
        <v>6720</v>
      </c>
      <c r="S788" s="4">
        <v>188.16</v>
      </c>
      <c r="T788" s="5">
        <v>13608</v>
      </c>
      <c r="U788" s="5">
        <v>87192</v>
      </c>
      <c r="V788" s="4">
        <v>165.31200000000001</v>
      </c>
      <c r="W788" s="4">
        <v>0</v>
      </c>
      <c r="X788" s="4">
        <v>0</v>
      </c>
      <c r="Y788" s="4">
        <v>0</v>
      </c>
      <c r="Z788" s="4">
        <v>2.4</v>
      </c>
      <c r="AA788" s="4">
        <v>1.451800232288037E-2</v>
      </c>
      <c r="AB788" s="4">
        <v>43.4</v>
      </c>
      <c r="AC788" s="4">
        <v>11.862666666666666</v>
      </c>
      <c r="AD788" s="4">
        <v>42</v>
      </c>
      <c r="AI78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0.1373333333333342</v>
      </c>
      <c r="AK788" s="4" t="s">
        <v>51</v>
      </c>
      <c r="AN788" s="4">
        <f>INT(Table1[[#This Row],[reject_prod]]/Table1[[#This Row],[part_weight]] * 1000)</f>
        <v>85</v>
      </c>
    </row>
    <row r="789" spans="1:40">
      <c r="A789" s="1">
        <v>46047</v>
      </c>
      <c r="B789">
        <v>1</v>
      </c>
      <c r="C789">
        <v>1</v>
      </c>
      <c r="D789" t="s">
        <v>88</v>
      </c>
      <c r="E789" t="s">
        <v>34</v>
      </c>
      <c r="F789">
        <v>577492</v>
      </c>
      <c r="G789">
        <v>0</v>
      </c>
      <c r="H789" t="s">
        <v>341</v>
      </c>
      <c r="I789">
        <v>10684028</v>
      </c>
      <c r="J789">
        <v>4</v>
      </c>
      <c r="K789">
        <v>35.6</v>
      </c>
      <c r="L789">
        <v>35.6</v>
      </c>
      <c r="M789">
        <v>1564</v>
      </c>
      <c r="N789" s="2">
        <v>101200</v>
      </c>
      <c r="O789" s="2">
        <v>736</v>
      </c>
      <c r="P789" s="2">
        <v>1472</v>
      </c>
      <c r="Q789" s="2">
        <v>6256</v>
      </c>
      <c r="R789" s="2">
        <v>5520</v>
      </c>
      <c r="S789">
        <v>196.512</v>
      </c>
      <c r="T789" s="2">
        <v>64032</v>
      </c>
      <c r="U789" s="2">
        <v>37168</v>
      </c>
      <c r="V789">
        <v>222.71360000000001</v>
      </c>
      <c r="W789">
        <v>0</v>
      </c>
      <c r="X789">
        <v>0</v>
      </c>
      <c r="Y789">
        <v>0</v>
      </c>
      <c r="Z789">
        <v>1.2</v>
      </c>
      <c r="AA789">
        <v>5.3880858645363365E-3</v>
      </c>
      <c r="AB789">
        <v>27.1</v>
      </c>
      <c r="AC789">
        <v>11.773444444444445</v>
      </c>
      <c r="AD789">
        <v>27</v>
      </c>
      <c r="AI78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0.22655555555555473</v>
      </c>
      <c r="AK789" t="s">
        <v>470</v>
      </c>
      <c r="AN789">
        <f>INT(Table1[[#This Row],[reject_prod]]/Table1[[#This Row],[part_weight]] * 1000)</f>
        <v>33</v>
      </c>
    </row>
    <row r="790" spans="1:40">
      <c r="A790" s="1">
        <v>46047</v>
      </c>
      <c r="B790">
        <v>1</v>
      </c>
      <c r="C790">
        <v>2</v>
      </c>
      <c r="F790">
        <v>123456</v>
      </c>
      <c r="G790">
        <v>0</v>
      </c>
      <c r="M790">
        <v>0</v>
      </c>
      <c r="N790" s="2">
        <v>0</v>
      </c>
      <c r="O790" s="2">
        <v>0</v>
      </c>
      <c r="P790" s="2">
        <v>0</v>
      </c>
      <c r="Q790" s="2"/>
      <c r="R790" s="2">
        <v>0</v>
      </c>
      <c r="T790" s="2">
        <v>0</v>
      </c>
      <c r="U790" s="2"/>
      <c r="X790">
        <v>0</v>
      </c>
      <c r="Z790">
        <v>0</v>
      </c>
      <c r="AB790">
        <v>0</v>
      </c>
      <c r="AC790">
        <v>0</v>
      </c>
      <c r="AD790">
        <v>0</v>
      </c>
      <c r="AI79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790">
        <v>12</v>
      </c>
      <c r="AK790" t="s">
        <v>116</v>
      </c>
      <c r="AN790">
        <v>0</v>
      </c>
    </row>
    <row r="791" spans="1:40">
      <c r="A791" s="1">
        <v>46047</v>
      </c>
      <c r="B791">
        <v>1</v>
      </c>
      <c r="C791">
        <v>3</v>
      </c>
      <c r="D791" t="s">
        <v>59</v>
      </c>
      <c r="E791" t="s">
        <v>34</v>
      </c>
      <c r="F791">
        <v>442034</v>
      </c>
      <c r="G791">
        <v>0</v>
      </c>
      <c r="H791" t="s">
        <v>37</v>
      </c>
      <c r="I791">
        <v>10681184</v>
      </c>
      <c r="J791">
        <v>4</v>
      </c>
      <c r="K791">
        <v>23</v>
      </c>
      <c r="L791">
        <v>23</v>
      </c>
      <c r="M791">
        <v>1632</v>
      </c>
      <c r="N791" s="2">
        <v>139776</v>
      </c>
      <c r="O791" s="2">
        <v>2688</v>
      </c>
      <c r="P791" s="2">
        <v>0</v>
      </c>
      <c r="Q791" s="2">
        <v>6528</v>
      </c>
      <c r="R791" s="2">
        <v>9216</v>
      </c>
      <c r="S791">
        <v>211.96799999999999</v>
      </c>
      <c r="T791" s="2">
        <v>55296</v>
      </c>
      <c r="U791" s="2">
        <v>84480</v>
      </c>
      <c r="V791">
        <v>150.14400000000001</v>
      </c>
      <c r="W791">
        <v>0</v>
      </c>
      <c r="X791">
        <v>0</v>
      </c>
      <c r="Y791">
        <v>0</v>
      </c>
      <c r="Z791">
        <v>3.2</v>
      </c>
      <c r="AA791">
        <v>2.1312872975277068E-2</v>
      </c>
      <c r="AB791">
        <v>26.2</v>
      </c>
      <c r="AC791">
        <v>11.877333333333334</v>
      </c>
      <c r="AD791">
        <v>22</v>
      </c>
      <c r="AI79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0.12266666666666559</v>
      </c>
      <c r="AK791" t="s">
        <v>499</v>
      </c>
      <c r="AN791">
        <f>INT(Table1[[#This Row],[reject_prod]]/Table1[[#This Row],[part_weight]] * 1000)</f>
        <v>139</v>
      </c>
    </row>
    <row r="792" spans="1:40">
      <c r="A792" s="1">
        <v>46047</v>
      </c>
      <c r="B792">
        <v>1</v>
      </c>
      <c r="C792">
        <v>4</v>
      </c>
      <c r="F792">
        <v>123456</v>
      </c>
      <c r="G792">
        <v>0</v>
      </c>
      <c r="M792">
        <v>0</v>
      </c>
      <c r="N792" s="2">
        <v>0</v>
      </c>
      <c r="O792" s="2">
        <v>0</v>
      </c>
      <c r="P792" s="2">
        <v>0</v>
      </c>
      <c r="Q792" s="2"/>
      <c r="R792" s="2">
        <v>0</v>
      </c>
      <c r="T792" s="2">
        <v>0</v>
      </c>
      <c r="U792" s="2"/>
      <c r="X792">
        <v>0</v>
      </c>
      <c r="Z792">
        <v>0</v>
      </c>
      <c r="AB792">
        <v>0</v>
      </c>
      <c r="AC792">
        <v>0</v>
      </c>
      <c r="AD792">
        <v>0</v>
      </c>
      <c r="AI79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792">
        <v>12</v>
      </c>
      <c r="AK792" t="s">
        <v>116</v>
      </c>
      <c r="AN792">
        <v>0</v>
      </c>
    </row>
    <row r="793" spans="1:40">
      <c r="A793" s="1">
        <v>46047</v>
      </c>
      <c r="B793">
        <v>1</v>
      </c>
      <c r="C793">
        <v>5</v>
      </c>
      <c r="D793" t="s">
        <v>33</v>
      </c>
      <c r="E793" t="s">
        <v>34</v>
      </c>
      <c r="F793">
        <v>322383</v>
      </c>
      <c r="G793">
        <v>0</v>
      </c>
      <c r="H793" t="s">
        <v>71</v>
      </c>
      <c r="I793">
        <v>10682756</v>
      </c>
      <c r="J793">
        <v>4</v>
      </c>
      <c r="K793">
        <v>12.5</v>
      </c>
      <c r="L793">
        <v>12.5</v>
      </c>
      <c r="M793">
        <v>0</v>
      </c>
      <c r="N793" s="2">
        <v>66000</v>
      </c>
      <c r="O793" s="2">
        <v>4400</v>
      </c>
      <c r="P793" s="2">
        <v>4400</v>
      </c>
      <c r="Q793" s="2">
        <v>0</v>
      </c>
      <c r="R793" s="2">
        <v>0</v>
      </c>
      <c r="S793">
        <v>0</v>
      </c>
      <c r="T793" s="2">
        <v>57200</v>
      </c>
      <c r="U793" s="2">
        <v>8800</v>
      </c>
      <c r="V793">
        <v>0</v>
      </c>
      <c r="W793">
        <v>0</v>
      </c>
      <c r="X793">
        <v>0</v>
      </c>
      <c r="Y793" t="e">
        <v>#DIV/0!</v>
      </c>
      <c r="Z793">
        <v>0</v>
      </c>
      <c r="AA793" t="e">
        <v>#DIV/0!</v>
      </c>
      <c r="AB793">
        <v>20.9</v>
      </c>
      <c r="AC793">
        <v>0</v>
      </c>
      <c r="AD793">
        <v>17.920000000000002</v>
      </c>
      <c r="AH793">
        <v>12</v>
      </c>
      <c r="AI79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793" t="s">
        <v>500</v>
      </c>
      <c r="AN793">
        <f>INT(Table1[[#This Row],[reject_prod]]/Table1[[#This Row],[part_weight]] * 1000)</f>
        <v>0</v>
      </c>
    </row>
    <row r="794" spans="1:40">
      <c r="A794" s="1">
        <v>46047</v>
      </c>
      <c r="B794">
        <v>1</v>
      </c>
      <c r="C794">
        <v>6</v>
      </c>
      <c r="D794" t="s">
        <v>53</v>
      </c>
      <c r="E794" t="s">
        <v>34</v>
      </c>
      <c r="F794">
        <v>322412</v>
      </c>
      <c r="G794">
        <v>0</v>
      </c>
      <c r="H794" t="s">
        <v>487</v>
      </c>
      <c r="I794">
        <v>10685211</v>
      </c>
      <c r="J794">
        <v>4</v>
      </c>
      <c r="K794">
        <v>24.3</v>
      </c>
      <c r="L794">
        <v>24</v>
      </c>
      <c r="M794">
        <v>1275</v>
      </c>
      <c r="N794" s="2">
        <v>13680</v>
      </c>
      <c r="O794" s="2">
        <v>3192</v>
      </c>
      <c r="P794" s="2">
        <v>0</v>
      </c>
      <c r="Q794" s="2">
        <v>5100</v>
      </c>
      <c r="R794" s="2">
        <v>8208</v>
      </c>
      <c r="S794">
        <v>196.99199999999999</v>
      </c>
      <c r="T794" s="2">
        <v>13680</v>
      </c>
      <c r="U794" s="2">
        <v>0</v>
      </c>
      <c r="V794">
        <v>122.4</v>
      </c>
      <c r="W794">
        <v>1.5300000000000036</v>
      </c>
      <c r="X794">
        <v>0</v>
      </c>
      <c r="Y794">
        <v>0</v>
      </c>
      <c r="Z794">
        <v>11.3</v>
      </c>
      <c r="AA794">
        <v>9.2320261437908502E-2</v>
      </c>
      <c r="AB794">
        <v>23.6</v>
      </c>
      <c r="AC794">
        <v>8.3583333333333343</v>
      </c>
      <c r="AD794">
        <v>20</v>
      </c>
      <c r="AI79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3.6416666666666657</v>
      </c>
      <c r="AK794" t="s">
        <v>102</v>
      </c>
      <c r="AN794">
        <f>INT(Table1[[#This Row],[reject_prod]]/Table1[[#This Row],[part_weight]] * 1000)</f>
        <v>470</v>
      </c>
    </row>
    <row r="795" spans="1:40">
      <c r="A795" s="1">
        <v>46047</v>
      </c>
      <c r="B795">
        <v>1</v>
      </c>
      <c r="C795">
        <v>6</v>
      </c>
      <c r="D795" t="s">
        <v>53</v>
      </c>
      <c r="E795" t="s">
        <v>34</v>
      </c>
      <c r="F795">
        <v>322412</v>
      </c>
      <c r="G795">
        <v>0</v>
      </c>
      <c r="H795" t="s">
        <v>487</v>
      </c>
      <c r="I795">
        <v>10685212</v>
      </c>
      <c r="J795">
        <v>4</v>
      </c>
      <c r="K795">
        <v>24.3</v>
      </c>
      <c r="L795">
        <v>24</v>
      </c>
      <c r="M795">
        <v>280</v>
      </c>
      <c r="N795" s="2">
        <v>40600</v>
      </c>
      <c r="O795" s="2">
        <v>0</v>
      </c>
      <c r="P795" s="2">
        <v>1015</v>
      </c>
      <c r="Q795" s="2">
        <v>1120</v>
      </c>
      <c r="R795" s="2">
        <v>0</v>
      </c>
      <c r="S795">
        <v>0</v>
      </c>
      <c r="T795" s="2">
        <v>1015</v>
      </c>
      <c r="U795" s="2">
        <v>39585</v>
      </c>
      <c r="V795">
        <v>26.88</v>
      </c>
      <c r="W795">
        <v>0.3360000000000008</v>
      </c>
      <c r="X795">
        <v>0</v>
      </c>
      <c r="Y795">
        <v>0</v>
      </c>
      <c r="Z795">
        <v>0</v>
      </c>
      <c r="AA795">
        <v>0</v>
      </c>
      <c r="AB795">
        <v>23.6</v>
      </c>
      <c r="AC795">
        <v>1.8355555555555556</v>
      </c>
      <c r="AD795">
        <v>20</v>
      </c>
      <c r="AI79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10.164444444444445</v>
      </c>
      <c r="AK795" t="s">
        <v>501</v>
      </c>
      <c r="AN795">
        <f>INT(Table1[[#This Row],[reject_prod]]/Table1[[#This Row],[part_weight]] * 1000)</f>
        <v>0</v>
      </c>
    </row>
    <row r="796" spans="1:40">
      <c r="A796" s="1">
        <v>46047</v>
      </c>
      <c r="B796">
        <v>1</v>
      </c>
      <c r="C796">
        <v>7</v>
      </c>
      <c r="D796" t="s">
        <v>33</v>
      </c>
      <c r="E796" t="s">
        <v>34</v>
      </c>
      <c r="F796">
        <v>647556</v>
      </c>
      <c r="G796">
        <v>0</v>
      </c>
      <c r="H796" t="s">
        <v>458</v>
      </c>
      <c r="I796">
        <v>10683858</v>
      </c>
      <c r="J796">
        <v>4</v>
      </c>
      <c r="K796">
        <v>35</v>
      </c>
      <c r="L796">
        <v>34.5</v>
      </c>
      <c r="M796">
        <v>0</v>
      </c>
      <c r="N796" s="2">
        <v>27720</v>
      </c>
      <c r="O796" s="2">
        <v>0</v>
      </c>
      <c r="P796" s="2">
        <v>0</v>
      </c>
      <c r="Q796" s="2">
        <v>0</v>
      </c>
      <c r="R796" s="2">
        <v>0</v>
      </c>
      <c r="S796">
        <v>0</v>
      </c>
      <c r="T796" s="2">
        <v>10608</v>
      </c>
      <c r="U796" s="2">
        <v>17112</v>
      </c>
      <c r="V796">
        <v>0</v>
      </c>
      <c r="W796">
        <v>0</v>
      </c>
      <c r="X796">
        <v>0</v>
      </c>
      <c r="Y796" t="e">
        <v>#DIV/0!</v>
      </c>
      <c r="Z796">
        <v>0</v>
      </c>
      <c r="AA796" t="e">
        <v>#DIV/0!</v>
      </c>
      <c r="AB796">
        <v>22</v>
      </c>
      <c r="AC796">
        <v>0</v>
      </c>
      <c r="AD796">
        <v>20.399999999999999</v>
      </c>
      <c r="AI79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796" t="s">
        <v>502</v>
      </c>
      <c r="AN796">
        <f>INT(Table1[[#This Row],[reject_prod]]/Table1[[#This Row],[part_weight]] * 1000)</f>
        <v>0</v>
      </c>
    </row>
    <row r="797" spans="1:40">
      <c r="A797" s="1">
        <v>46047</v>
      </c>
      <c r="B797">
        <v>1</v>
      </c>
      <c r="C797">
        <v>8</v>
      </c>
      <c r="D797" t="s">
        <v>493</v>
      </c>
      <c r="E797" t="s">
        <v>41</v>
      </c>
      <c r="F797">
        <v>593537</v>
      </c>
      <c r="G797">
        <v>0</v>
      </c>
      <c r="H797" t="s">
        <v>48</v>
      </c>
      <c r="I797">
        <v>10685022</v>
      </c>
      <c r="J797">
        <v>4</v>
      </c>
      <c r="K797">
        <v>56.5</v>
      </c>
      <c r="L797">
        <v>56.8</v>
      </c>
      <c r="M797">
        <v>1410</v>
      </c>
      <c r="N797" s="2">
        <v>69000</v>
      </c>
      <c r="O797" s="2">
        <v>115</v>
      </c>
      <c r="P797" s="2">
        <v>0</v>
      </c>
      <c r="Q797" s="2">
        <v>5640</v>
      </c>
      <c r="R797" s="2">
        <v>5750</v>
      </c>
      <c r="S797">
        <v>326.60000000000002</v>
      </c>
      <c r="T797" s="2">
        <v>63250</v>
      </c>
      <c r="U797" s="2">
        <v>5750</v>
      </c>
      <c r="V797">
        <v>320.35199999999998</v>
      </c>
      <c r="W797">
        <v>-1.6919999999999842</v>
      </c>
      <c r="X797">
        <v>0</v>
      </c>
      <c r="Y797">
        <v>0</v>
      </c>
      <c r="Z797">
        <v>1.8</v>
      </c>
      <c r="AA797">
        <v>5.618819298771352E-3</v>
      </c>
      <c r="AB797">
        <v>30.4</v>
      </c>
      <c r="AC797">
        <v>11.906666666666666</v>
      </c>
      <c r="AD797">
        <v>28.5</v>
      </c>
      <c r="AI79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9.3333333333333712E-2</v>
      </c>
      <c r="AK797" t="s">
        <v>51</v>
      </c>
      <c r="AN797">
        <f>INT(Table1[[#This Row],[reject_prod]]/Table1[[#This Row],[part_weight]] * 1000)</f>
        <v>31</v>
      </c>
    </row>
    <row r="798" spans="1:40">
      <c r="A798" s="1">
        <v>46047</v>
      </c>
      <c r="B798">
        <v>1</v>
      </c>
      <c r="C798">
        <v>9</v>
      </c>
      <c r="F798">
        <v>123456</v>
      </c>
      <c r="G798">
        <v>0</v>
      </c>
      <c r="M798">
        <v>0</v>
      </c>
      <c r="N798" s="2">
        <v>0</v>
      </c>
      <c r="O798" s="2">
        <v>0</v>
      </c>
      <c r="P798" s="2">
        <v>0</v>
      </c>
      <c r="Q798" s="2"/>
      <c r="R798" s="2">
        <v>0</v>
      </c>
      <c r="T798" s="2">
        <v>0</v>
      </c>
      <c r="U798" s="2"/>
      <c r="X798">
        <v>0</v>
      </c>
      <c r="Z798">
        <v>0</v>
      </c>
      <c r="AB798">
        <v>0</v>
      </c>
      <c r="AC798">
        <v>0</v>
      </c>
      <c r="AD798">
        <v>0</v>
      </c>
      <c r="AI79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798">
        <v>12</v>
      </c>
      <c r="AK798" t="s">
        <v>116</v>
      </c>
      <c r="AN798">
        <v>0</v>
      </c>
    </row>
    <row r="799" spans="1:40">
      <c r="A799" s="1">
        <v>46047</v>
      </c>
      <c r="B799">
        <v>1</v>
      </c>
      <c r="C799">
        <v>10</v>
      </c>
      <c r="F799">
        <v>123456</v>
      </c>
      <c r="G799">
        <v>0</v>
      </c>
      <c r="M799">
        <v>0</v>
      </c>
      <c r="N799" s="2">
        <v>0</v>
      </c>
      <c r="O799" s="2">
        <v>0</v>
      </c>
      <c r="P799" s="2">
        <v>0</v>
      </c>
      <c r="Q799" s="2"/>
      <c r="R799" s="2">
        <v>0</v>
      </c>
      <c r="T799" s="2">
        <v>0</v>
      </c>
      <c r="U799" s="2"/>
      <c r="X799">
        <v>0</v>
      </c>
      <c r="Z799">
        <v>0</v>
      </c>
      <c r="AB799">
        <v>0</v>
      </c>
      <c r="AC799">
        <v>0</v>
      </c>
      <c r="AD799">
        <v>0</v>
      </c>
      <c r="AI79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799">
        <v>12</v>
      </c>
      <c r="AK799" t="s">
        <v>116</v>
      </c>
      <c r="AN799">
        <v>0</v>
      </c>
    </row>
    <row r="800" spans="1:40">
      <c r="A800" s="1">
        <v>46047</v>
      </c>
      <c r="B800">
        <v>1</v>
      </c>
      <c r="C800">
        <v>11</v>
      </c>
      <c r="D800" t="s">
        <v>494</v>
      </c>
      <c r="E800" t="s">
        <v>46</v>
      </c>
      <c r="F800">
        <v>552181</v>
      </c>
      <c r="G800">
        <v>1</v>
      </c>
      <c r="H800" t="s">
        <v>49</v>
      </c>
      <c r="I800">
        <v>10683783</v>
      </c>
      <c r="J800">
        <v>6</v>
      </c>
      <c r="K800">
        <v>18.8</v>
      </c>
      <c r="L800">
        <v>18.8</v>
      </c>
      <c r="M800">
        <v>1485</v>
      </c>
      <c r="N800" s="2">
        <v>108000</v>
      </c>
      <c r="O800" s="2">
        <v>4050</v>
      </c>
      <c r="P800" s="2">
        <v>2160</v>
      </c>
      <c r="Q800" s="2">
        <v>8910</v>
      </c>
      <c r="R800" s="2">
        <v>10800</v>
      </c>
      <c r="S800">
        <v>203.04</v>
      </c>
      <c r="T800" s="2">
        <v>72360</v>
      </c>
      <c r="U800" s="2">
        <v>35640</v>
      </c>
      <c r="V800">
        <v>167.50800000000001</v>
      </c>
      <c r="W800">
        <v>0</v>
      </c>
      <c r="X800">
        <v>0</v>
      </c>
      <c r="Y800">
        <v>0</v>
      </c>
      <c r="Z800">
        <v>1.1000000000000001</v>
      </c>
      <c r="AA800">
        <v>6.5668505384817444E-3</v>
      </c>
      <c r="AB800">
        <v>29.6</v>
      </c>
      <c r="AC800">
        <v>12</v>
      </c>
      <c r="AD800">
        <v>27</v>
      </c>
      <c r="AI80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800" t="s">
        <v>51</v>
      </c>
      <c r="AN800">
        <f>INT(Table1[[#This Row],[reject_prod]]/Table1[[#This Row],[part_weight]] * 1000)</f>
        <v>58</v>
      </c>
    </row>
    <row r="801" spans="1:40">
      <c r="A801" s="1">
        <v>46047</v>
      </c>
      <c r="B801">
        <v>1</v>
      </c>
      <c r="C801">
        <v>12</v>
      </c>
      <c r="F801">
        <v>123456</v>
      </c>
      <c r="G801">
        <v>0</v>
      </c>
      <c r="M801">
        <v>0</v>
      </c>
      <c r="N801" s="2">
        <v>0</v>
      </c>
      <c r="O801" s="2">
        <v>0</v>
      </c>
      <c r="P801" s="2">
        <v>0</v>
      </c>
      <c r="Q801" s="2"/>
      <c r="R801" s="2">
        <v>0</v>
      </c>
      <c r="T801" s="2">
        <v>0</v>
      </c>
      <c r="U801" s="2"/>
      <c r="X801">
        <v>0</v>
      </c>
      <c r="Z801">
        <v>0</v>
      </c>
      <c r="AB801">
        <v>0</v>
      </c>
      <c r="AC801">
        <v>0</v>
      </c>
      <c r="AD801">
        <v>0</v>
      </c>
      <c r="AI80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801">
        <v>12</v>
      </c>
      <c r="AK801" t="s">
        <v>116</v>
      </c>
      <c r="AN801">
        <v>0</v>
      </c>
    </row>
    <row r="802" spans="1:40">
      <c r="A802" s="1">
        <v>46047</v>
      </c>
      <c r="B802">
        <v>1</v>
      </c>
      <c r="C802">
        <v>13</v>
      </c>
      <c r="D802" t="s">
        <v>494</v>
      </c>
      <c r="E802" t="s">
        <v>46</v>
      </c>
      <c r="F802">
        <v>586276</v>
      </c>
      <c r="G802">
        <v>0</v>
      </c>
      <c r="H802" t="s">
        <v>47</v>
      </c>
      <c r="I802">
        <v>10684862</v>
      </c>
      <c r="J802">
        <v>6</v>
      </c>
      <c r="K802">
        <v>12.3</v>
      </c>
      <c r="L802">
        <v>12.3</v>
      </c>
      <c r="M802">
        <v>1670</v>
      </c>
      <c r="N802" s="2">
        <v>162000</v>
      </c>
      <c r="O802" s="2">
        <v>4455</v>
      </c>
      <c r="P802" s="2">
        <v>6480</v>
      </c>
      <c r="Q802" s="2">
        <v>10020</v>
      </c>
      <c r="R802" s="2">
        <v>8100</v>
      </c>
      <c r="S802">
        <v>99.63</v>
      </c>
      <c r="T802" s="2">
        <v>55080</v>
      </c>
      <c r="U802" s="2">
        <v>106920</v>
      </c>
      <c r="V802">
        <v>123.246</v>
      </c>
      <c r="W802">
        <v>0</v>
      </c>
      <c r="X802">
        <v>0</v>
      </c>
      <c r="Y802">
        <v>0</v>
      </c>
      <c r="Z802">
        <v>1.2</v>
      </c>
      <c r="AA802">
        <v>9.7366243123509083E-3</v>
      </c>
      <c r="AB802">
        <v>26.1</v>
      </c>
      <c r="AC802">
        <v>12</v>
      </c>
      <c r="AD802">
        <v>26</v>
      </c>
      <c r="AI80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802" t="s">
        <v>51</v>
      </c>
      <c r="AN802">
        <f>INT(Table1[[#This Row],[reject_prod]]/Table1[[#This Row],[part_weight]] * 1000)</f>
        <v>97</v>
      </c>
    </row>
    <row r="803" spans="1:40">
      <c r="A803" s="1">
        <v>46047</v>
      </c>
      <c r="B803">
        <v>1</v>
      </c>
      <c r="C803">
        <v>14</v>
      </c>
      <c r="D803" t="s">
        <v>33</v>
      </c>
      <c r="E803" t="s">
        <v>46</v>
      </c>
      <c r="F803">
        <v>555979</v>
      </c>
      <c r="G803">
        <v>1</v>
      </c>
      <c r="H803" t="s">
        <v>52</v>
      </c>
      <c r="I803">
        <v>10683785</v>
      </c>
      <c r="J803">
        <v>6</v>
      </c>
      <c r="K803">
        <v>28</v>
      </c>
      <c r="L803">
        <v>28</v>
      </c>
      <c r="M803">
        <v>0</v>
      </c>
      <c r="N803" s="2">
        <v>100800</v>
      </c>
      <c r="O803" s="2">
        <v>0</v>
      </c>
      <c r="P803" s="2"/>
      <c r="Q803" s="2">
        <v>0</v>
      </c>
      <c r="R803" s="2">
        <v>0</v>
      </c>
      <c r="S803">
        <v>0</v>
      </c>
      <c r="T803" s="2">
        <v>0</v>
      </c>
      <c r="U803" s="2">
        <v>100800</v>
      </c>
      <c r="V803">
        <v>0</v>
      </c>
      <c r="W803">
        <v>0</v>
      </c>
      <c r="X803">
        <v>0</v>
      </c>
      <c r="Y803" t="e">
        <v>#DIV/0!</v>
      </c>
      <c r="Z803">
        <v>0</v>
      </c>
      <c r="AA803" t="e">
        <v>#DIV/0!</v>
      </c>
      <c r="AB803">
        <v>43.4</v>
      </c>
      <c r="AC803">
        <v>0</v>
      </c>
      <c r="AD803">
        <v>42</v>
      </c>
      <c r="AI80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803" t="s">
        <v>481</v>
      </c>
      <c r="AN803">
        <f>INT(Table1[[#This Row],[reject_prod]]/Table1[[#This Row],[part_weight]] * 1000)</f>
        <v>0</v>
      </c>
    </row>
    <row r="804" spans="1:40">
      <c r="A804" s="1">
        <v>46047</v>
      </c>
      <c r="B804">
        <v>1</v>
      </c>
      <c r="C804">
        <v>15</v>
      </c>
      <c r="D804" t="s">
        <v>494</v>
      </c>
      <c r="E804" t="s">
        <v>46</v>
      </c>
      <c r="F804">
        <v>552181</v>
      </c>
      <c r="G804">
        <v>2</v>
      </c>
      <c r="H804" t="s">
        <v>49</v>
      </c>
      <c r="I804">
        <v>10683787</v>
      </c>
      <c r="J804">
        <v>6</v>
      </c>
      <c r="K804">
        <v>18.8</v>
      </c>
      <c r="L804">
        <v>18.8</v>
      </c>
      <c r="M804">
        <v>1395</v>
      </c>
      <c r="N804" s="2">
        <v>108000</v>
      </c>
      <c r="O804" s="2">
        <v>4320</v>
      </c>
      <c r="P804" s="2">
        <v>1890</v>
      </c>
      <c r="Q804" s="2">
        <v>8370</v>
      </c>
      <c r="R804" s="2">
        <v>10800</v>
      </c>
      <c r="S804">
        <v>203.04</v>
      </c>
      <c r="T804" s="2">
        <v>55890</v>
      </c>
      <c r="U804" s="2">
        <v>52110</v>
      </c>
      <c r="V804">
        <v>157.35599999999999</v>
      </c>
      <c r="W804">
        <v>0</v>
      </c>
      <c r="X804">
        <v>0</v>
      </c>
      <c r="Y804">
        <v>0</v>
      </c>
      <c r="Z804">
        <v>1</v>
      </c>
      <c r="AA804">
        <v>6.3550166501436236E-3</v>
      </c>
      <c r="AB804">
        <v>30.2</v>
      </c>
      <c r="AC804">
        <v>11.702499999999999</v>
      </c>
      <c r="AD804">
        <v>27</v>
      </c>
      <c r="AI80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0.29750000000000121</v>
      </c>
      <c r="AK804" t="s">
        <v>51</v>
      </c>
      <c r="AN804">
        <f>INT(Table1[[#This Row],[reject_prod]]/Table1[[#This Row],[part_weight]] * 1000)</f>
        <v>53</v>
      </c>
    </row>
    <row r="805" spans="1:40" s="4" customFormat="1">
      <c r="A805" s="3">
        <v>46047</v>
      </c>
      <c r="B805" s="4">
        <v>1</v>
      </c>
      <c r="C805" s="4">
        <v>16</v>
      </c>
      <c r="D805" s="4" t="s">
        <v>495</v>
      </c>
      <c r="E805" s="4" t="s">
        <v>46</v>
      </c>
      <c r="F805" s="4">
        <v>555979</v>
      </c>
      <c r="G805" s="4">
        <v>2</v>
      </c>
      <c r="H805" s="4" t="s">
        <v>52</v>
      </c>
      <c r="I805" s="4">
        <v>10683788</v>
      </c>
      <c r="J805" s="4">
        <v>6</v>
      </c>
      <c r="K805" s="4">
        <v>28</v>
      </c>
      <c r="L805" s="4">
        <v>28</v>
      </c>
      <c r="M805" s="4">
        <v>1000</v>
      </c>
      <c r="N805" s="5">
        <v>100800</v>
      </c>
      <c r="O805" s="5">
        <v>168</v>
      </c>
      <c r="P805" s="5">
        <v>2688</v>
      </c>
      <c r="Q805" s="5">
        <v>6000</v>
      </c>
      <c r="R805" s="5">
        <v>3360</v>
      </c>
      <c r="S805" s="4">
        <v>94.08</v>
      </c>
      <c r="T805" s="5">
        <v>19488</v>
      </c>
      <c r="U805" s="5">
        <v>81312</v>
      </c>
      <c r="V805" s="4">
        <v>168</v>
      </c>
      <c r="W805" s="4">
        <v>0</v>
      </c>
      <c r="X805" s="4">
        <v>0</v>
      </c>
      <c r="Y805" s="4">
        <v>0</v>
      </c>
      <c r="Z805" s="4">
        <v>1.2</v>
      </c>
      <c r="AA805" s="4">
        <v>7.1428571428571426E-3</v>
      </c>
      <c r="AB805" s="4">
        <v>43.4</v>
      </c>
      <c r="AC805" s="4">
        <v>12</v>
      </c>
      <c r="AD805" s="4">
        <v>42</v>
      </c>
      <c r="AI80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805" s="4" t="s">
        <v>51</v>
      </c>
      <c r="AN805" s="4">
        <f>INT(Table1[[#This Row],[reject_prod]]/Table1[[#This Row],[part_weight]] * 1000)</f>
        <v>42</v>
      </c>
    </row>
    <row r="806" spans="1:40">
      <c r="A806" s="1">
        <v>46047</v>
      </c>
      <c r="B806">
        <v>2</v>
      </c>
      <c r="C806">
        <v>1</v>
      </c>
      <c r="D806" t="s">
        <v>43</v>
      </c>
      <c r="E806" t="s">
        <v>34</v>
      </c>
      <c r="F806">
        <v>577492</v>
      </c>
      <c r="G806" s="6">
        <v>2</v>
      </c>
      <c r="H806" t="s">
        <v>341</v>
      </c>
      <c r="I806">
        <v>10684028</v>
      </c>
      <c r="J806">
        <v>4</v>
      </c>
      <c r="K806">
        <v>35.6</v>
      </c>
      <c r="L806">
        <v>35.6</v>
      </c>
      <c r="M806">
        <v>1564</v>
      </c>
      <c r="N806" s="2">
        <v>101200</v>
      </c>
      <c r="O806" s="2">
        <v>1472</v>
      </c>
      <c r="P806" s="2">
        <v>368</v>
      </c>
      <c r="Q806" s="2">
        <v>6256</v>
      </c>
      <c r="R806" s="2">
        <v>7360</v>
      </c>
      <c r="S806">
        <v>262.01600000000002</v>
      </c>
      <c r="T806" s="2">
        <v>70288</v>
      </c>
      <c r="U806" s="2">
        <v>30912</v>
      </c>
      <c r="V806">
        <v>222.71360000000001</v>
      </c>
      <c r="W806">
        <v>0</v>
      </c>
      <c r="X806">
        <v>0</v>
      </c>
      <c r="Y806">
        <v>0</v>
      </c>
      <c r="Z806">
        <v>3.5</v>
      </c>
      <c r="AA806">
        <v>1.5715250438230983E-2</v>
      </c>
      <c r="AB806">
        <v>27.1</v>
      </c>
      <c r="AC806">
        <v>11.773444444444445</v>
      </c>
      <c r="AD806">
        <v>27</v>
      </c>
      <c r="AI80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0.22655555555555473</v>
      </c>
      <c r="AK806" t="s">
        <v>503</v>
      </c>
      <c r="AN806">
        <f>INT(Table1[[#This Row],[reject_prod]]/Table1[[#This Row],[part_weight]] * 1000)</f>
        <v>98</v>
      </c>
    </row>
    <row r="807" spans="1:40">
      <c r="A807" s="1">
        <v>46047</v>
      </c>
      <c r="B807">
        <v>2</v>
      </c>
      <c r="C807">
        <v>2</v>
      </c>
      <c r="F807">
        <v>123456</v>
      </c>
      <c r="G807">
        <v>0</v>
      </c>
      <c r="M807">
        <v>0</v>
      </c>
      <c r="N807" s="2">
        <v>0</v>
      </c>
      <c r="O807" s="2">
        <v>0</v>
      </c>
      <c r="P807" s="2">
        <v>0</v>
      </c>
      <c r="Q807" s="2"/>
      <c r="R807" s="2">
        <v>0</v>
      </c>
      <c r="T807" s="2">
        <v>0</v>
      </c>
      <c r="U807" s="2"/>
      <c r="X807">
        <v>0</v>
      </c>
      <c r="Z807">
        <v>0</v>
      </c>
      <c r="AB807">
        <v>0</v>
      </c>
      <c r="AC807">
        <v>0</v>
      </c>
      <c r="AD807">
        <v>0</v>
      </c>
      <c r="AI80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807">
        <v>12</v>
      </c>
      <c r="AK807" t="s">
        <v>116</v>
      </c>
      <c r="AN807">
        <v>0</v>
      </c>
    </row>
    <row r="808" spans="1:40">
      <c r="A808" s="1">
        <v>46047</v>
      </c>
      <c r="B808">
        <v>2</v>
      </c>
      <c r="C808">
        <v>3</v>
      </c>
      <c r="D808" t="s">
        <v>61</v>
      </c>
      <c r="E808" t="s">
        <v>34</v>
      </c>
      <c r="F808">
        <v>442034</v>
      </c>
      <c r="G808">
        <v>0</v>
      </c>
      <c r="H808" t="s">
        <v>37</v>
      </c>
      <c r="I808">
        <v>10681184</v>
      </c>
      <c r="J808">
        <v>4</v>
      </c>
      <c r="K808">
        <v>23</v>
      </c>
      <c r="L808">
        <v>23</v>
      </c>
      <c r="M808">
        <v>1652</v>
      </c>
      <c r="N808" s="2">
        <v>139776</v>
      </c>
      <c r="O808" s="2">
        <v>0</v>
      </c>
      <c r="P808" s="2">
        <v>1920</v>
      </c>
      <c r="Q808" s="2">
        <v>6608</v>
      </c>
      <c r="R808" s="2">
        <v>4608</v>
      </c>
      <c r="S808">
        <v>105.98399999999999</v>
      </c>
      <c r="T808" s="2">
        <v>61824</v>
      </c>
      <c r="U808" s="2">
        <v>77952</v>
      </c>
      <c r="V808">
        <v>151.98400000000001</v>
      </c>
      <c r="W808">
        <v>0</v>
      </c>
      <c r="X808">
        <v>0</v>
      </c>
      <c r="Y808">
        <v>0</v>
      </c>
      <c r="Z808">
        <v>4.5</v>
      </c>
      <c r="AA808">
        <v>2.960837982945573E-2</v>
      </c>
      <c r="AB808">
        <v>26</v>
      </c>
      <c r="AC808">
        <v>11.931111111111111</v>
      </c>
      <c r="AD808">
        <v>22</v>
      </c>
      <c r="AI80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6.8888888888888999E-2</v>
      </c>
      <c r="AK808" t="s">
        <v>492</v>
      </c>
      <c r="AN808">
        <f>INT(Table1[[#This Row],[reject_prod]]/Table1[[#This Row],[part_weight]] * 1000)</f>
        <v>195</v>
      </c>
    </row>
    <row r="809" spans="1:40">
      <c r="A809" s="1">
        <v>46047</v>
      </c>
      <c r="B809">
        <v>2</v>
      </c>
      <c r="C809">
        <v>4</v>
      </c>
      <c r="F809">
        <v>123456</v>
      </c>
      <c r="G809">
        <v>0</v>
      </c>
      <c r="M809">
        <v>0</v>
      </c>
      <c r="N809" s="2">
        <v>0</v>
      </c>
      <c r="O809" s="2">
        <v>0</v>
      </c>
      <c r="P809" s="2">
        <v>0</v>
      </c>
      <c r="Q809" s="2"/>
      <c r="R809" s="2">
        <v>0</v>
      </c>
      <c r="T809" s="2">
        <v>0</v>
      </c>
      <c r="U809" s="2"/>
      <c r="X809">
        <v>0</v>
      </c>
      <c r="Z809">
        <v>0</v>
      </c>
      <c r="AB809">
        <v>0</v>
      </c>
      <c r="AC809">
        <v>0</v>
      </c>
      <c r="AD809">
        <v>0</v>
      </c>
      <c r="AI80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809">
        <v>12</v>
      </c>
      <c r="AK809" t="s">
        <v>116</v>
      </c>
      <c r="AN809">
        <v>0</v>
      </c>
    </row>
    <row r="810" spans="1:40">
      <c r="A810" s="1">
        <v>46047</v>
      </c>
      <c r="B810">
        <v>2</v>
      </c>
      <c r="C810">
        <v>5</v>
      </c>
      <c r="F810">
        <v>123456</v>
      </c>
      <c r="G810">
        <v>0</v>
      </c>
      <c r="M810">
        <v>0</v>
      </c>
      <c r="N810" s="2">
        <v>0</v>
      </c>
      <c r="O810" s="2">
        <v>0</v>
      </c>
      <c r="P810" s="2">
        <v>0</v>
      </c>
      <c r="Q810" s="2"/>
      <c r="R810" s="2">
        <v>0</v>
      </c>
      <c r="T810" s="2">
        <v>0</v>
      </c>
      <c r="U810" s="2"/>
      <c r="X810">
        <v>0</v>
      </c>
      <c r="Z810">
        <v>0</v>
      </c>
      <c r="AB810">
        <v>0</v>
      </c>
      <c r="AC810">
        <v>0</v>
      </c>
      <c r="AD810">
        <v>0</v>
      </c>
      <c r="AI81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810">
        <v>12</v>
      </c>
      <c r="AK810" t="s">
        <v>116</v>
      </c>
      <c r="AN810">
        <v>0</v>
      </c>
    </row>
    <row r="811" spans="1:40">
      <c r="A811" s="1">
        <v>46047</v>
      </c>
      <c r="B811">
        <v>2</v>
      </c>
      <c r="C811">
        <v>6</v>
      </c>
      <c r="D811" t="s">
        <v>67</v>
      </c>
      <c r="E811" t="s">
        <v>34</v>
      </c>
      <c r="F811">
        <v>322412</v>
      </c>
      <c r="G811">
        <v>0</v>
      </c>
      <c r="H811" t="s">
        <v>487</v>
      </c>
      <c r="I811">
        <v>10685212</v>
      </c>
      <c r="J811">
        <v>4</v>
      </c>
      <c r="K811">
        <v>24.3</v>
      </c>
      <c r="L811">
        <v>24</v>
      </c>
      <c r="M811">
        <v>1828</v>
      </c>
      <c r="N811" s="2">
        <v>40600</v>
      </c>
      <c r="O811" s="2">
        <v>1015</v>
      </c>
      <c r="P811" s="2">
        <v>406</v>
      </c>
      <c r="Q811" s="2">
        <v>7312</v>
      </c>
      <c r="R811" s="2">
        <v>8120</v>
      </c>
      <c r="S811">
        <v>194.88</v>
      </c>
      <c r="T811" s="2">
        <v>8526</v>
      </c>
      <c r="U811" s="2">
        <v>32074</v>
      </c>
      <c r="V811">
        <v>175.488</v>
      </c>
      <c r="W811">
        <v>2.1936000000000053</v>
      </c>
      <c r="X811">
        <v>0</v>
      </c>
      <c r="Y811">
        <v>0</v>
      </c>
      <c r="Z811">
        <v>2</v>
      </c>
      <c r="AA811">
        <v>1.1396790663749089E-2</v>
      </c>
      <c r="AB811">
        <v>23.6</v>
      </c>
      <c r="AC811">
        <v>11.983555555555556</v>
      </c>
      <c r="AD811">
        <v>20</v>
      </c>
      <c r="AI81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1.6444444444443818E-2</v>
      </c>
      <c r="AK811" t="s">
        <v>214</v>
      </c>
      <c r="AN811">
        <f>INT(Table1[[#This Row],[reject_prod]]/Table1[[#This Row],[part_weight]] * 1000)</f>
        <v>83</v>
      </c>
    </row>
    <row r="812" spans="1:40">
      <c r="A812" s="1">
        <v>46047</v>
      </c>
      <c r="B812">
        <v>2</v>
      </c>
      <c r="C812">
        <v>7</v>
      </c>
      <c r="F812">
        <v>123456</v>
      </c>
      <c r="G812">
        <v>0</v>
      </c>
      <c r="M812">
        <v>0</v>
      </c>
      <c r="N812" s="2">
        <v>0</v>
      </c>
      <c r="O812" s="2">
        <v>0</v>
      </c>
      <c r="P812" s="2">
        <v>0</v>
      </c>
      <c r="Q812" s="2"/>
      <c r="R812" s="2">
        <v>0</v>
      </c>
      <c r="T812" s="2">
        <v>0</v>
      </c>
      <c r="U812" s="2"/>
      <c r="X812">
        <v>0</v>
      </c>
      <c r="Z812">
        <v>0</v>
      </c>
      <c r="AB812">
        <v>0</v>
      </c>
      <c r="AC812">
        <v>0</v>
      </c>
      <c r="AD812">
        <v>0</v>
      </c>
      <c r="AI81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812">
        <v>12</v>
      </c>
      <c r="AK812" t="s">
        <v>116</v>
      </c>
      <c r="AN812">
        <v>0</v>
      </c>
    </row>
    <row r="813" spans="1:40">
      <c r="A813" s="1">
        <v>46047</v>
      </c>
      <c r="B813">
        <v>2</v>
      </c>
      <c r="C813">
        <v>8</v>
      </c>
      <c r="D813" t="s">
        <v>496</v>
      </c>
      <c r="E813" t="s">
        <v>41</v>
      </c>
      <c r="F813">
        <v>593537</v>
      </c>
      <c r="G813">
        <v>0</v>
      </c>
      <c r="H813" t="s">
        <v>48</v>
      </c>
      <c r="I813">
        <v>10685022</v>
      </c>
      <c r="J813">
        <v>4</v>
      </c>
      <c r="K813">
        <v>56.5</v>
      </c>
      <c r="L813">
        <v>56.8</v>
      </c>
      <c r="M813">
        <v>1441</v>
      </c>
      <c r="N813" s="2">
        <v>69000</v>
      </c>
      <c r="O813" s="2">
        <v>0</v>
      </c>
      <c r="P813" s="2">
        <v>0</v>
      </c>
      <c r="Q813" s="2">
        <v>5764</v>
      </c>
      <c r="R813" s="2">
        <v>5750</v>
      </c>
      <c r="S813">
        <v>326.60000000000002</v>
      </c>
      <c r="T813" s="2">
        <v>69000</v>
      </c>
      <c r="U813" s="2">
        <v>0</v>
      </c>
      <c r="V813">
        <v>327.39519999999999</v>
      </c>
      <c r="W813">
        <v>0</v>
      </c>
      <c r="X813">
        <v>0</v>
      </c>
      <c r="Y813">
        <v>0</v>
      </c>
      <c r="Z813">
        <v>3</v>
      </c>
      <c r="AA813">
        <v>9.1632375795369023E-3</v>
      </c>
      <c r="AB813">
        <v>30.4</v>
      </c>
      <c r="AC813">
        <v>12</v>
      </c>
      <c r="AD813">
        <v>28.5</v>
      </c>
      <c r="AI81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813" t="s">
        <v>504</v>
      </c>
      <c r="AN813">
        <f>INT(Table1[[#This Row],[reject_prod]]/Table1[[#This Row],[part_weight]] * 1000)</f>
        <v>52</v>
      </c>
    </row>
    <row r="814" spans="1:40">
      <c r="A814" s="1">
        <v>46047</v>
      </c>
      <c r="B814">
        <v>2</v>
      </c>
      <c r="C814">
        <v>9</v>
      </c>
      <c r="F814">
        <v>123456</v>
      </c>
      <c r="G814">
        <v>0</v>
      </c>
      <c r="M814">
        <v>0</v>
      </c>
      <c r="N814" s="2">
        <v>0</v>
      </c>
      <c r="O814" s="2">
        <v>0</v>
      </c>
      <c r="P814" s="2">
        <v>0</v>
      </c>
      <c r="Q814" s="2"/>
      <c r="R814" s="2">
        <v>0</v>
      </c>
      <c r="T814" s="2">
        <v>0</v>
      </c>
      <c r="U814" s="2"/>
      <c r="X814">
        <v>0</v>
      </c>
      <c r="Z814">
        <v>0</v>
      </c>
      <c r="AB814">
        <v>0</v>
      </c>
      <c r="AC814">
        <v>0</v>
      </c>
      <c r="AD814">
        <v>0</v>
      </c>
      <c r="AI81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814">
        <v>12</v>
      </c>
      <c r="AK814" t="s">
        <v>116</v>
      </c>
      <c r="AN814">
        <v>0</v>
      </c>
    </row>
    <row r="815" spans="1:40">
      <c r="A815" s="1">
        <v>46047</v>
      </c>
      <c r="B815">
        <v>2</v>
      </c>
      <c r="C815">
        <v>10</v>
      </c>
      <c r="F815">
        <v>123456</v>
      </c>
      <c r="G815">
        <v>0</v>
      </c>
      <c r="M815">
        <v>0</v>
      </c>
      <c r="N815" s="2">
        <v>0</v>
      </c>
      <c r="O815" s="2">
        <v>0</v>
      </c>
      <c r="P815" s="2">
        <v>0</v>
      </c>
      <c r="Q815" s="2"/>
      <c r="R815" s="2">
        <v>0</v>
      </c>
      <c r="T815" s="2">
        <v>0</v>
      </c>
      <c r="U815" s="2"/>
      <c r="X815">
        <v>0</v>
      </c>
      <c r="Z815">
        <v>0</v>
      </c>
      <c r="AB815">
        <v>0</v>
      </c>
      <c r="AC815">
        <v>0</v>
      </c>
      <c r="AD815">
        <v>0</v>
      </c>
      <c r="AI81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815">
        <v>12</v>
      </c>
      <c r="AK815" t="s">
        <v>116</v>
      </c>
      <c r="AN815">
        <v>0</v>
      </c>
    </row>
    <row r="816" spans="1:40">
      <c r="A816" s="1">
        <v>46047</v>
      </c>
      <c r="B816">
        <v>2</v>
      </c>
      <c r="C816">
        <v>11</v>
      </c>
      <c r="D816" t="s">
        <v>497</v>
      </c>
      <c r="E816" t="s">
        <v>46</v>
      </c>
      <c r="F816">
        <v>552181</v>
      </c>
      <c r="G816">
        <v>1</v>
      </c>
      <c r="H816" t="s">
        <v>49</v>
      </c>
      <c r="I816">
        <v>10683783</v>
      </c>
      <c r="J816">
        <v>6</v>
      </c>
      <c r="K816">
        <v>18.8</v>
      </c>
      <c r="L816">
        <v>18.8</v>
      </c>
      <c r="M816">
        <v>1456</v>
      </c>
      <c r="N816" s="2">
        <v>108000</v>
      </c>
      <c r="O816" s="2">
        <v>2160</v>
      </c>
      <c r="P816" s="2">
        <v>0</v>
      </c>
      <c r="Q816" s="2">
        <v>8736</v>
      </c>
      <c r="R816" s="2">
        <v>10800</v>
      </c>
      <c r="S816">
        <v>203.04</v>
      </c>
      <c r="T816" s="2">
        <v>81000</v>
      </c>
      <c r="U816" s="2">
        <v>27000</v>
      </c>
      <c r="V816">
        <v>164.23680000000002</v>
      </c>
      <c r="W816">
        <v>0</v>
      </c>
      <c r="X816">
        <v>0</v>
      </c>
      <c r="Y816">
        <v>0</v>
      </c>
      <c r="Z816">
        <v>1</v>
      </c>
      <c r="AA816">
        <v>6.0887693866417264E-3</v>
      </c>
      <c r="AB816">
        <v>29.6</v>
      </c>
      <c r="AC816">
        <v>11.971555555555556</v>
      </c>
      <c r="AD816">
        <v>27</v>
      </c>
      <c r="AI81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2.8444444444444272E-2</v>
      </c>
      <c r="AK816" t="s">
        <v>51</v>
      </c>
      <c r="AN816">
        <f>INT(Table1[[#This Row],[reject_prod]]/Table1[[#This Row],[part_weight]] * 1000)</f>
        <v>53</v>
      </c>
    </row>
    <row r="817" spans="1:40">
      <c r="A817" s="1">
        <v>46047</v>
      </c>
      <c r="B817">
        <v>2</v>
      </c>
      <c r="C817">
        <v>12</v>
      </c>
      <c r="F817">
        <v>123456</v>
      </c>
      <c r="G817">
        <v>0</v>
      </c>
      <c r="M817">
        <v>0</v>
      </c>
      <c r="N817" s="2">
        <v>0</v>
      </c>
      <c r="O817" s="2">
        <v>0</v>
      </c>
      <c r="P817" s="2">
        <v>0</v>
      </c>
      <c r="Q817" s="2"/>
      <c r="R817" s="2">
        <v>0</v>
      </c>
      <c r="T817" s="2">
        <v>0</v>
      </c>
      <c r="U817" s="2"/>
      <c r="X817">
        <v>0</v>
      </c>
      <c r="Z817">
        <v>0</v>
      </c>
      <c r="AB817">
        <v>0</v>
      </c>
      <c r="AC817">
        <v>0</v>
      </c>
      <c r="AD817">
        <v>0</v>
      </c>
      <c r="AI81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817">
        <v>12</v>
      </c>
      <c r="AK817" t="s">
        <v>116</v>
      </c>
      <c r="AN817">
        <v>0</v>
      </c>
    </row>
    <row r="818" spans="1:40">
      <c r="A818" s="1">
        <v>46047</v>
      </c>
      <c r="B818">
        <v>2</v>
      </c>
      <c r="C818">
        <v>13</v>
      </c>
      <c r="D818" t="s">
        <v>497</v>
      </c>
      <c r="E818" t="s">
        <v>46</v>
      </c>
      <c r="F818">
        <v>586276</v>
      </c>
      <c r="G818">
        <v>0</v>
      </c>
      <c r="H818" t="s">
        <v>47</v>
      </c>
      <c r="I818">
        <v>10684862</v>
      </c>
      <c r="J818">
        <v>6</v>
      </c>
      <c r="K818">
        <v>12.3</v>
      </c>
      <c r="L818">
        <v>12.3</v>
      </c>
      <c r="M818">
        <v>1623</v>
      </c>
      <c r="N818" s="2">
        <v>162000</v>
      </c>
      <c r="O818" s="2">
        <v>6480</v>
      </c>
      <c r="P818" s="2">
        <v>0</v>
      </c>
      <c r="Q818" s="2">
        <v>9738</v>
      </c>
      <c r="R818" s="2">
        <v>16200</v>
      </c>
      <c r="S818">
        <v>199.26</v>
      </c>
      <c r="T818" s="2">
        <v>64800</v>
      </c>
      <c r="U818" s="2">
        <v>97200</v>
      </c>
      <c r="V818">
        <v>119.77740000000001</v>
      </c>
      <c r="W818">
        <v>0</v>
      </c>
      <c r="X818">
        <v>0</v>
      </c>
      <c r="Y818">
        <v>0</v>
      </c>
      <c r="Z818">
        <v>1.5</v>
      </c>
      <c r="AA818">
        <v>1.2523230592749549E-2</v>
      </c>
      <c r="AB818">
        <v>26.2</v>
      </c>
      <c r="AC818">
        <v>11.811833333333334</v>
      </c>
      <c r="AD818">
        <v>26</v>
      </c>
      <c r="AI81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0.18816666666666571</v>
      </c>
      <c r="AK818" t="s">
        <v>51</v>
      </c>
      <c r="AN818">
        <f>INT(Table1[[#This Row],[reject_prod]]/Table1[[#This Row],[part_weight]] * 1000)</f>
        <v>121</v>
      </c>
    </row>
    <row r="819" spans="1:40">
      <c r="A819" s="1">
        <v>46047</v>
      </c>
      <c r="B819">
        <v>2</v>
      </c>
      <c r="C819">
        <v>14</v>
      </c>
      <c r="F819">
        <v>123456</v>
      </c>
      <c r="G819">
        <v>0</v>
      </c>
      <c r="M819">
        <v>0</v>
      </c>
      <c r="N819" s="2">
        <v>0</v>
      </c>
      <c r="O819" s="2">
        <v>0</v>
      </c>
      <c r="P819" s="2">
        <v>0</v>
      </c>
      <c r="Q819" s="2"/>
      <c r="R819" s="2">
        <v>0</v>
      </c>
      <c r="T819" s="2">
        <v>0</v>
      </c>
      <c r="U819" s="2"/>
      <c r="X819">
        <v>0</v>
      </c>
      <c r="Z819">
        <v>0</v>
      </c>
      <c r="AB819">
        <v>0</v>
      </c>
      <c r="AC819">
        <v>0</v>
      </c>
      <c r="AD819">
        <v>0</v>
      </c>
      <c r="AI81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819">
        <v>12</v>
      </c>
      <c r="AK819" t="s">
        <v>116</v>
      </c>
      <c r="AN819">
        <v>0</v>
      </c>
    </row>
    <row r="820" spans="1:40">
      <c r="A820" s="1">
        <v>46047</v>
      </c>
      <c r="B820">
        <v>2</v>
      </c>
      <c r="C820">
        <v>15</v>
      </c>
      <c r="D820" t="s">
        <v>497</v>
      </c>
      <c r="E820" t="s">
        <v>46</v>
      </c>
      <c r="F820">
        <v>552181</v>
      </c>
      <c r="G820">
        <v>2</v>
      </c>
      <c r="H820" t="s">
        <v>49</v>
      </c>
      <c r="I820">
        <v>10683787</v>
      </c>
      <c r="J820">
        <v>6</v>
      </c>
      <c r="K820">
        <v>18.8</v>
      </c>
      <c r="L820">
        <v>18.8</v>
      </c>
      <c r="M820">
        <v>1355</v>
      </c>
      <c r="N820" s="2">
        <v>108000</v>
      </c>
      <c r="O820" s="2">
        <v>1890</v>
      </c>
      <c r="P820" s="2">
        <v>4590</v>
      </c>
      <c r="Q820" s="2">
        <v>8130</v>
      </c>
      <c r="R820" s="2">
        <v>5400</v>
      </c>
      <c r="S820">
        <v>101.52</v>
      </c>
      <c r="T820" s="2">
        <v>63990</v>
      </c>
      <c r="U820" s="2">
        <v>44010</v>
      </c>
      <c r="V820">
        <v>152.84399999999999</v>
      </c>
      <c r="W820">
        <v>0</v>
      </c>
      <c r="X820">
        <v>0</v>
      </c>
      <c r="Y820">
        <v>0</v>
      </c>
      <c r="Z820">
        <v>2</v>
      </c>
      <c r="AA820">
        <v>1.3085237235351077E-2</v>
      </c>
      <c r="AB820">
        <v>31.2</v>
      </c>
      <c r="AC820">
        <v>11.743333333333332</v>
      </c>
      <c r="AD820">
        <v>27</v>
      </c>
      <c r="AI82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0.25666666666666771</v>
      </c>
      <c r="AK820" t="s">
        <v>51</v>
      </c>
      <c r="AN820">
        <f>INT(Table1[[#This Row],[reject_prod]]/Table1[[#This Row],[part_weight]] * 1000)</f>
        <v>106</v>
      </c>
    </row>
    <row r="821" spans="1:40" s="4" customFormat="1">
      <c r="A821" s="3">
        <v>46047</v>
      </c>
      <c r="B821" s="4">
        <v>2</v>
      </c>
      <c r="C821" s="4">
        <v>16</v>
      </c>
      <c r="D821" s="4" t="s">
        <v>498</v>
      </c>
      <c r="E821" s="4" t="s">
        <v>46</v>
      </c>
      <c r="F821" s="4">
        <v>555979</v>
      </c>
      <c r="G821" s="4">
        <v>2</v>
      </c>
      <c r="H821" s="4" t="s">
        <v>52</v>
      </c>
      <c r="I821" s="4">
        <v>10684863</v>
      </c>
      <c r="J821" s="4">
        <v>6</v>
      </c>
      <c r="K821" s="4">
        <v>28</v>
      </c>
      <c r="L821" s="4">
        <v>28</v>
      </c>
      <c r="M821" s="4">
        <v>997</v>
      </c>
      <c r="N821" s="5">
        <v>100800</v>
      </c>
      <c r="O821" s="5">
        <v>2688</v>
      </c>
      <c r="P821" s="5">
        <v>5208</v>
      </c>
      <c r="Q821" s="5">
        <v>5982</v>
      </c>
      <c r="R821" s="5">
        <v>3360</v>
      </c>
      <c r="S821" s="4">
        <v>94.08</v>
      </c>
      <c r="T821" s="5">
        <v>25368</v>
      </c>
      <c r="U821" s="5">
        <v>75432</v>
      </c>
      <c r="V821" s="4">
        <v>167.49600000000001</v>
      </c>
      <c r="W821" s="4">
        <v>0</v>
      </c>
      <c r="X821" s="4">
        <v>0</v>
      </c>
      <c r="Y821" s="4">
        <v>0</v>
      </c>
      <c r="Z821" s="4">
        <v>1</v>
      </c>
      <c r="AA821" s="4">
        <v>5.970291827864546E-3</v>
      </c>
      <c r="AB821" s="4">
        <v>43.4</v>
      </c>
      <c r="AC821" s="4">
        <v>12</v>
      </c>
      <c r="AD821" s="4">
        <v>42</v>
      </c>
      <c r="AI82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821" s="4" t="s">
        <v>51</v>
      </c>
      <c r="AN821" s="4">
        <f>INT(Table1[[#This Row],[reject_prod]]/Table1[[#This Row],[part_weight]] * 1000)</f>
        <v>35</v>
      </c>
    </row>
    <row r="822" spans="1:40">
      <c r="A822" s="1">
        <v>46048</v>
      </c>
      <c r="B822">
        <v>1</v>
      </c>
      <c r="C822">
        <v>1</v>
      </c>
      <c r="D822" t="s">
        <v>117</v>
      </c>
      <c r="E822" t="s">
        <v>34</v>
      </c>
      <c r="F822">
        <v>577492</v>
      </c>
      <c r="G822">
        <v>0</v>
      </c>
      <c r="H822" t="s">
        <v>341</v>
      </c>
      <c r="I822">
        <v>10684028</v>
      </c>
      <c r="J822">
        <v>4</v>
      </c>
      <c r="K822">
        <v>35.6</v>
      </c>
      <c r="L822">
        <v>35.6</v>
      </c>
      <c r="M822">
        <v>1610</v>
      </c>
      <c r="N822" s="2">
        <v>101200</v>
      </c>
      <c r="O822" s="2">
        <v>368</v>
      </c>
      <c r="P822" s="2">
        <v>1104</v>
      </c>
      <c r="Q822" s="2">
        <v>6440</v>
      </c>
      <c r="R822" s="2">
        <v>5520</v>
      </c>
      <c r="S822">
        <v>196.512</v>
      </c>
      <c r="T822" s="2">
        <v>76544</v>
      </c>
      <c r="U822" s="2">
        <v>24656</v>
      </c>
      <c r="V822">
        <v>229.26400000000001</v>
      </c>
      <c r="W822">
        <v>0</v>
      </c>
      <c r="X822">
        <v>0</v>
      </c>
      <c r="Y822">
        <v>0</v>
      </c>
      <c r="Z822">
        <v>3.8</v>
      </c>
      <c r="AA822">
        <v>1.6574778421383208E-2</v>
      </c>
      <c r="AB822">
        <v>27</v>
      </c>
      <c r="AC822">
        <v>12</v>
      </c>
      <c r="AD822">
        <v>27</v>
      </c>
      <c r="AI82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822" t="s">
        <v>512</v>
      </c>
      <c r="AM822">
        <v>1.5</v>
      </c>
      <c r="AN822">
        <f>INT(Table1[[#This Row],[reject_prod]]/Table1[[#This Row],[part_weight]] * 1000)</f>
        <v>106</v>
      </c>
    </row>
    <row r="823" spans="1:40">
      <c r="A823" s="1">
        <v>46048</v>
      </c>
      <c r="B823">
        <v>1</v>
      </c>
      <c r="C823">
        <v>2</v>
      </c>
      <c r="D823" t="s">
        <v>33</v>
      </c>
      <c r="E823" t="s">
        <v>34</v>
      </c>
      <c r="F823">
        <v>416201</v>
      </c>
      <c r="G823">
        <v>0</v>
      </c>
      <c r="H823" t="s">
        <v>36</v>
      </c>
      <c r="I823">
        <v>10681779</v>
      </c>
      <c r="J823">
        <v>4</v>
      </c>
      <c r="K823">
        <v>20</v>
      </c>
      <c r="L823">
        <v>30</v>
      </c>
      <c r="M823">
        <v>0</v>
      </c>
      <c r="N823" s="2">
        <v>50400</v>
      </c>
      <c r="O823" s="2">
        <v>0</v>
      </c>
      <c r="P823" s="2">
        <v>0</v>
      </c>
      <c r="Q823" s="2">
        <v>0</v>
      </c>
      <c r="R823" s="2">
        <v>0</v>
      </c>
      <c r="S823">
        <v>0</v>
      </c>
      <c r="T823" s="2">
        <v>0</v>
      </c>
      <c r="U823" s="2">
        <v>50400</v>
      </c>
      <c r="V823">
        <v>0</v>
      </c>
      <c r="W823">
        <v>0</v>
      </c>
      <c r="X823">
        <v>0</v>
      </c>
      <c r="Y823" t="e">
        <v>#DIV/0!</v>
      </c>
      <c r="Z823">
        <v>0</v>
      </c>
      <c r="AA823" t="e">
        <v>#DIV/0!</v>
      </c>
      <c r="AB823">
        <v>38.6</v>
      </c>
      <c r="AC823">
        <v>0</v>
      </c>
      <c r="AD823">
        <v>38.64</v>
      </c>
      <c r="AI82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823" t="s">
        <v>513</v>
      </c>
      <c r="AN823">
        <f>INT(Table1[[#This Row],[reject_prod]]/Table1[[#This Row],[part_weight]] * 1000)</f>
        <v>0</v>
      </c>
    </row>
    <row r="824" spans="1:40">
      <c r="A824" s="1">
        <v>46048</v>
      </c>
      <c r="B824">
        <v>1</v>
      </c>
      <c r="C824">
        <v>3</v>
      </c>
      <c r="D824" t="s">
        <v>289</v>
      </c>
      <c r="E824" t="s">
        <v>34</v>
      </c>
      <c r="F824">
        <v>442034</v>
      </c>
      <c r="G824">
        <v>0</v>
      </c>
      <c r="H824" t="s">
        <v>37</v>
      </c>
      <c r="I824">
        <v>10681184</v>
      </c>
      <c r="J824">
        <v>4</v>
      </c>
      <c r="K824">
        <v>23</v>
      </c>
      <c r="L824">
        <v>23</v>
      </c>
      <c r="M824">
        <v>1600</v>
      </c>
      <c r="N824" s="2">
        <v>139776</v>
      </c>
      <c r="O824" s="2">
        <v>1920</v>
      </c>
      <c r="P824" s="2">
        <v>3456</v>
      </c>
      <c r="Q824" s="2">
        <v>6400</v>
      </c>
      <c r="R824" s="2">
        <v>4608</v>
      </c>
      <c r="S824">
        <v>105.98399999999999</v>
      </c>
      <c r="T824" s="2">
        <v>67968</v>
      </c>
      <c r="U824" s="2">
        <v>71808</v>
      </c>
      <c r="V824">
        <v>147.19999999999999</v>
      </c>
      <c r="W824">
        <v>0</v>
      </c>
      <c r="X824">
        <v>0</v>
      </c>
      <c r="Y824">
        <v>0</v>
      </c>
      <c r="Z824">
        <v>4.8</v>
      </c>
      <c r="AA824">
        <v>3.2608695652173912E-2</v>
      </c>
      <c r="AB824">
        <v>26.5</v>
      </c>
      <c r="AC824">
        <v>11.777777777777777</v>
      </c>
      <c r="AD824">
        <v>22</v>
      </c>
      <c r="AI82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0.22222222222222321</v>
      </c>
      <c r="AK824" t="s">
        <v>514</v>
      </c>
      <c r="AN824">
        <f>INT(Table1[[#This Row],[reject_prod]]/Table1[[#This Row],[part_weight]] * 1000)</f>
        <v>208</v>
      </c>
    </row>
    <row r="825" spans="1:40">
      <c r="A825" s="1">
        <v>46048</v>
      </c>
      <c r="B825">
        <v>1</v>
      </c>
      <c r="C825">
        <v>4</v>
      </c>
      <c r="D825" t="s">
        <v>54</v>
      </c>
      <c r="E825" t="s">
        <v>34</v>
      </c>
      <c r="F825">
        <v>402305</v>
      </c>
      <c r="G825">
        <v>0</v>
      </c>
      <c r="H825" t="s">
        <v>395</v>
      </c>
      <c r="I825">
        <v>10684852</v>
      </c>
      <c r="J825">
        <v>4</v>
      </c>
      <c r="K825">
        <v>29</v>
      </c>
      <c r="L825">
        <v>29</v>
      </c>
      <c r="M825">
        <v>940</v>
      </c>
      <c r="N825" s="2">
        <v>64896</v>
      </c>
      <c r="O825" s="2">
        <v>0</v>
      </c>
      <c r="P825" s="2">
        <v>0</v>
      </c>
      <c r="Q825" s="2">
        <v>3760</v>
      </c>
      <c r="R825" s="2">
        <v>3744</v>
      </c>
      <c r="S825">
        <v>108.57599999999999</v>
      </c>
      <c r="T825" s="2">
        <v>64896</v>
      </c>
      <c r="U825" s="2">
        <v>0</v>
      </c>
      <c r="V825">
        <v>109.04</v>
      </c>
      <c r="W825">
        <v>0</v>
      </c>
      <c r="X825">
        <v>0</v>
      </c>
      <c r="Y825">
        <v>0</v>
      </c>
      <c r="Z825">
        <v>2</v>
      </c>
      <c r="AA825">
        <v>1.8341892883345562E-2</v>
      </c>
      <c r="AB825">
        <v>25.4</v>
      </c>
      <c r="AC825">
        <v>6.6322222222222225</v>
      </c>
      <c r="AD825">
        <v>22</v>
      </c>
      <c r="AI82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5.3677777777777775</v>
      </c>
      <c r="AK825" t="s">
        <v>515</v>
      </c>
      <c r="AL825">
        <v>3</v>
      </c>
      <c r="AM825">
        <v>3</v>
      </c>
      <c r="AN825">
        <f>INT(Table1[[#This Row],[reject_prod]]/Table1[[#This Row],[part_weight]] * 1000)</f>
        <v>68</v>
      </c>
    </row>
    <row r="826" spans="1:40">
      <c r="A826" s="1">
        <v>46048</v>
      </c>
      <c r="B826">
        <v>1</v>
      </c>
      <c r="C826">
        <v>4</v>
      </c>
      <c r="D826" t="s">
        <v>33</v>
      </c>
      <c r="E826" t="s">
        <v>34</v>
      </c>
      <c r="F826">
        <v>369308</v>
      </c>
      <c r="G826">
        <v>0</v>
      </c>
      <c r="H826" t="s">
        <v>516</v>
      </c>
      <c r="I826">
        <v>10684853</v>
      </c>
      <c r="J826">
        <v>4</v>
      </c>
      <c r="K826">
        <v>31</v>
      </c>
      <c r="L826">
        <v>31</v>
      </c>
      <c r="M826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>
        <v>0</v>
      </c>
      <c r="T826" s="2">
        <v>0</v>
      </c>
      <c r="U826" s="2">
        <v>0</v>
      </c>
      <c r="V826">
        <v>0</v>
      </c>
      <c r="W826">
        <v>0</v>
      </c>
      <c r="X826">
        <v>0</v>
      </c>
      <c r="Y826" t="e">
        <v>#DIV/0!</v>
      </c>
      <c r="Z826">
        <v>0</v>
      </c>
      <c r="AA826" t="e">
        <v>#DIV/0!</v>
      </c>
      <c r="AB826">
        <v>25.4</v>
      </c>
      <c r="AC826">
        <v>0</v>
      </c>
      <c r="AD826">
        <v>28.4</v>
      </c>
      <c r="AE826">
        <v>5.4</v>
      </c>
      <c r="AI82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6.6</v>
      </c>
      <c r="AK826" t="s">
        <v>517</v>
      </c>
      <c r="AN826">
        <f>INT(Table1[[#This Row],[reject_prod]]/Table1[[#This Row],[part_weight]] * 1000)</f>
        <v>0</v>
      </c>
    </row>
    <row r="827" spans="1:40">
      <c r="A827" s="1">
        <v>46048</v>
      </c>
      <c r="B827">
        <v>1</v>
      </c>
      <c r="C827">
        <v>5</v>
      </c>
      <c r="D827" t="s">
        <v>33</v>
      </c>
      <c r="E827" t="s">
        <v>34</v>
      </c>
      <c r="F827">
        <v>322383</v>
      </c>
      <c r="G827">
        <v>0</v>
      </c>
      <c r="H827" t="s">
        <v>71</v>
      </c>
      <c r="I827">
        <v>10682756</v>
      </c>
      <c r="J827">
        <v>4</v>
      </c>
      <c r="K827">
        <v>12.5</v>
      </c>
      <c r="L827">
        <v>12.5</v>
      </c>
      <c r="M827">
        <v>0</v>
      </c>
      <c r="N827" s="2">
        <v>66000</v>
      </c>
      <c r="O827" s="2">
        <v>4400</v>
      </c>
      <c r="P827" s="2">
        <v>4400</v>
      </c>
      <c r="Q827" s="2">
        <v>0</v>
      </c>
      <c r="R827" s="2">
        <v>0</v>
      </c>
      <c r="S827">
        <v>0</v>
      </c>
      <c r="T827" s="2">
        <v>52800</v>
      </c>
      <c r="U827" s="2">
        <v>13200</v>
      </c>
      <c r="V827">
        <v>0</v>
      </c>
      <c r="W827">
        <v>0</v>
      </c>
      <c r="X827">
        <v>0</v>
      </c>
      <c r="Y827" t="e">
        <v>#DIV/0!</v>
      </c>
      <c r="Z827">
        <v>0</v>
      </c>
      <c r="AA827" t="e">
        <v>#DIV/0!</v>
      </c>
      <c r="AB827">
        <v>20.9</v>
      </c>
      <c r="AC827">
        <v>0</v>
      </c>
      <c r="AD827">
        <v>17.920000000000002</v>
      </c>
      <c r="AH827">
        <v>12</v>
      </c>
      <c r="AI82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827" t="s">
        <v>500</v>
      </c>
      <c r="AN827">
        <f>INT(Table1[[#This Row],[reject_prod]]/Table1[[#This Row],[part_weight]] * 1000)</f>
        <v>0</v>
      </c>
    </row>
    <row r="828" spans="1:40">
      <c r="A828" s="1">
        <v>46048</v>
      </c>
      <c r="B828">
        <v>1</v>
      </c>
      <c r="C828">
        <v>6</v>
      </c>
      <c r="D828" t="s">
        <v>505</v>
      </c>
      <c r="E828" t="s">
        <v>34</v>
      </c>
      <c r="F828">
        <v>322412</v>
      </c>
      <c r="G828">
        <v>0</v>
      </c>
      <c r="H828" t="s">
        <v>487</v>
      </c>
      <c r="I828">
        <v>10685212</v>
      </c>
      <c r="J828">
        <v>4</v>
      </c>
      <c r="K828">
        <v>24.3</v>
      </c>
      <c r="L828">
        <v>24</v>
      </c>
      <c r="M828">
        <v>1830</v>
      </c>
      <c r="N828" s="2">
        <v>40600</v>
      </c>
      <c r="O828" s="2">
        <v>406</v>
      </c>
      <c r="P828" s="2">
        <v>609</v>
      </c>
      <c r="Q828" s="2">
        <v>7320</v>
      </c>
      <c r="R828" s="2">
        <v>7105</v>
      </c>
      <c r="S828">
        <v>170.52</v>
      </c>
      <c r="T828" s="2">
        <v>15834</v>
      </c>
      <c r="U828" s="2">
        <v>24766</v>
      </c>
      <c r="V828">
        <v>175.68</v>
      </c>
      <c r="W828">
        <v>2.1960000000000051</v>
      </c>
      <c r="X828">
        <v>0</v>
      </c>
      <c r="Y828">
        <v>0</v>
      </c>
      <c r="Z828">
        <v>3.5</v>
      </c>
      <c r="AA828">
        <v>1.9922586520947177E-2</v>
      </c>
      <c r="AB828">
        <v>23.6</v>
      </c>
      <c r="AC828">
        <v>11.996666666666668</v>
      </c>
      <c r="AD828">
        <v>20</v>
      </c>
      <c r="AI82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3.333333333332078E-3</v>
      </c>
      <c r="AK828" t="s">
        <v>518</v>
      </c>
      <c r="AN828">
        <f>INT(Table1[[#This Row],[reject_prod]]/Table1[[#This Row],[part_weight]] * 1000)</f>
        <v>145</v>
      </c>
    </row>
    <row r="829" spans="1:40">
      <c r="A829" s="1">
        <v>46048</v>
      </c>
      <c r="B829">
        <v>1</v>
      </c>
      <c r="C829">
        <v>7</v>
      </c>
      <c r="D829" t="s">
        <v>506</v>
      </c>
      <c r="E829" t="s">
        <v>34</v>
      </c>
      <c r="F829">
        <v>647556</v>
      </c>
      <c r="G829">
        <v>0</v>
      </c>
      <c r="H829" t="s">
        <v>458</v>
      </c>
      <c r="I829">
        <v>10683858</v>
      </c>
      <c r="J829">
        <v>4</v>
      </c>
      <c r="K829">
        <v>35</v>
      </c>
      <c r="L829">
        <v>34.5</v>
      </c>
      <c r="M829">
        <v>750</v>
      </c>
      <c r="N829" s="2">
        <v>27720</v>
      </c>
      <c r="O829" s="2">
        <v>0</v>
      </c>
      <c r="P829" s="2">
        <v>0</v>
      </c>
      <c r="Q829" s="2">
        <v>3000</v>
      </c>
      <c r="R829" s="2">
        <v>2772</v>
      </c>
      <c r="S829">
        <v>95.634</v>
      </c>
      <c r="T829" s="2">
        <v>27720</v>
      </c>
      <c r="U829" s="2">
        <v>0</v>
      </c>
      <c r="V829">
        <v>103.5</v>
      </c>
      <c r="W829">
        <v>1.5</v>
      </c>
      <c r="X829">
        <v>0</v>
      </c>
      <c r="Y829">
        <v>0</v>
      </c>
      <c r="Z829">
        <v>17</v>
      </c>
      <c r="AA829">
        <v>0.16425120772946861</v>
      </c>
      <c r="AB829">
        <v>22</v>
      </c>
      <c r="AC829">
        <v>4.5833333333333339</v>
      </c>
      <c r="AD829">
        <v>20.399999999999999</v>
      </c>
      <c r="AI82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7.4166666666666661</v>
      </c>
      <c r="AK829" t="s">
        <v>519</v>
      </c>
      <c r="AN829">
        <f>INT(Table1[[#This Row],[reject_prod]]/Table1[[#This Row],[part_weight]] * 1000)</f>
        <v>492</v>
      </c>
    </row>
    <row r="830" spans="1:40">
      <c r="A830" s="1">
        <v>46048</v>
      </c>
      <c r="B830">
        <v>1</v>
      </c>
      <c r="C830">
        <v>7</v>
      </c>
      <c r="D830" t="s">
        <v>33</v>
      </c>
      <c r="E830" t="s">
        <v>34</v>
      </c>
      <c r="F830">
        <v>322471</v>
      </c>
      <c r="G830">
        <v>0</v>
      </c>
      <c r="H830" t="s">
        <v>520</v>
      </c>
      <c r="I830">
        <v>10684032</v>
      </c>
      <c r="J830">
        <v>4</v>
      </c>
      <c r="K830">
        <v>34.5</v>
      </c>
      <c r="L830">
        <v>34.5</v>
      </c>
      <c r="M830">
        <v>0</v>
      </c>
      <c r="N830" s="2">
        <v>44352</v>
      </c>
      <c r="O830" s="2">
        <v>0</v>
      </c>
      <c r="P830" s="2">
        <v>0</v>
      </c>
      <c r="Q830" s="2">
        <v>0</v>
      </c>
      <c r="R830" s="2">
        <v>0</v>
      </c>
      <c r="S830">
        <v>0</v>
      </c>
      <c r="T830" s="2">
        <v>0</v>
      </c>
      <c r="U830" s="2">
        <v>44352</v>
      </c>
      <c r="V830">
        <v>0</v>
      </c>
      <c r="W830">
        <v>0</v>
      </c>
      <c r="X830">
        <v>10.5</v>
      </c>
      <c r="Y830" t="e">
        <v>#DIV/0!</v>
      </c>
      <c r="Z830">
        <v>0</v>
      </c>
      <c r="AA830" t="e">
        <v>#DIV/0!</v>
      </c>
      <c r="AB830">
        <v>22</v>
      </c>
      <c r="AC830">
        <v>0</v>
      </c>
      <c r="AD830">
        <v>16.2</v>
      </c>
      <c r="AG830">
        <v>1.5</v>
      </c>
      <c r="AI83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10.5</v>
      </c>
      <c r="AK830" t="s">
        <v>521</v>
      </c>
      <c r="AL830">
        <v>5</v>
      </c>
      <c r="AM830">
        <v>7</v>
      </c>
      <c r="AN830">
        <f>INT(Table1[[#This Row],[reject_prod]]/Table1[[#This Row],[part_weight]] * 1000)</f>
        <v>0</v>
      </c>
    </row>
    <row r="831" spans="1:40">
      <c r="A831" s="1">
        <v>46048</v>
      </c>
      <c r="B831">
        <v>1</v>
      </c>
      <c r="C831">
        <v>8</v>
      </c>
      <c r="D831" t="s">
        <v>58</v>
      </c>
      <c r="E831" t="s">
        <v>41</v>
      </c>
      <c r="F831">
        <v>593537</v>
      </c>
      <c r="G831">
        <v>0</v>
      </c>
      <c r="H831" t="s">
        <v>48</v>
      </c>
      <c r="I831">
        <v>10685337</v>
      </c>
      <c r="J831">
        <v>4</v>
      </c>
      <c r="K831">
        <v>56.5</v>
      </c>
      <c r="L831">
        <v>56.8</v>
      </c>
      <c r="M831">
        <v>1440</v>
      </c>
      <c r="N831" s="2">
        <v>69000</v>
      </c>
      <c r="O831" s="2">
        <v>0</v>
      </c>
      <c r="P831" s="2">
        <v>0</v>
      </c>
      <c r="Q831" s="2">
        <v>5760</v>
      </c>
      <c r="R831" s="2">
        <v>5750</v>
      </c>
      <c r="S831">
        <v>326.60000000000002</v>
      </c>
      <c r="T831" s="2">
        <v>5750</v>
      </c>
      <c r="U831" s="2">
        <v>63250</v>
      </c>
      <c r="V831">
        <v>327.16800000000001</v>
      </c>
      <c r="W831">
        <v>-1.7279999999999835</v>
      </c>
      <c r="X831">
        <v>0</v>
      </c>
      <c r="Y831">
        <v>0</v>
      </c>
      <c r="Z831">
        <v>1.2</v>
      </c>
      <c r="AA831">
        <v>3.6678403755868541E-3</v>
      </c>
      <c r="AB831">
        <v>29.4</v>
      </c>
      <c r="AC831">
        <v>11.759999999999998</v>
      </c>
      <c r="AD831">
        <v>28.5</v>
      </c>
      <c r="AI83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0.24000000000000199</v>
      </c>
      <c r="AK831" t="s">
        <v>51</v>
      </c>
      <c r="AM831">
        <v>2</v>
      </c>
      <c r="AN831">
        <f>INT(Table1[[#This Row],[reject_prod]]/Table1[[#This Row],[part_weight]] * 1000)</f>
        <v>21</v>
      </c>
    </row>
    <row r="832" spans="1:40">
      <c r="A832" s="1">
        <v>46048</v>
      </c>
      <c r="B832">
        <v>1</v>
      </c>
      <c r="C832">
        <v>9</v>
      </c>
      <c r="D832" t="s">
        <v>84</v>
      </c>
      <c r="E832" t="s">
        <v>46</v>
      </c>
      <c r="F832">
        <v>586276</v>
      </c>
      <c r="G832">
        <v>0</v>
      </c>
      <c r="H832" t="s">
        <v>47</v>
      </c>
      <c r="I832">
        <v>10682924</v>
      </c>
      <c r="J832">
        <v>6</v>
      </c>
      <c r="K832">
        <v>12.3</v>
      </c>
      <c r="L832">
        <v>12.3</v>
      </c>
      <c r="M832">
        <v>0</v>
      </c>
      <c r="N832" s="2">
        <v>2025</v>
      </c>
      <c r="O832" s="2">
        <v>0</v>
      </c>
      <c r="P832" s="2">
        <v>0</v>
      </c>
      <c r="Q832" s="2">
        <v>0</v>
      </c>
      <c r="R832" s="2">
        <v>2025</v>
      </c>
      <c r="S832">
        <v>24.907499999999999</v>
      </c>
      <c r="T832" s="2">
        <v>1620</v>
      </c>
      <c r="U832" s="2">
        <v>405</v>
      </c>
      <c r="V832">
        <v>0</v>
      </c>
      <c r="W832">
        <v>0</v>
      </c>
      <c r="X832">
        <v>0</v>
      </c>
      <c r="Y832" t="e">
        <v>#DIV/0!</v>
      </c>
      <c r="Z832">
        <v>0</v>
      </c>
      <c r="AA832" t="e">
        <v>#DIV/0!</v>
      </c>
      <c r="AB832">
        <v>26</v>
      </c>
      <c r="AC832">
        <v>0</v>
      </c>
      <c r="AD832">
        <v>26</v>
      </c>
      <c r="AI83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832" t="s">
        <v>522</v>
      </c>
      <c r="AM832">
        <v>0</v>
      </c>
      <c r="AN832">
        <f>INT(Table1[[#This Row],[reject_prod]]/Table1[[#This Row],[part_weight]] * 1000)</f>
        <v>0</v>
      </c>
    </row>
    <row r="833" spans="1:40">
      <c r="A833" s="1">
        <v>46048</v>
      </c>
      <c r="B833">
        <v>1</v>
      </c>
      <c r="C833">
        <v>9</v>
      </c>
      <c r="D833" t="s">
        <v>84</v>
      </c>
      <c r="E833" t="s">
        <v>46</v>
      </c>
      <c r="F833">
        <v>586276</v>
      </c>
      <c r="G833">
        <v>0</v>
      </c>
      <c r="H833" t="s">
        <v>47</v>
      </c>
      <c r="I833" t="s">
        <v>490</v>
      </c>
      <c r="J833">
        <v>6</v>
      </c>
      <c r="K833">
        <v>12.3</v>
      </c>
      <c r="L833">
        <v>12.3</v>
      </c>
      <c r="M833">
        <v>280</v>
      </c>
      <c r="N833" s="2">
        <v>2025</v>
      </c>
      <c r="O833" s="2">
        <v>0</v>
      </c>
      <c r="P833" s="2">
        <v>1620</v>
      </c>
      <c r="Q833" s="2">
        <v>1680</v>
      </c>
      <c r="R833" s="2">
        <v>0</v>
      </c>
      <c r="S833">
        <v>0</v>
      </c>
      <c r="T833" s="2">
        <v>0</v>
      </c>
      <c r="U833" s="2">
        <v>2025</v>
      </c>
      <c r="V833">
        <v>20.664000000000001</v>
      </c>
      <c r="W833">
        <v>0</v>
      </c>
      <c r="X833">
        <v>6</v>
      </c>
      <c r="Y833">
        <v>0.29036004645760743</v>
      </c>
      <c r="Z833">
        <v>0</v>
      </c>
      <c r="AA833">
        <v>0</v>
      </c>
      <c r="AB833">
        <v>26</v>
      </c>
      <c r="AC833">
        <v>2.0222222222222221</v>
      </c>
      <c r="AD833">
        <v>26</v>
      </c>
      <c r="AI83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9.9777777777777779</v>
      </c>
      <c r="AK833" t="s">
        <v>523</v>
      </c>
      <c r="AL833">
        <v>1.4</v>
      </c>
      <c r="AM833">
        <v>1</v>
      </c>
      <c r="AN833">
        <f>INT(Table1[[#This Row],[reject_prod]]/Table1[[#This Row],[part_weight]] * 1000)</f>
        <v>0</v>
      </c>
    </row>
    <row r="834" spans="1:40">
      <c r="A834" s="1">
        <v>46048</v>
      </c>
      <c r="B834">
        <v>1</v>
      </c>
      <c r="C834">
        <v>10</v>
      </c>
      <c r="D834" t="s">
        <v>507</v>
      </c>
      <c r="E834" t="s">
        <v>34</v>
      </c>
      <c r="F834">
        <v>626029</v>
      </c>
      <c r="G834">
        <v>0</v>
      </c>
      <c r="H834" t="s">
        <v>478</v>
      </c>
      <c r="I834">
        <v>10685443</v>
      </c>
      <c r="J834">
        <v>4</v>
      </c>
      <c r="K834">
        <v>48.39</v>
      </c>
      <c r="L834">
        <v>48.39</v>
      </c>
      <c r="M834">
        <v>1100</v>
      </c>
      <c r="N834" s="2">
        <v>12480</v>
      </c>
      <c r="O834" s="2">
        <v>0</v>
      </c>
      <c r="P834" s="2">
        <v>0</v>
      </c>
      <c r="Q834" s="2">
        <v>4400</v>
      </c>
      <c r="R834" s="2">
        <v>4368</v>
      </c>
      <c r="S834">
        <v>211.36751999999998</v>
      </c>
      <c r="T834" s="2">
        <v>11084</v>
      </c>
      <c r="U834" s="2">
        <v>1396</v>
      </c>
      <c r="V834">
        <v>212.916</v>
      </c>
      <c r="W834">
        <v>0</v>
      </c>
      <c r="X834">
        <v>3</v>
      </c>
      <c r="Y834">
        <v>1.4090063687087866E-2</v>
      </c>
      <c r="Z834">
        <v>4.7</v>
      </c>
      <c r="AA834">
        <v>2.2074433109770992E-2</v>
      </c>
      <c r="AB834">
        <v>28.6</v>
      </c>
      <c r="AC834">
        <v>8.7388888888888889</v>
      </c>
      <c r="AD834">
        <v>28</v>
      </c>
      <c r="AI83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3.2611111111111111</v>
      </c>
      <c r="AK834" t="s">
        <v>524</v>
      </c>
      <c r="AL834">
        <v>5</v>
      </c>
      <c r="AM834">
        <v>7</v>
      </c>
      <c r="AN834">
        <f>INT(Table1[[#This Row],[reject_prod]]/Table1[[#This Row],[part_weight]] * 1000)</f>
        <v>97</v>
      </c>
    </row>
    <row r="835" spans="1:40">
      <c r="A835" s="1">
        <v>46048</v>
      </c>
      <c r="B835">
        <v>1</v>
      </c>
      <c r="C835">
        <v>11</v>
      </c>
      <c r="D835" t="s">
        <v>59</v>
      </c>
      <c r="E835" t="s">
        <v>46</v>
      </c>
      <c r="F835">
        <v>552181</v>
      </c>
      <c r="G835">
        <v>1</v>
      </c>
      <c r="H835" t="s">
        <v>49</v>
      </c>
      <c r="I835">
        <v>10683783</v>
      </c>
      <c r="J835">
        <v>6</v>
      </c>
      <c r="K835">
        <v>18.8</v>
      </c>
      <c r="L835">
        <v>18.8</v>
      </c>
      <c r="M835">
        <v>1475</v>
      </c>
      <c r="N835" s="2">
        <v>108000</v>
      </c>
      <c r="O835" s="2">
        <v>0</v>
      </c>
      <c r="P835" s="2">
        <v>3510</v>
      </c>
      <c r="Q835" s="2">
        <v>8850</v>
      </c>
      <c r="R835" s="2">
        <v>5400</v>
      </c>
      <c r="S835">
        <v>101.52</v>
      </c>
      <c r="T835" s="2">
        <v>89910</v>
      </c>
      <c r="U835" s="2">
        <v>18090</v>
      </c>
      <c r="V835">
        <v>166.38</v>
      </c>
      <c r="W835">
        <v>0</v>
      </c>
      <c r="X835">
        <v>0</v>
      </c>
      <c r="Y835">
        <v>0</v>
      </c>
      <c r="Z835">
        <v>1.2</v>
      </c>
      <c r="AA835">
        <v>7.2124053371799496E-3</v>
      </c>
      <c r="AB835">
        <v>28.7</v>
      </c>
      <c r="AC835">
        <v>11.759027777777778</v>
      </c>
      <c r="AD835">
        <v>27</v>
      </c>
      <c r="AI83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0.24097222222222214</v>
      </c>
      <c r="AK835" t="s">
        <v>51</v>
      </c>
      <c r="AN835">
        <f>INT(Table1[[#This Row],[reject_prod]]/Table1[[#This Row],[part_weight]] * 1000)</f>
        <v>63</v>
      </c>
    </row>
    <row r="836" spans="1:40">
      <c r="A836" s="1">
        <v>46048</v>
      </c>
      <c r="B836">
        <v>1</v>
      </c>
      <c r="C836">
        <v>12</v>
      </c>
      <c r="D836" t="s">
        <v>53</v>
      </c>
      <c r="E836" t="s">
        <v>34</v>
      </c>
      <c r="F836">
        <v>620599</v>
      </c>
      <c r="G836">
        <v>0</v>
      </c>
      <c r="H836" t="s">
        <v>50</v>
      </c>
      <c r="I836">
        <v>10684839</v>
      </c>
      <c r="J836">
        <v>4</v>
      </c>
      <c r="K836">
        <v>55</v>
      </c>
      <c r="L836">
        <v>55</v>
      </c>
      <c r="M836">
        <v>1000</v>
      </c>
      <c r="N836" s="2">
        <v>72000</v>
      </c>
      <c r="O836" s="2">
        <v>225</v>
      </c>
      <c r="P836" s="2">
        <v>550</v>
      </c>
      <c r="Q836" s="2">
        <v>4000</v>
      </c>
      <c r="R836" s="2">
        <v>3600</v>
      </c>
      <c r="S836">
        <v>198</v>
      </c>
      <c r="T836" s="2">
        <v>47350</v>
      </c>
      <c r="U836" s="2">
        <v>24650</v>
      </c>
      <c r="V836">
        <v>220</v>
      </c>
      <c r="W836">
        <v>0</v>
      </c>
      <c r="X836">
        <v>6</v>
      </c>
      <c r="Y836">
        <v>2.7272727272727271E-2</v>
      </c>
      <c r="Z836">
        <v>5.3</v>
      </c>
      <c r="AA836">
        <v>2.409090909090909E-2</v>
      </c>
      <c r="AB836">
        <v>28.8</v>
      </c>
      <c r="AC836">
        <v>8</v>
      </c>
      <c r="AD836">
        <v>28</v>
      </c>
      <c r="AI83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4</v>
      </c>
      <c r="AK836" t="s">
        <v>525</v>
      </c>
      <c r="AL836">
        <v>3</v>
      </c>
      <c r="AM836">
        <v>3</v>
      </c>
      <c r="AN836">
        <f>INT(Table1[[#This Row],[reject_prod]]/Table1[[#This Row],[part_weight]] * 1000)</f>
        <v>96</v>
      </c>
    </row>
    <row r="837" spans="1:40">
      <c r="A837" s="1">
        <v>46048</v>
      </c>
      <c r="B837">
        <v>1</v>
      </c>
      <c r="C837">
        <v>13</v>
      </c>
      <c r="D837" t="s">
        <v>59</v>
      </c>
      <c r="E837" t="s">
        <v>46</v>
      </c>
      <c r="F837">
        <v>586276</v>
      </c>
      <c r="G837">
        <v>0</v>
      </c>
      <c r="H837" t="s">
        <v>47</v>
      </c>
      <c r="I837">
        <v>10684862</v>
      </c>
      <c r="J837">
        <v>6</v>
      </c>
      <c r="K837">
        <v>12.3</v>
      </c>
      <c r="L837">
        <v>12.3</v>
      </c>
      <c r="M837">
        <v>1590</v>
      </c>
      <c r="N837" s="2">
        <v>162000</v>
      </c>
      <c r="O837" s="2">
        <v>0</v>
      </c>
      <c r="P837" s="2">
        <v>1215</v>
      </c>
      <c r="Q837" s="2">
        <v>9540</v>
      </c>
      <c r="R837" s="2">
        <v>8100</v>
      </c>
      <c r="S837">
        <v>99.63</v>
      </c>
      <c r="T837" s="2">
        <v>74115</v>
      </c>
      <c r="U837" s="2">
        <v>87885</v>
      </c>
      <c r="V837">
        <v>117.342</v>
      </c>
      <c r="W837">
        <v>0</v>
      </c>
      <c r="X837">
        <v>0</v>
      </c>
      <c r="Y837">
        <v>0</v>
      </c>
      <c r="Z837">
        <v>1</v>
      </c>
      <c r="AA837">
        <v>8.5220977995943484E-3</v>
      </c>
      <c r="AB837">
        <v>26.2</v>
      </c>
      <c r="AC837">
        <v>11.571666666666667</v>
      </c>
      <c r="AD837">
        <v>26</v>
      </c>
      <c r="AI83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0.42833333333333279</v>
      </c>
      <c r="AK837" t="s">
        <v>51</v>
      </c>
      <c r="AN837">
        <f>INT(Table1[[#This Row],[reject_prod]]/Table1[[#This Row],[part_weight]] * 1000)</f>
        <v>81</v>
      </c>
    </row>
    <row r="838" spans="1:40">
      <c r="A838" s="1">
        <v>46048</v>
      </c>
      <c r="B838">
        <v>1</v>
      </c>
      <c r="C838">
        <v>14</v>
      </c>
      <c r="D838" t="s">
        <v>33</v>
      </c>
      <c r="E838" t="s">
        <v>46</v>
      </c>
      <c r="F838">
        <v>555979</v>
      </c>
      <c r="G838">
        <v>1</v>
      </c>
      <c r="H838" t="s">
        <v>52</v>
      </c>
      <c r="I838">
        <v>10683785</v>
      </c>
      <c r="J838">
        <v>6</v>
      </c>
      <c r="K838">
        <v>28</v>
      </c>
      <c r="L838">
        <v>28</v>
      </c>
      <c r="M838">
        <v>0</v>
      </c>
      <c r="N838" s="2">
        <v>100800</v>
      </c>
      <c r="O838" s="2">
        <v>0</v>
      </c>
      <c r="P838" s="2">
        <v>0</v>
      </c>
      <c r="Q838" s="2">
        <v>0</v>
      </c>
      <c r="R838" s="2">
        <v>0</v>
      </c>
      <c r="S838">
        <v>0</v>
      </c>
      <c r="T838" s="2">
        <v>30240</v>
      </c>
      <c r="U838" s="2">
        <v>70560</v>
      </c>
      <c r="V838">
        <v>0</v>
      </c>
      <c r="W838">
        <v>0</v>
      </c>
      <c r="X838">
        <v>0</v>
      </c>
      <c r="Y838" t="e">
        <v>#DIV/0!</v>
      </c>
      <c r="Z838">
        <v>0</v>
      </c>
      <c r="AA838" t="e">
        <v>#DIV/0!</v>
      </c>
      <c r="AB838">
        <v>43.4</v>
      </c>
      <c r="AC838">
        <v>0</v>
      </c>
      <c r="AD838">
        <v>42</v>
      </c>
      <c r="AI83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838" t="s">
        <v>481</v>
      </c>
      <c r="AN838">
        <f>INT(Table1[[#This Row],[reject_prod]]/Table1[[#This Row],[part_weight]] * 1000)</f>
        <v>0</v>
      </c>
    </row>
    <row r="839" spans="1:40">
      <c r="A839" s="1">
        <v>46048</v>
      </c>
      <c r="B839">
        <v>1</v>
      </c>
      <c r="C839">
        <v>15</v>
      </c>
      <c r="D839" t="s">
        <v>59</v>
      </c>
      <c r="E839" t="s">
        <v>46</v>
      </c>
      <c r="F839">
        <v>552181</v>
      </c>
      <c r="G839">
        <v>2</v>
      </c>
      <c r="H839" t="s">
        <v>49</v>
      </c>
      <c r="I839">
        <v>10683787</v>
      </c>
      <c r="J839">
        <v>6</v>
      </c>
      <c r="K839">
        <v>18.8</v>
      </c>
      <c r="L839">
        <v>18.8</v>
      </c>
      <c r="M839">
        <v>1400</v>
      </c>
      <c r="N839" s="2">
        <v>108000</v>
      </c>
      <c r="O839" s="2">
        <v>5208</v>
      </c>
      <c r="P839" s="2">
        <v>2430</v>
      </c>
      <c r="Q839" s="2">
        <v>8400</v>
      </c>
      <c r="R839" s="2">
        <v>10800</v>
      </c>
      <c r="S839">
        <v>203.04</v>
      </c>
      <c r="T839" s="2">
        <v>72360</v>
      </c>
      <c r="U839" s="2">
        <v>35640</v>
      </c>
      <c r="V839">
        <v>157.91999999999999</v>
      </c>
      <c r="W839">
        <v>0</v>
      </c>
      <c r="X839">
        <v>0</v>
      </c>
      <c r="Y839">
        <v>0</v>
      </c>
      <c r="Z839">
        <v>1.1000000000000001</v>
      </c>
      <c r="AA839">
        <v>6.965552178318137E-3</v>
      </c>
      <c r="AB839">
        <v>30.2</v>
      </c>
      <c r="AC839">
        <v>11.744444444444444</v>
      </c>
      <c r="AD839">
        <v>27</v>
      </c>
      <c r="AI83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0.25555555555555642</v>
      </c>
      <c r="AK839" t="s">
        <v>51</v>
      </c>
      <c r="AN839">
        <f>INT(Table1[[#This Row],[reject_prod]]/Table1[[#This Row],[part_weight]] * 1000)</f>
        <v>58</v>
      </c>
    </row>
    <row r="840" spans="1:40" s="4" customFormat="1">
      <c r="A840" s="3">
        <v>46048</v>
      </c>
      <c r="B840" s="4">
        <v>1</v>
      </c>
      <c r="C840" s="4">
        <v>16</v>
      </c>
      <c r="D840" s="4" t="s">
        <v>508</v>
      </c>
      <c r="E840" s="4" t="s">
        <v>46</v>
      </c>
      <c r="F840" s="4">
        <v>555979</v>
      </c>
      <c r="G840" s="4">
        <v>2</v>
      </c>
      <c r="H840" s="4" t="s">
        <v>52</v>
      </c>
      <c r="I840" s="4">
        <v>10684863</v>
      </c>
      <c r="J840" s="4">
        <v>6</v>
      </c>
      <c r="K840" s="4">
        <v>28</v>
      </c>
      <c r="L840" s="4">
        <v>28</v>
      </c>
      <c r="M840" s="4">
        <v>980</v>
      </c>
      <c r="N840" s="5">
        <v>100800</v>
      </c>
      <c r="O840" s="5">
        <v>5208</v>
      </c>
      <c r="P840" s="5">
        <v>840</v>
      </c>
      <c r="Q840" s="5">
        <v>5880</v>
      </c>
      <c r="R840" s="5">
        <v>10080</v>
      </c>
      <c r="S840" s="4">
        <v>282.24</v>
      </c>
      <c r="T840" s="5">
        <v>31080</v>
      </c>
      <c r="U840" s="5">
        <v>69720</v>
      </c>
      <c r="V840" s="4">
        <v>164.64</v>
      </c>
      <c r="W840" s="4">
        <v>0</v>
      </c>
      <c r="X840" s="4">
        <v>0</v>
      </c>
      <c r="Y840" s="4">
        <v>0</v>
      </c>
      <c r="Z840" s="4">
        <v>1.3</v>
      </c>
      <c r="AA840" s="4">
        <v>7.8960155490767747E-3</v>
      </c>
      <c r="AB840" s="4">
        <v>43.4</v>
      </c>
      <c r="AC840" s="4">
        <v>11.814444444444444</v>
      </c>
      <c r="AD840" s="4">
        <v>42</v>
      </c>
      <c r="AI84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0.18555555555555614</v>
      </c>
      <c r="AK840" s="4" t="s">
        <v>51</v>
      </c>
      <c r="AN840" s="4">
        <f>INT(Table1[[#This Row],[reject_prod]]/Table1[[#This Row],[part_weight]] * 1000)</f>
        <v>46</v>
      </c>
    </row>
    <row r="841" spans="1:40">
      <c r="A841" s="1">
        <v>46048</v>
      </c>
      <c r="B841">
        <v>2</v>
      </c>
      <c r="C841">
        <v>1</v>
      </c>
      <c r="D841" t="s">
        <v>65</v>
      </c>
      <c r="E841" t="s">
        <v>34</v>
      </c>
      <c r="F841">
        <v>577492</v>
      </c>
      <c r="G841">
        <v>0</v>
      </c>
      <c r="H841" t="s">
        <v>341</v>
      </c>
      <c r="I841">
        <v>10684028</v>
      </c>
      <c r="J841">
        <v>4</v>
      </c>
      <c r="K841">
        <v>35.6</v>
      </c>
      <c r="L841">
        <v>35.6</v>
      </c>
      <c r="M841">
        <v>1575</v>
      </c>
      <c r="N841" s="2">
        <v>101200</v>
      </c>
      <c r="O841" s="2">
        <v>1104</v>
      </c>
      <c r="P841" s="2">
        <v>0</v>
      </c>
      <c r="Q841" s="2">
        <v>6300</v>
      </c>
      <c r="R841" s="2">
        <v>7360</v>
      </c>
      <c r="S841">
        <v>262.01600000000002</v>
      </c>
      <c r="T841" s="2">
        <v>80960</v>
      </c>
      <c r="U841" s="2">
        <v>20240</v>
      </c>
      <c r="V841">
        <v>224.28</v>
      </c>
      <c r="W841">
        <v>0</v>
      </c>
      <c r="X841">
        <v>0</v>
      </c>
      <c r="Y841">
        <v>0</v>
      </c>
      <c r="Z841">
        <v>1.6</v>
      </c>
      <c r="AA841">
        <v>7.1339397182093815E-3</v>
      </c>
      <c r="AB841">
        <v>26.8</v>
      </c>
      <c r="AC841">
        <v>11.725</v>
      </c>
      <c r="AD841">
        <v>27</v>
      </c>
      <c r="AI84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0.27500000000000036</v>
      </c>
      <c r="AK841" t="s">
        <v>51</v>
      </c>
      <c r="AN841">
        <f>INT(Table1[[#This Row],[reject_prod]]/Table1[[#This Row],[part_weight]] * 1000)</f>
        <v>44</v>
      </c>
    </row>
    <row r="842" spans="1:40">
      <c r="A842" s="1">
        <v>46048</v>
      </c>
      <c r="B842">
        <v>2</v>
      </c>
      <c r="C842">
        <v>2</v>
      </c>
      <c r="D842" t="s">
        <v>33</v>
      </c>
      <c r="E842" t="s">
        <v>34</v>
      </c>
      <c r="F842">
        <v>416201</v>
      </c>
      <c r="G842">
        <v>0</v>
      </c>
      <c r="H842" t="s">
        <v>36</v>
      </c>
      <c r="I842">
        <v>10681779</v>
      </c>
      <c r="J842">
        <v>4</v>
      </c>
      <c r="K842">
        <v>20</v>
      </c>
      <c r="L842">
        <v>30</v>
      </c>
      <c r="M842">
        <v>0</v>
      </c>
      <c r="N842" s="2">
        <v>50400</v>
      </c>
      <c r="O842" s="2">
        <v>0</v>
      </c>
      <c r="P842" s="2">
        <v>0</v>
      </c>
      <c r="Q842" s="2">
        <v>0</v>
      </c>
      <c r="R842" s="2">
        <v>0</v>
      </c>
      <c r="S842">
        <v>0</v>
      </c>
      <c r="T842" s="2">
        <v>10080</v>
      </c>
      <c r="U842" s="2">
        <v>40320</v>
      </c>
      <c r="V842">
        <v>0</v>
      </c>
      <c r="W842">
        <v>0</v>
      </c>
      <c r="X842">
        <v>0</v>
      </c>
      <c r="Y842" t="e">
        <v>#DIV/0!</v>
      </c>
      <c r="Z842">
        <v>0</v>
      </c>
      <c r="AA842" t="e">
        <v>#DIV/0!</v>
      </c>
      <c r="AB842">
        <v>38</v>
      </c>
      <c r="AC842">
        <v>0</v>
      </c>
      <c r="AD842">
        <v>38.64</v>
      </c>
      <c r="AI84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842" t="s">
        <v>526</v>
      </c>
      <c r="AN842">
        <f>INT(Table1[[#This Row],[reject_prod]]/Table1[[#This Row],[part_weight]] * 1000)</f>
        <v>0</v>
      </c>
    </row>
    <row r="843" spans="1:40">
      <c r="A843" s="1">
        <v>46048</v>
      </c>
      <c r="B843">
        <v>2</v>
      </c>
      <c r="C843">
        <v>3</v>
      </c>
      <c r="D843" t="s">
        <v>43</v>
      </c>
      <c r="E843" t="s">
        <v>34</v>
      </c>
      <c r="F843">
        <v>442034</v>
      </c>
      <c r="G843">
        <v>0</v>
      </c>
      <c r="H843" t="s">
        <v>37</v>
      </c>
      <c r="I843">
        <v>10681184</v>
      </c>
      <c r="J843">
        <v>4</v>
      </c>
      <c r="K843">
        <v>23</v>
      </c>
      <c r="L843">
        <v>23</v>
      </c>
      <c r="M843">
        <v>1638</v>
      </c>
      <c r="N843" s="2">
        <v>139776</v>
      </c>
      <c r="O843" s="2">
        <v>3456</v>
      </c>
      <c r="P843" s="2">
        <v>640</v>
      </c>
      <c r="Q843" s="2">
        <v>6552</v>
      </c>
      <c r="R843" s="2">
        <v>9216</v>
      </c>
      <c r="S843">
        <v>211.96799999999999</v>
      </c>
      <c r="T843" s="2">
        <v>74368</v>
      </c>
      <c r="U843" s="2">
        <v>65408</v>
      </c>
      <c r="V843">
        <v>150.696</v>
      </c>
      <c r="W843">
        <v>0</v>
      </c>
      <c r="X843">
        <v>0</v>
      </c>
      <c r="Y843">
        <v>0</v>
      </c>
      <c r="Z843">
        <v>3.5</v>
      </c>
      <c r="AA843">
        <v>2.3225566703827572E-2</v>
      </c>
      <c r="AB843">
        <v>26.5</v>
      </c>
      <c r="AC843">
        <v>12</v>
      </c>
      <c r="AD843">
        <v>22</v>
      </c>
      <c r="AI84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843" t="s">
        <v>103</v>
      </c>
      <c r="AN843">
        <f>INT(Table1[[#This Row],[reject_prod]]/Table1[[#This Row],[part_weight]] * 1000)</f>
        <v>152</v>
      </c>
    </row>
    <row r="844" spans="1:40">
      <c r="A844" s="1">
        <v>46048</v>
      </c>
      <c r="B844">
        <v>2</v>
      </c>
      <c r="C844">
        <v>4</v>
      </c>
      <c r="D844" t="s">
        <v>67</v>
      </c>
      <c r="E844" t="s">
        <v>34</v>
      </c>
      <c r="F844">
        <v>369308</v>
      </c>
      <c r="G844">
        <v>0</v>
      </c>
      <c r="H844" t="s">
        <v>516</v>
      </c>
      <c r="I844">
        <v>10684853</v>
      </c>
      <c r="J844">
        <v>4</v>
      </c>
      <c r="K844">
        <v>31</v>
      </c>
      <c r="L844">
        <v>31</v>
      </c>
      <c r="M844">
        <v>1002</v>
      </c>
      <c r="N844" s="2">
        <v>34560</v>
      </c>
      <c r="O844" s="2">
        <v>0</v>
      </c>
      <c r="P844" s="2">
        <v>480</v>
      </c>
      <c r="Q844" s="2">
        <v>4008</v>
      </c>
      <c r="R844" s="2">
        <v>2880</v>
      </c>
      <c r="S844">
        <v>89.28</v>
      </c>
      <c r="T844" s="2">
        <v>3360</v>
      </c>
      <c r="U844" s="2">
        <v>31200</v>
      </c>
      <c r="V844">
        <v>124.248</v>
      </c>
      <c r="W844">
        <v>0</v>
      </c>
      <c r="X844">
        <v>15</v>
      </c>
      <c r="Y844">
        <v>0.12072628935677032</v>
      </c>
      <c r="Z844">
        <v>5</v>
      </c>
      <c r="AA844">
        <v>4.0242096452256779E-2</v>
      </c>
      <c r="AB844">
        <v>26.4</v>
      </c>
      <c r="AC844">
        <v>7.3479999999999999</v>
      </c>
      <c r="AD844">
        <v>28.4</v>
      </c>
      <c r="AI84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4.6520000000000001</v>
      </c>
      <c r="AK844" t="s">
        <v>527</v>
      </c>
      <c r="AN844">
        <f>INT(Table1[[#This Row],[reject_prod]]/Table1[[#This Row],[part_weight]] * 1000)</f>
        <v>161</v>
      </c>
    </row>
    <row r="845" spans="1:40">
      <c r="A845" s="1">
        <v>46048</v>
      </c>
      <c r="B845">
        <v>2</v>
      </c>
      <c r="C845">
        <v>5</v>
      </c>
      <c r="D845" t="s">
        <v>509</v>
      </c>
      <c r="E845" t="s">
        <v>34</v>
      </c>
      <c r="F845">
        <v>322383</v>
      </c>
      <c r="G845">
        <v>0</v>
      </c>
      <c r="H845" t="s">
        <v>71</v>
      </c>
      <c r="I845">
        <v>10682756</v>
      </c>
      <c r="J845">
        <v>4</v>
      </c>
      <c r="K845">
        <v>12.5</v>
      </c>
      <c r="L845">
        <v>12.5</v>
      </c>
      <c r="M845">
        <v>1438</v>
      </c>
      <c r="N845" s="2">
        <v>66000</v>
      </c>
      <c r="O845" s="2">
        <v>4400</v>
      </c>
      <c r="P845" s="2">
        <v>9900</v>
      </c>
      <c r="Q845" s="2">
        <v>5752</v>
      </c>
      <c r="R845" s="2">
        <v>0</v>
      </c>
      <c r="S845">
        <v>0</v>
      </c>
      <c r="T845" s="2">
        <v>62700</v>
      </c>
      <c r="U845" s="2">
        <v>3300</v>
      </c>
      <c r="V845">
        <v>71.900000000000006</v>
      </c>
      <c r="W845">
        <v>0</v>
      </c>
      <c r="X845">
        <v>0</v>
      </c>
      <c r="Y845">
        <v>0</v>
      </c>
      <c r="Z845">
        <v>3</v>
      </c>
      <c r="AA845">
        <v>4.1724617524339355E-2</v>
      </c>
      <c r="AB845">
        <v>21</v>
      </c>
      <c r="AC845">
        <v>8.3883333333333336</v>
      </c>
      <c r="AD845">
        <v>17.920000000000002</v>
      </c>
      <c r="AH845">
        <v>3.5</v>
      </c>
      <c r="AI84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0.11166666666666636</v>
      </c>
      <c r="AK845" t="s">
        <v>528</v>
      </c>
      <c r="AN845">
        <f>INT(Table1[[#This Row],[reject_prod]]/Table1[[#This Row],[part_weight]] * 1000)</f>
        <v>240</v>
      </c>
    </row>
    <row r="846" spans="1:40">
      <c r="A846" s="1">
        <v>46048</v>
      </c>
      <c r="B846">
        <v>2</v>
      </c>
      <c r="C846">
        <v>6</v>
      </c>
      <c r="D846" t="s">
        <v>510</v>
      </c>
      <c r="E846" t="s">
        <v>34</v>
      </c>
      <c r="F846">
        <v>322412</v>
      </c>
      <c r="G846">
        <v>0</v>
      </c>
      <c r="H846" t="s">
        <v>487</v>
      </c>
      <c r="I846">
        <v>10685212</v>
      </c>
      <c r="J846">
        <v>4</v>
      </c>
      <c r="K846">
        <v>24.3</v>
      </c>
      <c r="L846">
        <v>24</v>
      </c>
      <c r="M846">
        <v>1786</v>
      </c>
      <c r="N846" s="2">
        <v>40600</v>
      </c>
      <c r="O846" s="2">
        <v>609</v>
      </c>
      <c r="P846" s="2">
        <v>609</v>
      </c>
      <c r="Q846" s="2">
        <v>7144</v>
      </c>
      <c r="R846" s="2">
        <v>7105</v>
      </c>
      <c r="S846">
        <v>170.52</v>
      </c>
      <c r="T846" s="2">
        <v>22939</v>
      </c>
      <c r="U846" s="2">
        <v>17661</v>
      </c>
      <c r="V846">
        <v>171.45599999999999</v>
      </c>
      <c r="W846">
        <v>0</v>
      </c>
      <c r="X846">
        <v>0</v>
      </c>
      <c r="Y846">
        <v>0</v>
      </c>
      <c r="Z846">
        <v>0.8</v>
      </c>
      <c r="AA846">
        <v>4.6659201194475556E-3</v>
      </c>
      <c r="AB846">
        <v>23.3</v>
      </c>
      <c r="AC846">
        <v>11.559388888888888</v>
      </c>
      <c r="AD846">
        <v>20</v>
      </c>
      <c r="AI84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0.44061111111111195</v>
      </c>
      <c r="AK846" t="s">
        <v>103</v>
      </c>
      <c r="AN846">
        <f>INT(Table1[[#This Row],[reject_prod]]/Table1[[#This Row],[part_weight]] * 1000)</f>
        <v>33</v>
      </c>
    </row>
    <row r="847" spans="1:40">
      <c r="A847" s="1">
        <v>46048</v>
      </c>
      <c r="B847">
        <v>2</v>
      </c>
      <c r="C847">
        <v>7</v>
      </c>
      <c r="D847" t="s">
        <v>511</v>
      </c>
      <c r="E847" t="s">
        <v>34</v>
      </c>
      <c r="F847">
        <v>322471</v>
      </c>
      <c r="G847">
        <v>0</v>
      </c>
      <c r="H847" t="s">
        <v>520</v>
      </c>
      <c r="I847">
        <v>10684032</v>
      </c>
      <c r="J847">
        <v>4</v>
      </c>
      <c r="K847">
        <v>34.5</v>
      </c>
      <c r="L847">
        <v>34.5</v>
      </c>
      <c r="M847">
        <v>1518</v>
      </c>
      <c r="N847" s="2">
        <v>44352</v>
      </c>
      <c r="O847" s="2">
        <v>0</v>
      </c>
      <c r="P847" s="2">
        <v>0</v>
      </c>
      <c r="Q847" s="2">
        <v>6072</v>
      </c>
      <c r="R847" s="2">
        <v>5544</v>
      </c>
      <c r="S847">
        <v>191.268</v>
      </c>
      <c r="T847" s="2">
        <v>5544</v>
      </c>
      <c r="U847" s="2">
        <v>38808</v>
      </c>
      <c r="V847">
        <v>209.48400000000001</v>
      </c>
      <c r="W847">
        <v>0</v>
      </c>
      <c r="X847">
        <v>15</v>
      </c>
      <c r="Y847">
        <v>7.1604513948559309E-2</v>
      </c>
      <c r="Z847">
        <v>3.5</v>
      </c>
      <c r="AA847">
        <v>1.6707719921330508E-2</v>
      </c>
      <c r="AB847">
        <v>22.4</v>
      </c>
      <c r="AC847">
        <v>9.4453333333333322</v>
      </c>
      <c r="AD847">
        <v>16.2</v>
      </c>
      <c r="AI84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2.5546666666666678</v>
      </c>
      <c r="AK847" t="s">
        <v>529</v>
      </c>
      <c r="AN847">
        <f>INT(Table1[[#This Row],[reject_prod]]/Table1[[#This Row],[part_weight]] * 1000)</f>
        <v>101</v>
      </c>
    </row>
    <row r="848" spans="1:40">
      <c r="A848" s="1">
        <v>46048</v>
      </c>
      <c r="B848">
        <v>2</v>
      </c>
      <c r="C848">
        <v>8</v>
      </c>
      <c r="D848" t="s">
        <v>112</v>
      </c>
      <c r="E848" t="s">
        <v>41</v>
      </c>
      <c r="F848">
        <v>593537</v>
      </c>
      <c r="G848">
        <v>0</v>
      </c>
      <c r="H848" t="s">
        <v>48</v>
      </c>
      <c r="I848">
        <v>10685337</v>
      </c>
      <c r="J848">
        <v>4</v>
      </c>
      <c r="K848">
        <v>56.5</v>
      </c>
      <c r="L848">
        <v>56.8</v>
      </c>
      <c r="M848">
        <v>1443</v>
      </c>
      <c r="N848" s="2">
        <v>69000</v>
      </c>
      <c r="O848" s="2">
        <v>0</v>
      </c>
      <c r="P848" s="2">
        <v>0</v>
      </c>
      <c r="Q848" s="2">
        <v>5772</v>
      </c>
      <c r="R848" s="2">
        <v>5750</v>
      </c>
      <c r="S848">
        <v>326.60000000000002</v>
      </c>
      <c r="T848" s="2">
        <v>11500</v>
      </c>
      <c r="U848" s="2">
        <v>57500</v>
      </c>
      <c r="V848">
        <v>327.84959999999995</v>
      </c>
      <c r="W848">
        <v>0</v>
      </c>
      <c r="X848">
        <v>0</v>
      </c>
      <c r="Y848">
        <v>0</v>
      </c>
      <c r="Z848">
        <v>1.1000000000000001</v>
      </c>
      <c r="AA848">
        <v>3.3551970171688491E-3</v>
      </c>
      <c r="AB848">
        <v>29.4</v>
      </c>
      <c r="AC848">
        <v>11.7845</v>
      </c>
      <c r="AD848">
        <v>28.5</v>
      </c>
      <c r="AI84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0.21550000000000047</v>
      </c>
      <c r="AK848" t="s">
        <v>51</v>
      </c>
      <c r="AN848">
        <f>INT(Table1[[#This Row],[reject_prod]]/Table1[[#This Row],[part_weight]] * 1000)</f>
        <v>19</v>
      </c>
    </row>
    <row r="849" spans="1:40">
      <c r="A849" s="1">
        <v>46048</v>
      </c>
      <c r="B849">
        <v>2</v>
      </c>
      <c r="C849">
        <v>9</v>
      </c>
      <c r="F849">
        <v>123456</v>
      </c>
      <c r="G849">
        <v>0</v>
      </c>
      <c r="M849">
        <v>0</v>
      </c>
      <c r="N849" s="2">
        <v>0</v>
      </c>
      <c r="O849" s="2">
        <v>0</v>
      </c>
      <c r="P849" s="2">
        <v>0</v>
      </c>
      <c r="Q849" s="2"/>
      <c r="R849" s="2">
        <v>0</v>
      </c>
      <c r="T849" s="2">
        <v>0</v>
      </c>
      <c r="U849" s="2"/>
      <c r="X849">
        <v>0</v>
      </c>
      <c r="Z849">
        <v>0</v>
      </c>
      <c r="AB849">
        <v>0</v>
      </c>
      <c r="AC849">
        <v>0</v>
      </c>
      <c r="AD849">
        <v>0</v>
      </c>
      <c r="AI84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849">
        <v>12</v>
      </c>
      <c r="AK849" t="s">
        <v>116</v>
      </c>
      <c r="AN849">
        <v>0</v>
      </c>
    </row>
    <row r="850" spans="1:40">
      <c r="A850" s="1">
        <v>46048</v>
      </c>
      <c r="B850">
        <v>2</v>
      </c>
      <c r="C850">
        <v>10</v>
      </c>
      <c r="D850" t="s">
        <v>67</v>
      </c>
      <c r="E850" t="s">
        <v>34</v>
      </c>
      <c r="F850">
        <v>626029</v>
      </c>
      <c r="G850">
        <v>0</v>
      </c>
      <c r="H850" t="s">
        <v>478</v>
      </c>
      <c r="I850">
        <v>10685443</v>
      </c>
      <c r="J850">
        <v>4</v>
      </c>
      <c r="K850">
        <v>48.39</v>
      </c>
      <c r="L850">
        <v>48.39</v>
      </c>
      <c r="M850">
        <v>477</v>
      </c>
      <c r="N850" s="2">
        <v>12480</v>
      </c>
      <c r="O850" s="2">
        <v>0</v>
      </c>
      <c r="P850" s="2">
        <v>0</v>
      </c>
      <c r="Q850" s="2">
        <v>1908</v>
      </c>
      <c r="R850" s="2">
        <v>1872</v>
      </c>
      <c r="S850">
        <v>90.586079999999995</v>
      </c>
      <c r="T850" s="2">
        <v>12480</v>
      </c>
      <c r="U850" s="2">
        <v>0</v>
      </c>
      <c r="V850">
        <v>92.328119999999998</v>
      </c>
      <c r="W850">
        <v>0</v>
      </c>
      <c r="X850">
        <v>0</v>
      </c>
      <c r="Y850">
        <v>0</v>
      </c>
      <c r="Z850">
        <v>1.7</v>
      </c>
      <c r="AA850">
        <v>1.8412591960065904E-2</v>
      </c>
      <c r="AB850">
        <v>28.6</v>
      </c>
      <c r="AC850">
        <v>3.7895000000000003</v>
      </c>
      <c r="AD850">
        <v>28</v>
      </c>
      <c r="AI85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8.2104999999999997</v>
      </c>
      <c r="AK850" t="s">
        <v>530</v>
      </c>
      <c r="AN850">
        <f>INT(Table1[[#This Row],[reject_prod]]/Table1[[#This Row],[part_weight]] * 1000)</f>
        <v>35</v>
      </c>
    </row>
    <row r="851" spans="1:40">
      <c r="A851" s="1">
        <v>46048</v>
      </c>
      <c r="B851">
        <v>2</v>
      </c>
      <c r="C851">
        <v>10</v>
      </c>
      <c r="D851" t="s">
        <v>33</v>
      </c>
      <c r="E851" t="s">
        <v>34</v>
      </c>
      <c r="F851">
        <v>441778</v>
      </c>
      <c r="G851">
        <v>0</v>
      </c>
      <c r="H851" t="s">
        <v>531</v>
      </c>
      <c r="I851">
        <v>10684860</v>
      </c>
      <c r="J851">
        <v>4</v>
      </c>
      <c r="K851">
        <v>77</v>
      </c>
      <c r="L851">
        <v>77</v>
      </c>
      <c r="M851">
        <v>0</v>
      </c>
      <c r="N851" s="2">
        <v>11868</v>
      </c>
      <c r="O851" s="2">
        <v>0</v>
      </c>
      <c r="P851" s="2">
        <v>0</v>
      </c>
      <c r="Q851" s="2">
        <v>0</v>
      </c>
      <c r="R851" s="2">
        <v>0</v>
      </c>
      <c r="S851">
        <v>0</v>
      </c>
      <c r="T851" s="2">
        <v>0</v>
      </c>
      <c r="U851" s="2">
        <v>11868</v>
      </c>
      <c r="V851">
        <v>0</v>
      </c>
      <c r="W851">
        <v>0</v>
      </c>
      <c r="X851">
        <v>27</v>
      </c>
      <c r="Y851" t="e">
        <v>#DIV/0!</v>
      </c>
      <c r="Z851">
        <v>0</v>
      </c>
      <c r="AA851" t="e">
        <v>#DIV/0!</v>
      </c>
      <c r="AB851">
        <v>35</v>
      </c>
      <c r="AC851">
        <v>0</v>
      </c>
      <c r="AD851">
        <v>35</v>
      </c>
      <c r="AE851">
        <v>5.5</v>
      </c>
      <c r="AI85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6.5</v>
      </c>
      <c r="AK851" t="s">
        <v>532</v>
      </c>
      <c r="AN851">
        <f>INT(Table1[[#This Row],[reject_prod]]/Table1[[#This Row],[part_weight]] * 1000)</f>
        <v>0</v>
      </c>
    </row>
    <row r="852" spans="1:40">
      <c r="A852" s="1">
        <v>46048</v>
      </c>
      <c r="B852">
        <v>2</v>
      </c>
      <c r="C852">
        <v>11</v>
      </c>
      <c r="D852" t="s">
        <v>61</v>
      </c>
      <c r="E852" t="s">
        <v>46</v>
      </c>
      <c r="F852">
        <v>552181</v>
      </c>
      <c r="G852">
        <v>1</v>
      </c>
      <c r="H852" t="s">
        <v>49</v>
      </c>
      <c r="I852">
        <v>10683783</v>
      </c>
      <c r="J852">
        <v>6</v>
      </c>
      <c r="K852">
        <v>18.8</v>
      </c>
      <c r="L852">
        <v>18.8</v>
      </c>
      <c r="M852">
        <v>1516</v>
      </c>
      <c r="N852" s="2">
        <v>108000</v>
      </c>
      <c r="O852" s="2">
        <v>3510</v>
      </c>
      <c r="P852" s="2">
        <v>1620</v>
      </c>
      <c r="Q852" s="2">
        <v>9096</v>
      </c>
      <c r="R852" s="2">
        <v>10800</v>
      </c>
      <c r="S852">
        <v>203.04</v>
      </c>
      <c r="T852" s="2">
        <v>98820</v>
      </c>
      <c r="U852" s="2">
        <v>9180</v>
      </c>
      <c r="V852">
        <v>171.00480000000002</v>
      </c>
      <c r="W852">
        <v>0</v>
      </c>
      <c r="X852">
        <v>0</v>
      </c>
      <c r="Y852">
        <v>0</v>
      </c>
      <c r="Z852">
        <v>3.5</v>
      </c>
      <c r="AA852">
        <v>2.0467261737682214E-2</v>
      </c>
      <c r="AB852">
        <v>28.7</v>
      </c>
      <c r="AC852">
        <v>12</v>
      </c>
      <c r="AD852">
        <v>27</v>
      </c>
      <c r="AI85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852" t="s">
        <v>480</v>
      </c>
      <c r="AN852">
        <f>INT(Table1[[#This Row],[reject_prod]]/Table1[[#This Row],[part_weight]] * 1000)</f>
        <v>186</v>
      </c>
    </row>
    <row r="853" spans="1:40">
      <c r="A853" s="1">
        <v>46048</v>
      </c>
      <c r="B853">
        <v>2</v>
      </c>
      <c r="C853">
        <v>12</v>
      </c>
      <c r="D853" t="s">
        <v>40</v>
      </c>
      <c r="E853" t="s">
        <v>34</v>
      </c>
      <c r="F853">
        <v>620599</v>
      </c>
      <c r="G853">
        <v>0</v>
      </c>
      <c r="H853" t="s">
        <v>50</v>
      </c>
      <c r="I853">
        <v>10684839</v>
      </c>
      <c r="J853">
        <v>4</v>
      </c>
      <c r="K853">
        <v>55</v>
      </c>
      <c r="L853">
        <v>55</v>
      </c>
      <c r="M853">
        <v>1475</v>
      </c>
      <c r="N853" s="2">
        <v>72000</v>
      </c>
      <c r="O853" s="2">
        <v>550</v>
      </c>
      <c r="P853" s="2">
        <v>1575</v>
      </c>
      <c r="Q853" s="2">
        <v>5900</v>
      </c>
      <c r="R853" s="2">
        <v>5400</v>
      </c>
      <c r="S853">
        <v>297</v>
      </c>
      <c r="T853" s="2">
        <v>53775</v>
      </c>
      <c r="U853" s="2">
        <v>18225</v>
      </c>
      <c r="V853">
        <v>324.5</v>
      </c>
      <c r="W853">
        <v>0</v>
      </c>
      <c r="X853">
        <v>0</v>
      </c>
      <c r="Y853">
        <v>0</v>
      </c>
      <c r="Z853">
        <v>7.6</v>
      </c>
      <c r="AA853">
        <v>2.3420647149460707E-2</v>
      </c>
      <c r="AB853">
        <v>28.8</v>
      </c>
      <c r="AC853">
        <v>11.8</v>
      </c>
      <c r="AD853">
        <v>28</v>
      </c>
      <c r="AI85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0.19999999999999929</v>
      </c>
      <c r="AK853" t="s">
        <v>533</v>
      </c>
      <c r="AN853">
        <f>INT(Table1[[#This Row],[reject_prod]]/Table1[[#This Row],[part_weight]] * 1000)</f>
        <v>138</v>
      </c>
    </row>
    <row r="854" spans="1:40">
      <c r="A854" s="1">
        <v>46048</v>
      </c>
      <c r="B854">
        <v>2</v>
      </c>
      <c r="C854">
        <v>13</v>
      </c>
      <c r="D854" t="s">
        <v>61</v>
      </c>
      <c r="E854" t="s">
        <v>46</v>
      </c>
      <c r="F854">
        <v>586276</v>
      </c>
      <c r="G854">
        <v>0</v>
      </c>
      <c r="H854" t="s">
        <v>47</v>
      </c>
      <c r="I854">
        <v>10684862</v>
      </c>
      <c r="J854">
        <v>6</v>
      </c>
      <c r="K854">
        <v>12.3</v>
      </c>
      <c r="L854">
        <v>12.3</v>
      </c>
      <c r="M854">
        <v>1641</v>
      </c>
      <c r="N854" s="2">
        <v>162000</v>
      </c>
      <c r="O854" s="2">
        <v>1215</v>
      </c>
      <c r="P854" s="2">
        <v>2835</v>
      </c>
      <c r="Q854" s="2">
        <v>9846</v>
      </c>
      <c r="R854" s="2">
        <v>8100</v>
      </c>
      <c r="S854">
        <v>99.63</v>
      </c>
      <c r="T854" s="2">
        <v>83835</v>
      </c>
      <c r="U854" s="2">
        <v>78165</v>
      </c>
      <c r="V854">
        <v>121.1058</v>
      </c>
      <c r="W854">
        <v>0</v>
      </c>
      <c r="X854">
        <v>0</v>
      </c>
      <c r="Y854">
        <v>0</v>
      </c>
      <c r="Z854">
        <v>1.5</v>
      </c>
      <c r="AA854">
        <v>1.2385864260836392E-2</v>
      </c>
      <c r="AB854">
        <v>26.2</v>
      </c>
      <c r="AC854">
        <v>11.942833333333335</v>
      </c>
      <c r="AD854">
        <v>26</v>
      </c>
      <c r="AI85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5.7166666666665478E-2</v>
      </c>
      <c r="AK854" t="s">
        <v>51</v>
      </c>
      <c r="AN854">
        <f>INT(Table1[[#This Row],[reject_prod]]/Table1[[#This Row],[part_weight]] * 1000)</f>
        <v>121</v>
      </c>
    </row>
    <row r="855" spans="1:40">
      <c r="A855" s="1">
        <v>46048</v>
      </c>
      <c r="B855">
        <v>2</v>
      </c>
      <c r="C855">
        <v>14</v>
      </c>
      <c r="D855" t="s">
        <v>33</v>
      </c>
      <c r="E855" t="s">
        <v>46</v>
      </c>
      <c r="F855">
        <v>555979</v>
      </c>
      <c r="G855">
        <v>1</v>
      </c>
      <c r="H855" t="s">
        <v>52</v>
      </c>
      <c r="I855">
        <v>10683785</v>
      </c>
      <c r="J855">
        <v>6</v>
      </c>
      <c r="K855">
        <v>28</v>
      </c>
      <c r="L855">
        <v>28</v>
      </c>
      <c r="M855">
        <v>0</v>
      </c>
      <c r="N855" s="2">
        <v>100800</v>
      </c>
      <c r="O855" s="2">
        <v>0</v>
      </c>
      <c r="P855" s="2">
        <v>0</v>
      </c>
      <c r="Q855" s="2">
        <v>0</v>
      </c>
      <c r="R855" s="2">
        <v>0</v>
      </c>
      <c r="S855">
        <v>0</v>
      </c>
      <c r="T855" s="2">
        <v>30240</v>
      </c>
      <c r="U855" s="2">
        <v>70560</v>
      </c>
      <c r="V855">
        <v>0</v>
      </c>
      <c r="W855">
        <v>0</v>
      </c>
      <c r="X855">
        <v>0</v>
      </c>
      <c r="Y855" t="e">
        <v>#DIV/0!</v>
      </c>
      <c r="Z855">
        <v>0</v>
      </c>
      <c r="AA855" t="e">
        <v>#DIV/0!</v>
      </c>
      <c r="AB855">
        <v>42</v>
      </c>
      <c r="AC855">
        <v>0</v>
      </c>
      <c r="AD855">
        <v>42</v>
      </c>
      <c r="AI85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855" t="s">
        <v>481</v>
      </c>
      <c r="AN855">
        <f>INT(Table1[[#This Row],[reject_prod]]/Table1[[#This Row],[part_weight]] * 1000)</f>
        <v>0</v>
      </c>
    </row>
    <row r="856" spans="1:40">
      <c r="A856" s="1">
        <v>46048</v>
      </c>
      <c r="B856">
        <v>2</v>
      </c>
      <c r="C856">
        <v>15</v>
      </c>
      <c r="D856" t="s">
        <v>61</v>
      </c>
      <c r="E856" t="s">
        <v>46</v>
      </c>
      <c r="F856">
        <v>552181</v>
      </c>
      <c r="G856">
        <v>2</v>
      </c>
      <c r="H856" t="s">
        <v>49</v>
      </c>
      <c r="I856">
        <v>10683787</v>
      </c>
      <c r="J856">
        <v>6</v>
      </c>
      <c r="K856">
        <v>18.8</v>
      </c>
      <c r="L856">
        <v>18.8</v>
      </c>
      <c r="M856">
        <v>1401</v>
      </c>
      <c r="N856" s="2">
        <v>108000</v>
      </c>
      <c r="O856" s="2">
        <v>2430</v>
      </c>
      <c r="P856" s="2">
        <v>0</v>
      </c>
      <c r="Q856" s="2">
        <v>8406</v>
      </c>
      <c r="R856" s="2">
        <v>10800</v>
      </c>
      <c r="S856">
        <v>203.04</v>
      </c>
      <c r="T856" s="2">
        <v>81000</v>
      </c>
      <c r="U856" s="2">
        <v>27000</v>
      </c>
      <c r="V856">
        <v>158.03280000000001</v>
      </c>
      <c r="W856">
        <v>0</v>
      </c>
      <c r="X856">
        <v>0</v>
      </c>
      <c r="Y856">
        <v>0</v>
      </c>
      <c r="Z856">
        <v>0.5</v>
      </c>
      <c r="AA856">
        <v>3.163900152373431E-3</v>
      </c>
      <c r="AB856">
        <v>30.3</v>
      </c>
      <c r="AC856">
        <v>11.791749999999999</v>
      </c>
      <c r="AD856">
        <v>27</v>
      </c>
      <c r="AI85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0.20825000000000138</v>
      </c>
      <c r="AK856" t="s">
        <v>51</v>
      </c>
      <c r="AN856">
        <f>INT(Table1[[#This Row],[reject_prod]]/Table1[[#This Row],[part_weight]] * 1000)</f>
        <v>26</v>
      </c>
    </row>
    <row r="857" spans="1:40" s="4" customFormat="1">
      <c r="A857" s="3">
        <v>46048</v>
      </c>
      <c r="B857" s="4">
        <v>2</v>
      </c>
      <c r="C857" s="4">
        <v>16</v>
      </c>
      <c r="D857" s="4" t="s">
        <v>149</v>
      </c>
      <c r="E857" s="4" t="s">
        <v>46</v>
      </c>
      <c r="F857" s="4">
        <v>555979</v>
      </c>
      <c r="G857" s="4">
        <v>2</v>
      </c>
      <c r="H857" s="4" t="s">
        <v>52</v>
      </c>
      <c r="I857" s="4">
        <v>10684863</v>
      </c>
      <c r="J857" s="4">
        <v>6</v>
      </c>
      <c r="K857" s="4">
        <v>28</v>
      </c>
      <c r="L857" s="4">
        <v>28</v>
      </c>
      <c r="M857" s="4">
        <v>987</v>
      </c>
      <c r="N857" s="5">
        <v>100800</v>
      </c>
      <c r="O857" s="5">
        <v>840</v>
      </c>
      <c r="P857" s="5">
        <v>0</v>
      </c>
      <c r="Q857" s="5">
        <v>5922</v>
      </c>
      <c r="R857" s="5">
        <v>6720</v>
      </c>
      <c r="S857" s="4">
        <v>188.16</v>
      </c>
      <c r="T857" s="5">
        <v>36960</v>
      </c>
      <c r="U857" s="5">
        <v>63840</v>
      </c>
      <c r="V857" s="4">
        <v>165.816</v>
      </c>
      <c r="W857" s="4">
        <v>0</v>
      </c>
      <c r="X857" s="4">
        <v>0</v>
      </c>
      <c r="Y857" s="4">
        <v>0</v>
      </c>
      <c r="Z857" s="4">
        <v>1</v>
      </c>
      <c r="AA857" s="4">
        <v>6.0307811067689485E-3</v>
      </c>
      <c r="AB857" s="4">
        <v>43.4</v>
      </c>
      <c r="AC857" s="4">
        <v>11.898833333333334</v>
      </c>
      <c r="AD857" s="4">
        <v>42</v>
      </c>
      <c r="AI85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0.10116666666666596</v>
      </c>
      <c r="AK857" s="4" t="s">
        <v>51</v>
      </c>
      <c r="AN857" s="4">
        <f>INT(Table1[[#This Row],[reject_prod]]/Table1[[#This Row],[part_weight]] * 1000)</f>
        <v>35</v>
      </c>
    </row>
    <row r="858" spans="1:40">
      <c r="A858" s="1">
        <v>46049</v>
      </c>
      <c r="B858">
        <v>1</v>
      </c>
      <c r="C858">
        <v>1</v>
      </c>
      <c r="D858" t="s">
        <v>289</v>
      </c>
      <c r="E858" t="s">
        <v>34</v>
      </c>
      <c r="F858">
        <v>577492</v>
      </c>
      <c r="G858">
        <v>0</v>
      </c>
      <c r="H858" t="s">
        <v>341</v>
      </c>
      <c r="I858">
        <v>10684028</v>
      </c>
      <c r="J858">
        <v>4</v>
      </c>
      <c r="K858">
        <v>35.6</v>
      </c>
      <c r="L858">
        <v>35.6</v>
      </c>
      <c r="M858">
        <v>1564</v>
      </c>
      <c r="N858" s="2">
        <v>101200</v>
      </c>
      <c r="O858" s="2">
        <v>0</v>
      </c>
      <c r="P858" s="2">
        <v>736</v>
      </c>
      <c r="Q858" s="2">
        <v>6256</v>
      </c>
      <c r="R858" s="2">
        <v>5520</v>
      </c>
      <c r="S858">
        <v>196.512</v>
      </c>
      <c r="T858" s="2">
        <v>89056</v>
      </c>
      <c r="U858" s="2">
        <v>12144</v>
      </c>
      <c r="V858">
        <v>222.71360000000001</v>
      </c>
      <c r="W858">
        <v>0</v>
      </c>
      <c r="X858">
        <v>0</v>
      </c>
      <c r="Y858">
        <v>0</v>
      </c>
      <c r="Z858">
        <v>3.3</v>
      </c>
      <c r="AA858">
        <v>1.4817236127474926E-2</v>
      </c>
      <c r="AB858">
        <v>26.8</v>
      </c>
      <c r="AC858">
        <v>11.643111111111111</v>
      </c>
      <c r="AD858">
        <v>27</v>
      </c>
      <c r="AI85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0.35688888888888926</v>
      </c>
      <c r="AK858" t="s">
        <v>539</v>
      </c>
      <c r="AN858">
        <f>INT(Table1[[#This Row],[reject_prod]]/Table1[[#This Row],[part_weight]] * 1000)</f>
        <v>92</v>
      </c>
    </row>
    <row r="859" spans="1:40">
      <c r="A859" s="1">
        <v>46049</v>
      </c>
      <c r="B859">
        <v>1</v>
      </c>
      <c r="C859">
        <v>2</v>
      </c>
      <c r="D859" t="s">
        <v>33</v>
      </c>
      <c r="E859" t="s">
        <v>34</v>
      </c>
      <c r="F859">
        <v>416201</v>
      </c>
      <c r="G859">
        <v>0</v>
      </c>
      <c r="H859" t="s">
        <v>36</v>
      </c>
      <c r="I859">
        <v>10681779</v>
      </c>
      <c r="J859">
        <v>4</v>
      </c>
      <c r="K859">
        <v>20</v>
      </c>
      <c r="L859">
        <v>30</v>
      </c>
      <c r="M859">
        <v>0</v>
      </c>
      <c r="N859" s="2">
        <v>50400</v>
      </c>
      <c r="O859" s="2">
        <v>0</v>
      </c>
      <c r="P859" s="2">
        <v>0</v>
      </c>
      <c r="Q859" s="2">
        <v>0</v>
      </c>
      <c r="R859" s="2">
        <v>0</v>
      </c>
      <c r="S859">
        <v>0</v>
      </c>
      <c r="T859" s="2">
        <v>0</v>
      </c>
      <c r="U859" s="2">
        <v>50400</v>
      </c>
      <c r="V859">
        <v>0</v>
      </c>
      <c r="W859">
        <v>0</v>
      </c>
      <c r="X859">
        <v>0</v>
      </c>
      <c r="Y859" t="e">
        <v>#DIV/0!</v>
      </c>
      <c r="Z859">
        <v>0</v>
      </c>
      <c r="AA859" t="e">
        <v>#DIV/0!</v>
      </c>
      <c r="AB859">
        <v>38.6</v>
      </c>
      <c r="AC859">
        <v>0</v>
      </c>
      <c r="AD859">
        <v>38.64</v>
      </c>
      <c r="AI85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859" t="s">
        <v>526</v>
      </c>
      <c r="AL859">
        <v>8</v>
      </c>
      <c r="AM859">
        <v>4.5</v>
      </c>
      <c r="AN859">
        <f>INT(Table1[[#This Row],[reject_prod]]/Table1[[#This Row],[part_weight]] * 1000)</f>
        <v>0</v>
      </c>
    </row>
    <row r="860" spans="1:40">
      <c r="A860" s="1">
        <v>46049</v>
      </c>
      <c r="B860">
        <v>1</v>
      </c>
      <c r="C860">
        <v>3</v>
      </c>
      <c r="D860" t="s">
        <v>56</v>
      </c>
      <c r="E860" t="s">
        <v>34</v>
      </c>
      <c r="F860">
        <v>442034</v>
      </c>
      <c r="G860">
        <v>0</v>
      </c>
      <c r="H860" t="s">
        <v>37</v>
      </c>
      <c r="I860">
        <v>10681184</v>
      </c>
      <c r="J860">
        <v>4</v>
      </c>
      <c r="K860">
        <v>23</v>
      </c>
      <c r="L860">
        <v>23</v>
      </c>
      <c r="M860">
        <v>1650</v>
      </c>
      <c r="N860" s="2">
        <v>139776</v>
      </c>
      <c r="O860" s="2">
        <v>640</v>
      </c>
      <c r="P860" s="2">
        <v>2688</v>
      </c>
      <c r="Q860" s="2">
        <v>6600</v>
      </c>
      <c r="R860" s="2">
        <v>4608</v>
      </c>
      <c r="S860">
        <v>105.98399999999999</v>
      </c>
      <c r="T860" s="2">
        <v>81024</v>
      </c>
      <c r="U860" s="2">
        <v>58752</v>
      </c>
      <c r="V860">
        <v>151.80000000000001</v>
      </c>
      <c r="W860">
        <v>0</v>
      </c>
      <c r="X860">
        <v>0</v>
      </c>
      <c r="Y860">
        <v>0</v>
      </c>
      <c r="Z860">
        <v>1.2</v>
      </c>
      <c r="AA860">
        <v>7.9051383399209481E-3</v>
      </c>
      <c r="AB860">
        <v>26.5</v>
      </c>
      <c r="AC860">
        <v>12</v>
      </c>
      <c r="AD860">
        <v>22</v>
      </c>
      <c r="AI86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860" t="s">
        <v>103</v>
      </c>
      <c r="AN860">
        <f>INT(Table1[[#This Row],[reject_prod]]/Table1[[#This Row],[part_weight]] * 1000)</f>
        <v>52</v>
      </c>
    </row>
    <row r="861" spans="1:40">
      <c r="A861" s="1">
        <v>46049</v>
      </c>
      <c r="B861">
        <v>1</v>
      </c>
      <c r="C861">
        <v>4</v>
      </c>
      <c r="D861" t="s">
        <v>58</v>
      </c>
      <c r="E861" t="s">
        <v>34</v>
      </c>
      <c r="F861">
        <v>369308</v>
      </c>
      <c r="G861">
        <v>0</v>
      </c>
      <c r="H861" t="s">
        <v>516</v>
      </c>
      <c r="I861">
        <v>10684853</v>
      </c>
      <c r="J861">
        <v>4</v>
      </c>
      <c r="K861">
        <v>31</v>
      </c>
      <c r="L861">
        <v>31</v>
      </c>
      <c r="M861">
        <v>1580</v>
      </c>
      <c r="N861" s="2">
        <v>34560</v>
      </c>
      <c r="O861" s="2">
        <v>480</v>
      </c>
      <c r="P861" s="2">
        <v>960</v>
      </c>
      <c r="Q861" s="2">
        <v>6320</v>
      </c>
      <c r="R861" s="2">
        <v>5760</v>
      </c>
      <c r="S861">
        <v>178.56</v>
      </c>
      <c r="T861" s="2">
        <v>9600</v>
      </c>
      <c r="U861" s="2">
        <v>24960</v>
      </c>
      <c r="V861">
        <v>195.92</v>
      </c>
      <c r="W861">
        <v>0</v>
      </c>
      <c r="X861">
        <v>0</v>
      </c>
      <c r="Y861">
        <v>0</v>
      </c>
      <c r="Z861">
        <v>4.5999999999999996</v>
      </c>
      <c r="AA861">
        <v>2.3478971008574927E-2</v>
      </c>
      <c r="AB861">
        <v>26.4</v>
      </c>
      <c r="AC861">
        <v>11.586666666666666</v>
      </c>
      <c r="AD861">
        <v>28.4</v>
      </c>
      <c r="AI86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0.413333333333334</v>
      </c>
      <c r="AK861" t="s">
        <v>540</v>
      </c>
      <c r="AL861">
        <v>3.5</v>
      </c>
      <c r="AM861">
        <v>3</v>
      </c>
      <c r="AN861">
        <f>INT(Table1[[#This Row],[reject_prod]]/Table1[[#This Row],[part_weight]] * 1000)</f>
        <v>148</v>
      </c>
    </row>
    <row r="862" spans="1:40">
      <c r="A862" s="1">
        <v>46049</v>
      </c>
      <c r="B862">
        <v>1</v>
      </c>
      <c r="C862">
        <v>5</v>
      </c>
      <c r="D862" t="s">
        <v>206</v>
      </c>
      <c r="E862" t="s">
        <v>34</v>
      </c>
      <c r="F862">
        <v>322383</v>
      </c>
      <c r="G862">
        <v>0</v>
      </c>
      <c r="H862" t="s">
        <v>71</v>
      </c>
      <c r="I862">
        <v>10682756</v>
      </c>
      <c r="J862">
        <v>4</v>
      </c>
      <c r="K862">
        <v>12.5</v>
      </c>
      <c r="L862">
        <v>12.5</v>
      </c>
      <c r="M862">
        <v>950</v>
      </c>
      <c r="N862" s="2">
        <v>66000</v>
      </c>
      <c r="O862" s="2">
        <v>9900</v>
      </c>
      <c r="P862" s="2">
        <v>13200</v>
      </c>
      <c r="Q862" s="2">
        <v>3800</v>
      </c>
      <c r="R862" s="2">
        <v>0</v>
      </c>
      <c r="S862">
        <v>0</v>
      </c>
      <c r="T862" s="2">
        <v>66000</v>
      </c>
      <c r="U862" s="2">
        <v>0</v>
      </c>
      <c r="V862">
        <v>47.5</v>
      </c>
      <c r="W862">
        <v>0</v>
      </c>
      <c r="X862">
        <v>0</v>
      </c>
      <c r="Y862">
        <v>0</v>
      </c>
      <c r="Z862">
        <v>8</v>
      </c>
      <c r="AA862">
        <v>0.16842105263157894</v>
      </c>
      <c r="AB862">
        <v>20.9</v>
      </c>
      <c r="AC862">
        <v>5.5152777777777775</v>
      </c>
      <c r="AD862">
        <v>17.920000000000002</v>
      </c>
      <c r="AI86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6.4847222222222225</v>
      </c>
      <c r="AK862" t="s">
        <v>541</v>
      </c>
      <c r="AL862">
        <v>3</v>
      </c>
      <c r="AM862">
        <v>2.5</v>
      </c>
      <c r="AN862">
        <f>INT(Table1[[#This Row],[reject_prod]]/Table1[[#This Row],[part_weight]] * 1000)</f>
        <v>640</v>
      </c>
    </row>
    <row r="863" spans="1:40">
      <c r="A863" s="1">
        <v>46049</v>
      </c>
      <c r="B863">
        <v>1</v>
      </c>
      <c r="C863">
        <v>5</v>
      </c>
      <c r="D863" t="s">
        <v>33</v>
      </c>
      <c r="E863" t="s">
        <v>34</v>
      </c>
      <c r="F863">
        <v>322389</v>
      </c>
      <c r="G863">
        <v>0</v>
      </c>
      <c r="H863" t="s">
        <v>542</v>
      </c>
      <c r="I863">
        <v>10684749</v>
      </c>
      <c r="J863">
        <v>4</v>
      </c>
      <c r="K863">
        <v>12.5</v>
      </c>
      <c r="L863">
        <v>12.5</v>
      </c>
      <c r="M863">
        <v>390</v>
      </c>
      <c r="N863" s="2">
        <v>46800</v>
      </c>
      <c r="O863" s="2">
        <v>0</v>
      </c>
      <c r="P863" s="2">
        <v>1560</v>
      </c>
      <c r="Q863" s="2">
        <v>1560</v>
      </c>
      <c r="R863" s="2">
        <v>0</v>
      </c>
      <c r="S863">
        <v>0</v>
      </c>
      <c r="T863" s="2">
        <v>1560</v>
      </c>
      <c r="U863" s="2">
        <v>45240</v>
      </c>
      <c r="V863">
        <v>19.5</v>
      </c>
      <c r="W863">
        <v>0</v>
      </c>
      <c r="X863">
        <v>2</v>
      </c>
      <c r="Y863">
        <v>0.10256410256410256</v>
      </c>
      <c r="Z863">
        <v>0</v>
      </c>
      <c r="AA863">
        <v>0</v>
      </c>
      <c r="AB863">
        <v>20.28</v>
      </c>
      <c r="AC863">
        <v>2.1970000000000001</v>
      </c>
      <c r="AD863">
        <v>18.64</v>
      </c>
      <c r="AG863">
        <v>1.5</v>
      </c>
      <c r="AI86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8.3030000000000008</v>
      </c>
      <c r="AK863" t="s">
        <v>543</v>
      </c>
      <c r="AN863">
        <f>INT(Table1[[#This Row],[reject_prod]]/Table1[[#This Row],[part_weight]] * 1000)</f>
        <v>0</v>
      </c>
    </row>
    <row r="864" spans="1:40">
      <c r="A864" s="1">
        <v>46049</v>
      </c>
      <c r="B864">
        <v>1</v>
      </c>
      <c r="C864">
        <v>6</v>
      </c>
      <c r="D864" t="s">
        <v>534</v>
      </c>
      <c r="E864" t="s">
        <v>34</v>
      </c>
      <c r="F864">
        <v>322412</v>
      </c>
      <c r="G864">
        <v>0</v>
      </c>
      <c r="H864" t="s">
        <v>487</v>
      </c>
      <c r="I864">
        <v>10685212</v>
      </c>
      <c r="J864">
        <v>4</v>
      </c>
      <c r="K864">
        <v>24.3</v>
      </c>
      <c r="L864">
        <v>24</v>
      </c>
      <c r="M864">
        <v>1830</v>
      </c>
      <c r="N864" s="2">
        <v>40600</v>
      </c>
      <c r="O864" s="2">
        <v>609</v>
      </c>
      <c r="P864" s="2">
        <v>812</v>
      </c>
      <c r="Q864" s="2">
        <v>7320</v>
      </c>
      <c r="R864" s="2">
        <v>7105</v>
      </c>
      <c r="S864">
        <v>170.52</v>
      </c>
      <c r="T864" s="2">
        <v>30247</v>
      </c>
      <c r="U864" s="2">
        <v>10353</v>
      </c>
      <c r="V864">
        <v>175.68</v>
      </c>
      <c r="W864">
        <v>2.1960000000000051</v>
      </c>
      <c r="X864">
        <v>0</v>
      </c>
      <c r="Y864">
        <v>0</v>
      </c>
      <c r="Z864">
        <v>1.2</v>
      </c>
      <c r="AA864">
        <v>6.8306010928961746E-3</v>
      </c>
      <c r="AB864">
        <v>23.6</v>
      </c>
      <c r="AC864">
        <v>11.996666666666668</v>
      </c>
      <c r="AD864">
        <v>20</v>
      </c>
      <c r="AI86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3.333333333332078E-3</v>
      </c>
      <c r="AK864" t="s">
        <v>103</v>
      </c>
      <c r="AN864">
        <f>INT(Table1[[#This Row],[reject_prod]]/Table1[[#This Row],[part_weight]] * 1000)</f>
        <v>50</v>
      </c>
    </row>
    <row r="865" spans="1:40">
      <c r="A865" s="1">
        <v>46049</v>
      </c>
      <c r="B865">
        <v>1</v>
      </c>
      <c r="C865">
        <v>7</v>
      </c>
      <c r="D865" t="s">
        <v>535</v>
      </c>
      <c r="E865" t="s">
        <v>34</v>
      </c>
      <c r="F865">
        <v>322471</v>
      </c>
      <c r="G865">
        <v>0</v>
      </c>
      <c r="H865" t="s">
        <v>520</v>
      </c>
      <c r="I865">
        <v>10684032</v>
      </c>
      <c r="J865">
        <v>4</v>
      </c>
      <c r="K865">
        <v>34.5</v>
      </c>
      <c r="L865">
        <v>34.5</v>
      </c>
      <c r="M865">
        <v>1860</v>
      </c>
      <c r="N865" s="2">
        <v>44352</v>
      </c>
      <c r="O865" s="2">
        <v>0</v>
      </c>
      <c r="P865" s="2">
        <v>0</v>
      </c>
      <c r="Q865" s="2">
        <v>7440</v>
      </c>
      <c r="R865" s="2">
        <v>7392</v>
      </c>
      <c r="S865">
        <v>255.024</v>
      </c>
      <c r="T865" s="2">
        <v>12936</v>
      </c>
      <c r="U865" s="2">
        <v>31416</v>
      </c>
      <c r="V865">
        <v>256.68</v>
      </c>
      <c r="W865">
        <v>0</v>
      </c>
      <c r="X865">
        <v>0</v>
      </c>
      <c r="Y865">
        <v>0</v>
      </c>
      <c r="Z865">
        <v>18</v>
      </c>
      <c r="AA865">
        <v>7.0126227208976155E-2</v>
      </c>
      <c r="AB865">
        <v>22.4</v>
      </c>
      <c r="AC865">
        <v>11.573333333333332</v>
      </c>
      <c r="AD865">
        <v>16.2</v>
      </c>
      <c r="AI86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0.42666666666666764</v>
      </c>
      <c r="AK865" t="s">
        <v>544</v>
      </c>
      <c r="AL865">
        <v>3</v>
      </c>
      <c r="AM865">
        <v>2</v>
      </c>
      <c r="AN865">
        <f>INT(Table1[[#This Row],[reject_prod]]/Table1[[#This Row],[part_weight]] * 1000)</f>
        <v>521</v>
      </c>
    </row>
    <row r="866" spans="1:40">
      <c r="A866" s="1">
        <v>46049</v>
      </c>
      <c r="B866">
        <v>1</v>
      </c>
      <c r="C866">
        <v>8</v>
      </c>
      <c r="D866" t="s">
        <v>84</v>
      </c>
      <c r="E866" t="s">
        <v>41</v>
      </c>
      <c r="F866">
        <v>593537</v>
      </c>
      <c r="G866">
        <v>0</v>
      </c>
      <c r="H866" t="s">
        <v>48</v>
      </c>
      <c r="I866">
        <v>10685337</v>
      </c>
      <c r="J866">
        <v>4</v>
      </c>
      <c r="K866">
        <v>56.5</v>
      </c>
      <c r="L866">
        <v>56.8</v>
      </c>
      <c r="M866">
        <v>1470</v>
      </c>
      <c r="N866" s="2">
        <v>69000</v>
      </c>
      <c r="O866" s="2">
        <v>0</v>
      </c>
      <c r="P866" s="2">
        <v>230</v>
      </c>
      <c r="Q866" s="2">
        <v>5880</v>
      </c>
      <c r="R866" s="2">
        <v>5750</v>
      </c>
      <c r="S866">
        <v>326.60000000000002</v>
      </c>
      <c r="T866" s="2">
        <v>17480</v>
      </c>
      <c r="U866" s="2">
        <v>51520</v>
      </c>
      <c r="V866">
        <v>333.98399999999998</v>
      </c>
      <c r="W866">
        <v>-1.7639999999999831</v>
      </c>
      <c r="X866">
        <v>0</v>
      </c>
      <c r="Y866">
        <v>0</v>
      </c>
      <c r="Z866">
        <v>1.2</v>
      </c>
      <c r="AA866">
        <v>3.5929864903707963E-3</v>
      </c>
      <c r="AB866">
        <v>29.4</v>
      </c>
      <c r="AC866">
        <v>12</v>
      </c>
      <c r="AD866">
        <v>28.5</v>
      </c>
      <c r="AI86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866" t="s">
        <v>51</v>
      </c>
      <c r="AN866">
        <f>INT(Table1[[#This Row],[reject_prod]]/Table1[[#This Row],[part_weight]] * 1000)</f>
        <v>21</v>
      </c>
    </row>
    <row r="867" spans="1:40">
      <c r="A867" s="1">
        <v>46049</v>
      </c>
      <c r="B867">
        <v>1</v>
      </c>
      <c r="C867">
        <v>9</v>
      </c>
      <c r="D867" t="s">
        <v>33</v>
      </c>
      <c r="E867" t="s">
        <v>46</v>
      </c>
      <c r="F867">
        <v>586276</v>
      </c>
      <c r="G867">
        <v>0</v>
      </c>
      <c r="H867" t="s">
        <v>47</v>
      </c>
      <c r="I867" t="s">
        <v>490</v>
      </c>
      <c r="J867">
        <v>6</v>
      </c>
      <c r="K867">
        <v>12.3</v>
      </c>
      <c r="L867">
        <v>12.3</v>
      </c>
      <c r="M867">
        <v>0</v>
      </c>
      <c r="N867" s="2">
        <v>2025</v>
      </c>
      <c r="O867" s="2">
        <v>0</v>
      </c>
      <c r="P867" s="2">
        <v>0</v>
      </c>
      <c r="Q867" s="2">
        <v>0</v>
      </c>
      <c r="R867" s="2">
        <v>2025</v>
      </c>
      <c r="S867">
        <v>24.907499999999999</v>
      </c>
      <c r="T867" s="2">
        <v>2025</v>
      </c>
      <c r="U867" s="2">
        <v>0</v>
      </c>
      <c r="V867">
        <v>0</v>
      </c>
      <c r="W867">
        <v>0</v>
      </c>
      <c r="X867">
        <v>6</v>
      </c>
      <c r="Y867" t="e">
        <v>#DIV/0!</v>
      </c>
      <c r="Z867">
        <v>0</v>
      </c>
      <c r="AA867" t="e">
        <v>#DIV/0!</v>
      </c>
      <c r="AB867">
        <v>26</v>
      </c>
      <c r="AC867">
        <v>0</v>
      </c>
      <c r="AD867">
        <v>26</v>
      </c>
      <c r="AI86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867" t="s">
        <v>545</v>
      </c>
      <c r="AL867">
        <v>2</v>
      </c>
      <c r="AM867">
        <v>1.5</v>
      </c>
      <c r="AN867">
        <f>INT(Table1[[#This Row],[reject_prod]]/Table1[[#This Row],[part_weight]] * 1000)</f>
        <v>0</v>
      </c>
    </row>
    <row r="868" spans="1:40">
      <c r="A868" s="1">
        <v>46049</v>
      </c>
      <c r="B868">
        <v>1</v>
      </c>
      <c r="C868">
        <v>10</v>
      </c>
      <c r="D868" t="s">
        <v>59</v>
      </c>
      <c r="E868" t="s">
        <v>34</v>
      </c>
      <c r="F868">
        <v>441778</v>
      </c>
      <c r="G868">
        <v>0</v>
      </c>
      <c r="H868" t="s">
        <v>531</v>
      </c>
      <c r="I868">
        <v>10684860</v>
      </c>
      <c r="J868">
        <v>4</v>
      </c>
      <c r="K868">
        <v>77</v>
      </c>
      <c r="L868">
        <v>77</v>
      </c>
      <c r="M868">
        <v>560</v>
      </c>
      <c r="N868" s="2">
        <v>11868</v>
      </c>
      <c r="O868" s="2">
        <v>0</v>
      </c>
      <c r="P868" s="2">
        <v>0</v>
      </c>
      <c r="Q868" s="2">
        <v>2240</v>
      </c>
      <c r="R868" s="2">
        <v>2208</v>
      </c>
      <c r="S868">
        <v>170.01599999999999</v>
      </c>
      <c r="T868" s="2">
        <v>2208</v>
      </c>
      <c r="U868" s="2">
        <v>9660</v>
      </c>
      <c r="V868">
        <v>172.48</v>
      </c>
      <c r="W868">
        <v>0</v>
      </c>
      <c r="X868">
        <v>15</v>
      </c>
      <c r="Y868">
        <v>8.6966604823747684E-2</v>
      </c>
      <c r="Z868">
        <v>5</v>
      </c>
      <c r="AA868">
        <v>2.8988868274582563E-2</v>
      </c>
      <c r="AB868">
        <v>36.729999999999997</v>
      </c>
      <c r="AC868">
        <v>5.7135555555555557</v>
      </c>
      <c r="AD868">
        <v>35</v>
      </c>
      <c r="AI86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6.2864444444444443</v>
      </c>
      <c r="AK868" t="s">
        <v>546</v>
      </c>
      <c r="AL868">
        <v>10</v>
      </c>
      <c r="AM868">
        <v>20</v>
      </c>
      <c r="AN868">
        <f>INT(Table1[[#This Row],[reject_prod]]/Table1[[#This Row],[part_weight]] * 1000)</f>
        <v>64</v>
      </c>
    </row>
    <row r="869" spans="1:40">
      <c r="A869" s="1">
        <v>46049</v>
      </c>
      <c r="B869">
        <v>1</v>
      </c>
      <c r="C869">
        <v>11</v>
      </c>
      <c r="D869" t="s">
        <v>208</v>
      </c>
      <c r="E869" t="s">
        <v>46</v>
      </c>
      <c r="F869">
        <v>552181</v>
      </c>
      <c r="G869">
        <v>1</v>
      </c>
      <c r="H869" t="s">
        <v>49</v>
      </c>
      <c r="I869">
        <v>10683783</v>
      </c>
      <c r="J869">
        <v>6</v>
      </c>
      <c r="K869">
        <v>18.8</v>
      </c>
      <c r="L869">
        <v>18.8</v>
      </c>
      <c r="M869">
        <v>1530</v>
      </c>
      <c r="N869" s="2">
        <v>108000</v>
      </c>
      <c r="O869" s="2">
        <v>1620</v>
      </c>
      <c r="P869" s="2">
        <v>0</v>
      </c>
      <c r="Q869" s="2">
        <v>9180</v>
      </c>
      <c r="R869" s="2">
        <v>10800</v>
      </c>
      <c r="S869">
        <v>203.04</v>
      </c>
      <c r="T869" s="2">
        <v>108000</v>
      </c>
      <c r="U869" s="2">
        <v>0</v>
      </c>
      <c r="V869">
        <v>172.584</v>
      </c>
      <c r="W869">
        <v>0</v>
      </c>
      <c r="X869">
        <v>0</v>
      </c>
      <c r="Y869">
        <v>0</v>
      </c>
      <c r="Z869">
        <v>1.2</v>
      </c>
      <c r="AA869">
        <v>6.9531358642747872E-3</v>
      </c>
      <c r="AB869">
        <v>28.7</v>
      </c>
      <c r="AC869">
        <v>12</v>
      </c>
      <c r="AD869">
        <v>27</v>
      </c>
      <c r="AI86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869" t="s">
        <v>51</v>
      </c>
      <c r="AN869">
        <f>INT(Table1[[#This Row],[reject_prod]]/Table1[[#This Row],[part_weight]] * 1000)</f>
        <v>63</v>
      </c>
    </row>
    <row r="870" spans="1:40">
      <c r="A870" s="1">
        <v>46049</v>
      </c>
      <c r="B870">
        <v>1</v>
      </c>
      <c r="C870">
        <v>12</v>
      </c>
      <c r="D870" t="s">
        <v>54</v>
      </c>
      <c r="E870" t="s">
        <v>34</v>
      </c>
      <c r="F870">
        <v>620599</v>
      </c>
      <c r="G870">
        <v>0</v>
      </c>
      <c r="H870" t="s">
        <v>50</v>
      </c>
      <c r="I870">
        <v>10684839</v>
      </c>
      <c r="J870">
        <v>4</v>
      </c>
      <c r="K870">
        <v>55</v>
      </c>
      <c r="L870">
        <v>55</v>
      </c>
      <c r="M870">
        <v>1465</v>
      </c>
      <c r="N870" s="2">
        <v>72000</v>
      </c>
      <c r="O870" s="2">
        <v>1575</v>
      </c>
      <c r="P870" s="2">
        <v>225</v>
      </c>
      <c r="Q870" s="2">
        <v>5860</v>
      </c>
      <c r="R870" s="2">
        <v>7200</v>
      </c>
      <c r="S870">
        <v>396</v>
      </c>
      <c r="T870" s="2">
        <v>61425</v>
      </c>
      <c r="U870" s="2">
        <v>10575</v>
      </c>
      <c r="V870">
        <v>322.3</v>
      </c>
      <c r="W870">
        <v>0</v>
      </c>
      <c r="X870">
        <v>0</v>
      </c>
      <c r="Y870">
        <v>0</v>
      </c>
      <c r="Z870">
        <v>7.3</v>
      </c>
      <c r="AA870">
        <v>2.2649705243561899E-2</v>
      </c>
      <c r="AB870">
        <v>28.8</v>
      </c>
      <c r="AC870">
        <v>11.72</v>
      </c>
      <c r="AD870">
        <v>28</v>
      </c>
      <c r="AI87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0.27999999999999936</v>
      </c>
      <c r="AK870" t="s">
        <v>230</v>
      </c>
      <c r="AN870">
        <f>INT(Table1[[#This Row],[reject_prod]]/Table1[[#This Row],[part_weight]] * 1000)</f>
        <v>132</v>
      </c>
    </row>
    <row r="871" spans="1:40">
      <c r="A871" s="1">
        <v>46049</v>
      </c>
      <c r="B871">
        <v>1</v>
      </c>
      <c r="C871">
        <v>13</v>
      </c>
      <c r="D871" t="s">
        <v>208</v>
      </c>
      <c r="E871" t="s">
        <v>46</v>
      </c>
      <c r="F871">
        <v>586276</v>
      </c>
      <c r="G871">
        <v>0</v>
      </c>
      <c r="H871" t="s">
        <v>47</v>
      </c>
      <c r="I871">
        <v>10684862</v>
      </c>
      <c r="J871">
        <v>6</v>
      </c>
      <c r="K871">
        <v>12.3</v>
      </c>
      <c r="L871">
        <v>12.3</v>
      </c>
      <c r="M871">
        <v>1620</v>
      </c>
      <c r="N871" s="2">
        <v>162000</v>
      </c>
      <c r="O871" s="2">
        <v>2835</v>
      </c>
      <c r="P871" s="2">
        <v>4455</v>
      </c>
      <c r="Q871" s="2">
        <v>9720</v>
      </c>
      <c r="R871" s="2">
        <v>8100</v>
      </c>
      <c r="S871">
        <v>99.63</v>
      </c>
      <c r="T871" s="2">
        <v>93555</v>
      </c>
      <c r="U871" s="2">
        <v>68445</v>
      </c>
      <c r="V871">
        <v>119.556</v>
      </c>
      <c r="W871">
        <v>0</v>
      </c>
      <c r="X871">
        <v>0</v>
      </c>
      <c r="Y871">
        <v>0</v>
      </c>
      <c r="Z871">
        <v>1</v>
      </c>
      <c r="AA871">
        <v>8.3642811736759342E-3</v>
      </c>
      <c r="AB871">
        <v>26.2</v>
      </c>
      <c r="AC871">
        <v>11.790000000000001</v>
      </c>
      <c r="AD871">
        <v>26</v>
      </c>
      <c r="AI87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0.20999999999999908</v>
      </c>
      <c r="AK871" t="s">
        <v>51</v>
      </c>
      <c r="AN871">
        <f>INT(Table1[[#This Row],[reject_prod]]/Table1[[#This Row],[part_weight]] * 1000)</f>
        <v>81</v>
      </c>
    </row>
    <row r="872" spans="1:40">
      <c r="A872" s="1">
        <v>46049</v>
      </c>
      <c r="B872">
        <v>1</v>
      </c>
      <c r="C872">
        <v>14</v>
      </c>
      <c r="D872" t="s">
        <v>33</v>
      </c>
      <c r="E872" t="s">
        <v>46</v>
      </c>
      <c r="F872">
        <v>555979</v>
      </c>
      <c r="G872">
        <v>1</v>
      </c>
      <c r="H872" t="s">
        <v>52</v>
      </c>
      <c r="I872">
        <v>10683785</v>
      </c>
      <c r="J872">
        <v>6</v>
      </c>
      <c r="K872">
        <v>28</v>
      </c>
      <c r="L872">
        <v>28</v>
      </c>
      <c r="M872">
        <v>0</v>
      </c>
      <c r="N872" s="2">
        <v>100800</v>
      </c>
      <c r="O872" s="2">
        <v>0</v>
      </c>
      <c r="P872" s="2">
        <v>0</v>
      </c>
      <c r="Q872" s="2">
        <v>0</v>
      </c>
      <c r="R872" s="2">
        <v>0</v>
      </c>
      <c r="S872">
        <v>0</v>
      </c>
      <c r="T872" s="2">
        <v>0</v>
      </c>
      <c r="U872" s="2">
        <v>100800</v>
      </c>
      <c r="V872">
        <v>0</v>
      </c>
      <c r="W872">
        <v>0</v>
      </c>
      <c r="X872">
        <v>0</v>
      </c>
      <c r="Y872" t="e">
        <v>#DIV/0!</v>
      </c>
      <c r="Z872">
        <v>0</v>
      </c>
      <c r="AA872" t="e">
        <v>#DIV/0!</v>
      </c>
      <c r="AB872">
        <v>43.4</v>
      </c>
      <c r="AC872">
        <v>0</v>
      </c>
      <c r="AD872">
        <v>42</v>
      </c>
      <c r="AI87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872" t="s">
        <v>481</v>
      </c>
      <c r="AL872">
        <v>4.5</v>
      </c>
      <c r="AM872">
        <v>4</v>
      </c>
      <c r="AN872">
        <f>INT(Table1[[#This Row],[reject_prod]]/Table1[[#This Row],[part_weight]] * 1000)</f>
        <v>0</v>
      </c>
    </row>
    <row r="873" spans="1:40">
      <c r="A873" s="1">
        <v>46049</v>
      </c>
      <c r="B873">
        <v>1</v>
      </c>
      <c r="C873">
        <v>15</v>
      </c>
      <c r="D873" t="s">
        <v>208</v>
      </c>
      <c r="E873" t="s">
        <v>46</v>
      </c>
      <c r="F873">
        <v>552181</v>
      </c>
      <c r="G873">
        <v>2</v>
      </c>
      <c r="H873" t="s">
        <v>49</v>
      </c>
      <c r="I873">
        <v>10683787</v>
      </c>
      <c r="J873">
        <v>6</v>
      </c>
      <c r="K873">
        <v>18.8</v>
      </c>
      <c r="L873">
        <v>18.8</v>
      </c>
      <c r="M873">
        <v>1380</v>
      </c>
      <c r="N873" s="2">
        <v>108000</v>
      </c>
      <c r="O873" s="2">
        <v>0</v>
      </c>
      <c r="P873" s="2">
        <v>2700</v>
      </c>
      <c r="Q873" s="2">
        <v>8280</v>
      </c>
      <c r="R873" s="2">
        <v>5400</v>
      </c>
      <c r="S873">
        <v>101.52</v>
      </c>
      <c r="T873" s="2">
        <v>88830</v>
      </c>
      <c r="U873" s="2">
        <v>19170</v>
      </c>
      <c r="V873">
        <v>155.66399999999999</v>
      </c>
      <c r="W873">
        <v>0</v>
      </c>
      <c r="X873">
        <v>0</v>
      </c>
      <c r="Y873">
        <v>0</v>
      </c>
      <c r="Z873">
        <v>1</v>
      </c>
      <c r="AA873">
        <v>6.4240929180799673E-3</v>
      </c>
      <c r="AB873">
        <v>31.3</v>
      </c>
      <c r="AC873">
        <v>11.998333333333333</v>
      </c>
      <c r="AD873">
        <v>27</v>
      </c>
      <c r="AI87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1.6666666666669272E-3</v>
      </c>
      <c r="AK873" t="s">
        <v>51</v>
      </c>
      <c r="AN873">
        <f>INT(Table1[[#This Row],[reject_prod]]/Table1[[#This Row],[part_weight]] * 1000)</f>
        <v>53</v>
      </c>
    </row>
    <row r="874" spans="1:40" s="4" customFormat="1">
      <c r="A874" s="3">
        <v>46049</v>
      </c>
      <c r="B874" s="4">
        <v>1</v>
      </c>
      <c r="C874" s="4">
        <v>16</v>
      </c>
      <c r="D874" s="4" t="s">
        <v>53</v>
      </c>
      <c r="E874" s="4" t="s">
        <v>46</v>
      </c>
      <c r="F874" s="4">
        <v>555979</v>
      </c>
      <c r="G874" s="4">
        <v>2</v>
      </c>
      <c r="H874" s="4" t="s">
        <v>52</v>
      </c>
      <c r="I874" s="4">
        <v>10683788</v>
      </c>
      <c r="J874" s="4">
        <v>6</v>
      </c>
      <c r="K874" s="4">
        <v>28</v>
      </c>
      <c r="L874" s="4">
        <v>28</v>
      </c>
      <c r="M874" s="4">
        <v>960</v>
      </c>
      <c r="N874" s="5">
        <v>100800</v>
      </c>
      <c r="O874" s="5">
        <v>0</v>
      </c>
      <c r="P874" s="5">
        <v>2184</v>
      </c>
      <c r="Q874" s="5">
        <v>5760</v>
      </c>
      <c r="R874" s="5">
        <v>3360</v>
      </c>
      <c r="S874" s="4">
        <v>94.08</v>
      </c>
      <c r="T874" s="5">
        <v>42504</v>
      </c>
      <c r="U874" s="5">
        <v>58296</v>
      </c>
      <c r="V874" s="4">
        <v>161.28</v>
      </c>
      <c r="W874" s="4">
        <v>0</v>
      </c>
      <c r="X874" s="4">
        <v>0</v>
      </c>
      <c r="Y874" s="4">
        <v>0</v>
      </c>
      <c r="Z874" s="4">
        <v>1.3</v>
      </c>
      <c r="AA874" s="4">
        <v>8.0605158730158739E-3</v>
      </c>
      <c r="AB874" s="4">
        <v>43.4</v>
      </c>
      <c r="AC874" s="4">
        <v>11.573333333333334</v>
      </c>
      <c r="AD874" s="4">
        <v>42</v>
      </c>
      <c r="AI87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0.42666666666666586</v>
      </c>
      <c r="AK874" s="4" t="s">
        <v>51</v>
      </c>
      <c r="AN874" s="4">
        <f>INT(Table1[[#This Row],[reject_prod]]/Table1[[#This Row],[part_weight]] * 1000)</f>
        <v>46</v>
      </c>
    </row>
    <row r="875" spans="1:40">
      <c r="A875" s="1">
        <v>46049</v>
      </c>
      <c r="B875">
        <v>2</v>
      </c>
      <c r="C875">
        <v>1</v>
      </c>
      <c r="D875" t="s">
        <v>61</v>
      </c>
      <c r="E875" t="s">
        <v>34</v>
      </c>
      <c r="F875">
        <v>577492</v>
      </c>
      <c r="G875">
        <v>0</v>
      </c>
      <c r="H875" t="s">
        <v>341</v>
      </c>
      <c r="I875">
        <v>10684028</v>
      </c>
      <c r="J875">
        <v>4</v>
      </c>
      <c r="K875">
        <v>35.6</v>
      </c>
      <c r="L875">
        <v>35.6</v>
      </c>
      <c r="M875">
        <v>1586</v>
      </c>
      <c r="N875" s="2">
        <v>101200</v>
      </c>
      <c r="O875" s="2">
        <v>736</v>
      </c>
      <c r="P875" s="2">
        <v>1472</v>
      </c>
      <c r="Q875" s="2">
        <v>6344</v>
      </c>
      <c r="R875" s="2">
        <v>5520</v>
      </c>
      <c r="S875">
        <v>196.512</v>
      </c>
      <c r="T875" s="2">
        <v>95312</v>
      </c>
      <c r="U875" s="2">
        <v>5888</v>
      </c>
      <c r="V875">
        <v>225.84640000000002</v>
      </c>
      <c r="W875">
        <v>0</v>
      </c>
      <c r="X875">
        <v>0</v>
      </c>
      <c r="Y875">
        <v>0</v>
      </c>
      <c r="Z875">
        <v>3.2</v>
      </c>
      <c r="AA875">
        <v>1.4168921886733639E-2</v>
      </c>
      <c r="AB875">
        <v>26.8</v>
      </c>
      <c r="AC875">
        <v>11.806888888888889</v>
      </c>
      <c r="AD875">
        <v>27</v>
      </c>
      <c r="AI87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0.19311111111111146</v>
      </c>
      <c r="AK875" t="s">
        <v>51</v>
      </c>
      <c r="AN875">
        <f>INT(Table1[[#This Row],[reject_prod]]/Table1[[#This Row],[part_weight]] * 1000)</f>
        <v>89</v>
      </c>
    </row>
    <row r="876" spans="1:40">
      <c r="A876" s="1">
        <v>46049</v>
      </c>
      <c r="B876">
        <v>2</v>
      </c>
      <c r="C876">
        <v>2</v>
      </c>
      <c r="D876" t="s">
        <v>33</v>
      </c>
      <c r="E876" t="s">
        <v>34</v>
      </c>
      <c r="F876">
        <v>416201</v>
      </c>
      <c r="G876">
        <v>0</v>
      </c>
      <c r="H876" t="s">
        <v>36</v>
      </c>
      <c r="I876">
        <v>10681779</v>
      </c>
      <c r="J876">
        <v>4</v>
      </c>
      <c r="K876">
        <v>20</v>
      </c>
      <c r="L876">
        <v>30</v>
      </c>
      <c r="M876">
        <v>0</v>
      </c>
      <c r="N876" s="2">
        <v>50400</v>
      </c>
      <c r="O876" s="2">
        <v>0</v>
      </c>
      <c r="P876" s="2">
        <v>0</v>
      </c>
      <c r="Q876" s="2">
        <v>0</v>
      </c>
      <c r="R876" s="2">
        <v>0</v>
      </c>
      <c r="S876">
        <v>0</v>
      </c>
      <c r="T876" s="2">
        <v>0</v>
      </c>
      <c r="U876" s="2">
        <v>50400</v>
      </c>
      <c r="V876">
        <v>0</v>
      </c>
      <c r="W876">
        <v>0</v>
      </c>
      <c r="X876">
        <v>0</v>
      </c>
      <c r="Y876" t="e">
        <v>#DIV/0!</v>
      </c>
      <c r="Z876">
        <v>0</v>
      </c>
      <c r="AA876" t="e">
        <v>#DIV/0!</v>
      </c>
      <c r="AB876">
        <v>38</v>
      </c>
      <c r="AC876">
        <v>0</v>
      </c>
      <c r="AD876">
        <v>38.64</v>
      </c>
      <c r="AI87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876" t="s">
        <v>526</v>
      </c>
      <c r="AN876">
        <f>INT(Table1[[#This Row],[reject_prod]]/Table1[[#This Row],[part_weight]] * 1000)</f>
        <v>0</v>
      </c>
    </row>
    <row r="877" spans="1:40">
      <c r="A877" s="1">
        <v>46049</v>
      </c>
      <c r="B877">
        <v>2</v>
      </c>
      <c r="C877">
        <v>3</v>
      </c>
      <c r="D877" t="s">
        <v>536</v>
      </c>
      <c r="E877" t="s">
        <v>34</v>
      </c>
      <c r="F877">
        <v>442034</v>
      </c>
      <c r="G877">
        <v>0</v>
      </c>
      <c r="H877" t="s">
        <v>37</v>
      </c>
      <c r="I877">
        <v>10681184</v>
      </c>
      <c r="J877">
        <v>4</v>
      </c>
      <c r="K877">
        <v>23</v>
      </c>
      <c r="L877">
        <v>23</v>
      </c>
      <c r="M877">
        <v>721</v>
      </c>
      <c r="N877" s="2">
        <v>139776</v>
      </c>
      <c r="O877" s="2">
        <v>2688</v>
      </c>
      <c r="P877" s="2">
        <v>768</v>
      </c>
      <c r="Q877" s="2">
        <v>2884</v>
      </c>
      <c r="R877" s="2">
        <v>4608</v>
      </c>
      <c r="S877">
        <v>105.98399999999999</v>
      </c>
      <c r="T877" s="2">
        <v>83712</v>
      </c>
      <c r="U877" s="2">
        <v>56064</v>
      </c>
      <c r="V877">
        <v>66.331999999999994</v>
      </c>
      <c r="W877">
        <v>0</v>
      </c>
      <c r="X877">
        <v>0</v>
      </c>
      <c r="Y877">
        <v>0</v>
      </c>
      <c r="Z877">
        <v>4.5</v>
      </c>
      <c r="AA877">
        <v>6.7840559609238377E-2</v>
      </c>
      <c r="AB877">
        <v>26.5</v>
      </c>
      <c r="AC877">
        <v>5.3073611111111108</v>
      </c>
      <c r="AD877">
        <v>22</v>
      </c>
      <c r="AI87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6.6926388888888892</v>
      </c>
      <c r="AK877" t="s">
        <v>547</v>
      </c>
      <c r="AN877">
        <f>INT(Table1[[#This Row],[reject_prod]]/Table1[[#This Row],[part_weight]] * 1000)</f>
        <v>195</v>
      </c>
    </row>
    <row r="878" spans="1:40">
      <c r="A878" s="1">
        <v>46049</v>
      </c>
      <c r="B878">
        <v>2</v>
      </c>
      <c r="C878">
        <v>4</v>
      </c>
      <c r="D878" t="s">
        <v>40</v>
      </c>
      <c r="E878" t="s">
        <v>34</v>
      </c>
      <c r="F878">
        <v>369308</v>
      </c>
      <c r="G878">
        <v>0</v>
      </c>
      <c r="H878" t="s">
        <v>516</v>
      </c>
      <c r="I878">
        <v>10684853</v>
      </c>
      <c r="J878">
        <v>4</v>
      </c>
      <c r="K878">
        <v>31</v>
      </c>
      <c r="L878">
        <v>31</v>
      </c>
      <c r="M878">
        <v>1617</v>
      </c>
      <c r="N878" s="2">
        <v>34560</v>
      </c>
      <c r="O878" s="2">
        <v>960</v>
      </c>
      <c r="P878" s="2">
        <v>0</v>
      </c>
      <c r="Q878" s="2">
        <v>6468</v>
      </c>
      <c r="R878" s="2">
        <v>7200</v>
      </c>
      <c r="S878">
        <v>223.2</v>
      </c>
      <c r="T878" s="2">
        <v>15840</v>
      </c>
      <c r="U878" s="2">
        <v>18720</v>
      </c>
      <c r="V878">
        <v>200.50800000000001</v>
      </c>
      <c r="W878">
        <v>0</v>
      </c>
      <c r="X878">
        <v>0</v>
      </c>
      <c r="Y878">
        <v>0</v>
      </c>
      <c r="Z878">
        <v>7</v>
      </c>
      <c r="AA878">
        <v>3.4911325233905881E-2</v>
      </c>
      <c r="AB878">
        <v>26.4</v>
      </c>
      <c r="AC878">
        <v>11.858000000000001</v>
      </c>
      <c r="AD878">
        <v>28.4</v>
      </c>
      <c r="AI87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0.14199999999999946</v>
      </c>
      <c r="AK878" t="s">
        <v>540</v>
      </c>
      <c r="AN878">
        <f>INT(Table1[[#This Row],[reject_prod]]/Table1[[#This Row],[part_weight]] * 1000)</f>
        <v>225</v>
      </c>
    </row>
    <row r="879" spans="1:40">
      <c r="A879" s="1">
        <v>46049</v>
      </c>
      <c r="B879">
        <v>2</v>
      </c>
      <c r="C879">
        <v>5</v>
      </c>
      <c r="D879" t="s">
        <v>537</v>
      </c>
      <c r="E879" t="s">
        <v>34</v>
      </c>
      <c r="F879">
        <v>322383</v>
      </c>
      <c r="G879">
        <v>0</v>
      </c>
      <c r="H879" t="s">
        <v>71</v>
      </c>
      <c r="I879">
        <v>10682756</v>
      </c>
      <c r="J879">
        <v>4</v>
      </c>
      <c r="K879">
        <v>12.5</v>
      </c>
      <c r="L879">
        <v>12.5</v>
      </c>
      <c r="M879">
        <v>0</v>
      </c>
      <c r="N879" s="2">
        <v>66000</v>
      </c>
      <c r="O879" s="2">
        <v>13200</v>
      </c>
      <c r="P879" s="2">
        <v>0</v>
      </c>
      <c r="Q879" s="2">
        <v>0</v>
      </c>
      <c r="R879" s="2">
        <v>13200</v>
      </c>
      <c r="S879">
        <v>165</v>
      </c>
      <c r="T879" s="2">
        <v>66000</v>
      </c>
      <c r="U879" s="2">
        <v>0</v>
      </c>
      <c r="V879">
        <v>0</v>
      </c>
      <c r="W879">
        <v>0</v>
      </c>
      <c r="X879">
        <v>0</v>
      </c>
      <c r="Y879" t="e">
        <v>#DIV/0!</v>
      </c>
      <c r="Z879">
        <v>5</v>
      </c>
      <c r="AA879" t="e">
        <v>#DIV/0!</v>
      </c>
      <c r="AB879">
        <v>20.3</v>
      </c>
      <c r="AC879">
        <v>0</v>
      </c>
      <c r="AD879">
        <v>17.920000000000002</v>
      </c>
      <c r="AI87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879" t="s">
        <v>548</v>
      </c>
      <c r="AN879">
        <f>INT(Table1[[#This Row],[reject_prod]]/Table1[[#This Row],[part_weight]] * 1000)</f>
        <v>400</v>
      </c>
    </row>
    <row r="880" spans="1:40">
      <c r="A880" s="1">
        <v>46049</v>
      </c>
      <c r="B880">
        <v>2</v>
      </c>
      <c r="C880">
        <v>5</v>
      </c>
      <c r="D880" t="s">
        <v>537</v>
      </c>
      <c r="E880" t="s">
        <v>34</v>
      </c>
      <c r="F880">
        <v>322389</v>
      </c>
      <c r="G880">
        <v>0</v>
      </c>
      <c r="H880" t="s">
        <v>542</v>
      </c>
      <c r="I880">
        <v>10684749</v>
      </c>
      <c r="J880">
        <v>4</v>
      </c>
      <c r="K880">
        <v>12.5</v>
      </c>
      <c r="L880">
        <v>12.5</v>
      </c>
      <c r="M880">
        <v>2101</v>
      </c>
      <c r="N880" s="2">
        <v>46800</v>
      </c>
      <c r="O880" s="2">
        <v>1560</v>
      </c>
      <c r="P880" s="2">
        <v>500</v>
      </c>
      <c r="Q880" s="2">
        <v>8404</v>
      </c>
      <c r="R880" s="2">
        <v>9360</v>
      </c>
      <c r="S880">
        <v>117</v>
      </c>
      <c r="T880" s="2">
        <v>9860</v>
      </c>
      <c r="U880" s="2">
        <v>36940</v>
      </c>
      <c r="V880">
        <v>105.05</v>
      </c>
      <c r="W880">
        <v>0</v>
      </c>
      <c r="X880">
        <v>0</v>
      </c>
      <c r="Y880">
        <v>0</v>
      </c>
      <c r="Z880">
        <v>1</v>
      </c>
      <c r="AA880">
        <v>9.5192765349833407E-3</v>
      </c>
      <c r="AB880">
        <v>20.399999999999999</v>
      </c>
      <c r="AC880">
        <v>11.905666666666665</v>
      </c>
      <c r="AD880">
        <v>18.64</v>
      </c>
      <c r="AI88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9.4333333333334934E-2</v>
      </c>
      <c r="AK880" t="s">
        <v>214</v>
      </c>
      <c r="AN880">
        <f>INT(Table1[[#This Row],[reject_prod]]/Table1[[#This Row],[part_weight]] * 1000)</f>
        <v>80</v>
      </c>
    </row>
    <row r="881" spans="1:40">
      <c r="A881" s="1">
        <v>46049</v>
      </c>
      <c r="B881">
        <v>2</v>
      </c>
      <c r="C881">
        <v>6</v>
      </c>
      <c r="D881" t="s">
        <v>538</v>
      </c>
      <c r="E881" t="s">
        <v>34</v>
      </c>
      <c r="F881">
        <v>322412</v>
      </c>
      <c r="G881">
        <v>0</v>
      </c>
      <c r="H881" t="s">
        <v>487</v>
      </c>
      <c r="I881">
        <v>10685212</v>
      </c>
      <c r="J881">
        <v>4</v>
      </c>
      <c r="K881">
        <v>24.3</v>
      </c>
      <c r="L881">
        <v>24</v>
      </c>
      <c r="M881">
        <v>1853</v>
      </c>
      <c r="N881" s="2">
        <v>40600</v>
      </c>
      <c r="O881" s="2">
        <v>812</v>
      </c>
      <c r="P881" s="2">
        <v>0</v>
      </c>
      <c r="Q881" s="2">
        <v>7412</v>
      </c>
      <c r="R881" s="2">
        <v>8120</v>
      </c>
      <c r="S881">
        <v>194.88</v>
      </c>
      <c r="T881" s="2">
        <v>37555</v>
      </c>
      <c r="U881" s="2">
        <v>3045</v>
      </c>
      <c r="V881">
        <v>177.88800000000001</v>
      </c>
      <c r="W881">
        <v>0</v>
      </c>
      <c r="X881">
        <v>0</v>
      </c>
      <c r="Y881">
        <v>0</v>
      </c>
      <c r="Z881">
        <v>2.5</v>
      </c>
      <c r="AA881">
        <v>1.4053786652275588E-2</v>
      </c>
      <c r="AB881">
        <v>23.3</v>
      </c>
      <c r="AC881">
        <v>11.993027777777778</v>
      </c>
      <c r="AD881">
        <v>20</v>
      </c>
      <c r="AI88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6.9722222222221575E-3</v>
      </c>
      <c r="AK881" t="s">
        <v>103</v>
      </c>
      <c r="AN881">
        <f>INT(Table1[[#This Row],[reject_prod]]/Table1[[#This Row],[part_weight]] * 1000)</f>
        <v>104</v>
      </c>
    </row>
    <row r="882" spans="1:40">
      <c r="A882" s="1">
        <v>46049</v>
      </c>
      <c r="B882">
        <v>2</v>
      </c>
      <c r="C882">
        <v>7</v>
      </c>
      <c r="D882" t="s">
        <v>67</v>
      </c>
      <c r="E882" t="s">
        <v>34</v>
      </c>
      <c r="F882">
        <v>322471</v>
      </c>
      <c r="G882">
        <v>0</v>
      </c>
      <c r="H882" t="s">
        <v>520</v>
      </c>
      <c r="I882">
        <v>10684032</v>
      </c>
      <c r="J882">
        <v>4</v>
      </c>
      <c r="K882">
        <v>34.5</v>
      </c>
      <c r="L882">
        <v>34.5</v>
      </c>
      <c r="M882">
        <v>1977</v>
      </c>
      <c r="N882" s="2">
        <v>44352</v>
      </c>
      <c r="O882" s="2">
        <v>0</v>
      </c>
      <c r="P882" s="2">
        <v>0</v>
      </c>
      <c r="Q882" s="2">
        <v>7908</v>
      </c>
      <c r="R882" s="2">
        <v>7392</v>
      </c>
      <c r="S882">
        <v>255.024</v>
      </c>
      <c r="T882" s="2">
        <v>20328</v>
      </c>
      <c r="U882" s="2">
        <v>24024</v>
      </c>
      <c r="V882">
        <v>272.82600000000002</v>
      </c>
      <c r="W882">
        <v>0</v>
      </c>
      <c r="X882">
        <v>0</v>
      </c>
      <c r="Y882">
        <v>0</v>
      </c>
      <c r="Z882">
        <v>18</v>
      </c>
      <c r="AA882">
        <v>6.5976116645774227E-2</v>
      </c>
      <c r="AB882">
        <v>21.8</v>
      </c>
      <c r="AC882">
        <v>11.971833333333333</v>
      </c>
      <c r="AD882">
        <v>16.2</v>
      </c>
      <c r="AI88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2.8166666666667339E-2</v>
      </c>
      <c r="AK882" t="s">
        <v>549</v>
      </c>
      <c r="AN882">
        <f>INT(Table1[[#This Row],[reject_prod]]/Table1[[#This Row],[part_weight]] * 1000)</f>
        <v>521</v>
      </c>
    </row>
    <row r="883" spans="1:40">
      <c r="A883" s="1">
        <v>46049</v>
      </c>
      <c r="B883">
        <v>2</v>
      </c>
      <c r="C883">
        <v>8</v>
      </c>
      <c r="D883" t="s">
        <v>65</v>
      </c>
      <c r="E883" t="s">
        <v>41</v>
      </c>
      <c r="F883">
        <v>593537</v>
      </c>
      <c r="G883">
        <v>0</v>
      </c>
      <c r="H883" t="s">
        <v>48</v>
      </c>
      <c r="I883">
        <v>10685022</v>
      </c>
      <c r="J883">
        <v>4</v>
      </c>
      <c r="K883">
        <v>56.5</v>
      </c>
      <c r="L883">
        <v>56.8</v>
      </c>
      <c r="M883">
        <v>1452</v>
      </c>
      <c r="N883" s="2">
        <v>69000</v>
      </c>
      <c r="O883" s="2">
        <v>230</v>
      </c>
      <c r="P883" s="2">
        <v>230</v>
      </c>
      <c r="Q883" s="2">
        <v>5808</v>
      </c>
      <c r="R883" s="2">
        <v>5750</v>
      </c>
      <c r="S883">
        <v>326.60000000000002</v>
      </c>
      <c r="T883" s="2">
        <v>23230</v>
      </c>
      <c r="U883" s="2">
        <v>45770</v>
      </c>
      <c r="V883">
        <v>329.89439999999996</v>
      </c>
      <c r="W883">
        <v>0</v>
      </c>
      <c r="X883">
        <v>0</v>
      </c>
      <c r="Y883">
        <v>0</v>
      </c>
      <c r="Z883">
        <v>3.2</v>
      </c>
      <c r="AA883">
        <v>9.7000737205602781E-3</v>
      </c>
      <c r="AB883">
        <v>29.4</v>
      </c>
      <c r="AC883">
        <v>11.857999999999999</v>
      </c>
      <c r="AD883">
        <v>28.5</v>
      </c>
      <c r="AI88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0.14200000000000124</v>
      </c>
      <c r="AK883" t="s">
        <v>51</v>
      </c>
      <c r="AN883">
        <f>INT(Table1[[#This Row],[reject_prod]]/Table1[[#This Row],[part_weight]] * 1000)</f>
        <v>56</v>
      </c>
    </row>
    <row r="884" spans="1:40">
      <c r="A884" s="1">
        <v>46049</v>
      </c>
      <c r="B884">
        <v>2</v>
      </c>
      <c r="C884">
        <v>9</v>
      </c>
      <c r="F884">
        <v>123456</v>
      </c>
      <c r="G884">
        <v>0</v>
      </c>
      <c r="M884">
        <v>0</v>
      </c>
      <c r="N884" s="2">
        <v>0</v>
      </c>
      <c r="O884" s="2">
        <v>0</v>
      </c>
      <c r="P884" s="2">
        <v>0</v>
      </c>
      <c r="Q884" s="2"/>
      <c r="R884" s="2">
        <v>0</v>
      </c>
      <c r="T884" s="2">
        <v>0</v>
      </c>
      <c r="U884" s="2"/>
      <c r="X884">
        <v>0</v>
      </c>
      <c r="Z884">
        <v>0</v>
      </c>
      <c r="AB884">
        <v>0</v>
      </c>
      <c r="AC884">
        <v>0</v>
      </c>
      <c r="AD884">
        <v>0</v>
      </c>
      <c r="AI88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884">
        <v>12</v>
      </c>
      <c r="AK884" t="s">
        <v>116</v>
      </c>
      <c r="AN884">
        <v>0</v>
      </c>
    </row>
    <row r="885" spans="1:40">
      <c r="A885" s="1">
        <v>46049</v>
      </c>
      <c r="B885">
        <v>2</v>
      </c>
      <c r="C885">
        <v>10</v>
      </c>
      <c r="D885" t="s">
        <v>143</v>
      </c>
      <c r="E885" t="s">
        <v>34</v>
      </c>
      <c r="F885">
        <v>441778</v>
      </c>
      <c r="G885">
        <v>0</v>
      </c>
      <c r="H885" t="s">
        <v>531</v>
      </c>
      <c r="I885">
        <v>10684860</v>
      </c>
      <c r="J885">
        <v>4</v>
      </c>
      <c r="K885">
        <v>77</v>
      </c>
      <c r="L885">
        <v>77</v>
      </c>
      <c r="M885">
        <v>865</v>
      </c>
      <c r="N885" s="2">
        <v>11868</v>
      </c>
      <c r="O885" s="2">
        <v>0</v>
      </c>
      <c r="P885" s="2">
        <v>0</v>
      </c>
      <c r="Q885" s="2">
        <v>3460</v>
      </c>
      <c r="R885" s="2">
        <v>3312</v>
      </c>
      <c r="S885">
        <v>255.024</v>
      </c>
      <c r="T885" s="2">
        <v>5520</v>
      </c>
      <c r="U885" s="2">
        <v>6348</v>
      </c>
      <c r="V885">
        <v>266.42</v>
      </c>
      <c r="W885">
        <v>0</v>
      </c>
      <c r="X885">
        <v>0</v>
      </c>
      <c r="Y885">
        <v>0</v>
      </c>
      <c r="Z885">
        <v>11.2</v>
      </c>
      <c r="AA885">
        <v>4.2038885969521801E-2</v>
      </c>
      <c r="AB885">
        <v>36.799999999999997</v>
      </c>
      <c r="AC885">
        <v>8.8422222222222207</v>
      </c>
      <c r="AD885">
        <v>35</v>
      </c>
      <c r="AI88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3.1577777777777793</v>
      </c>
      <c r="AK885" t="s">
        <v>550</v>
      </c>
      <c r="AN885">
        <f>INT(Table1[[#This Row],[reject_prod]]/Table1[[#This Row],[part_weight]] * 1000)</f>
        <v>145</v>
      </c>
    </row>
    <row r="886" spans="1:40">
      <c r="A886" s="1">
        <v>46049</v>
      </c>
      <c r="B886">
        <v>2</v>
      </c>
      <c r="C886">
        <v>11</v>
      </c>
      <c r="D886" t="s">
        <v>112</v>
      </c>
      <c r="E886" t="s">
        <v>46</v>
      </c>
      <c r="F886">
        <v>552181</v>
      </c>
      <c r="G886">
        <v>1</v>
      </c>
      <c r="H886" t="s">
        <v>49</v>
      </c>
      <c r="I886">
        <v>10685338</v>
      </c>
      <c r="J886">
        <v>6</v>
      </c>
      <c r="K886">
        <v>18.8</v>
      </c>
      <c r="L886">
        <v>18.8</v>
      </c>
      <c r="M886">
        <v>1468</v>
      </c>
      <c r="N886" s="2">
        <v>108000</v>
      </c>
      <c r="O886" s="2">
        <v>0</v>
      </c>
      <c r="P886" s="2">
        <v>3240</v>
      </c>
      <c r="Q886" s="2">
        <v>8808</v>
      </c>
      <c r="R886" s="2">
        <v>5400</v>
      </c>
      <c r="S886">
        <v>101.52</v>
      </c>
      <c r="T886" s="2">
        <v>8640</v>
      </c>
      <c r="U886" s="2">
        <v>99360</v>
      </c>
      <c r="V886">
        <v>165.59039999999999</v>
      </c>
      <c r="W886">
        <v>0</v>
      </c>
      <c r="X886">
        <v>0</v>
      </c>
      <c r="Y886">
        <v>0</v>
      </c>
      <c r="Z886">
        <v>3.2</v>
      </c>
      <c r="AA886">
        <v>1.9324791775368624E-2</v>
      </c>
      <c r="AB886">
        <v>28.7</v>
      </c>
      <c r="AC886">
        <v>11.703222222222223</v>
      </c>
      <c r="AD886">
        <v>27</v>
      </c>
      <c r="AI88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0.29677777777777692</v>
      </c>
      <c r="AK886" t="s">
        <v>51</v>
      </c>
      <c r="AN886">
        <f>INT(Table1[[#This Row],[reject_prod]]/Table1[[#This Row],[part_weight]] * 1000)</f>
        <v>170</v>
      </c>
    </row>
    <row r="887" spans="1:40">
      <c r="A887" s="1">
        <v>46049</v>
      </c>
      <c r="B887">
        <v>2</v>
      </c>
      <c r="C887">
        <v>12</v>
      </c>
      <c r="D887" t="s">
        <v>152</v>
      </c>
      <c r="E887" t="s">
        <v>34</v>
      </c>
      <c r="F887">
        <v>620599</v>
      </c>
      <c r="G887">
        <v>0</v>
      </c>
      <c r="H887" t="s">
        <v>50</v>
      </c>
      <c r="I887">
        <v>10684839</v>
      </c>
      <c r="J887">
        <v>4</v>
      </c>
      <c r="K887">
        <v>55</v>
      </c>
      <c r="L887">
        <v>55</v>
      </c>
      <c r="M887">
        <v>1452</v>
      </c>
      <c r="N887" s="2">
        <v>72000</v>
      </c>
      <c r="O887" s="2">
        <v>225</v>
      </c>
      <c r="P887" s="2">
        <v>450</v>
      </c>
      <c r="Q887" s="2">
        <v>5808</v>
      </c>
      <c r="R887" s="2">
        <v>5400</v>
      </c>
      <c r="S887">
        <v>297</v>
      </c>
      <c r="T887" s="2">
        <v>65250</v>
      </c>
      <c r="U887" s="2">
        <v>6750</v>
      </c>
      <c r="V887">
        <v>319.44</v>
      </c>
      <c r="W887">
        <v>0</v>
      </c>
      <c r="X887">
        <v>0</v>
      </c>
      <c r="Y887">
        <v>0</v>
      </c>
      <c r="Z887">
        <v>9.8000000000000007</v>
      </c>
      <c r="AA887">
        <v>3.0678687703481096E-2</v>
      </c>
      <c r="AB887">
        <v>28.8</v>
      </c>
      <c r="AC887">
        <v>11.616</v>
      </c>
      <c r="AD887">
        <v>28</v>
      </c>
      <c r="AI88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0.38400000000000034</v>
      </c>
      <c r="AK887" t="s">
        <v>551</v>
      </c>
      <c r="AN887">
        <f>INT(Table1[[#This Row],[reject_prod]]/Table1[[#This Row],[part_weight]] * 1000)</f>
        <v>178</v>
      </c>
    </row>
    <row r="888" spans="1:40">
      <c r="A888" s="1">
        <v>46049</v>
      </c>
      <c r="B888">
        <v>2</v>
      </c>
      <c r="C888">
        <v>13</v>
      </c>
      <c r="D888" t="s">
        <v>112</v>
      </c>
      <c r="E888" t="s">
        <v>46</v>
      </c>
      <c r="F888">
        <v>586276</v>
      </c>
      <c r="G888">
        <v>0</v>
      </c>
      <c r="H888" t="s">
        <v>47</v>
      </c>
      <c r="I888">
        <v>10684862</v>
      </c>
      <c r="J888">
        <v>6</v>
      </c>
      <c r="K888">
        <v>12.3</v>
      </c>
      <c r="L888">
        <v>12.3</v>
      </c>
      <c r="M888">
        <v>1631</v>
      </c>
      <c r="N888" s="2">
        <v>162000</v>
      </c>
      <c r="O888" s="2">
        <v>4455</v>
      </c>
      <c r="P888" s="2">
        <v>6075</v>
      </c>
      <c r="Q888" s="2">
        <v>9786</v>
      </c>
      <c r="R888" s="2">
        <v>8100</v>
      </c>
      <c r="S888">
        <v>99.63</v>
      </c>
      <c r="T888" s="2">
        <v>103275</v>
      </c>
      <c r="U888" s="2">
        <v>58725</v>
      </c>
      <c r="V888">
        <v>120.3678</v>
      </c>
      <c r="W888">
        <v>0</v>
      </c>
      <c r="X888">
        <v>0</v>
      </c>
      <c r="Y888">
        <v>0</v>
      </c>
      <c r="Z888">
        <v>0.8</v>
      </c>
      <c r="AA888">
        <v>6.6462957701312149E-3</v>
      </c>
      <c r="AB888">
        <v>26.2</v>
      </c>
      <c r="AC888">
        <v>11.870055555555556</v>
      </c>
      <c r="AD888">
        <v>26</v>
      </c>
      <c r="AI88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0.12994444444444397</v>
      </c>
      <c r="AK888" t="s">
        <v>51</v>
      </c>
      <c r="AN888">
        <f>INT(Table1[[#This Row],[reject_prod]]/Table1[[#This Row],[part_weight]] * 1000)</f>
        <v>65</v>
      </c>
    </row>
    <row r="889" spans="1:40">
      <c r="A889" s="1">
        <v>46049</v>
      </c>
      <c r="B889">
        <v>2</v>
      </c>
      <c r="C889">
        <v>14</v>
      </c>
      <c r="D889" t="s">
        <v>33</v>
      </c>
      <c r="E889" t="s">
        <v>46</v>
      </c>
      <c r="F889">
        <v>555979</v>
      </c>
      <c r="G889">
        <v>1</v>
      </c>
      <c r="H889" t="s">
        <v>52</v>
      </c>
      <c r="I889">
        <v>10683785</v>
      </c>
      <c r="J889">
        <v>6</v>
      </c>
      <c r="K889">
        <v>28</v>
      </c>
      <c r="L889">
        <v>28</v>
      </c>
      <c r="M889">
        <v>0</v>
      </c>
      <c r="N889" s="2">
        <v>100800</v>
      </c>
      <c r="O889" s="2">
        <v>0</v>
      </c>
      <c r="P889" s="2">
        <v>0</v>
      </c>
      <c r="Q889" s="2">
        <v>0</v>
      </c>
      <c r="R889" s="2">
        <v>0</v>
      </c>
      <c r="S889">
        <v>0</v>
      </c>
      <c r="T889" s="2">
        <v>30240</v>
      </c>
      <c r="U889" s="2">
        <v>70560</v>
      </c>
      <c r="V889">
        <v>0</v>
      </c>
      <c r="W889">
        <v>0</v>
      </c>
      <c r="X889">
        <v>0</v>
      </c>
      <c r="Y889" t="e">
        <v>#DIV/0!</v>
      </c>
      <c r="Z889">
        <v>0</v>
      </c>
      <c r="AA889" t="e">
        <v>#DIV/0!</v>
      </c>
      <c r="AB889">
        <v>42</v>
      </c>
      <c r="AC889">
        <v>0</v>
      </c>
      <c r="AD889">
        <v>42</v>
      </c>
      <c r="AI88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889" t="s">
        <v>481</v>
      </c>
      <c r="AN889">
        <f>INT(Table1[[#This Row],[reject_prod]]/Table1[[#This Row],[part_weight]] * 1000)</f>
        <v>0</v>
      </c>
    </row>
    <row r="890" spans="1:40">
      <c r="A890" s="1">
        <v>46049</v>
      </c>
      <c r="B890">
        <v>2</v>
      </c>
      <c r="C890">
        <v>15</v>
      </c>
      <c r="D890" t="s">
        <v>112</v>
      </c>
      <c r="E890" t="s">
        <v>46</v>
      </c>
      <c r="F890">
        <v>552181</v>
      </c>
      <c r="G890">
        <v>2</v>
      </c>
      <c r="H890" t="s">
        <v>49</v>
      </c>
      <c r="I890">
        <v>10683787</v>
      </c>
      <c r="J890">
        <v>6</v>
      </c>
      <c r="K890">
        <v>18.8</v>
      </c>
      <c r="L890">
        <v>18.8</v>
      </c>
      <c r="M890">
        <v>1370</v>
      </c>
      <c r="N890" s="2">
        <v>108000</v>
      </c>
      <c r="O890" s="2">
        <v>2700</v>
      </c>
      <c r="P890" s="2">
        <v>0</v>
      </c>
      <c r="Q890" s="2">
        <v>8220</v>
      </c>
      <c r="R890" s="2">
        <v>10800</v>
      </c>
      <c r="S890">
        <v>203.04</v>
      </c>
      <c r="T890" s="2">
        <v>97200</v>
      </c>
      <c r="U890" s="2">
        <v>10800</v>
      </c>
      <c r="V890">
        <v>154.536</v>
      </c>
      <c r="W890">
        <v>0</v>
      </c>
      <c r="X890">
        <v>0</v>
      </c>
      <c r="Y890">
        <v>0</v>
      </c>
      <c r="Z890">
        <v>2.2999999999999998</v>
      </c>
      <c r="AA890">
        <v>1.4883263446704974E-2</v>
      </c>
      <c r="AB890">
        <v>31.3</v>
      </c>
      <c r="AC890">
        <v>11.911388888888888</v>
      </c>
      <c r="AD890">
        <v>27</v>
      </c>
      <c r="AI89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8.861111111111164E-2</v>
      </c>
      <c r="AK890" t="s">
        <v>51</v>
      </c>
      <c r="AN890">
        <f>INT(Table1[[#This Row],[reject_prod]]/Table1[[#This Row],[part_weight]] * 1000)</f>
        <v>122</v>
      </c>
    </row>
    <row r="891" spans="1:40" s="4" customFormat="1">
      <c r="A891" s="3">
        <v>46049</v>
      </c>
      <c r="B891" s="4">
        <v>2</v>
      </c>
      <c r="C891" s="4">
        <v>16</v>
      </c>
      <c r="D891" s="4" t="s">
        <v>108</v>
      </c>
      <c r="E891" s="4" t="s">
        <v>46</v>
      </c>
      <c r="F891" s="4">
        <v>555979</v>
      </c>
      <c r="G891" s="4">
        <v>2</v>
      </c>
      <c r="H891" s="4" t="s">
        <v>52</v>
      </c>
      <c r="I891" s="4">
        <v>10684863</v>
      </c>
      <c r="J891" s="4">
        <v>6</v>
      </c>
      <c r="K891" s="4">
        <v>28</v>
      </c>
      <c r="L891" s="4">
        <v>28</v>
      </c>
      <c r="M891" s="4">
        <v>965</v>
      </c>
      <c r="N891" s="5">
        <v>100800</v>
      </c>
      <c r="O891" s="5">
        <v>2184</v>
      </c>
      <c r="P891" s="5">
        <v>4536</v>
      </c>
      <c r="Q891" s="5">
        <v>5790</v>
      </c>
      <c r="R891" s="5">
        <v>3360</v>
      </c>
      <c r="S891" s="4">
        <v>94.08</v>
      </c>
      <c r="T891" s="5">
        <v>48216</v>
      </c>
      <c r="U891" s="5">
        <v>52584</v>
      </c>
      <c r="V891" s="4">
        <v>162.12</v>
      </c>
      <c r="W891" s="4">
        <v>0</v>
      </c>
      <c r="X891" s="4">
        <v>0</v>
      </c>
      <c r="Y891" s="4">
        <v>0</v>
      </c>
      <c r="Z891" s="4">
        <v>2.2000000000000002</v>
      </c>
      <c r="AA891" s="4">
        <v>1.3570194917345178E-2</v>
      </c>
      <c r="AB891" s="4">
        <v>43.4</v>
      </c>
      <c r="AC891" s="4">
        <v>11.633611111111112</v>
      </c>
      <c r="AD891" s="4">
        <v>42</v>
      </c>
      <c r="AI89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0.36638888888888843</v>
      </c>
      <c r="AK891" s="4" t="s">
        <v>51</v>
      </c>
      <c r="AN891" s="4">
        <f>INT(Table1[[#This Row],[reject_prod]]/Table1[[#This Row],[part_weight]] * 1000)</f>
        <v>78</v>
      </c>
    </row>
    <row r="892" spans="1:40">
      <c r="A892" s="1">
        <v>46050</v>
      </c>
      <c r="B892">
        <v>1</v>
      </c>
      <c r="C892">
        <v>1</v>
      </c>
      <c r="D892" t="s">
        <v>58</v>
      </c>
      <c r="E892" t="s">
        <v>34</v>
      </c>
      <c r="F892">
        <v>577492</v>
      </c>
      <c r="G892">
        <v>0</v>
      </c>
      <c r="H892" t="s">
        <v>341</v>
      </c>
      <c r="I892">
        <v>10684028</v>
      </c>
      <c r="J892">
        <v>4</v>
      </c>
      <c r="K892">
        <v>35.6</v>
      </c>
      <c r="L892">
        <v>35.6</v>
      </c>
      <c r="M892">
        <v>1472</v>
      </c>
      <c r="N892" s="2">
        <v>101200</v>
      </c>
      <c r="O892" s="2">
        <v>1472</v>
      </c>
      <c r="P892" s="2">
        <v>0</v>
      </c>
      <c r="Q892" s="2"/>
      <c r="R892" s="2">
        <v>7360</v>
      </c>
      <c r="S892">
        <v>262.01600000000002</v>
      </c>
      <c r="T892" s="2">
        <v>101200</v>
      </c>
      <c r="U892" s="2">
        <v>0</v>
      </c>
      <c r="V892">
        <v>0</v>
      </c>
      <c r="W892">
        <v>0</v>
      </c>
      <c r="X892">
        <v>0</v>
      </c>
      <c r="Y892" t="e">
        <v>#DIV/0!</v>
      </c>
      <c r="Z892">
        <v>3</v>
      </c>
      <c r="AA892" t="e">
        <v>#DIV/0!</v>
      </c>
      <c r="AB892">
        <v>26.8</v>
      </c>
      <c r="AC892">
        <v>10.958222222222222</v>
      </c>
      <c r="AD892">
        <v>27</v>
      </c>
      <c r="AI89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1.0417777777777779</v>
      </c>
      <c r="AK892" t="s">
        <v>102</v>
      </c>
      <c r="AN892">
        <f>INT(Table1[[#This Row],[reject_prod]]/Table1[[#This Row],[part_weight]] * 1000)</f>
        <v>84</v>
      </c>
    </row>
    <row r="893" spans="1:40">
      <c r="A893" s="1">
        <v>46050</v>
      </c>
      <c r="B893">
        <v>1</v>
      </c>
      <c r="C893">
        <v>1</v>
      </c>
      <c r="D893" t="s">
        <v>58</v>
      </c>
      <c r="E893" t="s">
        <v>34</v>
      </c>
      <c r="F893">
        <v>577492</v>
      </c>
      <c r="G893">
        <v>0</v>
      </c>
      <c r="H893" t="s">
        <v>341</v>
      </c>
      <c r="I893">
        <v>10686027</v>
      </c>
      <c r="J893">
        <v>4</v>
      </c>
      <c r="K893">
        <v>35.6</v>
      </c>
      <c r="L893">
        <v>35.6</v>
      </c>
      <c r="M893">
        <v>105</v>
      </c>
      <c r="N893" s="2">
        <v>20240</v>
      </c>
      <c r="O893" s="2">
        <v>0</v>
      </c>
      <c r="P893" s="2">
        <v>368</v>
      </c>
      <c r="Q893" s="2">
        <v>420</v>
      </c>
      <c r="R893" s="2">
        <v>0</v>
      </c>
      <c r="S893">
        <v>0</v>
      </c>
      <c r="T893" s="2">
        <v>368</v>
      </c>
      <c r="U893" s="2">
        <v>19872</v>
      </c>
      <c r="V893">
        <v>14.952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26.8</v>
      </c>
      <c r="AC893">
        <v>0.78166666666666662</v>
      </c>
      <c r="AD893">
        <v>27</v>
      </c>
      <c r="AI89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11.218333333333334</v>
      </c>
      <c r="AK893" t="s">
        <v>51</v>
      </c>
      <c r="AN893">
        <f>INT(Table1[[#This Row],[reject_prod]]/Table1[[#This Row],[part_weight]] * 1000)</f>
        <v>0</v>
      </c>
    </row>
    <row r="894" spans="1:40">
      <c r="A894" s="1">
        <v>46050</v>
      </c>
      <c r="B894">
        <v>1</v>
      </c>
      <c r="C894">
        <v>2</v>
      </c>
      <c r="D894" t="s">
        <v>33</v>
      </c>
      <c r="E894" t="s">
        <v>34</v>
      </c>
      <c r="F894">
        <v>416201</v>
      </c>
      <c r="G894">
        <v>0</v>
      </c>
      <c r="H894" t="s">
        <v>36</v>
      </c>
      <c r="I894">
        <v>10681779</v>
      </c>
      <c r="J894">
        <v>4</v>
      </c>
      <c r="K894">
        <v>20</v>
      </c>
      <c r="L894">
        <v>30</v>
      </c>
      <c r="M894">
        <v>0</v>
      </c>
      <c r="N894" s="2">
        <v>50400</v>
      </c>
      <c r="O894" s="2">
        <v>0</v>
      </c>
      <c r="P894" s="2">
        <v>2940</v>
      </c>
      <c r="Q894" s="2">
        <v>0</v>
      </c>
      <c r="R894" s="2">
        <v>0</v>
      </c>
      <c r="S894">
        <v>0</v>
      </c>
      <c r="T894" s="2">
        <v>0</v>
      </c>
      <c r="U894" s="2">
        <v>50400</v>
      </c>
      <c r="V894">
        <v>0</v>
      </c>
      <c r="W894">
        <v>0</v>
      </c>
      <c r="X894">
        <v>6</v>
      </c>
      <c r="Y894" t="e">
        <v>#DIV/0!</v>
      </c>
      <c r="Z894">
        <v>0</v>
      </c>
      <c r="AA894" t="e">
        <v>#DIV/0!</v>
      </c>
      <c r="AB894">
        <v>38.6</v>
      </c>
      <c r="AC894">
        <v>0</v>
      </c>
      <c r="AD894">
        <v>38.64</v>
      </c>
      <c r="AI89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894" t="s">
        <v>556</v>
      </c>
      <c r="AL894">
        <v>5.6</v>
      </c>
      <c r="AM894">
        <v>6</v>
      </c>
      <c r="AN894">
        <f>INT(Table1[[#This Row],[reject_prod]]/Table1[[#This Row],[part_weight]] * 1000)</f>
        <v>0</v>
      </c>
    </row>
    <row r="895" spans="1:40">
      <c r="A895" s="1">
        <v>46050</v>
      </c>
      <c r="B895">
        <v>1</v>
      </c>
      <c r="C895">
        <v>3</v>
      </c>
      <c r="D895" t="s">
        <v>391</v>
      </c>
      <c r="E895" t="s">
        <v>34</v>
      </c>
      <c r="F895">
        <v>442034</v>
      </c>
      <c r="G895">
        <v>0</v>
      </c>
      <c r="H895" t="s">
        <v>37</v>
      </c>
      <c r="I895">
        <v>10681184</v>
      </c>
      <c r="J895">
        <v>4</v>
      </c>
      <c r="K895">
        <v>23</v>
      </c>
      <c r="L895">
        <v>23</v>
      </c>
      <c r="M895">
        <v>770</v>
      </c>
      <c r="N895" s="2">
        <v>139776</v>
      </c>
      <c r="O895" s="2">
        <v>768</v>
      </c>
      <c r="P895" s="2">
        <v>3840</v>
      </c>
      <c r="Q895" s="2">
        <v>3080</v>
      </c>
      <c r="R895" s="2">
        <v>0</v>
      </c>
      <c r="S895">
        <v>0</v>
      </c>
      <c r="T895" s="2">
        <v>86784</v>
      </c>
      <c r="U895" s="2">
        <v>52992</v>
      </c>
      <c r="V895">
        <v>70.84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26.5</v>
      </c>
      <c r="AC895">
        <v>5.6680555555555552</v>
      </c>
      <c r="AD895">
        <v>22</v>
      </c>
      <c r="AI89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6.3319444444444448</v>
      </c>
      <c r="AK895" t="s">
        <v>557</v>
      </c>
      <c r="AL895">
        <v>3</v>
      </c>
      <c r="AM895">
        <v>2</v>
      </c>
      <c r="AN895">
        <f>INT(Table1[[#This Row],[reject_prod]]/Table1[[#This Row],[part_weight]] * 1000)</f>
        <v>0</v>
      </c>
    </row>
    <row r="896" spans="1:40">
      <c r="A896" s="1">
        <v>46050</v>
      </c>
      <c r="B896">
        <v>1</v>
      </c>
      <c r="C896">
        <v>4</v>
      </c>
      <c r="D896" t="s">
        <v>289</v>
      </c>
      <c r="E896" t="s">
        <v>34</v>
      </c>
      <c r="F896">
        <v>369308</v>
      </c>
      <c r="G896">
        <v>0</v>
      </c>
      <c r="H896" t="s">
        <v>516</v>
      </c>
      <c r="I896">
        <v>10684853</v>
      </c>
      <c r="J896">
        <v>4</v>
      </c>
      <c r="K896">
        <v>31</v>
      </c>
      <c r="L896">
        <v>31</v>
      </c>
      <c r="M896">
        <v>1570</v>
      </c>
      <c r="N896" s="2">
        <v>34560</v>
      </c>
      <c r="O896" s="2">
        <v>0</v>
      </c>
      <c r="P896" s="2">
        <v>480</v>
      </c>
      <c r="Q896" s="2">
        <v>6280</v>
      </c>
      <c r="R896" s="2">
        <v>5760</v>
      </c>
      <c r="S896">
        <v>178.56</v>
      </c>
      <c r="T896" s="2">
        <v>21840</v>
      </c>
      <c r="U896" s="2">
        <v>12720</v>
      </c>
      <c r="V896">
        <v>194.68</v>
      </c>
      <c r="W896">
        <v>0</v>
      </c>
      <c r="X896">
        <v>0</v>
      </c>
      <c r="Y896">
        <v>0</v>
      </c>
      <c r="Z896">
        <v>3.6</v>
      </c>
      <c r="AA896">
        <v>1.8491884117526197E-2</v>
      </c>
      <c r="AB896">
        <v>26.4</v>
      </c>
      <c r="AC896">
        <v>11.513333333333334</v>
      </c>
      <c r="AD896">
        <v>28.4</v>
      </c>
      <c r="AI89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0.48666666666666636</v>
      </c>
      <c r="AK896" t="s">
        <v>540</v>
      </c>
      <c r="AL896">
        <v>0</v>
      </c>
      <c r="AN896">
        <f>INT(Table1[[#This Row],[reject_prod]]/Table1[[#This Row],[part_weight]] * 1000)</f>
        <v>116</v>
      </c>
    </row>
    <row r="897" spans="1:40">
      <c r="A897" s="1">
        <v>46050</v>
      </c>
      <c r="B897">
        <v>1</v>
      </c>
      <c r="C897">
        <v>5</v>
      </c>
      <c r="D897" t="s">
        <v>506</v>
      </c>
      <c r="E897" t="s">
        <v>34</v>
      </c>
      <c r="F897">
        <v>322389</v>
      </c>
      <c r="G897">
        <v>0</v>
      </c>
      <c r="H897" t="s">
        <v>542</v>
      </c>
      <c r="I897">
        <v>10684749</v>
      </c>
      <c r="J897">
        <v>4</v>
      </c>
      <c r="K897">
        <v>12.5</v>
      </c>
      <c r="L897">
        <v>12.5</v>
      </c>
      <c r="M897">
        <v>2025</v>
      </c>
      <c r="N897" s="2">
        <v>46800</v>
      </c>
      <c r="O897" s="2">
        <v>500</v>
      </c>
      <c r="P897" s="2">
        <v>8580</v>
      </c>
      <c r="Q897" s="2">
        <v>8100</v>
      </c>
      <c r="R897" s="2">
        <v>0</v>
      </c>
      <c r="S897">
        <v>0</v>
      </c>
      <c r="T897" s="2">
        <v>17940</v>
      </c>
      <c r="U897" s="2">
        <v>28860</v>
      </c>
      <c r="V897">
        <v>101.25</v>
      </c>
      <c r="W897">
        <v>0</v>
      </c>
      <c r="X897">
        <v>0</v>
      </c>
      <c r="Y897">
        <v>0</v>
      </c>
      <c r="Z897">
        <v>1</v>
      </c>
      <c r="AA897">
        <v>9.876543209876543E-3</v>
      </c>
      <c r="AB897">
        <v>20.399999999999999</v>
      </c>
      <c r="AC897">
        <v>11.475</v>
      </c>
      <c r="AD897">
        <v>18.64</v>
      </c>
      <c r="AI89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0.52500000000000036</v>
      </c>
      <c r="AK897" t="s">
        <v>543</v>
      </c>
      <c r="AN897">
        <f>INT(Table1[[#This Row],[reject_prod]]/Table1[[#This Row],[part_weight]] * 1000)</f>
        <v>80</v>
      </c>
    </row>
    <row r="898" spans="1:40">
      <c r="A898" s="1">
        <v>46050</v>
      </c>
      <c r="B898">
        <v>1</v>
      </c>
      <c r="C898">
        <v>6</v>
      </c>
      <c r="D898" t="s">
        <v>552</v>
      </c>
      <c r="E898" t="s">
        <v>34</v>
      </c>
      <c r="F898">
        <v>322412</v>
      </c>
      <c r="G898">
        <v>0</v>
      </c>
      <c r="H898" t="s">
        <v>487</v>
      </c>
      <c r="I898">
        <v>10685212</v>
      </c>
      <c r="J898">
        <v>4</v>
      </c>
      <c r="K898">
        <v>24.3</v>
      </c>
      <c r="L898">
        <v>24</v>
      </c>
      <c r="M898">
        <v>765</v>
      </c>
      <c r="N898" s="2">
        <v>40600</v>
      </c>
      <c r="O898" s="2">
        <v>0</v>
      </c>
      <c r="P898" s="2">
        <v>0</v>
      </c>
      <c r="Q898" s="2">
        <v>3060</v>
      </c>
      <c r="R898" s="2">
        <v>3045</v>
      </c>
      <c r="S898">
        <v>73.08</v>
      </c>
      <c r="T898" s="2">
        <v>40600</v>
      </c>
      <c r="U898" s="2">
        <v>0</v>
      </c>
      <c r="V898">
        <v>73.44</v>
      </c>
      <c r="W898">
        <v>0.91800000000000215</v>
      </c>
      <c r="X898">
        <v>0</v>
      </c>
      <c r="Y898">
        <v>0</v>
      </c>
      <c r="Z898">
        <v>1.2</v>
      </c>
      <c r="AA898">
        <v>1.6339869281045753E-2</v>
      </c>
      <c r="AB898">
        <v>23.6</v>
      </c>
      <c r="AC898">
        <v>5.0150000000000006</v>
      </c>
      <c r="AD898">
        <v>20</v>
      </c>
      <c r="AI89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6.9849999999999994</v>
      </c>
      <c r="AK898" t="s">
        <v>102</v>
      </c>
      <c r="AL898">
        <v>4</v>
      </c>
      <c r="AM898">
        <v>3</v>
      </c>
      <c r="AN898">
        <f>INT(Table1[[#This Row],[reject_prod]]/Table1[[#This Row],[part_weight]] * 1000)</f>
        <v>50</v>
      </c>
    </row>
    <row r="899" spans="1:40">
      <c r="A899" s="1">
        <v>46050</v>
      </c>
      <c r="B899">
        <v>1</v>
      </c>
      <c r="C899">
        <v>6</v>
      </c>
      <c r="D899" t="s">
        <v>552</v>
      </c>
      <c r="E899" t="s">
        <v>34</v>
      </c>
      <c r="F899">
        <v>324174</v>
      </c>
      <c r="G899">
        <v>0</v>
      </c>
      <c r="H899" t="s">
        <v>558</v>
      </c>
      <c r="I899">
        <v>10683856</v>
      </c>
      <c r="J899">
        <v>4</v>
      </c>
      <c r="K899">
        <v>24</v>
      </c>
      <c r="L899">
        <v>24</v>
      </c>
      <c r="M899">
        <v>1015</v>
      </c>
      <c r="N899" s="2">
        <v>40600</v>
      </c>
      <c r="O899" s="2">
        <v>0</v>
      </c>
      <c r="P899" s="2">
        <v>0</v>
      </c>
      <c r="Q899" s="2">
        <v>4060</v>
      </c>
      <c r="R899" s="2">
        <v>4060</v>
      </c>
      <c r="S899">
        <v>97.44</v>
      </c>
      <c r="T899" s="2">
        <v>4060</v>
      </c>
      <c r="U899" s="2">
        <v>36540</v>
      </c>
      <c r="V899">
        <v>97.44</v>
      </c>
      <c r="W899">
        <v>0</v>
      </c>
      <c r="X899">
        <v>2</v>
      </c>
      <c r="Y899">
        <v>2.0525451559934318E-2</v>
      </c>
      <c r="Z899">
        <v>0</v>
      </c>
      <c r="AA899">
        <v>0</v>
      </c>
      <c r="AB899">
        <v>21.33</v>
      </c>
      <c r="AC899">
        <v>6.0138749999999996</v>
      </c>
      <c r="AD899">
        <v>20.12</v>
      </c>
      <c r="AG899">
        <v>1</v>
      </c>
      <c r="AI89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4.9861250000000004</v>
      </c>
      <c r="AK899" t="s">
        <v>214</v>
      </c>
      <c r="AN899">
        <f>INT(Table1[[#This Row],[reject_prod]]/Table1[[#This Row],[part_weight]] * 1000)</f>
        <v>0</v>
      </c>
    </row>
    <row r="900" spans="1:40">
      <c r="A900" s="1">
        <v>46050</v>
      </c>
      <c r="B900">
        <v>1</v>
      </c>
      <c r="C900">
        <v>7</v>
      </c>
      <c r="D900" t="s">
        <v>54</v>
      </c>
      <c r="E900" t="s">
        <v>34</v>
      </c>
      <c r="F900">
        <v>322471</v>
      </c>
      <c r="G900">
        <v>0</v>
      </c>
      <c r="H900" t="s">
        <v>520</v>
      </c>
      <c r="I900">
        <v>10684032</v>
      </c>
      <c r="J900">
        <v>4</v>
      </c>
      <c r="K900">
        <v>34.5</v>
      </c>
      <c r="L900">
        <v>34.5</v>
      </c>
      <c r="M900">
        <v>1650</v>
      </c>
      <c r="N900" s="2">
        <v>44352</v>
      </c>
      <c r="O900" s="2">
        <v>0</v>
      </c>
      <c r="P900" s="2">
        <v>0</v>
      </c>
      <c r="Q900" s="2">
        <v>6600</v>
      </c>
      <c r="R900" s="2">
        <v>6468</v>
      </c>
      <c r="S900">
        <v>223.14599999999999</v>
      </c>
      <c r="T900" s="2">
        <v>26796</v>
      </c>
      <c r="U900" s="2">
        <v>17556</v>
      </c>
      <c r="V900">
        <v>227.7</v>
      </c>
      <c r="W900">
        <v>0</v>
      </c>
      <c r="X900">
        <v>0</v>
      </c>
      <c r="Y900">
        <v>0</v>
      </c>
      <c r="Z900">
        <v>13</v>
      </c>
      <c r="AA900">
        <v>5.7092665788317967E-2</v>
      </c>
      <c r="AB900">
        <v>22.96</v>
      </c>
      <c r="AC900">
        <v>10.523333333333333</v>
      </c>
      <c r="AD900">
        <v>16.2</v>
      </c>
      <c r="AI90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1.4766666666666666</v>
      </c>
      <c r="AK900" t="s">
        <v>549</v>
      </c>
      <c r="AL900">
        <v>3</v>
      </c>
      <c r="AM900">
        <v>4</v>
      </c>
      <c r="AN900">
        <f>INT(Table1[[#This Row],[reject_prod]]/Table1[[#This Row],[part_weight]] * 1000)</f>
        <v>376</v>
      </c>
    </row>
    <row r="901" spans="1:40">
      <c r="A901" s="1">
        <v>46050</v>
      </c>
      <c r="B901">
        <v>1</v>
      </c>
      <c r="C901">
        <v>8</v>
      </c>
      <c r="D901" t="s">
        <v>56</v>
      </c>
      <c r="E901" t="s">
        <v>41</v>
      </c>
      <c r="F901">
        <v>593537</v>
      </c>
      <c r="G901">
        <v>0</v>
      </c>
      <c r="H901" t="s">
        <v>48</v>
      </c>
      <c r="I901">
        <v>10685337</v>
      </c>
      <c r="J901">
        <v>4</v>
      </c>
      <c r="K901">
        <v>56.5</v>
      </c>
      <c r="L901">
        <v>56.8</v>
      </c>
      <c r="M901">
        <v>1466</v>
      </c>
      <c r="N901" s="2">
        <v>69000</v>
      </c>
      <c r="O901" s="2">
        <v>230</v>
      </c>
      <c r="P901" s="2">
        <v>345</v>
      </c>
      <c r="Q901" s="2">
        <v>5864</v>
      </c>
      <c r="R901" s="2">
        <v>5750</v>
      </c>
      <c r="S901">
        <v>326.60000000000002</v>
      </c>
      <c r="T901" s="2">
        <v>29095</v>
      </c>
      <c r="U901" s="2">
        <v>39905</v>
      </c>
      <c r="V901">
        <v>333.0752</v>
      </c>
      <c r="W901">
        <v>-1.7591999999999834</v>
      </c>
      <c r="X901">
        <v>0</v>
      </c>
      <c r="Y901">
        <v>0</v>
      </c>
      <c r="Z901">
        <v>2.5</v>
      </c>
      <c r="AA901">
        <v>7.5058125012009303E-3</v>
      </c>
      <c r="AB901">
        <v>29.4</v>
      </c>
      <c r="AC901">
        <v>11.972333333333331</v>
      </c>
      <c r="AD901">
        <v>28.5</v>
      </c>
      <c r="AI90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2.7666666666668505E-2</v>
      </c>
      <c r="AK901" t="s">
        <v>51</v>
      </c>
      <c r="AN901">
        <f>INT(Table1[[#This Row],[reject_prod]]/Table1[[#This Row],[part_weight]] * 1000)</f>
        <v>44</v>
      </c>
    </row>
    <row r="902" spans="1:40">
      <c r="A902" s="1">
        <v>46050</v>
      </c>
      <c r="B902">
        <v>1</v>
      </c>
      <c r="C902">
        <v>9</v>
      </c>
      <c r="D902" t="s">
        <v>139</v>
      </c>
      <c r="E902" t="s">
        <v>46</v>
      </c>
      <c r="F902">
        <v>586276</v>
      </c>
      <c r="G902">
        <v>0</v>
      </c>
      <c r="H902" t="s">
        <v>47</v>
      </c>
      <c r="I902">
        <v>10682924</v>
      </c>
      <c r="J902">
        <v>6</v>
      </c>
      <c r="K902">
        <v>12.3</v>
      </c>
      <c r="L902">
        <v>12.3</v>
      </c>
      <c r="M902">
        <v>340</v>
      </c>
      <c r="N902" s="2">
        <v>2025</v>
      </c>
      <c r="O902" s="2">
        <v>0</v>
      </c>
      <c r="P902" s="2">
        <v>0</v>
      </c>
      <c r="Q902" s="2">
        <v>2040</v>
      </c>
      <c r="R902" s="2">
        <v>2025</v>
      </c>
      <c r="S902">
        <v>24.907499999999999</v>
      </c>
      <c r="T902" s="2">
        <v>2025</v>
      </c>
      <c r="U902" s="2">
        <v>0</v>
      </c>
      <c r="V902">
        <v>25.091999999999999</v>
      </c>
      <c r="W902">
        <v>0</v>
      </c>
      <c r="X902">
        <v>6</v>
      </c>
      <c r="Y902">
        <v>0.23912003825920614</v>
      </c>
      <c r="Z902">
        <v>0</v>
      </c>
      <c r="AA902">
        <v>0</v>
      </c>
      <c r="AB902">
        <v>26</v>
      </c>
      <c r="AC902">
        <v>2.4555555555555553</v>
      </c>
      <c r="AD902">
        <v>26</v>
      </c>
      <c r="AI90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9.5444444444444443</v>
      </c>
      <c r="AK902" t="s">
        <v>559</v>
      </c>
      <c r="AL902">
        <v>2</v>
      </c>
      <c r="AM902">
        <v>1</v>
      </c>
      <c r="AN902">
        <f>INT(Table1[[#This Row],[reject_prod]]/Table1[[#This Row],[part_weight]] * 1000)</f>
        <v>0</v>
      </c>
    </row>
    <row r="903" spans="1:40">
      <c r="A903" s="1">
        <v>46050</v>
      </c>
      <c r="B903">
        <v>1</v>
      </c>
      <c r="C903">
        <v>10</v>
      </c>
      <c r="D903" t="s">
        <v>84</v>
      </c>
      <c r="E903" t="s">
        <v>34</v>
      </c>
      <c r="F903">
        <v>441778</v>
      </c>
      <c r="G903">
        <v>0</v>
      </c>
      <c r="H903" t="s">
        <v>531</v>
      </c>
      <c r="I903">
        <v>10684860</v>
      </c>
      <c r="J903">
        <v>4</v>
      </c>
      <c r="K903">
        <v>77</v>
      </c>
      <c r="L903">
        <v>77</v>
      </c>
      <c r="M903">
        <v>1050</v>
      </c>
      <c r="N903" s="2">
        <v>11868</v>
      </c>
      <c r="O903" s="2">
        <v>0</v>
      </c>
      <c r="P903" s="2">
        <v>0</v>
      </c>
      <c r="Q903" s="2">
        <v>4200</v>
      </c>
      <c r="R903" s="2">
        <v>4140</v>
      </c>
      <c r="S903">
        <v>318.77999999999997</v>
      </c>
      <c r="T903" s="2">
        <v>9660</v>
      </c>
      <c r="U903" s="2">
        <v>2208</v>
      </c>
      <c r="V903">
        <v>323.39999999999998</v>
      </c>
      <c r="W903">
        <v>0</v>
      </c>
      <c r="X903">
        <v>0</v>
      </c>
      <c r="Y903">
        <v>0</v>
      </c>
      <c r="Z903">
        <v>14.8</v>
      </c>
      <c r="AA903">
        <v>4.5763760049474342E-2</v>
      </c>
      <c r="AB903">
        <v>36.799999999999997</v>
      </c>
      <c r="AC903">
        <v>10.733333333333333</v>
      </c>
      <c r="AD903">
        <v>35</v>
      </c>
      <c r="AI90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1.2666666666666675</v>
      </c>
      <c r="AK903" t="s">
        <v>560</v>
      </c>
      <c r="AL903">
        <v>5</v>
      </c>
      <c r="AM903">
        <v>13</v>
      </c>
      <c r="AN903">
        <f>INT(Table1[[#This Row],[reject_prod]]/Table1[[#This Row],[part_weight]] * 1000)</f>
        <v>192</v>
      </c>
    </row>
    <row r="904" spans="1:40">
      <c r="A904" s="1">
        <v>46050</v>
      </c>
      <c r="B904">
        <v>1</v>
      </c>
      <c r="C904">
        <v>11</v>
      </c>
      <c r="D904" t="s">
        <v>59</v>
      </c>
      <c r="E904" t="s">
        <v>46</v>
      </c>
      <c r="F904">
        <v>552181</v>
      </c>
      <c r="G904">
        <v>1</v>
      </c>
      <c r="H904" t="s">
        <v>49</v>
      </c>
      <c r="I904">
        <v>10685338</v>
      </c>
      <c r="J904">
        <v>6</v>
      </c>
      <c r="K904">
        <v>18.8</v>
      </c>
      <c r="L904">
        <v>18.8</v>
      </c>
      <c r="M904">
        <v>1460</v>
      </c>
      <c r="N904" s="2">
        <v>108000</v>
      </c>
      <c r="O904" s="2">
        <v>3240</v>
      </c>
      <c r="P904" s="2">
        <v>1080</v>
      </c>
      <c r="Q904" s="2">
        <v>8760</v>
      </c>
      <c r="R904" s="2">
        <v>10800</v>
      </c>
      <c r="S904">
        <v>203.04</v>
      </c>
      <c r="T904" s="2">
        <v>17280</v>
      </c>
      <c r="U904" s="2">
        <v>90720</v>
      </c>
      <c r="V904">
        <v>164.68799999999999</v>
      </c>
      <c r="W904">
        <v>0</v>
      </c>
      <c r="X904">
        <v>0</v>
      </c>
      <c r="Y904">
        <v>0</v>
      </c>
      <c r="Z904">
        <v>1.2</v>
      </c>
      <c r="AA904">
        <v>7.2865053920139903E-3</v>
      </c>
      <c r="AB904">
        <v>28.7</v>
      </c>
      <c r="AC904">
        <v>11.639444444444445</v>
      </c>
      <c r="AD904">
        <v>27</v>
      </c>
      <c r="AI90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0.36055555555555507</v>
      </c>
      <c r="AK904" t="s">
        <v>561</v>
      </c>
      <c r="AN904">
        <f>INT(Table1[[#This Row],[reject_prod]]/Table1[[#This Row],[part_weight]] * 1000)</f>
        <v>63</v>
      </c>
    </row>
    <row r="905" spans="1:40">
      <c r="A905" s="1">
        <v>46050</v>
      </c>
      <c r="B905">
        <v>1</v>
      </c>
      <c r="C905">
        <v>12</v>
      </c>
      <c r="D905" t="s">
        <v>53</v>
      </c>
      <c r="E905" t="s">
        <v>34</v>
      </c>
      <c r="F905">
        <v>620599</v>
      </c>
      <c r="G905">
        <v>0</v>
      </c>
      <c r="H905" t="s">
        <v>50</v>
      </c>
      <c r="I905">
        <v>10684839</v>
      </c>
      <c r="J905">
        <v>4</v>
      </c>
      <c r="K905">
        <v>55</v>
      </c>
      <c r="L905">
        <v>55</v>
      </c>
      <c r="M905">
        <v>1465</v>
      </c>
      <c r="N905" s="2">
        <v>72000</v>
      </c>
      <c r="O905" s="2">
        <v>450</v>
      </c>
      <c r="P905" s="2">
        <v>900</v>
      </c>
      <c r="Q905" s="2">
        <v>5860</v>
      </c>
      <c r="R905" s="2">
        <v>5400</v>
      </c>
      <c r="S905">
        <v>297</v>
      </c>
      <c r="T905" s="2">
        <v>71100</v>
      </c>
      <c r="U905" s="2">
        <v>900</v>
      </c>
      <c r="V905">
        <v>322.3</v>
      </c>
      <c r="W905">
        <v>0</v>
      </c>
      <c r="X905">
        <v>0</v>
      </c>
      <c r="Y905">
        <v>0</v>
      </c>
      <c r="Z905">
        <v>12.2</v>
      </c>
      <c r="AA905">
        <v>3.7852932050884268E-2</v>
      </c>
      <c r="AB905">
        <v>28.8</v>
      </c>
      <c r="AC905">
        <v>11.72</v>
      </c>
      <c r="AD905">
        <v>28</v>
      </c>
      <c r="AI90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0.27999999999999936</v>
      </c>
      <c r="AK905" t="s">
        <v>230</v>
      </c>
      <c r="AN905">
        <f>INT(Table1[[#This Row],[reject_prod]]/Table1[[#This Row],[part_weight]] * 1000)</f>
        <v>221</v>
      </c>
    </row>
    <row r="906" spans="1:40">
      <c r="A906" s="1">
        <v>46050</v>
      </c>
      <c r="B906">
        <v>1</v>
      </c>
      <c r="C906">
        <v>13</v>
      </c>
      <c r="D906" t="s">
        <v>59</v>
      </c>
      <c r="E906" t="s">
        <v>46</v>
      </c>
      <c r="F906">
        <v>586276</v>
      </c>
      <c r="G906">
        <v>0</v>
      </c>
      <c r="H906" t="s">
        <v>47</v>
      </c>
      <c r="I906">
        <v>10684862</v>
      </c>
      <c r="J906">
        <v>6</v>
      </c>
      <c r="K906">
        <v>12.3</v>
      </c>
      <c r="L906">
        <v>12.3</v>
      </c>
      <c r="M906">
        <v>1660</v>
      </c>
      <c r="N906" s="2">
        <v>162000</v>
      </c>
      <c r="O906" s="2">
        <v>6075</v>
      </c>
      <c r="P906" s="2">
        <v>0</v>
      </c>
      <c r="Q906" s="2">
        <v>9960</v>
      </c>
      <c r="R906" s="2">
        <v>16200</v>
      </c>
      <c r="S906">
        <v>199.26</v>
      </c>
      <c r="T906" s="2">
        <v>113400</v>
      </c>
      <c r="U906" s="2">
        <v>48600</v>
      </c>
      <c r="V906">
        <v>122.508</v>
      </c>
      <c r="W906">
        <v>0</v>
      </c>
      <c r="X906">
        <v>0</v>
      </c>
      <c r="Y906">
        <v>0</v>
      </c>
      <c r="Z906">
        <v>1</v>
      </c>
      <c r="AA906">
        <v>8.1627322297319355E-3</v>
      </c>
      <c r="AB906">
        <v>26.2</v>
      </c>
      <c r="AC906">
        <v>12</v>
      </c>
      <c r="AD906">
        <v>26</v>
      </c>
      <c r="AI90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906" t="s">
        <v>51</v>
      </c>
      <c r="AN906">
        <f>INT(Table1[[#This Row],[reject_prod]]/Table1[[#This Row],[part_weight]] * 1000)</f>
        <v>81</v>
      </c>
    </row>
    <row r="907" spans="1:40">
      <c r="A907" s="1">
        <v>46050</v>
      </c>
      <c r="B907">
        <v>1</v>
      </c>
      <c r="C907">
        <v>14</v>
      </c>
      <c r="D907" t="s">
        <v>33</v>
      </c>
      <c r="E907" t="s">
        <v>46</v>
      </c>
      <c r="F907">
        <v>555979</v>
      </c>
      <c r="G907">
        <v>1</v>
      </c>
      <c r="H907" t="s">
        <v>52</v>
      </c>
      <c r="I907">
        <v>10683785</v>
      </c>
      <c r="J907">
        <v>6</v>
      </c>
      <c r="K907">
        <v>28</v>
      </c>
      <c r="L907">
        <v>28</v>
      </c>
      <c r="M907">
        <v>0</v>
      </c>
      <c r="N907" s="2">
        <v>100800</v>
      </c>
      <c r="O907" s="2">
        <v>0</v>
      </c>
      <c r="P907" s="2">
        <v>0</v>
      </c>
      <c r="Q907" s="2">
        <v>0</v>
      </c>
      <c r="R907" s="2">
        <v>0</v>
      </c>
      <c r="S907">
        <v>0</v>
      </c>
      <c r="T907" s="2">
        <v>0</v>
      </c>
      <c r="U907" s="2">
        <v>100800</v>
      </c>
      <c r="V907">
        <v>0</v>
      </c>
      <c r="W907">
        <v>0</v>
      </c>
      <c r="X907">
        <v>0</v>
      </c>
      <c r="Y907" t="e">
        <v>#DIV/0!</v>
      </c>
      <c r="Z907">
        <v>0</v>
      </c>
      <c r="AA907" t="e">
        <v>#DIV/0!</v>
      </c>
      <c r="AB907">
        <v>43.4</v>
      </c>
      <c r="AC907">
        <v>0</v>
      </c>
      <c r="AD907">
        <v>42</v>
      </c>
      <c r="AI90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907" t="s">
        <v>481</v>
      </c>
      <c r="AL907">
        <v>3</v>
      </c>
      <c r="AM907">
        <v>2</v>
      </c>
      <c r="AN907">
        <f>INT(Table1[[#This Row],[reject_prod]]/Table1[[#This Row],[part_weight]] * 1000)</f>
        <v>0</v>
      </c>
    </row>
    <row r="908" spans="1:40">
      <c r="A908" s="1">
        <v>46050</v>
      </c>
      <c r="B908">
        <v>1</v>
      </c>
      <c r="C908">
        <v>15</v>
      </c>
      <c r="D908" t="s">
        <v>59</v>
      </c>
      <c r="E908" t="s">
        <v>46</v>
      </c>
      <c r="F908">
        <v>552181</v>
      </c>
      <c r="G908">
        <v>2</v>
      </c>
      <c r="H908" t="s">
        <v>49</v>
      </c>
      <c r="I908">
        <v>10683787</v>
      </c>
      <c r="J908">
        <v>6</v>
      </c>
      <c r="K908">
        <v>18.8</v>
      </c>
      <c r="L908">
        <v>18.8</v>
      </c>
      <c r="M908">
        <v>1320</v>
      </c>
      <c r="N908" s="2">
        <v>108000</v>
      </c>
      <c r="O908" s="2">
        <v>0</v>
      </c>
      <c r="P908" s="2">
        <v>7830</v>
      </c>
      <c r="Q908" s="2">
        <v>7920</v>
      </c>
      <c r="R908" s="2">
        <v>0</v>
      </c>
      <c r="S908">
        <v>0</v>
      </c>
      <c r="T908" s="2">
        <v>105030</v>
      </c>
      <c r="U908" s="2">
        <v>2970</v>
      </c>
      <c r="V908">
        <v>148.89599999999999</v>
      </c>
      <c r="W908">
        <v>0</v>
      </c>
      <c r="X908">
        <v>0</v>
      </c>
      <c r="Y908">
        <v>0</v>
      </c>
      <c r="Z908">
        <v>1</v>
      </c>
      <c r="AA908">
        <v>6.7160971416290573E-3</v>
      </c>
      <c r="AB908">
        <v>31.3</v>
      </c>
      <c r="AC908">
        <v>11.476666666666667</v>
      </c>
      <c r="AD908">
        <v>27</v>
      </c>
      <c r="AI90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0.52333333333333343</v>
      </c>
      <c r="AK908" t="s">
        <v>562</v>
      </c>
      <c r="AN908">
        <f>INT(Table1[[#This Row],[reject_prod]]/Table1[[#This Row],[part_weight]] * 1000)</f>
        <v>53</v>
      </c>
    </row>
    <row r="909" spans="1:40" s="4" customFormat="1">
      <c r="A909" s="3">
        <v>46050</v>
      </c>
      <c r="B909" s="4">
        <v>1</v>
      </c>
      <c r="C909" s="4">
        <v>16</v>
      </c>
      <c r="D909" s="4" t="s">
        <v>553</v>
      </c>
      <c r="E909" s="4" t="s">
        <v>46</v>
      </c>
      <c r="F909" s="4">
        <v>555979</v>
      </c>
      <c r="G909" s="4">
        <v>2</v>
      </c>
      <c r="H909" s="4" t="s">
        <v>52</v>
      </c>
      <c r="I909" s="4">
        <v>10684863</v>
      </c>
      <c r="J909" s="4">
        <v>6</v>
      </c>
      <c r="K909" s="4">
        <v>28</v>
      </c>
      <c r="L909" s="4">
        <v>28</v>
      </c>
      <c r="M909" s="4">
        <v>952</v>
      </c>
      <c r="N909" s="5">
        <v>100800</v>
      </c>
      <c r="O909" s="5">
        <v>4536</v>
      </c>
      <c r="P909" s="5">
        <v>168</v>
      </c>
      <c r="Q909" s="5">
        <v>5712</v>
      </c>
      <c r="R909" s="5">
        <v>10080</v>
      </c>
      <c r="S909" s="4">
        <v>282.24</v>
      </c>
      <c r="T909" s="5">
        <v>53928</v>
      </c>
      <c r="U909" s="5">
        <v>46872</v>
      </c>
      <c r="V909" s="4">
        <v>159.93600000000001</v>
      </c>
      <c r="W909" s="4">
        <v>0</v>
      </c>
      <c r="X909" s="4">
        <v>0</v>
      </c>
      <c r="Y909" s="4">
        <v>0</v>
      </c>
      <c r="Z909" s="4">
        <v>1</v>
      </c>
      <c r="AA909" s="4">
        <v>6.2525010004001597E-3</v>
      </c>
      <c r="AB909" s="4">
        <v>43.4</v>
      </c>
      <c r="AC909" s="4">
        <v>11.476888888888888</v>
      </c>
      <c r="AD909" s="4">
        <v>42</v>
      </c>
      <c r="AI90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0.52311111111111153</v>
      </c>
      <c r="AK909" s="4" t="s">
        <v>51</v>
      </c>
      <c r="AN909" s="4">
        <f>INT(Table1[[#This Row],[reject_prod]]/Table1[[#This Row],[part_weight]] * 1000)</f>
        <v>35</v>
      </c>
    </row>
    <row r="910" spans="1:40">
      <c r="A910" s="1">
        <v>46050</v>
      </c>
      <c r="B910">
        <v>2</v>
      </c>
      <c r="C910">
        <v>1</v>
      </c>
      <c r="D910" t="s">
        <v>141</v>
      </c>
      <c r="E910" t="s">
        <v>34</v>
      </c>
      <c r="F910">
        <v>577492</v>
      </c>
      <c r="G910">
        <v>0</v>
      </c>
      <c r="H910" t="s">
        <v>341</v>
      </c>
      <c r="I910">
        <v>10686027</v>
      </c>
      <c r="J910">
        <v>4</v>
      </c>
      <c r="K910">
        <v>35.6</v>
      </c>
      <c r="L910">
        <v>35.6</v>
      </c>
      <c r="M910">
        <v>1579</v>
      </c>
      <c r="N910" s="2">
        <v>20240</v>
      </c>
      <c r="O910" s="2">
        <v>368</v>
      </c>
      <c r="P910" s="2">
        <v>1104</v>
      </c>
      <c r="Q910" s="2">
        <v>6316</v>
      </c>
      <c r="R910" s="2">
        <v>5520</v>
      </c>
      <c r="S910">
        <v>196.512</v>
      </c>
      <c r="T910" s="2">
        <v>6624</v>
      </c>
      <c r="U910" s="2">
        <v>13616</v>
      </c>
      <c r="V910">
        <v>224.84960000000001</v>
      </c>
      <c r="W910">
        <v>0</v>
      </c>
      <c r="X910">
        <v>0</v>
      </c>
      <c r="Y910">
        <v>0</v>
      </c>
      <c r="Z910">
        <v>2.2000000000000002</v>
      </c>
      <c r="AA910">
        <v>9.7843180508215277E-3</v>
      </c>
      <c r="AB910">
        <v>26.8</v>
      </c>
      <c r="AC910">
        <v>11.754777777777777</v>
      </c>
      <c r="AD910">
        <v>27</v>
      </c>
      <c r="AI91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0.2452222222222229</v>
      </c>
      <c r="AK910" t="s">
        <v>51</v>
      </c>
      <c r="AN910">
        <f>INT(Table1[[#This Row],[reject_prod]]/Table1[[#This Row],[part_weight]] * 1000)</f>
        <v>61</v>
      </c>
    </row>
    <row r="911" spans="1:40">
      <c r="A911" s="1">
        <v>46050</v>
      </c>
      <c r="B911">
        <v>2</v>
      </c>
      <c r="C911">
        <v>2</v>
      </c>
      <c r="D911" t="s">
        <v>33</v>
      </c>
      <c r="E911" t="s">
        <v>34</v>
      </c>
      <c r="F911">
        <v>416201</v>
      </c>
      <c r="G911">
        <v>0</v>
      </c>
      <c r="H911" t="s">
        <v>36</v>
      </c>
      <c r="I911">
        <v>10681779</v>
      </c>
      <c r="J911">
        <v>4</v>
      </c>
      <c r="K911">
        <v>20</v>
      </c>
      <c r="L911">
        <v>30</v>
      </c>
      <c r="M911">
        <v>0</v>
      </c>
      <c r="N911" s="2">
        <v>50400</v>
      </c>
      <c r="O911" s="2">
        <v>2940</v>
      </c>
      <c r="P911" s="2">
        <v>2940</v>
      </c>
      <c r="Q911" s="2">
        <v>0</v>
      </c>
      <c r="R911" s="2">
        <v>0</v>
      </c>
      <c r="S911">
        <v>0</v>
      </c>
      <c r="T911" s="2">
        <v>13020</v>
      </c>
      <c r="U911" s="2">
        <v>37380</v>
      </c>
      <c r="V911">
        <v>0</v>
      </c>
      <c r="W911">
        <v>0</v>
      </c>
      <c r="X911">
        <v>8.5</v>
      </c>
      <c r="Y911" t="e">
        <v>#DIV/0!</v>
      </c>
      <c r="Z911">
        <v>0</v>
      </c>
      <c r="AA911" t="e">
        <v>#DIV/0!</v>
      </c>
      <c r="AB911">
        <v>38</v>
      </c>
      <c r="AC911">
        <v>0</v>
      </c>
      <c r="AD911">
        <v>38.64</v>
      </c>
      <c r="AI91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911" t="s">
        <v>563</v>
      </c>
      <c r="AN911">
        <f>INT(Table1[[#This Row],[reject_prod]]/Table1[[#This Row],[part_weight]] * 1000)</f>
        <v>0</v>
      </c>
    </row>
    <row r="912" spans="1:40">
      <c r="A912" s="1">
        <v>46050</v>
      </c>
      <c r="B912">
        <v>2</v>
      </c>
      <c r="C912">
        <v>3</v>
      </c>
      <c r="D912" t="s">
        <v>554</v>
      </c>
      <c r="E912" t="s">
        <v>34</v>
      </c>
      <c r="F912">
        <v>442034</v>
      </c>
      <c r="G912">
        <v>0</v>
      </c>
      <c r="H912" t="s">
        <v>37</v>
      </c>
      <c r="I912">
        <v>10681184</v>
      </c>
      <c r="J912">
        <v>4</v>
      </c>
      <c r="K912">
        <v>23</v>
      </c>
      <c r="L912">
        <v>23</v>
      </c>
      <c r="M912">
        <v>1502</v>
      </c>
      <c r="N912" s="2">
        <v>139776</v>
      </c>
      <c r="O912" s="2">
        <v>3840</v>
      </c>
      <c r="P912" s="2">
        <v>0</v>
      </c>
      <c r="Q912" s="2">
        <v>6008</v>
      </c>
      <c r="R912" s="2">
        <v>9216</v>
      </c>
      <c r="S912">
        <v>211.96799999999999</v>
      </c>
      <c r="T912" s="2">
        <v>92160</v>
      </c>
      <c r="U912" s="2">
        <v>47616</v>
      </c>
      <c r="V912">
        <v>138.184</v>
      </c>
      <c r="W912">
        <v>0</v>
      </c>
      <c r="X912">
        <v>0</v>
      </c>
      <c r="Y912">
        <v>0</v>
      </c>
      <c r="Z912">
        <v>14.7</v>
      </c>
      <c r="AA912">
        <v>0.10637989926474845</v>
      </c>
      <c r="AB912">
        <v>26.5</v>
      </c>
      <c r="AC912">
        <v>11.056388888888888</v>
      </c>
      <c r="AD912">
        <v>22</v>
      </c>
      <c r="AI91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0.94361111111111207</v>
      </c>
      <c r="AK912" t="s">
        <v>564</v>
      </c>
      <c r="AN912">
        <f>INT(Table1[[#This Row],[reject_prod]]/Table1[[#This Row],[part_weight]] * 1000)</f>
        <v>639</v>
      </c>
    </row>
    <row r="913" spans="1:40">
      <c r="A913" s="1">
        <v>46050</v>
      </c>
      <c r="B913">
        <v>2</v>
      </c>
      <c r="C913">
        <v>4</v>
      </c>
      <c r="D913" t="s">
        <v>67</v>
      </c>
      <c r="E913" t="s">
        <v>34</v>
      </c>
      <c r="F913">
        <v>369308</v>
      </c>
      <c r="G913">
        <v>0</v>
      </c>
      <c r="H913" t="s">
        <v>516</v>
      </c>
      <c r="I913">
        <v>10684853</v>
      </c>
      <c r="J913">
        <v>4</v>
      </c>
      <c r="K913">
        <v>31</v>
      </c>
      <c r="L913">
        <v>31</v>
      </c>
      <c r="M913">
        <v>1530</v>
      </c>
      <c r="N913" s="2">
        <v>34560</v>
      </c>
      <c r="O913" s="2">
        <v>480</v>
      </c>
      <c r="P913" s="2">
        <v>720</v>
      </c>
      <c r="Q913" s="2">
        <v>6120</v>
      </c>
      <c r="R913" s="2">
        <v>5760</v>
      </c>
      <c r="S913">
        <v>178.56</v>
      </c>
      <c r="T913" s="2">
        <v>28080</v>
      </c>
      <c r="U913" s="2">
        <v>6480</v>
      </c>
      <c r="V913">
        <v>189.72</v>
      </c>
      <c r="W913">
        <v>0</v>
      </c>
      <c r="X913">
        <v>0</v>
      </c>
      <c r="Y913">
        <v>0</v>
      </c>
      <c r="Z913">
        <v>3.7</v>
      </c>
      <c r="AA913">
        <v>1.9502424625764285E-2</v>
      </c>
      <c r="AB913">
        <v>27.5</v>
      </c>
      <c r="AC913">
        <v>11.6875</v>
      </c>
      <c r="AD913">
        <v>28.4</v>
      </c>
      <c r="AI91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0.3125</v>
      </c>
      <c r="AK913" t="s">
        <v>565</v>
      </c>
      <c r="AN913">
        <f>INT(Table1[[#This Row],[reject_prod]]/Table1[[#This Row],[part_weight]] * 1000)</f>
        <v>119</v>
      </c>
    </row>
    <row r="914" spans="1:40">
      <c r="A914" s="1">
        <v>46050</v>
      </c>
      <c r="B914">
        <v>2</v>
      </c>
      <c r="C914">
        <v>5</v>
      </c>
      <c r="D914" t="s">
        <v>127</v>
      </c>
      <c r="E914" t="s">
        <v>34</v>
      </c>
      <c r="F914">
        <v>322389</v>
      </c>
      <c r="G914">
        <v>0</v>
      </c>
      <c r="H914" t="s">
        <v>542</v>
      </c>
      <c r="I914">
        <v>10684749</v>
      </c>
      <c r="J914">
        <v>4</v>
      </c>
      <c r="K914">
        <v>12.5</v>
      </c>
      <c r="L914">
        <v>12.5</v>
      </c>
      <c r="M914">
        <v>1903</v>
      </c>
      <c r="N914" s="2">
        <v>46800</v>
      </c>
      <c r="O914" s="2">
        <v>8580</v>
      </c>
      <c r="P914" s="2">
        <v>6240</v>
      </c>
      <c r="Q914" s="2">
        <v>7612</v>
      </c>
      <c r="R914" s="2">
        <v>9360</v>
      </c>
      <c r="S914">
        <v>117</v>
      </c>
      <c r="T914" s="2">
        <v>24960</v>
      </c>
      <c r="U914" s="2">
        <v>21840</v>
      </c>
      <c r="V914">
        <v>95.15</v>
      </c>
      <c r="W914">
        <v>0</v>
      </c>
      <c r="X914">
        <v>0</v>
      </c>
      <c r="Y914">
        <v>0</v>
      </c>
      <c r="Z914">
        <v>7.7</v>
      </c>
      <c r="AA914">
        <v>8.0924855491329481E-2</v>
      </c>
      <c r="AB914">
        <v>20.3</v>
      </c>
      <c r="AC914">
        <v>10.730805555555557</v>
      </c>
      <c r="AD914">
        <v>18.64</v>
      </c>
      <c r="AI91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1.2691944444444427</v>
      </c>
      <c r="AK914" t="s">
        <v>566</v>
      </c>
      <c r="AN914">
        <f>INT(Table1[[#This Row],[reject_prod]]/Table1[[#This Row],[part_weight]] * 1000)</f>
        <v>616</v>
      </c>
    </row>
    <row r="915" spans="1:40">
      <c r="A915" s="1">
        <v>46050</v>
      </c>
      <c r="B915">
        <v>2</v>
      </c>
      <c r="C915">
        <v>6</v>
      </c>
      <c r="D915" t="s">
        <v>430</v>
      </c>
      <c r="E915" t="s">
        <v>34</v>
      </c>
      <c r="F915">
        <v>324174</v>
      </c>
      <c r="G915">
        <v>0</v>
      </c>
      <c r="H915" t="s">
        <v>558</v>
      </c>
      <c r="I915">
        <v>10683856</v>
      </c>
      <c r="J915">
        <v>4</v>
      </c>
      <c r="K915">
        <v>24</v>
      </c>
      <c r="L915">
        <v>24</v>
      </c>
      <c r="M915">
        <v>1985</v>
      </c>
      <c r="N915" s="2">
        <v>40600</v>
      </c>
      <c r="O915" s="2">
        <v>0</v>
      </c>
      <c r="P915" s="2">
        <v>812</v>
      </c>
      <c r="Q915" s="2">
        <v>7940</v>
      </c>
      <c r="R915" s="2">
        <v>7105</v>
      </c>
      <c r="S915">
        <v>170.52</v>
      </c>
      <c r="T915" s="2">
        <v>11977</v>
      </c>
      <c r="U915" s="2">
        <v>28623</v>
      </c>
      <c r="V915">
        <v>190.56</v>
      </c>
      <c r="W915">
        <v>0</v>
      </c>
      <c r="X915">
        <v>0</v>
      </c>
      <c r="Y915">
        <v>0</v>
      </c>
      <c r="Z915">
        <v>0.5</v>
      </c>
      <c r="AA915">
        <v>2.6238455079764904E-3</v>
      </c>
      <c r="AB915">
        <v>21.5</v>
      </c>
      <c r="AC915">
        <v>11.854861111111111</v>
      </c>
      <c r="AD915">
        <v>20.12</v>
      </c>
      <c r="AI91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0.14513888888888893</v>
      </c>
      <c r="AK915" t="s">
        <v>214</v>
      </c>
      <c r="AN915">
        <f>INT(Table1[[#This Row],[reject_prod]]/Table1[[#This Row],[part_weight]] * 1000)</f>
        <v>20</v>
      </c>
    </row>
    <row r="916" spans="1:40">
      <c r="A916" s="1">
        <v>46050</v>
      </c>
      <c r="B916">
        <v>2</v>
      </c>
      <c r="C916">
        <v>7</v>
      </c>
      <c r="D916" t="s">
        <v>65</v>
      </c>
      <c r="E916" t="s">
        <v>34</v>
      </c>
      <c r="F916">
        <v>322471</v>
      </c>
      <c r="G916">
        <v>0</v>
      </c>
      <c r="H916" t="s">
        <v>520</v>
      </c>
      <c r="I916">
        <v>10684032</v>
      </c>
      <c r="J916">
        <v>4</v>
      </c>
      <c r="K916">
        <v>34.5</v>
      </c>
      <c r="L916">
        <v>34.5</v>
      </c>
      <c r="M916">
        <v>1585</v>
      </c>
      <c r="N916" s="2">
        <v>44352</v>
      </c>
      <c r="O916" s="2">
        <v>0</v>
      </c>
      <c r="P916" s="2">
        <v>660</v>
      </c>
      <c r="Q916" s="2">
        <v>6340</v>
      </c>
      <c r="R916" s="2">
        <v>5544</v>
      </c>
      <c r="S916">
        <v>191.268</v>
      </c>
      <c r="T916" s="2">
        <v>33000</v>
      </c>
      <c r="U916" s="2">
        <v>11352</v>
      </c>
      <c r="V916">
        <v>218.73</v>
      </c>
      <c r="W916">
        <v>0</v>
      </c>
      <c r="X916">
        <v>0</v>
      </c>
      <c r="Y916">
        <v>0</v>
      </c>
      <c r="Z916">
        <v>4.8</v>
      </c>
      <c r="AA916">
        <v>2.1944863530379919E-2</v>
      </c>
      <c r="AB916">
        <v>24.3</v>
      </c>
      <c r="AC916">
        <v>10.69875</v>
      </c>
      <c r="AD916">
        <v>16.2</v>
      </c>
      <c r="AI91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1.3012499999999996</v>
      </c>
      <c r="AK916" t="s">
        <v>567</v>
      </c>
      <c r="AN916">
        <f>INT(Table1[[#This Row],[reject_prod]]/Table1[[#This Row],[part_weight]] * 1000)</f>
        <v>139</v>
      </c>
    </row>
    <row r="917" spans="1:40">
      <c r="A917" s="1">
        <v>46050</v>
      </c>
      <c r="B917">
        <v>2</v>
      </c>
      <c r="C917">
        <v>8</v>
      </c>
      <c r="D917" t="s">
        <v>152</v>
      </c>
      <c r="E917" t="s">
        <v>41</v>
      </c>
      <c r="F917">
        <v>593537</v>
      </c>
      <c r="G917">
        <v>0</v>
      </c>
      <c r="H917" t="s">
        <v>48</v>
      </c>
      <c r="I917">
        <v>10685022</v>
      </c>
      <c r="J917">
        <v>4</v>
      </c>
      <c r="K917">
        <v>56.5</v>
      </c>
      <c r="L917">
        <v>56.8</v>
      </c>
      <c r="M917">
        <v>1471</v>
      </c>
      <c r="N917" s="2">
        <v>69000</v>
      </c>
      <c r="O917" s="2">
        <v>345</v>
      </c>
      <c r="P917" s="2">
        <v>460</v>
      </c>
      <c r="Q917" s="2">
        <v>5884</v>
      </c>
      <c r="R917" s="2">
        <v>5750</v>
      </c>
      <c r="S917">
        <v>326.60000000000002</v>
      </c>
      <c r="T917" s="2">
        <v>35535</v>
      </c>
      <c r="U917" s="2">
        <v>33465</v>
      </c>
      <c r="V917">
        <v>334.21120000000002</v>
      </c>
      <c r="W917">
        <v>0</v>
      </c>
      <c r="X917">
        <v>0</v>
      </c>
      <c r="Y917">
        <v>0</v>
      </c>
      <c r="Z917">
        <v>1.2</v>
      </c>
      <c r="AA917">
        <v>3.5905439434704756E-3</v>
      </c>
      <c r="AB917">
        <v>29.4</v>
      </c>
      <c r="AC917">
        <v>12</v>
      </c>
      <c r="AD917">
        <v>28.5</v>
      </c>
      <c r="AI91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917" t="s">
        <v>51</v>
      </c>
      <c r="AN917">
        <f>INT(Table1[[#This Row],[reject_prod]]/Table1[[#This Row],[part_weight]] * 1000)</f>
        <v>21</v>
      </c>
    </row>
    <row r="918" spans="1:40">
      <c r="A918" s="1">
        <v>46050</v>
      </c>
      <c r="B918">
        <v>2</v>
      </c>
      <c r="C918">
        <v>9</v>
      </c>
      <c r="F918">
        <v>123456</v>
      </c>
      <c r="G918">
        <v>0</v>
      </c>
      <c r="M918">
        <v>0</v>
      </c>
      <c r="N918" s="2">
        <v>0</v>
      </c>
      <c r="O918" s="2">
        <v>0</v>
      </c>
      <c r="P918" s="2">
        <v>0</v>
      </c>
      <c r="Q918" s="2"/>
      <c r="R918" s="2">
        <v>0</v>
      </c>
      <c r="T918" s="2">
        <v>0</v>
      </c>
      <c r="U918" s="2"/>
      <c r="X918">
        <v>0</v>
      </c>
      <c r="Z918">
        <v>0</v>
      </c>
      <c r="AB918">
        <v>0</v>
      </c>
      <c r="AC918">
        <v>0</v>
      </c>
      <c r="AD918">
        <v>0</v>
      </c>
      <c r="AI91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918">
        <v>12</v>
      </c>
      <c r="AK918" t="s">
        <v>116</v>
      </c>
      <c r="AN918">
        <v>0</v>
      </c>
    </row>
    <row r="919" spans="1:40">
      <c r="A919" s="1">
        <v>46050</v>
      </c>
      <c r="B919">
        <v>2</v>
      </c>
      <c r="C919">
        <v>10</v>
      </c>
      <c r="D919" t="s">
        <v>40</v>
      </c>
      <c r="E919" t="s">
        <v>34</v>
      </c>
      <c r="F919">
        <v>441778</v>
      </c>
      <c r="G919">
        <v>0</v>
      </c>
      <c r="H919" t="s">
        <v>531</v>
      </c>
      <c r="I919">
        <v>10684860</v>
      </c>
      <c r="J919">
        <v>4</v>
      </c>
      <c r="K919">
        <v>77</v>
      </c>
      <c r="L919">
        <v>77</v>
      </c>
      <c r="M919">
        <v>552</v>
      </c>
      <c r="N919" s="2">
        <v>11868</v>
      </c>
      <c r="O919" s="2">
        <v>0</v>
      </c>
      <c r="P919" s="2">
        <v>0</v>
      </c>
      <c r="Q919" s="2">
        <v>2208</v>
      </c>
      <c r="R919" s="2">
        <v>2208</v>
      </c>
      <c r="S919">
        <v>170.01599999999999</v>
      </c>
      <c r="T919" s="2">
        <v>11868</v>
      </c>
      <c r="U919" s="2">
        <v>0</v>
      </c>
      <c r="V919">
        <v>170.01599999999999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37.299999999999997</v>
      </c>
      <c r="AC919">
        <v>5.7193333333333332</v>
      </c>
      <c r="AD919">
        <v>35</v>
      </c>
      <c r="AI91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6.2806666666666668</v>
      </c>
      <c r="AK919" t="s">
        <v>102</v>
      </c>
      <c r="AN919">
        <f>INT(Table1[[#This Row],[reject_prod]]/Table1[[#This Row],[part_weight]] * 1000)</f>
        <v>0</v>
      </c>
    </row>
    <row r="920" spans="1:40">
      <c r="A920" s="1">
        <v>46050</v>
      </c>
      <c r="B920">
        <v>2</v>
      </c>
      <c r="C920">
        <v>10</v>
      </c>
      <c r="D920" t="s">
        <v>40</v>
      </c>
      <c r="E920" t="s">
        <v>34</v>
      </c>
      <c r="F920">
        <v>323133</v>
      </c>
      <c r="G920">
        <v>0</v>
      </c>
      <c r="H920" t="s">
        <v>568</v>
      </c>
      <c r="I920">
        <v>10684859</v>
      </c>
      <c r="J920">
        <v>4</v>
      </c>
      <c r="K920">
        <v>77</v>
      </c>
      <c r="L920">
        <v>77</v>
      </c>
      <c r="M920">
        <v>571</v>
      </c>
      <c r="N920" s="2">
        <v>19872</v>
      </c>
      <c r="O920" s="2">
        <v>0</v>
      </c>
      <c r="P920" s="2">
        <v>0</v>
      </c>
      <c r="Q920" s="2">
        <v>2284</v>
      </c>
      <c r="R920" s="2">
        <v>2208</v>
      </c>
      <c r="S920">
        <v>170.01599999999999</v>
      </c>
      <c r="T920" s="2">
        <v>2208</v>
      </c>
      <c r="U920" s="2">
        <v>17664</v>
      </c>
      <c r="V920">
        <v>175.86799999999999</v>
      </c>
      <c r="W920">
        <v>0</v>
      </c>
      <c r="X920">
        <v>0</v>
      </c>
      <c r="Y920">
        <v>0</v>
      </c>
      <c r="Z920">
        <v>5.9</v>
      </c>
      <c r="AA920">
        <v>3.3547888188868925E-2</v>
      </c>
      <c r="AB920">
        <v>37.299999999999997</v>
      </c>
      <c r="AC920">
        <v>5.9161944444444439</v>
      </c>
      <c r="AD920">
        <v>35</v>
      </c>
      <c r="AI92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6.0838055555555561</v>
      </c>
      <c r="AK920" t="s">
        <v>569</v>
      </c>
      <c r="AN920">
        <f>INT(Table1[[#This Row],[reject_prod]]/Table1[[#This Row],[part_weight]] * 1000)</f>
        <v>76</v>
      </c>
    </row>
    <row r="921" spans="1:40">
      <c r="A921" s="1">
        <v>46050</v>
      </c>
      <c r="B921">
        <v>2</v>
      </c>
      <c r="C921">
        <v>11</v>
      </c>
      <c r="D921" t="s">
        <v>61</v>
      </c>
      <c r="E921" t="s">
        <v>46</v>
      </c>
      <c r="F921">
        <v>552181</v>
      </c>
      <c r="G921">
        <v>1</v>
      </c>
      <c r="H921" t="s">
        <v>49</v>
      </c>
      <c r="I921">
        <v>10685338</v>
      </c>
      <c r="J921">
        <v>6</v>
      </c>
      <c r="K921">
        <v>18.8</v>
      </c>
      <c r="L921">
        <v>18.8</v>
      </c>
      <c r="M921">
        <v>1328</v>
      </c>
      <c r="N921" s="2">
        <v>108000</v>
      </c>
      <c r="O921" s="2">
        <v>1080</v>
      </c>
      <c r="P921" s="2">
        <v>3510</v>
      </c>
      <c r="Q921" s="2">
        <v>7968</v>
      </c>
      <c r="R921" s="2">
        <v>5400</v>
      </c>
      <c r="S921">
        <v>101.52</v>
      </c>
      <c r="T921" s="2">
        <v>25110</v>
      </c>
      <c r="U921" s="2">
        <v>82890</v>
      </c>
      <c r="V921">
        <v>149.79839999999999</v>
      </c>
      <c r="W921">
        <v>0</v>
      </c>
      <c r="X921">
        <v>0</v>
      </c>
      <c r="Y921">
        <v>0</v>
      </c>
      <c r="Z921">
        <v>2.6</v>
      </c>
      <c r="AA921">
        <v>1.7356660685294373E-2</v>
      </c>
      <c r="AB921">
        <v>28.7</v>
      </c>
      <c r="AC921">
        <v>10.587111111111112</v>
      </c>
      <c r="AD921">
        <v>27</v>
      </c>
      <c r="AI92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1.4128888888888884</v>
      </c>
      <c r="AK921" t="s">
        <v>480</v>
      </c>
      <c r="AN921">
        <f>INT(Table1[[#This Row],[reject_prod]]/Table1[[#This Row],[part_weight]] * 1000)</f>
        <v>138</v>
      </c>
    </row>
    <row r="922" spans="1:40">
      <c r="A922" s="1">
        <v>46050</v>
      </c>
      <c r="B922">
        <v>2</v>
      </c>
      <c r="C922">
        <v>12</v>
      </c>
      <c r="D922" t="s">
        <v>143</v>
      </c>
      <c r="E922" t="s">
        <v>34</v>
      </c>
      <c r="F922">
        <v>620599</v>
      </c>
      <c r="G922">
        <v>0</v>
      </c>
      <c r="H922" t="s">
        <v>50</v>
      </c>
      <c r="I922">
        <v>10684839</v>
      </c>
      <c r="J922">
        <v>4</v>
      </c>
      <c r="K922">
        <v>55</v>
      </c>
      <c r="L922">
        <v>55</v>
      </c>
      <c r="M922">
        <v>225</v>
      </c>
      <c r="N922" s="2">
        <v>72000</v>
      </c>
      <c r="O922" s="2">
        <v>900</v>
      </c>
      <c r="P922" s="2">
        <v>0</v>
      </c>
      <c r="Q922" s="2">
        <v>900</v>
      </c>
      <c r="R922" s="2">
        <v>1800</v>
      </c>
      <c r="S922">
        <v>99</v>
      </c>
      <c r="T922" s="2">
        <v>72000</v>
      </c>
      <c r="U922" s="2">
        <v>0</v>
      </c>
      <c r="V922">
        <v>49.5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28.8</v>
      </c>
      <c r="AC922">
        <v>1.8</v>
      </c>
      <c r="AD922">
        <v>28</v>
      </c>
      <c r="AI92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10.199999999999999</v>
      </c>
      <c r="AK922" t="s">
        <v>102</v>
      </c>
      <c r="AN922">
        <f>INT(Table1[[#This Row],[reject_prod]]/Table1[[#This Row],[part_weight]] * 1000)</f>
        <v>0</v>
      </c>
    </row>
    <row r="923" spans="1:40">
      <c r="A923" s="1">
        <v>46050</v>
      </c>
      <c r="B923">
        <v>2</v>
      </c>
      <c r="C923">
        <v>12</v>
      </c>
      <c r="D923" t="s">
        <v>143</v>
      </c>
      <c r="E923" t="s">
        <v>34</v>
      </c>
      <c r="F923">
        <v>620599</v>
      </c>
      <c r="G923">
        <v>0</v>
      </c>
      <c r="H923" t="s">
        <v>50</v>
      </c>
      <c r="I923">
        <v>10685340</v>
      </c>
      <c r="J923">
        <v>4</v>
      </c>
      <c r="K923">
        <v>55</v>
      </c>
      <c r="L923">
        <v>55</v>
      </c>
      <c r="M923">
        <v>1234</v>
      </c>
      <c r="N923" s="2">
        <v>72000</v>
      </c>
      <c r="O923" s="2">
        <v>0</v>
      </c>
      <c r="P923" s="2">
        <v>1125</v>
      </c>
      <c r="Q923" s="2">
        <v>4936</v>
      </c>
      <c r="R923" s="2">
        <v>3600</v>
      </c>
      <c r="S923">
        <v>198</v>
      </c>
      <c r="T923" s="2">
        <v>4725</v>
      </c>
      <c r="U923" s="2">
        <v>67275</v>
      </c>
      <c r="V923">
        <v>271.48</v>
      </c>
      <c r="W923">
        <v>0</v>
      </c>
      <c r="X923">
        <v>0</v>
      </c>
      <c r="Y923">
        <v>0</v>
      </c>
      <c r="Z923">
        <v>11.4</v>
      </c>
      <c r="AA923">
        <v>4.1992043612789152E-2</v>
      </c>
      <c r="AB923">
        <v>28.8</v>
      </c>
      <c r="AC923">
        <v>9.8719999999999999</v>
      </c>
      <c r="AD923">
        <v>28</v>
      </c>
      <c r="AI92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2.1280000000000001</v>
      </c>
      <c r="AK923" t="s">
        <v>570</v>
      </c>
      <c r="AN923">
        <f>INT(Table1[[#This Row],[reject_prod]]/Table1[[#This Row],[part_weight]] * 1000)</f>
        <v>207</v>
      </c>
    </row>
    <row r="924" spans="1:40">
      <c r="A924" s="1">
        <v>46050</v>
      </c>
      <c r="B924">
        <v>2</v>
      </c>
      <c r="C924">
        <v>13</v>
      </c>
      <c r="D924" t="s">
        <v>61</v>
      </c>
      <c r="E924" t="s">
        <v>46</v>
      </c>
      <c r="F924">
        <v>586276</v>
      </c>
      <c r="G924">
        <v>0</v>
      </c>
      <c r="H924" t="s">
        <v>47</v>
      </c>
      <c r="I924">
        <v>10684862</v>
      </c>
      <c r="J924">
        <v>6</v>
      </c>
      <c r="K924">
        <v>12.3</v>
      </c>
      <c r="L924">
        <v>12.3</v>
      </c>
      <c r="M924">
        <v>1627</v>
      </c>
      <c r="N924" s="2">
        <v>162000</v>
      </c>
      <c r="O924" s="2">
        <v>0</v>
      </c>
      <c r="P924" s="2">
        <v>1620</v>
      </c>
      <c r="Q924" s="2">
        <v>9762</v>
      </c>
      <c r="R924" s="2">
        <v>8100</v>
      </c>
      <c r="S924">
        <v>99.63</v>
      </c>
      <c r="T924" s="2">
        <v>123120</v>
      </c>
      <c r="U924" s="2">
        <v>38880</v>
      </c>
      <c r="V924">
        <v>120.07260000000001</v>
      </c>
      <c r="W924">
        <v>0</v>
      </c>
      <c r="X924">
        <v>0</v>
      </c>
      <c r="Y924">
        <v>0</v>
      </c>
      <c r="Z924">
        <v>0.5</v>
      </c>
      <c r="AA924">
        <v>4.1641473575153697E-3</v>
      </c>
      <c r="AB924">
        <v>26.2</v>
      </c>
      <c r="AC924">
        <v>11.840944444444444</v>
      </c>
      <c r="AD924">
        <v>26</v>
      </c>
      <c r="AI92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0.15905555555555573</v>
      </c>
      <c r="AK924" t="s">
        <v>51</v>
      </c>
      <c r="AN924">
        <f>INT(Table1[[#This Row],[reject_prod]]/Table1[[#This Row],[part_weight]] * 1000)</f>
        <v>40</v>
      </c>
    </row>
    <row r="925" spans="1:40">
      <c r="A925" s="1">
        <v>46050</v>
      </c>
      <c r="B925">
        <v>2</v>
      </c>
      <c r="C925">
        <v>14</v>
      </c>
      <c r="D925" t="s">
        <v>33</v>
      </c>
      <c r="E925" t="s">
        <v>46</v>
      </c>
      <c r="F925">
        <v>555979</v>
      </c>
      <c r="G925">
        <v>1</v>
      </c>
      <c r="H925" t="s">
        <v>52</v>
      </c>
      <c r="I925">
        <v>10683785</v>
      </c>
      <c r="J925">
        <v>6</v>
      </c>
      <c r="K925">
        <v>28</v>
      </c>
      <c r="L925">
        <v>28</v>
      </c>
      <c r="M925">
        <v>0</v>
      </c>
      <c r="N925" s="2">
        <v>100800</v>
      </c>
      <c r="O925" s="2">
        <v>0</v>
      </c>
      <c r="P925" s="2">
        <v>0</v>
      </c>
      <c r="Q925" s="2">
        <v>0</v>
      </c>
      <c r="R925" s="2">
        <v>0</v>
      </c>
      <c r="S925">
        <v>0</v>
      </c>
      <c r="T925" s="2">
        <v>0</v>
      </c>
      <c r="U925" s="2">
        <v>100800</v>
      </c>
      <c r="V925">
        <v>0</v>
      </c>
      <c r="W925">
        <v>0</v>
      </c>
      <c r="X925">
        <v>0</v>
      </c>
      <c r="Y925" t="e">
        <v>#DIV/0!</v>
      </c>
      <c r="Z925">
        <v>0</v>
      </c>
      <c r="AA925" t="e">
        <v>#DIV/0!</v>
      </c>
      <c r="AB925">
        <v>42</v>
      </c>
      <c r="AC925">
        <v>0</v>
      </c>
      <c r="AD925">
        <v>42</v>
      </c>
      <c r="AI92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925" t="s">
        <v>571</v>
      </c>
      <c r="AN925">
        <f>INT(Table1[[#This Row],[reject_prod]]/Table1[[#This Row],[part_weight]] * 1000)</f>
        <v>0</v>
      </c>
    </row>
    <row r="926" spans="1:40">
      <c r="A926" s="1">
        <v>46050</v>
      </c>
      <c r="B926">
        <v>2</v>
      </c>
      <c r="C926">
        <v>15</v>
      </c>
      <c r="D926" t="s">
        <v>61</v>
      </c>
      <c r="E926" t="s">
        <v>46</v>
      </c>
      <c r="F926">
        <v>552181</v>
      </c>
      <c r="G926" s="6">
        <v>2</v>
      </c>
      <c r="H926" t="s">
        <v>49</v>
      </c>
      <c r="I926">
        <v>10683787</v>
      </c>
      <c r="J926">
        <v>6</v>
      </c>
      <c r="K926">
        <v>18.8</v>
      </c>
      <c r="L926">
        <v>18.8</v>
      </c>
      <c r="M926">
        <v>495</v>
      </c>
      <c r="N926" s="2">
        <v>108000</v>
      </c>
      <c r="O926" s="2">
        <v>7830</v>
      </c>
      <c r="P926" s="2">
        <v>5400</v>
      </c>
      <c r="Q926" s="2">
        <v>2970</v>
      </c>
      <c r="R926" s="2">
        <v>5400</v>
      </c>
      <c r="S926">
        <v>101.52</v>
      </c>
      <c r="T926" s="2">
        <v>108000</v>
      </c>
      <c r="U926" s="2">
        <v>0</v>
      </c>
      <c r="V926">
        <v>55.835999999999999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31</v>
      </c>
      <c r="AC926">
        <v>4.2625000000000002</v>
      </c>
      <c r="AD926">
        <v>27</v>
      </c>
      <c r="AI92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7.7374999999999998</v>
      </c>
      <c r="AK926" t="s">
        <v>102</v>
      </c>
      <c r="AN926">
        <f>INT(Table1[[#This Row],[reject_prod]]/Table1[[#This Row],[part_weight]] * 1000)</f>
        <v>0</v>
      </c>
    </row>
    <row r="927" spans="1:40">
      <c r="A927" s="1">
        <v>46050</v>
      </c>
      <c r="B927">
        <v>2</v>
      </c>
      <c r="C927">
        <v>15</v>
      </c>
      <c r="D927" t="s">
        <v>61</v>
      </c>
      <c r="E927" t="s">
        <v>46</v>
      </c>
      <c r="F927">
        <v>552181</v>
      </c>
      <c r="G927">
        <v>2</v>
      </c>
      <c r="H927" t="s">
        <v>49</v>
      </c>
      <c r="I927">
        <v>10685541</v>
      </c>
      <c r="J927">
        <v>6</v>
      </c>
      <c r="K927">
        <v>18.8</v>
      </c>
      <c r="L927">
        <v>18.8</v>
      </c>
      <c r="M927">
        <v>895</v>
      </c>
      <c r="N927" s="2">
        <v>108000</v>
      </c>
      <c r="O927" s="2">
        <v>0</v>
      </c>
      <c r="P927" s="2">
        <v>5130</v>
      </c>
      <c r="Q927" s="2">
        <v>5370</v>
      </c>
      <c r="R927" s="2">
        <v>0</v>
      </c>
      <c r="S927">
        <v>0</v>
      </c>
      <c r="T927" s="2">
        <v>5130</v>
      </c>
      <c r="U927" s="2">
        <v>102870</v>
      </c>
      <c r="V927">
        <v>100.956</v>
      </c>
      <c r="W927">
        <v>0</v>
      </c>
      <c r="X927">
        <v>0</v>
      </c>
      <c r="Y927">
        <v>0</v>
      </c>
      <c r="Z927">
        <v>4.5999999999999996</v>
      </c>
      <c r="AA927">
        <v>4.5564404294940367E-2</v>
      </c>
      <c r="AB927">
        <v>31</v>
      </c>
      <c r="AC927">
        <v>7.7069444444444448</v>
      </c>
      <c r="AD927">
        <v>27</v>
      </c>
      <c r="AI92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4.2930555555555552</v>
      </c>
      <c r="AK927" t="s">
        <v>572</v>
      </c>
      <c r="AN927">
        <f>INT(Table1[[#This Row],[reject_prod]]/Table1[[#This Row],[part_weight]] * 1000)</f>
        <v>244</v>
      </c>
    </row>
    <row r="928" spans="1:40" s="4" customFormat="1">
      <c r="A928" s="3">
        <v>46050</v>
      </c>
      <c r="B928" s="4">
        <v>2</v>
      </c>
      <c r="C928" s="4">
        <v>16</v>
      </c>
      <c r="D928" s="4" t="s">
        <v>555</v>
      </c>
      <c r="E928" s="4" t="s">
        <v>46</v>
      </c>
      <c r="F928" s="4">
        <v>555979</v>
      </c>
      <c r="G928" s="4">
        <v>2</v>
      </c>
      <c r="H928" s="4" t="s">
        <v>52</v>
      </c>
      <c r="I928" s="4">
        <v>10684863</v>
      </c>
      <c r="J928" s="4">
        <v>6</v>
      </c>
      <c r="K928" s="4">
        <v>28</v>
      </c>
      <c r="L928" s="4">
        <v>28</v>
      </c>
      <c r="M928" s="4">
        <v>988</v>
      </c>
      <c r="N928" s="5">
        <v>100800</v>
      </c>
      <c r="O928" s="5">
        <v>168</v>
      </c>
      <c r="P928" s="5">
        <v>2688</v>
      </c>
      <c r="Q928" s="5">
        <v>5928</v>
      </c>
      <c r="R928" s="5">
        <v>3360</v>
      </c>
      <c r="S928" s="4">
        <v>94.08</v>
      </c>
      <c r="T928" s="5">
        <v>59808</v>
      </c>
      <c r="U928" s="5">
        <v>40992</v>
      </c>
      <c r="V928" s="4">
        <v>165.98400000000001</v>
      </c>
      <c r="W928" s="4">
        <v>0</v>
      </c>
      <c r="X928" s="4">
        <v>0</v>
      </c>
      <c r="Y928" s="4">
        <v>0</v>
      </c>
      <c r="Z928" s="4">
        <v>1.4</v>
      </c>
      <c r="AA928" s="4">
        <v>8.4345479082321186E-3</v>
      </c>
      <c r="AB928" s="4">
        <v>43.4</v>
      </c>
      <c r="AC928" s="4">
        <v>11.91088888888889</v>
      </c>
      <c r="AD928" s="4">
        <v>42</v>
      </c>
      <c r="AI92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8.9111111111110475E-2</v>
      </c>
      <c r="AK928" s="4" t="s">
        <v>51</v>
      </c>
      <c r="AN928" s="4">
        <f>INT(Table1[[#This Row],[reject_prod]]/Table1[[#This Row],[part_weight]] * 1000)</f>
        <v>50</v>
      </c>
    </row>
    <row r="929" spans="1:40">
      <c r="A929" s="1">
        <v>46051</v>
      </c>
      <c r="B929">
        <v>1</v>
      </c>
      <c r="C929">
        <v>1</v>
      </c>
      <c r="D929" t="s">
        <v>56</v>
      </c>
      <c r="E929" t="s">
        <v>34</v>
      </c>
      <c r="F929">
        <v>577492</v>
      </c>
      <c r="G929">
        <v>0</v>
      </c>
      <c r="H929" t="s">
        <v>341</v>
      </c>
      <c r="I929">
        <v>10686027</v>
      </c>
      <c r="J929">
        <v>4</v>
      </c>
      <c r="K929">
        <v>35.6</v>
      </c>
      <c r="L929">
        <v>35.6</v>
      </c>
      <c r="M929">
        <v>1589</v>
      </c>
      <c r="N929" s="2">
        <v>20240</v>
      </c>
      <c r="O929" s="2">
        <v>1104</v>
      </c>
      <c r="P929" s="2">
        <v>100</v>
      </c>
      <c r="Q929" s="2">
        <v>6356</v>
      </c>
      <c r="R929" s="2">
        <v>7360</v>
      </c>
      <c r="S929">
        <v>262.01600000000002</v>
      </c>
      <c r="T929" s="2">
        <v>12980</v>
      </c>
      <c r="U929" s="2">
        <v>7260</v>
      </c>
      <c r="V929">
        <v>226.27360000000002</v>
      </c>
      <c r="W929">
        <v>0</v>
      </c>
      <c r="X929">
        <v>0</v>
      </c>
      <c r="Y929">
        <v>0</v>
      </c>
      <c r="Z929">
        <v>4.3</v>
      </c>
      <c r="AA929">
        <v>1.9003542613897511E-2</v>
      </c>
      <c r="AB929">
        <v>26.8</v>
      </c>
      <c r="AC929">
        <v>11.829222222222223</v>
      </c>
      <c r="AD929">
        <v>27</v>
      </c>
      <c r="AI92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0.17077777777777747</v>
      </c>
      <c r="AK929" t="s">
        <v>576</v>
      </c>
      <c r="AN929">
        <f>INT(Table1[[#This Row],[reject_prod]]/Table1[[#This Row],[part_weight]] * 1000)</f>
        <v>120</v>
      </c>
    </row>
    <row r="930" spans="1:40">
      <c r="A930" s="1">
        <v>46051</v>
      </c>
      <c r="B930">
        <v>1</v>
      </c>
      <c r="C930">
        <v>2</v>
      </c>
      <c r="D930" t="s">
        <v>33</v>
      </c>
      <c r="E930" t="s">
        <v>34</v>
      </c>
      <c r="F930">
        <v>416201</v>
      </c>
      <c r="G930">
        <v>0</v>
      </c>
      <c r="H930" t="s">
        <v>36</v>
      </c>
      <c r="I930">
        <v>10681779</v>
      </c>
      <c r="J930">
        <v>4</v>
      </c>
      <c r="K930">
        <v>20</v>
      </c>
      <c r="L930">
        <v>30</v>
      </c>
      <c r="M930">
        <v>0</v>
      </c>
      <c r="N930" s="2">
        <v>50400</v>
      </c>
      <c r="O930" s="2">
        <v>2940</v>
      </c>
      <c r="P930" s="2"/>
      <c r="Q930" s="2">
        <v>0</v>
      </c>
      <c r="R930" s="2">
        <v>0</v>
      </c>
      <c r="S930">
        <v>0</v>
      </c>
      <c r="T930" s="2">
        <v>0</v>
      </c>
      <c r="U930" s="2">
        <v>50400</v>
      </c>
      <c r="V930">
        <v>0</v>
      </c>
      <c r="W930">
        <v>0</v>
      </c>
      <c r="X930">
        <v>20</v>
      </c>
      <c r="Y930" t="e">
        <v>#DIV/0!</v>
      </c>
      <c r="Z930">
        <v>0</v>
      </c>
      <c r="AA930" t="e">
        <v>#DIV/0!</v>
      </c>
      <c r="AB930">
        <v>38.6</v>
      </c>
      <c r="AC930">
        <v>0</v>
      </c>
      <c r="AD930">
        <v>38.64</v>
      </c>
      <c r="AI93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9</v>
      </c>
      <c r="AJ930">
        <v>3</v>
      </c>
      <c r="AK930" t="s">
        <v>577</v>
      </c>
      <c r="AL930">
        <v>30</v>
      </c>
      <c r="AM930">
        <v>10</v>
      </c>
      <c r="AN930">
        <f>INT(Table1[[#This Row],[reject_prod]]/Table1[[#This Row],[part_weight]] * 1000)</f>
        <v>0</v>
      </c>
    </row>
    <row r="931" spans="1:40">
      <c r="A931" s="1">
        <v>46051</v>
      </c>
      <c r="B931">
        <v>1</v>
      </c>
      <c r="C931">
        <v>3</v>
      </c>
      <c r="D931" t="s">
        <v>414</v>
      </c>
      <c r="E931" t="s">
        <v>34</v>
      </c>
      <c r="F931">
        <v>442034</v>
      </c>
      <c r="G931">
        <v>0</v>
      </c>
      <c r="H931" t="s">
        <v>37</v>
      </c>
      <c r="I931">
        <v>10681184</v>
      </c>
      <c r="J931">
        <v>4</v>
      </c>
      <c r="K931">
        <v>23</v>
      </c>
      <c r="L931">
        <v>23</v>
      </c>
      <c r="M931">
        <v>1460</v>
      </c>
      <c r="N931" s="2">
        <v>139776</v>
      </c>
      <c r="O931" s="2">
        <v>0</v>
      </c>
      <c r="P931" s="2">
        <v>1152</v>
      </c>
      <c r="Q931" s="2">
        <v>5840</v>
      </c>
      <c r="R931" s="2">
        <v>4608</v>
      </c>
      <c r="S931">
        <v>105.98399999999999</v>
      </c>
      <c r="T931" s="2">
        <v>97920</v>
      </c>
      <c r="U931" s="2">
        <v>41856</v>
      </c>
      <c r="V931">
        <v>134.32</v>
      </c>
      <c r="W931">
        <v>0</v>
      </c>
      <c r="X931">
        <v>0</v>
      </c>
      <c r="Y931">
        <v>0</v>
      </c>
      <c r="Z931">
        <v>1</v>
      </c>
      <c r="AA931">
        <v>7.4449076831447298E-3</v>
      </c>
      <c r="AB931">
        <v>28.6</v>
      </c>
      <c r="AC931">
        <v>11.59888888888889</v>
      </c>
      <c r="AD931">
        <v>22</v>
      </c>
      <c r="AI93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0.40111111111110986</v>
      </c>
      <c r="AK931" t="s">
        <v>168</v>
      </c>
      <c r="AM931">
        <v>4</v>
      </c>
      <c r="AN931">
        <f>INT(Table1[[#This Row],[reject_prod]]/Table1[[#This Row],[part_weight]] * 1000)</f>
        <v>43</v>
      </c>
    </row>
    <row r="932" spans="1:40">
      <c r="A932" s="1">
        <v>46051</v>
      </c>
      <c r="B932">
        <v>1</v>
      </c>
      <c r="C932">
        <v>4</v>
      </c>
      <c r="D932" t="s">
        <v>58</v>
      </c>
      <c r="E932" t="s">
        <v>34</v>
      </c>
      <c r="F932">
        <v>369308</v>
      </c>
      <c r="G932">
        <v>0</v>
      </c>
      <c r="H932" t="s">
        <v>516</v>
      </c>
      <c r="I932">
        <v>10684853</v>
      </c>
      <c r="J932">
        <v>4</v>
      </c>
      <c r="K932">
        <v>31</v>
      </c>
      <c r="L932">
        <v>31</v>
      </c>
      <c r="M932">
        <v>1570</v>
      </c>
      <c r="N932" s="2">
        <v>34560</v>
      </c>
      <c r="O932" s="2">
        <v>720</v>
      </c>
      <c r="P932" s="2">
        <v>1200</v>
      </c>
      <c r="Q932" s="2">
        <v>6280</v>
      </c>
      <c r="R932" s="2">
        <v>5760</v>
      </c>
      <c r="S932">
        <v>178.56</v>
      </c>
      <c r="T932" s="2">
        <v>34320</v>
      </c>
      <c r="U932" s="2">
        <v>240</v>
      </c>
      <c r="V932">
        <v>194.68</v>
      </c>
      <c r="W932">
        <v>0</v>
      </c>
      <c r="X932">
        <v>0</v>
      </c>
      <c r="Y932">
        <v>0</v>
      </c>
      <c r="Z932">
        <v>3</v>
      </c>
      <c r="AA932">
        <v>1.540990343127183E-2</v>
      </c>
      <c r="AB932">
        <v>26.4</v>
      </c>
      <c r="AC932">
        <v>11.513333333333334</v>
      </c>
      <c r="AD932">
        <v>28.4</v>
      </c>
      <c r="AI93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0.48666666666666636</v>
      </c>
      <c r="AK932" t="s">
        <v>578</v>
      </c>
      <c r="AN932">
        <f>INT(Table1[[#This Row],[reject_prod]]/Table1[[#This Row],[part_weight]] * 1000)</f>
        <v>96</v>
      </c>
    </row>
    <row r="933" spans="1:40">
      <c r="A933" s="1">
        <v>46051</v>
      </c>
      <c r="B933">
        <v>1</v>
      </c>
      <c r="C933">
        <v>5</v>
      </c>
      <c r="D933" t="s">
        <v>552</v>
      </c>
      <c r="E933" t="s">
        <v>34</v>
      </c>
      <c r="F933">
        <v>322389</v>
      </c>
      <c r="G933">
        <v>0</v>
      </c>
      <c r="H933" t="s">
        <v>542</v>
      </c>
      <c r="I933">
        <v>10684749</v>
      </c>
      <c r="J933">
        <v>4</v>
      </c>
      <c r="K933">
        <v>12.5</v>
      </c>
      <c r="L933">
        <v>12.5</v>
      </c>
      <c r="M933">
        <v>1960</v>
      </c>
      <c r="N933" s="2">
        <v>46800</v>
      </c>
      <c r="O933" s="2">
        <v>6240</v>
      </c>
      <c r="P933" s="2">
        <v>4680</v>
      </c>
      <c r="Q933" s="2">
        <v>7840</v>
      </c>
      <c r="R933" s="2">
        <v>9360</v>
      </c>
      <c r="S933">
        <v>117</v>
      </c>
      <c r="T933" s="2">
        <v>32760</v>
      </c>
      <c r="U933" s="2">
        <v>14040</v>
      </c>
      <c r="V933">
        <v>98</v>
      </c>
      <c r="W933">
        <v>0</v>
      </c>
      <c r="X933">
        <v>0</v>
      </c>
      <c r="Y933">
        <v>0</v>
      </c>
      <c r="Z933">
        <v>2</v>
      </c>
      <c r="AA933">
        <v>2.0408163265306121E-2</v>
      </c>
      <c r="AB933">
        <v>20.399999999999999</v>
      </c>
      <c r="AC933">
        <v>11.106666666666666</v>
      </c>
      <c r="AD933">
        <v>18.64</v>
      </c>
      <c r="AI93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0.89333333333333442</v>
      </c>
      <c r="AK933" t="s">
        <v>461</v>
      </c>
      <c r="AL933">
        <v>3</v>
      </c>
      <c r="AM933">
        <v>2</v>
      </c>
      <c r="AN933">
        <f>INT(Table1[[#This Row],[reject_prod]]/Table1[[#This Row],[part_weight]] * 1000)</f>
        <v>160</v>
      </c>
    </row>
    <row r="934" spans="1:40">
      <c r="A934" s="1">
        <v>46051</v>
      </c>
      <c r="B934">
        <v>1</v>
      </c>
      <c r="C934">
        <v>6</v>
      </c>
      <c r="D934" t="s">
        <v>535</v>
      </c>
      <c r="E934" t="s">
        <v>34</v>
      </c>
      <c r="F934">
        <v>324174</v>
      </c>
      <c r="G934">
        <v>0</v>
      </c>
      <c r="H934" t="s">
        <v>558</v>
      </c>
      <c r="I934">
        <v>10683856</v>
      </c>
      <c r="J934">
        <v>4</v>
      </c>
      <c r="K934">
        <v>24</v>
      </c>
      <c r="L934">
        <v>24</v>
      </c>
      <c r="M934">
        <v>1990</v>
      </c>
      <c r="N934" s="2">
        <v>40600</v>
      </c>
      <c r="O934" s="2">
        <v>812</v>
      </c>
      <c r="P934" s="2">
        <v>1624</v>
      </c>
      <c r="Q934" s="2">
        <v>7960</v>
      </c>
      <c r="R934" s="2">
        <v>7105</v>
      </c>
      <c r="S934">
        <v>170.52</v>
      </c>
      <c r="T934" s="2">
        <v>19894</v>
      </c>
      <c r="U934" s="2">
        <v>20706</v>
      </c>
      <c r="V934">
        <v>191.04</v>
      </c>
      <c r="W934">
        <v>0</v>
      </c>
      <c r="X934">
        <v>0</v>
      </c>
      <c r="Y934">
        <v>0</v>
      </c>
      <c r="Z934">
        <v>1</v>
      </c>
      <c r="AA934">
        <v>5.2345058626465666E-3</v>
      </c>
      <c r="AB934">
        <v>21.33</v>
      </c>
      <c r="AC934">
        <v>11.790749999999999</v>
      </c>
      <c r="AD934">
        <v>20.12</v>
      </c>
      <c r="AI93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0.20925000000000082</v>
      </c>
      <c r="AK934" t="s">
        <v>103</v>
      </c>
      <c r="AL934">
        <v>3</v>
      </c>
      <c r="AM934">
        <v>3</v>
      </c>
      <c r="AN934">
        <f>INT(Table1[[#This Row],[reject_prod]]/Table1[[#This Row],[part_weight]] * 1000)</f>
        <v>41</v>
      </c>
    </row>
    <row r="935" spans="1:40">
      <c r="A935" s="1">
        <v>46051</v>
      </c>
      <c r="B935">
        <v>1</v>
      </c>
      <c r="C935">
        <v>7</v>
      </c>
      <c r="D935" t="s">
        <v>54</v>
      </c>
      <c r="E935" t="s">
        <v>34</v>
      </c>
      <c r="F935">
        <v>322471</v>
      </c>
      <c r="G935">
        <v>0</v>
      </c>
      <c r="H935" t="s">
        <v>520</v>
      </c>
      <c r="I935">
        <v>10684032</v>
      </c>
      <c r="J935">
        <v>4</v>
      </c>
      <c r="K935">
        <v>34.5</v>
      </c>
      <c r="L935">
        <v>34.5</v>
      </c>
      <c r="M935">
        <v>1580</v>
      </c>
      <c r="N935" s="2">
        <v>44352</v>
      </c>
      <c r="O935" s="2">
        <v>660</v>
      </c>
      <c r="P935" s="2">
        <v>396</v>
      </c>
      <c r="Q935" s="2">
        <v>6320</v>
      </c>
      <c r="R935" s="2">
        <v>6468</v>
      </c>
      <c r="S935">
        <v>223.14599999999999</v>
      </c>
      <c r="T935" s="2">
        <v>39204</v>
      </c>
      <c r="U935" s="2">
        <v>5148</v>
      </c>
      <c r="V935">
        <v>218.04</v>
      </c>
      <c r="W935">
        <v>0</v>
      </c>
      <c r="X935">
        <v>0</v>
      </c>
      <c r="Y935">
        <v>0</v>
      </c>
      <c r="Z935">
        <v>15.2</v>
      </c>
      <c r="AA935">
        <v>6.9711979453311312E-2</v>
      </c>
      <c r="AB935">
        <v>24.3</v>
      </c>
      <c r="AC935">
        <v>10.664999999999999</v>
      </c>
      <c r="AD935">
        <v>16.2</v>
      </c>
      <c r="AI93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1.3350000000000009</v>
      </c>
      <c r="AK935" t="s">
        <v>579</v>
      </c>
      <c r="AL935">
        <v>3</v>
      </c>
      <c r="AM935">
        <v>4</v>
      </c>
      <c r="AN935">
        <f>INT(Table1[[#This Row],[reject_prod]]/Table1[[#This Row],[part_weight]] * 1000)</f>
        <v>440</v>
      </c>
    </row>
    <row r="936" spans="1:40">
      <c r="A936" s="1">
        <v>46051</v>
      </c>
      <c r="B936">
        <v>1</v>
      </c>
      <c r="C936">
        <v>8</v>
      </c>
      <c r="D936" t="s">
        <v>289</v>
      </c>
      <c r="E936" t="s">
        <v>41</v>
      </c>
      <c r="F936">
        <v>593537</v>
      </c>
      <c r="G936">
        <v>0</v>
      </c>
      <c r="H936" t="s">
        <v>48</v>
      </c>
      <c r="I936">
        <v>10685337</v>
      </c>
      <c r="J936">
        <v>4</v>
      </c>
      <c r="K936">
        <v>56.5</v>
      </c>
      <c r="L936">
        <v>56.8</v>
      </c>
      <c r="M936">
        <v>1351</v>
      </c>
      <c r="N936" s="2">
        <v>69000</v>
      </c>
      <c r="O936" s="2">
        <v>460</v>
      </c>
      <c r="P936" s="2">
        <v>115</v>
      </c>
      <c r="Q936" s="2">
        <v>5404</v>
      </c>
      <c r="R936" s="2">
        <v>5750</v>
      </c>
      <c r="S936">
        <v>326.60000000000002</v>
      </c>
      <c r="T936" s="2">
        <v>40365</v>
      </c>
      <c r="U936" s="2">
        <v>28635</v>
      </c>
      <c r="V936">
        <v>306.94720000000001</v>
      </c>
      <c r="W936">
        <v>-1.6211999999999847</v>
      </c>
      <c r="X936">
        <v>0</v>
      </c>
      <c r="Y936">
        <v>0</v>
      </c>
      <c r="Z936">
        <v>3</v>
      </c>
      <c r="AA936">
        <v>9.7736679142210771E-3</v>
      </c>
      <c r="AB936">
        <v>29.4</v>
      </c>
      <c r="AC936">
        <v>11</v>
      </c>
      <c r="AD936">
        <v>28.5</v>
      </c>
      <c r="AH936">
        <v>1</v>
      </c>
      <c r="AI93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936" t="s">
        <v>580</v>
      </c>
      <c r="AM936">
        <v>2</v>
      </c>
      <c r="AN936">
        <f>INT(Table1[[#This Row],[reject_prod]]/Table1[[#This Row],[part_weight]] * 1000)</f>
        <v>52</v>
      </c>
    </row>
    <row r="937" spans="1:40">
      <c r="A937" s="1">
        <v>46051</v>
      </c>
      <c r="B937">
        <v>1</v>
      </c>
      <c r="C937">
        <v>9</v>
      </c>
      <c r="D937" t="s">
        <v>33</v>
      </c>
      <c r="E937" t="s">
        <v>46</v>
      </c>
      <c r="F937">
        <v>586276</v>
      </c>
      <c r="G937">
        <v>0</v>
      </c>
      <c r="H937" t="s">
        <v>47</v>
      </c>
      <c r="I937" t="s">
        <v>437</v>
      </c>
      <c r="J937">
        <v>6</v>
      </c>
      <c r="K937">
        <v>12.3</v>
      </c>
      <c r="L937">
        <v>12.3</v>
      </c>
      <c r="M937">
        <v>0</v>
      </c>
      <c r="N937" s="2">
        <v>2025</v>
      </c>
      <c r="O937" s="2">
        <v>0</v>
      </c>
      <c r="P937" s="2">
        <v>0</v>
      </c>
      <c r="Q937" s="2">
        <v>0</v>
      </c>
      <c r="R937" s="2">
        <v>2025</v>
      </c>
      <c r="S937">
        <v>24.907499999999999</v>
      </c>
      <c r="T937" s="2">
        <v>2025</v>
      </c>
      <c r="U937" s="2">
        <v>0</v>
      </c>
      <c r="V937">
        <v>0</v>
      </c>
      <c r="W937">
        <v>0</v>
      </c>
      <c r="X937">
        <v>0</v>
      </c>
      <c r="Y937" t="e">
        <v>#DIV/0!</v>
      </c>
      <c r="Z937">
        <v>0</v>
      </c>
      <c r="AA937" t="e">
        <v>#DIV/0!</v>
      </c>
      <c r="AB937">
        <v>26</v>
      </c>
      <c r="AC937">
        <v>0</v>
      </c>
      <c r="AD937">
        <v>26</v>
      </c>
      <c r="AI93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937" t="s">
        <v>581</v>
      </c>
      <c r="AN937">
        <f>INT(Table1[[#This Row],[reject_prod]]/Table1[[#This Row],[part_weight]] * 1000)</f>
        <v>0</v>
      </c>
    </row>
    <row r="938" spans="1:40">
      <c r="A938" s="1">
        <v>46051</v>
      </c>
      <c r="B938">
        <v>1</v>
      </c>
      <c r="C938">
        <v>9</v>
      </c>
      <c r="D938" t="s">
        <v>59</v>
      </c>
      <c r="E938" t="s">
        <v>46</v>
      </c>
      <c r="F938">
        <v>586276</v>
      </c>
      <c r="G938">
        <v>0</v>
      </c>
      <c r="H938" t="s">
        <v>47</v>
      </c>
      <c r="I938">
        <v>10682924</v>
      </c>
      <c r="J938">
        <v>6</v>
      </c>
      <c r="K938">
        <v>12.3</v>
      </c>
      <c r="L938">
        <v>12.3</v>
      </c>
      <c r="M938">
        <v>730</v>
      </c>
      <c r="N938" s="2">
        <v>162000</v>
      </c>
      <c r="O938" s="2">
        <v>7290</v>
      </c>
      <c r="P938" s="2">
        <v>3645</v>
      </c>
      <c r="Q938" s="2">
        <v>4380</v>
      </c>
      <c r="R938" s="2">
        <v>8100</v>
      </c>
      <c r="S938">
        <v>99.63</v>
      </c>
      <c r="T938" s="2">
        <v>84645</v>
      </c>
      <c r="U938" s="2">
        <v>77355</v>
      </c>
      <c r="V938">
        <v>53.874000000000002</v>
      </c>
      <c r="W938">
        <v>0</v>
      </c>
      <c r="X938">
        <v>5</v>
      </c>
      <c r="Y938">
        <v>9.2809147269554887E-2</v>
      </c>
      <c r="Z938">
        <v>0</v>
      </c>
      <c r="AA938">
        <v>0</v>
      </c>
      <c r="AB938">
        <v>25.6</v>
      </c>
      <c r="AC938">
        <v>5.1911111111111117</v>
      </c>
      <c r="AD938">
        <v>26</v>
      </c>
      <c r="AI93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6.8088888888888883</v>
      </c>
      <c r="AK938" t="s">
        <v>582</v>
      </c>
      <c r="AL938">
        <v>4</v>
      </c>
      <c r="AM938">
        <v>4</v>
      </c>
      <c r="AN938">
        <f>INT(Table1[[#This Row],[reject_prod]]/Table1[[#This Row],[part_weight]] * 1000)</f>
        <v>0</v>
      </c>
    </row>
    <row r="939" spans="1:40">
      <c r="A939" s="1">
        <v>46051</v>
      </c>
      <c r="B939">
        <v>1</v>
      </c>
      <c r="C939">
        <v>10</v>
      </c>
      <c r="D939" t="s">
        <v>53</v>
      </c>
      <c r="E939" t="s">
        <v>34</v>
      </c>
      <c r="F939">
        <v>323133</v>
      </c>
      <c r="G939">
        <v>0</v>
      </c>
      <c r="H939" t="s">
        <v>568</v>
      </c>
      <c r="I939">
        <v>10684859</v>
      </c>
      <c r="J939">
        <v>4</v>
      </c>
      <c r="K939">
        <v>77</v>
      </c>
      <c r="L939">
        <v>77</v>
      </c>
      <c r="M939">
        <v>1060</v>
      </c>
      <c r="N939" s="2">
        <v>19872</v>
      </c>
      <c r="O939" s="2">
        <v>0</v>
      </c>
      <c r="P939" s="2">
        <v>69</v>
      </c>
      <c r="Q939" s="2">
        <v>4240</v>
      </c>
      <c r="R939" s="2">
        <v>4140</v>
      </c>
      <c r="S939">
        <v>318.77999999999997</v>
      </c>
      <c r="T939" s="2">
        <v>6348</v>
      </c>
      <c r="U939" s="2">
        <v>13524</v>
      </c>
      <c r="V939">
        <v>326.48</v>
      </c>
      <c r="W939">
        <v>0</v>
      </c>
      <c r="X939">
        <v>0</v>
      </c>
      <c r="Y939">
        <v>0</v>
      </c>
      <c r="Z939">
        <v>4.5</v>
      </c>
      <c r="AA939">
        <v>1.3783386424895858E-2</v>
      </c>
      <c r="AB939">
        <v>37.299999999999997</v>
      </c>
      <c r="AC939">
        <v>10.982777777777777</v>
      </c>
      <c r="AD939">
        <v>35</v>
      </c>
      <c r="AH939">
        <v>1</v>
      </c>
      <c r="AI93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1.7222222222223138E-2</v>
      </c>
      <c r="AK939" t="s">
        <v>580</v>
      </c>
      <c r="AL939">
        <v>4</v>
      </c>
      <c r="AM939">
        <v>7</v>
      </c>
      <c r="AN939">
        <f>INT(Table1[[#This Row],[reject_prod]]/Table1[[#This Row],[part_weight]] * 1000)</f>
        <v>58</v>
      </c>
    </row>
    <row r="940" spans="1:40">
      <c r="A940" s="1">
        <v>46051</v>
      </c>
      <c r="B940">
        <v>1</v>
      </c>
      <c r="C940">
        <v>11</v>
      </c>
      <c r="D940" t="s">
        <v>139</v>
      </c>
      <c r="E940" t="s">
        <v>46</v>
      </c>
      <c r="F940">
        <v>552181</v>
      </c>
      <c r="G940">
        <v>1</v>
      </c>
      <c r="H940" t="s">
        <v>49</v>
      </c>
      <c r="I940">
        <v>10685338</v>
      </c>
      <c r="J940">
        <v>6</v>
      </c>
      <c r="K940">
        <v>18.8</v>
      </c>
      <c r="L940">
        <v>18.8</v>
      </c>
      <c r="M940">
        <v>1460</v>
      </c>
      <c r="N940" s="2">
        <v>108000</v>
      </c>
      <c r="O940" s="2">
        <v>3510</v>
      </c>
      <c r="P940" s="2">
        <v>1350</v>
      </c>
      <c r="Q940" s="2">
        <v>8760</v>
      </c>
      <c r="R940" s="2">
        <v>10800</v>
      </c>
      <c r="S940">
        <v>203.04</v>
      </c>
      <c r="T940" s="2">
        <v>33750</v>
      </c>
      <c r="U940" s="2">
        <v>74250</v>
      </c>
      <c r="V940">
        <v>164.68799999999999</v>
      </c>
      <c r="W940">
        <v>0</v>
      </c>
      <c r="X940">
        <v>0</v>
      </c>
      <c r="Y940">
        <v>0</v>
      </c>
      <c r="Z940">
        <v>1.5</v>
      </c>
      <c r="AA940">
        <v>9.1081317400174885E-3</v>
      </c>
      <c r="AB940">
        <v>28.7</v>
      </c>
      <c r="AC940">
        <v>11.639444444444445</v>
      </c>
      <c r="AD940">
        <v>27</v>
      </c>
      <c r="AI94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0.36055555555555507</v>
      </c>
      <c r="AK940" t="s">
        <v>51</v>
      </c>
      <c r="AN940">
        <f>INT(Table1[[#This Row],[reject_prod]]/Table1[[#This Row],[part_weight]] * 1000)</f>
        <v>79</v>
      </c>
    </row>
    <row r="941" spans="1:40">
      <c r="A941" s="1">
        <v>46051</v>
      </c>
      <c r="B941">
        <v>1</v>
      </c>
      <c r="C941">
        <v>12</v>
      </c>
      <c r="D941" t="s">
        <v>84</v>
      </c>
      <c r="E941" t="s">
        <v>34</v>
      </c>
      <c r="F941">
        <v>620599</v>
      </c>
      <c r="G941">
        <v>0</v>
      </c>
      <c r="H941" t="s">
        <v>50</v>
      </c>
      <c r="I941">
        <v>10685340</v>
      </c>
      <c r="J941">
        <v>4</v>
      </c>
      <c r="K941">
        <v>55</v>
      </c>
      <c r="L941">
        <v>55</v>
      </c>
      <c r="M941">
        <v>1485</v>
      </c>
      <c r="N941" s="2">
        <v>72000</v>
      </c>
      <c r="O941" s="2">
        <v>1125</v>
      </c>
      <c r="P941" s="2">
        <v>1650</v>
      </c>
      <c r="Q941" s="2">
        <v>5940</v>
      </c>
      <c r="R941" s="2">
        <v>5400</v>
      </c>
      <c r="S941">
        <v>297</v>
      </c>
      <c r="T941" s="2">
        <v>10650</v>
      </c>
      <c r="U941" s="2">
        <v>61350</v>
      </c>
      <c r="V941">
        <v>326.7</v>
      </c>
      <c r="W941">
        <v>0</v>
      </c>
      <c r="X941">
        <v>0</v>
      </c>
      <c r="Y941">
        <v>0</v>
      </c>
      <c r="Z941">
        <v>7</v>
      </c>
      <c r="AA941">
        <v>2.1426385062748701E-2</v>
      </c>
      <c r="AB941">
        <v>28.8</v>
      </c>
      <c r="AC941">
        <v>11.88</v>
      </c>
      <c r="AD941">
        <v>28</v>
      </c>
      <c r="AI94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0.11999999999999922</v>
      </c>
      <c r="AK941" t="s">
        <v>583</v>
      </c>
      <c r="AN941">
        <f>INT(Table1[[#This Row],[reject_prod]]/Table1[[#This Row],[part_weight]] * 1000)</f>
        <v>127</v>
      </c>
    </row>
    <row r="942" spans="1:40">
      <c r="A942" s="1">
        <v>46051</v>
      </c>
      <c r="B942">
        <v>1</v>
      </c>
      <c r="C942">
        <v>13</v>
      </c>
      <c r="D942" t="s">
        <v>139</v>
      </c>
      <c r="E942" t="s">
        <v>46</v>
      </c>
      <c r="F942">
        <v>586276</v>
      </c>
      <c r="G942">
        <v>0</v>
      </c>
      <c r="H942" t="s">
        <v>47</v>
      </c>
      <c r="I942">
        <v>10684862</v>
      </c>
      <c r="J942">
        <v>6</v>
      </c>
      <c r="K942">
        <v>12.3</v>
      </c>
      <c r="L942">
        <v>12.3</v>
      </c>
      <c r="M942">
        <v>1630</v>
      </c>
      <c r="N942" s="2">
        <v>162000</v>
      </c>
      <c r="O942" s="2">
        <v>1620</v>
      </c>
      <c r="P942" s="2">
        <v>3240</v>
      </c>
      <c r="Q942" s="2">
        <v>9780</v>
      </c>
      <c r="R942" s="2">
        <v>8100</v>
      </c>
      <c r="S942">
        <v>99.63</v>
      </c>
      <c r="T942" s="2">
        <v>132840</v>
      </c>
      <c r="U942" s="2">
        <v>29160</v>
      </c>
      <c r="V942">
        <v>120.294</v>
      </c>
      <c r="W942">
        <v>0</v>
      </c>
      <c r="X942">
        <v>0</v>
      </c>
      <c r="Y942">
        <v>0</v>
      </c>
      <c r="Z942">
        <v>1</v>
      </c>
      <c r="AA942">
        <v>8.3129665652484745E-3</v>
      </c>
      <c r="AB942">
        <v>26.2</v>
      </c>
      <c r="AC942">
        <v>11.862777777777778</v>
      </c>
      <c r="AD942">
        <v>26</v>
      </c>
      <c r="AI94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0.13722222222222236</v>
      </c>
      <c r="AK942" t="s">
        <v>51</v>
      </c>
      <c r="AN942">
        <f>INT(Table1[[#This Row],[reject_prod]]/Table1[[#This Row],[part_weight]] * 1000)</f>
        <v>81</v>
      </c>
    </row>
    <row r="943" spans="1:40">
      <c r="A943" s="1">
        <v>46051</v>
      </c>
      <c r="B943">
        <v>1</v>
      </c>
      <c r="C943">
        <v>14</v>
      </c>
      <c r="D943" t="s">
        <v>33</v>
      </c>
      <c r="E943" t="s">
        <v>46</v>
      </c>
      <c r="F943">
        <v>555979</v>
      </c>
      <c r="G943">
        <v>1</v>
      </c>
      <c r="H943" t="s">
        <v>52</v>
      </c>
      <c r="I943">
        <v>10683785</v>
      </c>
      <c r="J943">
        <v>6</v>
      </c>
      <c r="K943">
        <v>28</v>
      </c>
      <c r="L943">
        <v>28</v>
      </c>
      <c r="M943">
        <v>0</v>
      </c>
      <c r="N943" s="2">
        <v>100800</v>
      </c>
      <c r="O943" s="2">
        <v>0</v>
      </c>
      <c r="P943" s="2">
        <v>0</v>
      </c>
      <c r="Q943" s="2">
        <v>0</v>
      </c>
      <c r="R943" s="2">
        <v>0</v>
      </c>
      <c r="S943">
        <v>0</v>
      </c>
      <c r="T943" s="2">
        <v>33600</v>
      </c>
      <c r="U943" s="2">
        <v>67200</v>
      </c>
      <c r="V943">
        <v>0</v>
      </c>
      <c r="W943">
        <v>0</v>
      </c>
      <c r="X943">
        <v>0</v>
      </c>
      <c r="Y943" t="e">
        <v>#DIV/0!</v>
      </c>
      <c r="Z943">
        <v>0</v>
      </c>
      <c r="AA943" t="e">
        <v>#DIV/0!</v>
      </c>
      <c r="AB943">
        <v>43.4</v>
      </c>
      <c r="AC943">
        <v>0</v>
      </c>
      <c r="AD943">
        <v>42</v>
      </c>
      <c r="AI94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943" t="s">
        <v>584</v>
      </c>
      <c r="AL943">
        <v>2</v>
      </c>
      <c r="AM943">
        <v>2</v>
      </c>
      <c r="AN943">
        <f>INT(Table1[[#This Row],[reject_prod]]/Table1[[#This Row],[part_weight]] * 1000)</f>
        <v>0</v>
      </c>
    </row>
    <row r="944" spans="1:40">
      <c r="A944" s="1">
        <v>46051</v>
      </c>
      <c r="B944">
        <v>1</v>
      </c>
      <c r="C944">
        <v>15</v>
      </c>
      <c r="D944" t="s">
        <v>139</v>
      </c>
      <c r="E944" t="s">
        <v>46</v>
      </c>
      <c r="F944">
        <v>552181</v>
      </c>
      <c r="G944">
        <v>2</v>
      </c>
      <c r="H944" t="s">
        <v>49</v>
      </c>
      <c r="I944">
        <v>10683787</v>
      </c>
      <c r="J944">
        <v>6</v>
      </c>
      <c r="K944">
        <v>18.8</v>
      </c>
      <c r="L944">
        <v>18.8</v>
      </c>
      <c r="M944">
        <v>110</v>
      </c>
      <c r="N944" s="2">
        <v>108000</v>
      </c>
      <c r="O944" s="2">
        <v>5130</v>
      </c>
      <c r="P944" s="2">
        <v>0</v>
      </c>
      <c r="Q944" s="2">
        <v>660</v>
      </c>
      <c r="R944" s="2">
        <v>5400</v>
      </c>
      <c r="S944">
        <v>101.52</v>
      </c>
      <c r="T944" s="2">
        <v>108000</v>
      </c>
      <c r="U944" s="2">
        <v>0</v>
      </c>
      <c r="V944">
        <v>12.407999999999999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31.3</v>
      </c>
      <c r="AC944">
        <v>0.95638888888888884</v>
      </c>
      <c r="AD944">
        <v>27</v>
      </c>
      <c r="AI94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11.043611111111112</v>
      </c>
      <c r="AK944" t="s">
        <v>102</v>
      </c>
      <c r="AN944">
        <f>INT(Table1[[#This Row],[reject_prod]]/Table1[[#This Row],[part_weight]] * 1000)</f>
        <v>0</v>
      </c>
    </row>
    <row r="945" spans="1:40">
      <c r="A945" s="1">
        <v>46051</v>
      </c>
      <c r="B945">
        <v>1</v>
      </c>
      <c r="C945">
        <v>15</v>
      </c>
      <c r="D945" t="s">
        <v>139</v>
      </c>
      <c r="E945" t="s">
        <v>46</v>
      </c>
      <c r="F945">
        <v>552181</v>
      </c>
      <c r="G945" s="6">
        <v>2</v>
      </c>
      <c r="H945" t="s">
        <v>49</v>
      </c>
      <c r="I945">
        <v>10685541</v>
      </c>
      <c r="J945">
        <v>6</v>
      </c>
      <c r="K945">
        <v>18.8</v>
      </c>
      <c r="L945">
        <v>18.8</v>
      </c>
      <c r="M945">
        <v>1210</v>
      </c>
      <c r="N945" s="2">
        <v>108000</v>
      </c>
      <c r="O945" s="2">
        <v>0</v>
      </c>
      <c r="P945" s="2">
        <v>7020</v>
      </c>
      <c r="Q945" s="2">
        <v>7260</v>
      </c>
      <c r="R945" s="2">
        <v>0</v>
      </c>
      <c r="S945">
        <v>0</v>
      </c>
      <c r="T945" s="2">
        <v>7020</v>
      </c>
      <c r="U945" s="2">
        <v>100980</v>
      </c>
      <c r="V945">
        <v>136.488</v>
      </c>
      <c r="W945">
        <v>0</v>
      </c>
      <c r="X945">
        <v>0</v>
      </c>
      <c r="Y945">
        <v>0</v>
      </c>
      <c r="Z945">
        <v>3</v>
      </c>
      <c r="AA945">
        <v>2.1979954281695094E-2</v>
      </c>
      <c r="AB945">
        <v>31.3</v>
      </c>
      <c r="AC945">
        <v>10.520277777777777</v>
      </c>
      <c r="AD945">
        <v>27</v>
      </c>
      <c r="AI94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1.4797222222222235</v>
      </c>
      <c r="AK945" t="s">
        <v>585</v>
      </c>
      <c r="AN945">
        <f>INT(Table1[[#This Row],[reject_prod]]/Table1[[#This Row],[part_weight]] * 1000)</f>
        <v>159</v>
      </c>
    </row>
    <row r="946" spans="1:40" s="4" customFormat="1">
      <c r="A946" s="3">
        <v>46051</v>
      </c>
      <c r="B946" s="4">
        <v>1</v>
      </c>
      <c r="C946" s="4">
        <v>16</v>
      </c>
      <c r="D946" s="4" t="s">
        <v>573</v>
      </c>
      <c r="E946" s="4" t="s">
        <v>46</v>
      </c>
      <c r="F946" s="4">
        <v>555979</v>
      </c>
      <c r="G946" s="4">
        <v>2</v>
      </c>
      <c r="H946" s="4" t="s">
        <v>52</v>
      </c>
      <c r="I946" s="4">
        <v>10684863</v>
      </c>
      <c r="J946" s="4">
        <v>6</v>
      </c>
      <c r="K946" s="4">
        <v>28</v>
      </c>
      <c r="L946" s="4">
        <v>28</v>
      </c>
      <c r="M946" s="4">
        <v>990</v>
      </c>
      <c r="N946" s="5">
        <v>100800</v>
      </c>
      <c r="O946" s="5">
        <v>2688</v>
      </c>
      <c r="P946" s="5">
        <v>1680</v>
      </c>
      <c r="Q946" s="5">
        <v>5940</v>
      </c>
      <c r="R946" s="5">
        <v>6720</v>
      </c>
      <c r="S946" s="4">
        <v>188.16</v>
      </c>
      <c r="T946" s="5">
        <v>65520</v>
      </c>
      <c r="U946" s="5">
        <v>35280</v>
      </c>
      <c r="V946" s="4">
        <v>166.32</v>
      </c>
      <c r="W946" s="4">
        <v>0</v>
      </c>
      <c r="X946" s="4">
        <v>0</v>
      </c>
      <c r="Y946" s="4">
        <v>0</v>
      </c>
      <c r="Z946" s="4">
        <v>1</v>
      </c>
      <c r="AA946" s="4">
        <v>6.0125060125060126E-3</v>
      </c>
      <c r="AB946" s="4">
        <v>43.4</v>
      </c>
      <c r="AC946" s="4">
        <v>11.935</v>
      </c>
      <c r="AD946" s="4">
        <v>42</v>
      </c>
      <c r="AI94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6.4999999999999503E-2</v>
      </c>
      <c r="AK946" s="4" t="s">
        <v>51</v>
      </c>
      <c r="AM946" s="4">
        <v>5</v>
      </c>
      <c r="AN946" s="4">
        <f>INT(Table1[[#This Row],[reject_prod]]/Table1[[#This Row],[part_weight]] * 1000)</f>
        <v>35</v>
      </c>
    </row>
    <row r="947" spans="1:40">
      <c r="A947" s="1">
        <v>46051</v>
      </c>
      <c r="B947">
        <v>2</v>
      </c>
      <c r="C947">
        <v>1</v>
      </c>
      <c r="D947" t="s">
        <v>112</v>
      </c>
      <c r="E947" t="s">
        <v>34</v>
      </c>
      <c r="F947">
        <v>577492</v>
      </c>
      <c r="G947">
        <v>0</v>
      </c>
      <c r="H947" t="s">
        <v>341</v>
      </c>
      <c r="I947">
        <v>10686027</v>
      </c>
      <c r="J947">
        <v>4</v>
      </c>
      <c r="K947">
        <v>35.6</v>
      </c>
      <c r="L947">
        <v>35.6</v>
      </c>
      <c r="M947">
        <v>1588</v>
      </c>
      <c r="N947" s="2">
        <v>20240</v>
      </c>
      <c r="O947" s="2">
        <v>100</v>
      </c>
      <c r="P947" s="2">
        <v>920</v>
      </c>
      <c r="Q947" s="2">
        <v>6352</v>
      </c>
      <c r="R947" s="2">
        <v>5520</v>
      </c>
      <c r="S947">
        <v>196.512</v>
      </c>
      <c r="T947" s="2">
        <v>19320</v>
      </c>
      <c r="U947" s="2">
        <v>920</v>
      </c>
      <c r="V947">
        <v>226.13120000000001</v>
      </c>
      <c r="W947">
        <v>0</v>
      </c>
      <c r="X947">
        <v>0</v>
      </c>
      <c r="Y947">
        <v>0</v>
      </c>
      <c r="Z947">
        <v>0.4</v>
      </c>
      <c r="AA947">
        <v>1.7688846121189823E-3</v>
      </c>
      <c r="AB947">
        <v>26.8</v>
      </c>
      <c r="AC947">
        <v>11.821777777777777</v>
      </c>
      <c r="AD947">
        <v>27</v>
      </c>
      <c r="AI94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0.17822222222222273</v>
      </c>
      <c r="AK947" t="s">
        <v>51</v>
      </c>
      <c r="AN947">
        <f>INT(Table1[[#This Row],[reject_prod]]/Table1[[#This Row],[part_weight]] * 1000)</f>
        <v>11</v>
      </c>
    </row>
    <row r="948" spans="1:40">
      <c r="A948" s="1">
        <v>46051</v>
      </c>
      <c r="B948">
        <v>2</v>
      </c>
      <c r="C948">
        <v>2</v>
      </c>
      <c r="D948" t="s">
        <v>33</v>
      </c>
      <c r="E948" t="s">
        <v>34</v>
      </c>
      <c r="F948">
        <v>416201</v>
      </c>
      <c r="G948">
        <v>0</v>
      </c>
      <c r="H948" t="s">
        <v>36</v>
      </c>
      <c r="I948">
        <v>10681779</v>
      </c>
      <c r="J948">
        <v>4</v>
      </c>
      <c r="K948">
        <v>20</v>
      </c>
      <c r="L948">
        <v>30</v>
      </c>
      <c r="M948">
        <v>0</v>
      </c>
      <c r="N948" s="2">
        <v>50400</v>
      </c>
      <c r="O948" s="2">
        <v>2940</v>
      </c>
      <c r="P948" s="2">
        <v>2940</v>
      </c>
      <c r="Q948" s="2">
        <v>0</v>
      </c>
      <c r="R948" s="2">
        <v>0</v>
      </c>
      <c r="S948">
        <v>0</v>
      </c>
      <c r="T948" s="2">
        <v>12570</v>
      </c>
      <c r="U948" s="2">
        <v>37830</v>
      </c>
      <c r="V948">
        <v>0</v>
      </c>
      <c r="W948">
        <v>0</v>
      </c>
      <c r="X948">
        <v>26.1</v>
      </c>
      <c r="Y948" t="e">
        <v>#DIV/0!</v>
      </c>
      <c r="Z948">
        <v>0</v>
      </c>
      <c r="AA948" t="e">
        <v>#DIV/0!</v>
      </c>
      <c r="AB948">
        <v>38</v>
      </c>
      <c r="AC948">
        <v>0</v>
      </c>
      <c r="AD948">
        <v>38.64</v>
      </c>
      <c r="AI94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948" t="s">
        <v>586</v>
      </c>
      <c r="AN948">
        <f>INT(Table1[[#This Row],[reject_prod]]/Table1[[#This Row],[part_weight]] * 1000)</f>
        <v>0</v>
      </c>
    </row>
    <row r="949" spans="1:40">
      <c r="A949" s="1">
        <v>46051</v>
      </c>
      <c r="B949">
        <v>2</v>
      </c>
      <c r="C949">
        <v>3</v>
      </c>
      <c r="D949" t="s">
        <v>141</v>
      </c>
      <c r="E949" t="s">
        <v>34</v>
      </c>
      <c r="F949">
        <v>442034</v>
      </c>
      <c r="G949">
        <v>0</v>
      </c>
      <c r="H949" t="s">
        <v>37</v>
      </c>
      <c r="I949">
        <v>10681184</v>
      </c>
      <c r="J949">
        <v>4</v>
      </c>
      <c r="K949">
        <v>23</v>
      </c>
      <c r="L949">
        <v>23</v>
      </c>
      <c r="M949">
        <v>1547</v>
      </c>
      <c r="N949" s="2">
        <v>139776</v>
      </c>
      <c r="O949" s="2">
        <v>1152</v>
      </c>
      <c r="P949" s="2">
        <v>2688</v>
      </c>
      <c r="Q949" s="2">
        <v>6188</v>
      </c>
      <c r="R949" s="2">
        <v>4608</v>
      </c>
      <c r="S949">
        <v>105.98399999999999</v>
      </c>
      <c r="T949" s="2">
        <v>104064</v>
      </c>
      <c r="U949" s="2">
        <v>35712</v>
      </c>
      <c r="V949">
        <v>142.32400000000001</v>
      </c>
      <c r="W949">
        <v>0</v>
      </c>
      <c r="X949">
        <v>0</v>
      </c>
      <c r="Y949">
        <v>0</v>
      </c>
      <c r="Z949">
        <v>1</v>
      </c>
      <c r="AA949">
        <v>7.0262218599814498E-3</v>
      </c>
      <c r="AB949">
        <v>28.5</v>
      </c>
      <c r="AC949">
        <v>12</v>
      </c>
      <c r="AD949">
        <v>22</v>
      </c>
      <c r="AI94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949" t="s">
        <v>103</v>
      </c>
      <c r="AN949">
        <f>INT(Table1[[#This Row],[reject_prod]]/Table1[[#This Row],[part_weight]] * 1000)</f>
        <v>43</v>
      </c>
    </row>
    <row r="950" spans="1:40">
      <c r="A950" s="1">
        <v>46051</v>
      </c>
      <c r="B950">
        <v>2</v>
      </c>
      <c r="C950">
        <v>4</v>
      </c>
      <c r="D950" t="s">
        <v>33</v>
      </c>
      <c r="E950" t="s">
        <v>34</v>
      </c>
      <c r="F950">
        <v>369308</v>
      </c>
      <c r="G950">
        <v>0</v>
      </c>
      <c r="H950" t="s">
        <v>516</v>
      </c>
      <c r="I950">
        <v>10684853</v>
      </c>
      <c r="J950">
        <v>4</v>
      </c>
      <c r="K950">
        <v>31</v>
      </c>
      <c r="L950">
        <v>31</v>
      </c>
      <c r="M950">
        <v>64</v>
      </c>
      <c r="N950" s="2">
        <v>34560</v>
      </c>
      <c r="O950" s="2">
        <v>1200</v>
      </c>
      <c r="P950" s="2">
        <v>0</v>
      </c>
      <c r="Q950" s="2">
        <v>256</v>
      </c>
      <c r="R950" s="2">
        <v>1440</v>
      </c>
      <c r="S950">
        <v>44.64</v>
      </c>
      <c r="T950" s="2">
        <v>34560</v>
      </c>
      <c r="U950" s="2">
        <v>0</v>
      </c>
      <c r="V950">
        <v>7.9359999999999999</v>
      </c>
      <c r="W950">
        <v>0</v>
      </c>
      <c r="X950">
        <v>0</v>
      </c>
      <c r="Y950">
        <v>0</v>
      </c>
      <c r="Z950">
        <v>0.5</v>
      </c>
      <c r="AA950">
        <v>6.3004032258064516E-2</v>
      </c>
      <c r="AB950">
        <v>27.5</v>
      </c>
      <c r="AC950">
        <v>0.48888888888888887</v>
      </c>
      <c r="AD950">
        <v>28.4</v>
      </c>
      <c r="AI95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11.511111111111111</v>
      </c>
      <c r="AK950" t="s">
        <v>102</v>
      </c>
      <c r="AN950">
        <f>INT(Table1[[#This Row],[reject_prod]]/Table1[[#This Row],[part_weight]] * 1000)</f>
        <v>16</v>
      </c>
    </row>
    <row r="951" spans="1:40">
      <c r="A951" s="1">
        <v>46051</v>
      </c>
      <c r="B951">
        <v>2</v>
      </c>
      <c r="C951">
        <v>4</v>
      </c>
      <c r="D951" t="s">
        <v>33</v>
      </c>
      <c r="E951" t="s">
        <v>34</v>
      </c>
      <c r="F951">
        <v>414439</v>
      </c>
      <c r="G951">
        <v>0</v>
      </c>
      <c r="H951" t="s">
        <v>587</v>
      </c>
      <c r="I951">
        <v>10684854</v>
      </c>
      <c r="J951">
        <v>6</v>
      </c>
      <c r="K951">
        <v>23</v>
      </c>
      <c r="L951">
        <v>15</v>
      </c>
      <c r="M951">
        <v>0</v>
      </c>
      <c r="N951" s="2">
        <v>59136</v>
      </c>
      <c r="O951" s="2">
        <v>0</v>
      </c>
      <c r="P951" s="2">
        <v>0</v>
      </c>
      <c r="Q951" s="2">
        <v>0</v>
      </c>
      <c r="R951" s="2">
        <v>0</v>
      </c>
      <c r="S951">
        <v>0</v>
      </c>
      <c r="T951" s="2">
        <v>0</v>
      </c>
      <c r="U951" s="2">
        <v>59136</v>
      </c>
      <c r="V951">
        <v>0</v>
      </c>
      <c r="W951">
        <v>0</v>
      </c>
      <c r="X951">
        <v>0</v>
      </c>
      <c r="Y951" t="e">
        <v>#DIV/0!</v>
      </c>
      <c r="Z951">
        <v>0</v>
      </c>
      <c r="AA951" t="e">
        <v>#DIV/0!</v>
      </c>
      <c r="AB951">
        <v>0</v>
      </c>
      <c r="AC951">
        <v>0</v>
      </c>
      <c r="AD951">
        <v>15</v>
      </c>
      <c r="AE951">
        <v>6</v>
      </c>
      <c r="AI95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6</v>
      </c>
      <c r="AK951" t="s">
        <v>588</v>
      </c>
      <c r="AN951">
        <f>INT(Table1[[#This Row],[reject_prod]]/Table1[[#This Row],[part_weight]] * 1000)</f>
        <v>0</v>
      </c>
    </row>
    <row r="952" spans="1:40">
      <c r="A952" s="1">
        <v>46051</v>
      </c>
      <c r="B952">
        <v>2</v>
      </c>
      <c r="C952">
        <v>5</v>
      </c>
      <c r="D952" t="s">
        <v>574</v>
      </c>
      <c r="E952" t="s">
        <v>34</v>
      </c>
      <c r="F952">
        <v>322389</v>
      </c>
      <c r="G952">
        <v>0</v>
      </c>
      <c r="H952" t="s">
        <v>542</v>
      </c>
      <c r="I952">
        <v>10684749</v>
      </c>
      <c r="J952">
        <v>4</v>
      </c>
      <c r="K952">
        <v>12.5</v>
      </c>
      <c r="L952">
        <v>12.5</v>
      </c>
      <c r="M952">
        <v>2099</v>
      </c>
      <c r="N952" s="2">
        <v>46800</v>
      </c>
      <c r="O952" s="2">
        <v>4680</v>
      </c>
      <c r="P952" s="2">
        <v>3520</v>
      </c>
      <c r="Q952" s="2">
        <v>8396</v>
      </c>
      <c r="R952" s="2">
        <v>9360</v>
      </c>
      <c r="S952">
        <v>117</v>
      </c>
      <c r="T952" s="2">
        <v>40960</v>
      </c>
      <c r="U952" s="2">
        <v>5840</v>
      </c>
      <c r="V952">
        <v>104.95</v>
      </c>
      <c r="W952">
        <v>0</v>
      </c>
      <c r="X952">
        <v>0</v>
      </c>
      <c r="Y952">
        <v>0</v>
      </c>
      <c r="Z952">
        <v>2.6</v>
      </c>
      <c r="AA952">
        <v>2.4773701762744165E-2</v>
      </c>
      <c r="AB952">
        <v>20.3</v>
      </c>
      <c r="AC952">
        <v>11.83602777777778</v>
      </c>
      <c r="AD952">
        <v>18.64</v>
      </c>
      <c r="AI95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0.16397222222222041</v>
      </c>
      <c r="AK952" t="s">
        <v>214</v>
      </c>
      <c r="AN952">
        <f>INT(Table1[[#This Row],[reject_prod]]/Table1[[#This Row],[part_weight]] * 1000)</f>
        <v>208</v>
      </c>
    </row>
    <row r="953" spans="1:40">
      <c r="A953" s="1">
        <v>46051</v>
      </c>
      <c r="B953">
        <v>2</v>
      </c>
      <c r="C953">
        <v>6</v>
      </c>
      <c r="D953" t="s">
        <v>575</v>
      </c>
      <c r="E953" t="s">
        <v>34</v>
      </c>
      <c r="F953">
        <v>324174</v>
      </c>
      <c r="G953">
        <v>0</v>
      </c>
      <c r="H953" t="s">
        <v>558</v>
      </c>
      <c r="I953">
        <v>10683856</v>
      </c>
      <c r="J953">
        <v>4</v>
      </c>
      <c r="K953">
        <v>24</v>
      </c>
      <c r="L953">
        <v>24</v>
      </c>
      <c r="M953">
        <v>1986</v>
      </c>
      <c r="N953" s="2">
        <v>40600</v>
      </c>
      <c r="O953" s="2">
        <v>1624</v>
      </c>
      <c r="P953" s="2">
        <v>1421</v>
      </c>
      <c r="Q953" s="2">
        <v>7944</v>
      </c>
      <c r="R953" s="2">
        <v>8120</v>
      </c>
      <c r="S953">
        <v>194.88</v>
      </c>
      <c r="T953" s="2">
        <v>27811</v>
      </c>
      <c r="U953" s="2">
        <v>12789</v>
      </c>
      <c r="V953">
        <v>190.65600000000001</v>
      </c>
      <c r="W953">
        <v>0</v>
      </c>
      <c r="X953">
        <v>0</v>
      </c>
      <c r="Y953">
        <v>0</v>
      </c>
      <c r="Z953">
        <v>0.5</v>
      </c>
      <c r="AA953">
        <v>2.6225243370258475E-3</v>
      </c>
      <c r="AB953">
        <v>21.5</v>
      </c>
      <c r="AC953">
        <v>11.860833333333334</v>
      </c>
      <c r="AD953">
        <v>20.12</v>
      </c>
      <c r="AI95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0.13916666666666622</v>
      </c>
      <c r="AK953" t="s">
        <v>214</v>
      </c>
      <c r="AN953">
        <f>INT(Table1[[#This Row],[reject_prod]]/Table1[[#This Row],[part_weight]] * 1000)</f>
        <v>20</v>
      </c>
    </row>
    <row r="954" spans="1:40">
      <c r="A954" s="1">
        <v>46051</v>
      </c>
      <c r="B954">
        <v>2</v>
      </c>
      <c r="C954">
        <v>7</v>
      </c>
      <c r="D954" t="s">
        <v>143</v>
      </c>
      <c r="E954" t="s">
        <v>34</v>
      </c>
      <c r="F954">
        <v>322471</v>
      </c>
      <c r="G954">
        <v>0</v>
      </c>
      <c r="H954" t="s">
        <v>520</v>
      </c>
      <c r="I954">
        <v>10684032</v>
      </c>
      <c r="J954">
        <v>4</v>
      </c>
      <c r="K954">
        <v>34.5</v>
      </c>
      <c r="L954">
        <v>34.5</v>
      </c>
      <c r="M954">
        <v>1303</v>
      </c>
      <c r="N954" s="2">
        <v>44352</v>
      </c>
      <c r="O954" s="2">
        <v>396</v>
      </c>
      <c r="P954" s="2">
        <v>0</v>
      </c>
      <c r="Q954" s="2">
        <v>5212</v>
      </c>
      <c r="R954" s="2">
        <v>5544</v>
      </c>
      <c r="S954">
        <v>191.268</v>
      </c>
      <c r="T954" s="2">
        <v>44352</v>
      </c>
      <c r="U954" s="2">
        <v>0</v>
      </c>
      <c r="V954">
        <v>179.81399999999999</v>
      </c>
      <c r="W954">
        <v>0</v>
      </c>
      <c r="X954">
        <v>0</v>
      </c>
      <c r="Y954">
        <v>0</v>
      </c>
      <c r="Z954">
        <v>2.2000000000000002</v>
      </c>
      <c r="AA954">
        <v>1.2234864915968724E-2</v>
      </c>
      <c r="AB954">
        <v>23.3</v>
      </c>
      <c r="AC954">
        <v>8.4333055555555561</v>
      </c>
      <c r="AD954">
        <v>16.2</v>
      </c>
      <c r="AI95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3.5666944444444439</v>
      </c>
      <c r="AK954" t="s">
        <v>589</v>
      </c>
      <c r="AN954">
        <f>INT(Table1[[#This Row],[reject_prod]]/Table1[[#This Row],[part_weight]] * 1000)</f>
        <v>63</v>
      </c>
    </row>
    <row r="955" spans="1:40">
      <c r="A955" s="1">
        <v>46051</v>
      </c>
      <c r="B955">
        <v>2</v>
      </c>
      <c r="C955">
        <v>7</v>
      </c>
      <c r="D955" t="s">
        <v>143</v>
      </c>
      <c r="E955" t="s">
        <v>34</v>
      </c>
      <c r="F955">
        <v>323072</v>
      </c>
      <c r="G955">
        <v>0</v>
      </c>
      <c r="H955" t="s">
        <v>590</v>
      </c>
      <c r="I955">
        <v>10684033</v>
      </c>
      <c r="J955">
        <v>4</v>
      </c>
      <c r="K955">
        <v>34.5</v>
      </c>
      <c r="L955">
        <v>34.5</v>
      </c>
      <c r="M955">
        <v>214</v>
      </c>
      <c r="N955" s="2">
        <v>24768</v>
      </c>
      <c r="O955" s="2">
        <v>0</v>
      </c>
      <c r="P955" s="2">
        <v>645</v>
      </c>
      <c r="Q955" s="2">
        <v>856</v>
      </c>
      <c r="R955" s="2">
        <v>0</v>
      </c>
      <c r="S955">
        <v>0</v>
      </c>
      <c r="T955" s="2">
        <v>645</v>
      </c>
      <c r="U955" s="2">
        <v>24123</v>
      </c>
      <c r="V955">
        <v>29.532</v>
      </c>
      <c r="W955">
        <v>0</v>
      </c>
      <c r="X955">
        <v>7.2</v>
      </c>
      <c r="Y955">
        <v>0.24380333197887039</v>
      </c>
      <c r="Z955">
        <v>0</v>
      </c>
      <c r="AA955">
        <v>0</v>
      </c>
      <c r="AB955">
        <v>23.3</v>
      </c>
      <c r="AC955">
        <v>1.3850555555555555</v>
      </c>
      <c r="AD955">
        <v>16.2</v>
      </c>
      <c r="AG955">
        <v>1</v>
      </c>
      <c r="AI95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9.6149444444444452</v>
      </c>
      <c r="AK955" t="s">
        <v>591</v>
      </c>
      <c r="AN955">
        <f>INT(Table1[[#This Row],[reject_prod]]/Table1[[#This Row],[part_weight]] * 1000)</f>
        <v>0</v>
      </c>
    </row>
    <row r="956" spans="1:40">
      <c r="A956" s="1">
        <v>46051</v>
      </c>
      <c r="B956">
        <v>2</v>
      </c>
      <c r="C956">
        <v>8</v>
      </c>
      <c r="D956" t="s">
        <v>67</v>
      </c>
      <c r="E956" t="s">
        <v>41</v>
      </c>
      <c r="F956">
        <v>593537</v>
      </c>
      <c r="G956">
        <v>0</v>
      </c>
      <c r="H956" t="s">
        <v>48</v>
      </c>
      <c r="I956">
        <v>10685022</v>
      </c>
      <c r="J956">
        <v>4</v>
      </c>
      <c r="K956">
        <v>56.5</v>
      </c>
      <c r="L956">
        <v>56.8</v>
      </c>
      <c r="M956">
        <v>1443</v>
      </c>
      <c r="N956" s="2">
        <v>69000</v>
      </c>
      <c r="O956" s="2">
        <v>115</v>
      </c>
      <c r="P956" s="2">
        <v>115</v>
      </c>
      <c r="Q956" s="2">
        <v>5772</v>
      </c>
      <c r="R956" s="2">
        <v>5750</v>
      </c>
      <c r="S956">
        <v>326.60000000000002</v>
      </c>
      <c r="T956" s="2">
        <v>46115</v>
      </c>
      <c r="U956" s="2">
        <v>22885</v>
      </c>
      <c r="V956">
        <v>327.84959999999995</v>
      </c>
      <c r="W956">
        <v>0</v>
      </c>
      <c r="X956">
        <v>0</v>
      </c>
      <c r="Y956">
        <v>0</v>
      </c>
      <c r="Z956">
        <v>1</v>
      </c>
      <c r="AA956">
        <v>3.050179106517135E-3</v>
      </c>
      <c r="AB956">
        <v>29.4</v>
      </c>
      <c r="AC956">
        <v>11.7845</v>
      </c>
      <c r="AD956">
        <v>28.5</v>
      </c>
      <c r="AI95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0.21550000000000047</v>
      </c>
      <c r="AK956" t="s">
        <v>51</v>
      </c>
      <c r="AN956">
        <f>INT(Table1[[#This Row],[reject_prod]]/Table1[[#This Row],[part_weight]] * 1000)</f>
        <v>17</v>
      </c>
    </row>
    <row r="957" spans="1:40">
      <c r="A957" s="1">
        <v>46051</v>
      </c>
      <c r="B957">
        <v>2</v>
      </c>
      <c r="C957">
        <v>9</v>
      </c>
      <c r="D957" t="s">
        <v>305</v>
      </c>
      <c r="E957" t="s">
        <v>46</v>
      </c>
      <c r="F957">
        <v>586276</v>
      </c>
      <c r="G957">
        <v>0</v>
      </c>
      <c r="H957" t="s">
        <v>47</v>
      </c>
      <c r="I957">
        <v>10682924</v>
      </c>
      <c r="J957">
        <v>6</v>
      </c>
      <c r="K957">
        <v>12.3</v>
      </c>
      <c r="L957">
        <v>12.3</v>
      </c>
      <c r="M957">
        <v>1678</v>
      </c>
      <c r="N957" s="2">
        <v>162000</v>
      </c>
      <c r="O957" s="2">
        <v>3645</v>
      </c>
      <c r="P957" s="2">
        <v>4860</v>
      </c>
      <c r="Q957" s="2">
        <v>10068</v>
      </c>
      <c r="R957" s="2">
        <v>8100</v>
      </c>
      <c r="S957">
        <v>99.63</v>
      </c>
      <c r="T957" s="2">
        <v>98820</v>
      </c>
      <c r="U957" s="2">
        <v>63180</v>
      </c>
      <c r="V957">
        <v>123.83640000000001</v>
      </c>
      <c r="W957">
        <v>0</v>
      </c>
      <c r="X957">
        <v>0</v>
      </c>
      <c r="Y957">
        <v>0</v>
      </c>
      <c r="Z957">
        <v>9</v>
      </c>
      <c r="AA957">
        <v>7.2676531294514374E-2</v>
      </c>
      <c r="AB957">
        <v>25.6</v>
      </c>
      <c r="AC957">
        <v>11.932444444444444</v>
      </c>
      <c r="AD957">
        <v>26</v>
      </c>
      <c r="AI95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6.7555555555555813E-2</v>
      </c>
      <c r="AK957" t="s">
        <v>592</v>
      </c>
      <c r="AN957">
        <f>INT(Table1[[#This Row],[reject_prod]]/Table1[[#This Row],[part_weight]] * 1000)</f>
        <v>731</v>
      </c>
    </row>
    <row r="958" spans="1:40">
      <c r="A958" s="1">
        <v>46051</v>
      </c>
      <c r="B958">
        <v>2</v>
      </c>
      <c r="C958">
        <v>10</v>
      </c>
      <c r="D958" t="s">
        <v>43</v>
      </c>
      <c r="E958" t="s">
        <v>34</v>
      </c>
      <c r="F958">
        <v>323133</v>
      </c>
      <c r="G958">
        <v>0</v>
      </c>
      <c r="H958" t="s">
        <v>568</v>
      </c>
      <c r="I958">
        <v>10684859</v>
      </c>
      <c r="J958">
        <v>4</v>
      </c>
      <c r="K958">
        <v>77</v>
      </c>
      <c r="L958">
        <v>77</v>
      </c>
      <c r="M958">
        <v>1066</v>
      </c>
      <c r="N958" s="2">
        <v>19872</v>
      </c>
      <c r="O958" s="2">
        <v>69</v>
      </c>
      <c r="P958" s="2">
        <v>138</v>
      </c>
      <c r="Q958" s="2">
        <v>4264</v>
      </c>
      <c r="R958" s="2">
        <v>4140</v>
      </c>
      <c r="S958">
        <v>318.77999999999997</v>
      </c>
      <c r="T958" s="2">
        <v>10626</v>
      </c>
      <c r="U958" s="2">
        <v>9246</v>
      </c>
      <c r="V958">
        <v>328.32799999999997</v>
      </c>
      <c r="W958">
        <v>0</v>
      </c>
      <c r="X958">
        <v>0</v>
      </c>
      <c r="Y958">
        <v>0</v>
      </c>
      <c r="Z958">
        <v>4</v>
      </c>
      <c r="AA958">
        <v>1.2182939012207307E-2</v>
      </c>
      <c r="AB958">
        <v>38.299999999999997</v>
      </c>
      <c r="AC958">
        <v>11.341055555555556</v>
      </c>
      <c r="AD958">
        <v>35</v>
      </c>
      <c r="AI95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0.65894444444444389</v>
      </c>
      <c r="AK958" t="s">
        <v>75</v>
      </c>
      <c r="AN958">
        <f>INT(Table1[[#This Row],[reject_prod]]/Table1[[#This Row],[part_weight]] * 1000)</f>
        <v>51</v>
      </c>
    </row>
    <row r="959" spans="1:40">
      <c r="A959" s="1">
        <v>46051</v>
      </c>
      <c r="B959">
        <v>2</v>
      </c>
      <c r="C959">
        <v>11</v>
      </c>
      <c r="D959" t="s">
        <v>61</v>
      </c>
      <c r="E959" t="s">
        <v>46</v>
      </c>
      <c r="F959">
        <v>552181</v>
      </c>
      <c r="G959">
        <v>1</v>
      </c>
      <c r="H959" t="s">
        <v>49</v>
      </c>
      <c r="I959">
        <v>10685338</v>
      </c>
      <c r="J959">
        <v>6</v>
      </c>
      <c r="K959">
        <v>18.8</v>
      </c>
      <c r="L959">
        <v>18.8</v>
      </c>
      <c r="M959">
        <v>1501</v>
      </c>
      <c r="N959" s="2">
        <v>108000</v>
      </c>
      <c r="O959" s="2">
        <v>1350</v>
      </c>
      <c r="P959" s="2">
        <v>1350</v>
      </c>
      <c r="Q959" s="2">
        <v>9006</v>
      </c>
      <c r="R959" s="2">
        <v>10800</v>
      </c>
      <c r="S959">
        <v>203.04</v>
      </c>
      <c r="T959" s="2">
        <v>44550</v>
      </c>
      <c r="U959" s="2">
        <v>63450</v>
      </c>
      <c r="V959">
        <v>169.31280000000001</v>
      </c>
      <c r="W959">
        <v>0</v>
      </c>
      <c r="X959">
        <v>0</v>
      </c>
      <c r="Y959">
        <v>0</v>
      </c>
      <c r="Z959">
        <v>2.2999999999999998</v>
      </c>
      <c r="AA959">
        <v>1.3584324398391615E-2</v>
      </c>
      <c r="AB959">
        <v>28.7</v>
      </c>
      <c r="AC959">
        <v>11.966305555555556</v>
      </c>
      <c r="AD959">
        <v>27</v>
      </c>
      <c r="AI95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3.3694444444444471E-2</v>
      </c>
      <c r="AK959" t="s">
        <v>51</v>
      </c>
      <c r="AN959">
        <f>INT(Table1[[#This Row],[reject_prod]]/Table1[[#This Row],[part_weight]] * 1000)</f>
        <v>122</v>
      </c>
    </row>
    <row r="960" spans="1:40">
      <c r="A960" s="1">
        <v>46051</v>
      </c>
      <c r="B960">
        <v>2</v>
      </c>
      <c r="C960">
        <v>12</v>
      </c>
      <c r="D960" t="s">
        <v>152</v>
      </c>
      <c r="E960" t="s">
        <v>34</v>
      </c>
      <c r="F960">
        <v>620599</v>
      </c>
      <c r="G960">
        <v>0</v>
      </c>
      <c r="H960" t="s">
        <v>50</v>
      </c>
      <c r="I960">
        <v>10685340</v>
      </c>
      <c r="J960">
        <v>4</v>
      </c>
      <c r="K960">
        <v>55</v>
      </c>
      <c r="L960">
        <v>55</v>
      </c>
      <c r="M960">
        <v>1471</v>
      </c>
      <c r="N960" s="2">
        <v>72000</v>
      </c>
      <c r="O960" s="2">
        <v>1650</v>
      </c>
      <c r="P960" s="2">
        <v>225</v>
      </c>
      <c r="Q960" s="2">
        <v>5884</v>
      </c>
      <c r="R960" s="2">
        <v>7200</v>
      </c>
      <c r="S960">
        <v>396</v>
      </c>
      <c r="T960" s="2">
        <v>16200</v>
      </c>
      <c r="U960" s="2">
        <v>55800</v>
      </c>
      <c r="V960">
        <v>323.62</v>
      </c>
      <c r="W960">
        <v>0</v>
      </c>
      <c r="X960">
        <v>0</v>
      </c>
      <c r="Y960">
        <v>0</v>
      </c>
      <c r="Z960">
        <v>5.9</v>
      </c>
      <c r="AA960">
        <v>1.8231258883876153E-2</v>
      </c>
      <c r="AB960">
        <v>28.8</v>
      </c>
      <c r="AC960">
        <v>11.768000000000001</v>
      </c>
      <c r="AD960">
        <v>28</v>
      </c>
      <c r="AI96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0.23199999999999932</v>
      </c>
      <c r="AK960" t="s">
        <v>237</v>
      </c>
      <c r="AN960">
        <f>INT(Table1[[#This Row],[reject_prod]]/Table1[[#This Row],[part_weight]] * 1000)</f>
        <v>107</v>
      </c>
    </row>
    <row r="961" spans="1:40">
      <c r="A961" s="1">
        <v>46051</v>
      </c>
      <c r="B961">
        <v>2</v>
      </c>
      <c r="C961">
        <v>13</v>
      </c>
      <c r="D961" t="s">
        <v>61</v>
      </c>
      <c r="E961" t="s">
        <v>46</v>
      </c>
      <c r="F961">
        <v>586276</v>
      </c>
      <c r="G961">
        <v>0</v>
      </c>
      <c r="H961" t="s">
        <v>47</v>
      </c>
      <c r="I961">
        <v>10684862</v>
      </c>
      <c r="J961">
        <v>6</v>
      </c>
      <c r="K961">
        <v>12.3</v>
      </c>
      <c r="L961">
        <v>12.3</v>
      </c>
      <c r="M961">
        <v>1620</v>
      </c>
      <c r="N961" s="2">
        <v>162000</v>
      </c>
      <c r="O961" s="2">
        <v>3240</v>
      </c>
      <c r="P961" s="2">
        <v>4860</v>
      </c>
      <c r="Q961" s="2">
        <v>9720</v>
      </c>
      <c r="R961" s="2">
        <v>8100</v>
      </c>
      <c r="S961">
        <v>99.63</v>
      </c>
      <c r="T961" s="2">
        <v>137700</v>
      </c>
      <c r="U961" s="2">
        <v>24300</v>
      </c>
      <c r="V961">
        <v>119.556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26.2</v>
      </c>
      <c r="AC961">
        <v>11.790000000000001</v>
      </c>
      <c r="AD961">
        <v>26</v>
      </c>
      <c r="AI96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0.20999999999999908</v>
      </c>
      <c r="AK961" t="s">
        <v>51</v>
      </c>
      <c r="AN961">
        <f>INT(Table1[[#This Row],[reject_prod]]/Table1[[#This Row],[part_weight]] * 1000)</f>
        <v>0</v>
      </c>
    </row>
    <row r="962" spans="1:40">
      <c r="A962" s="1">
        <v>46051</v>
      </c>
      <c r="B962">
        <v>2</v>
      </c>
      <c r="C962">
        <v>14</v>
      </c>
      <c r="D962" t="s">
        <v>33</v>
      </c>
      <c r="E962" t="s">
        <v>46</v>
      </c>
      <c r="F962">
        <v>555979</v>
      </c>
      <c r="G962">
        <v>1</v>
      </c>
      <c r="H962" t="s">
        <v>52</v>
      </c>
      <c r="I962">
        <v>10683785</v>
      </c>
      <c r="J962">
        <v>6</v>
      </c>
      <c r="K962">
        <v>28</v>
      </c>
      <c r="L962">
        <v>28</v>
      </c>
      <c r="M962">
        <v>0</v>
      </c>
      <c r="N962" s="2">
        <v>100800</v>
      </c>
      <c r="O962" s="2">
        <v>0</v>
      </c>
      <c r="P962" s="2">
        <v>0</v>
      </c>
      <c r="Q962" s="2">
        <v>0</v>
      </c>
      <c r="R962" s="2">
        <v>0</v>
      </c>
      <c r="S962">
        <v>0</v>
      </c>
      <c r="T962" s="2">
        <v>0</v>
      </c>
      <c r="U962" s="2">
        <v>100800</v>
      </c>
      <c r="V962">
        <v>0</v>
      </c>
      <c r="W962">
        <v>0</v>
      </c>
      <c r="X962">
        <v>0</v>
      </c>
      <c r="Y962" t="e">
        <v>#DIV/0!</v>
      </c>
      <c r="Z962">
        <v>0</v>
      </c>
      <c r="AA962" t="e">
        <v>#DIV/0!</v>
      </c>
      <c r="AB962">
        <v>42</v>
      </c>
      <c r="AC962">
        <v>0</v>
      </c>
      <c r="AD962">
        <v>42</v>
      </c>
      <c r="AI96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962" t="s">
        <v>593</v>
      </c>
      <c r="AN962">
        <f>INT(Table1[[#This Row],[reject_prod]]/Table1[[#This Row],[part_weight]] * 1000)</f>
        <v>0</v>
      </c>
    </row>
    <row r="963" spans="1:40">
      <c r="A963" s="1">
        <v>46051</v>
      </c>
      <c r="B963">
        <v>2</v>
      </c>
      <c r="C963">
        <v>15</v>
      </c>
      <c r="D963" t="s">
        <v>143</v>
      </c>
      <c r="E963" t="s">
        <v>46</v>
      </c>
      <c r="F963">
        <v>552181</v>
      </c>
      <c r="G963">
        <v>2</v>
      </c>
      <c r="H963" t="s">
        <v>49</v>
      </c>
      <c r="I963">
        <v>10685541</v>
      </c>
      <c r="J963">
        <v>6</v>
      </c>
      <c r="K963">
        <v>18.8</v>
      </c>
      <c r="L963">
        <v>18.8</v>
      </c>
      <c r="M963">
        <v>1362</v>
      </c>
      <c r="N963" s="2">
        <v>108000</v>
      </c>
      <c r="O963" s="2">
        <v>7020</v>
      </c>
      <c r="P963" s="2">
        <v>4860</v>
      </c>
      <c r="Q963" s="2">
        <v>8172</v>
      </c>
      <c r="R963" s="2">
        <v>10800</v>
      </c>
      <c r="S963">
        <v>203.04</v>
      </c>
      <c r="T963" s="2">
        <v>15660</v>
      </c>
      <c r="U963" s="2">
        <v>92340</v>
      </c>
      <c r="V963">
        <v>153.6336</v>
      </c>
      <c r="W963">
        <v>0</v>
      </c>
      <c r="X963">
        <v>0</v>
      </c>
      <c r="Y963">
        <v>0</v>
      </c>
      <c r="Z963">
        <v>0.5</v>
      </c>
      <c r="AA963">
        <v>3.2544964122431549E-3</v>
      </c>
      <c r="AB963">
        <v>30.8</v>
      </c>
      <c r="AC963">
        <v>11.652666666666667</v>
      </c>
      <c r="AD963">
        <v>27</v>
      </c>
      <c r="AI96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0.34733333333333327</v>
      </c>
      <c r="AK963" t="s">
        <v>594</v>
      </c>
      <c r="AN963">
        <f>INT(Table1[[#This Row],[reject_prod]]/Table1[[#This Row],[part_weight]] * 1000)</f>
        <v>26</v>
      </c>
    </row>
    <row r="964" spans="1:40" s="4" customFormat="1">
      <c r="A964" s="3">
        <v>46051</v>
      </c>
      <c r="B964" s="4">
        <v>2</v>
      </c>
      <c r="C964" s="4">
        <v>16</v>
      </c>
      <c r="D964" s="4" t="s">
        <v>129</v>
      </c>
      <c r="E964" s="4" t="s">
        <v>46</v>
      </c>
      <c r="F964" s="4">
        <v>555979</v>
      </c>
      <c r="G964" s="4">
        <v>2</v>
      </c>
      <c r="H964" s="4" t="s">
        <v>52</v>
      </c>
      <c r="I964" s="4">
        <v>10684863</v>
      </c>
      <c r="J964" s="4">
        <v>6</v>
      </c>
      <c r="K964" s="4">
        <v>28</v>
      </c>
      <c r="L964" s="4">
        <v>28</v>
      </c>
      <c r="M964" s="4">
        <v>989</v>
      </c>
      <c r="N964" s="5">
        <v>100800</v>
      </c>
      <c r="O964" s="5">
        <v>1680</v>
      </c>
      <c r="P964" s="5">
        <v>840</v>
      </c>
      <c r="Q964" s="5">
        <v>5934</v>
      </c>
      <c r="R964" s="5">
        <v>6720</v>
      </c>
      <c r="S964" s="4">
        <v>188.16</v>
      </c>
      <c r="T964" s="5">
        <v>71400</v>
      </c>
      <c r="U964" s="5">
        <v>29400</v>
      </c>
      <c r="V964" s="4">
        <v>166.15199999999999</v>
      </c>
      <c r="W964" s="4">
        <v>0</v>
      </c>
      <c r="X964" s="4">
        <v>0</v>
      </c>
      <c r="Y964" s="4">
        <v>0</v>
      </c>
      <c r="Z964" s="4">
        <v>1.5</v>
      </c>
      <c r="AA964" s="4">
        <v>9.0278780875343058E-3</v>
      </c>
      <c r="AB964" s="4">
        <v>43.4</v>
      </c>
      <c r="AC964" s="4">
        <v>11.922944444444445</v>
      </c>
      <c r="AD964" s="4">
        <v>42</v>
      </c>
      <c r="AI96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7.7055555555554989E-2</v>
      </c>
      <c r="AK964" s="4" t="s">
        <v>51</v>
      </c>
      <c r="AN964" s="4">
        <f>INT(Table1[[#This Row],[reject_prod]]/Table1[[#This Row],[part_weight]] * 1000)</f>
        <v>53</v>
      </c>
    </row>
    <row r="965" spans="1:40">
      <c r="A965" s="1">
        <v>46052</v>
      </c>
      <c r="B965">
        <v>1</v>
      </c>
      <c r="C965">
        <v>1</v>
      </c>
      <c r="D965" t="s">
        <v>33</v>
      </c>
      <c r="E965" t="s">
        <v>34</v>
      </c>
      <c r="F965">
        <v>577492</v>
      </c>
      <c r="G965">
        <v>0</v>
      </c>
      <c r="H965" t="s">
        <v>341</v>
      </c>
      <c r="I965">
        <v>10686027</v>
      </c>
      <c r="J965">
        <v>4</v>
      </c>
      <c r="K965">
        <v>35.6</v>
      </c>
      <c r="L965">
        <v>35.6</v>
      </c>
      <c r="M965">
        <v>230</v>
      </c>
      <c r="N965" s="2">
        <v>20240</v>
      </c>
      <c r="O965" s="2">
        <v>920</v>
      </c>
      <c r="P965" s="2">
        <v>0</v>
      </c>
      <c r="Q965" s="2">
        <v>920</v>
      </c>
      <c r="R965" s="2">
        <v>1840</v>
      </c>
      <c r="S965">
        <v>65.504000000000005</v>
      </c>
      <c r="T965" s="2">
        <v>20240</v>
      </c>
      <c r="U965" s="2">
        <v>0</v>
      </c>
      <c r="V965">
        <v>32.752000000000002</v>
      </c>
      <c r="W965">
        <v>0</v>
      </c>
      <c r="X965">
        <v>0</v>
      </c>
      <c r="Y965">
        <v>0</v>
      </c>
      <c r="Z965">
        <v>1</v>
      </c>
      <c r="AA965">
        <v>3.053248656570591E-2</v>
      </c>
      <c r="AB965">
        <v>26.8</v>
      </c>
      <c r="AC965">
        <v>1.7122222222222223</v>
      </c>
      <c r="AD965">
        <v>27</v>
      </c>
      <c r="AI96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10.287777777777778</v>
      </c>
      <c r="AK965" t="s">
        <v>457</v>
      </c>
      <c r="AN965">
        <f>INT(Table1[[#This Row],[reject_prod]]/Table1[[#This Row],[part_weight]] * 1000)</f>
        <v>28</v>
      </c>
    </row>
    <row r="966" spans="1:40">
      <c r="A966" s="1">
        <v>46052</v>
      </c>
      <c r="B966">
        <v>1</v>
      </c>
      <c r="C966">
        <v>1</v>
      </c>
      <c r="D966" t="s">
        <v>54</v>
      </c>
      <c r="E966" t="s">
        <v>34</v>
      </c>
      <c r="F966">
        <v>347623</v>
      </c>
      <c r="G966">
        <v>0</v>
      </c>
      <c r="H966" t="s">
        <v>35</v>
      </c>
      <c r="I966">
        <v>10685631</v>
      </c>
      <c r="J966">
        <v>4</v>
      </c>
      <c r="K966">
        <v>35.6</v>
      </c>
      <c r="L966">
        <v>35.6</v>
      </c>
      <c r="M966">
        <v>300</v>
      </c>
      <c r="N966" s="2">
        <v>36800</v>
      </c>
      <c r="O966" s="2">
        <v>0</v>
      </c>
      <c r="P966" s="2">
        <v>1104</v>
      </c>
      <c r="Q966" s="2">
        <v>1200</v>
      </c>
      <c r="R966" s="2">
        <v>0</v>
      </c>
      <c r="S966">
        <v>0</v>
      </c>
      <c r="T966" s="2">
        <v>1104</v>
      </c>
      <c r="U966" s="2">
        <v>35696</v>
      </c>
      <c r="V966">
        <v>42.72</v>
      </c>
      <c r="W966">
        <v>0</v>
      </c>
      <c r="X966">
        <v>1</v>
      </c>
      <c r="Y966">
        <v>2.3408239700374533E-2</v>
      </c>
      <c r="Z966">
        <v>4</v>
      </c>
      <c r="AA966">
        <v>9.3632958801498134E-2</v>
      </c>
      <c r="AB966">
        <v>27.19</v>
      </c>
      <c r="AC966">
        <v>2.2658333333333336</v>
      </c>
      <c r="AD966">
        <v>27</v>
      </c>
      <c r="AI96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5.7341666666666669</v>
      </c>
      <c r="AJ966">
        <v>4</v>
      </c>
      <c r="AK966" t="s">
        <v>601</v>
      </c>
      <c r="AL966">
        <v>8</v>
      </c>
      <c r="AM966">
        <v>6</v>
      </c>
      <c r="AN966">
        <f>INT(Table1[[#This Row],[reject_prod]]/Table1[[#This Row],[part_weight]] * 1000)</f>
        <v>112</v>
      </c>
    </row>
    <row r="967" spans="1:40">
      <c r="A967" s="1">
        <v>46052</v>
      </c>
      <c r="B967">
        <v>1</v>
      </c>
      <c r="C967">
        <v>2</v>
      </c>
      <c r="D967" t="s">
        <v>33</v>
      </c>
      <c r="E967" t="s">
        <v>34</v>
      </c>
      <c r="F967">
        <v>416201</v>
      </c>
      <c r="G967">
        <v>0</v>
      </c>
      <c r="H967" t="s">
        <v>36</v>
      </c>
      <c r="I967">
        <v>10681779</v>
      </c>
      <c r="J967">
        <v>4</v>
      </c>
      <c r="K967">
        <v>20</v>
      </c>
      <c r="L967">
        <v>30</v>
      </c>
      <c r="M967">
        <v>320</v>
      </c>
      <c r="N967" s="2">
        <v>50400</v>
      </c>
      <c r="O967" s="2">
        <v>2940</v>
      </c>
      <c r="P967" s="2">
        <v>4200</v>
      </c>
      <c r="Q967" s="2">
        <v>1280</v>
      </c>
      <c r="R967" s="2">
        <v>0</v>
      </c>
      <c r="S967">
        <v>0</v>
      </c>
      <c r="T967" s="2">
        <v>4200</v>
      </c>
      <c r="U967" s="2">
        <v>46200</v>
      </c>
      <c r="V967">
        <v>38.4</v>
      </c>
      <c r="W967">
        <v>-12.8</v>
      </c>
      <c r="X967">
        <v>10</v>
      </c>
      <c r="Y967">
        <v>0.26041666666666669</v>
      </c>
      <c r="Z967">
        <v>22</v>
      </c>
      <c r="AA967">
        <v>0.57291666666666674</v>
      </c>
      <c r="AB967">
        <v>35</v>
      </c>
      <c r="AC967">
        <v>3.1111111111111112</v>
      </c>
      <c r="AD967">
        <v>38.64</v>
      </c>
      <c r="AI96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8.8888888888888893</v>
      </c>
      <c r="AK967" t="s">
        <v>602</v>
      </c>
      <c r="AL967">
        <v>7</v>
      </c>
      <c r="AM967">
        <v>4</v>
      </c>
      <c r="AN967">
        <f>INT(Table1[[#This Row],[reject_prod]]/Table1[[#This Row],[part_weight]] * 1000)</f>
        <v>733</v>
      </c>
    </row>
    <row r="968" spans="1:40">
      <c r="A968" s="1">
        <v>46052</v>
      </c>
      <c r="B968">
        <v>1</v>
      </c>
      <c r="C968">
        <v>3</v>
      </c>
      <c r="D968" t="s">
        <v>84</v>
      </c>
      <c r="E968" t="s">
        <v>34</v>
      </c>
      <c r="F968">
        <v>442034</v>
      </c>
      <c r="G968">
        <v>0</v>
      </c>
      <c r="H968" t="s">
        <v>37</v>
      </c>
      <c r="I968">
        <v>10681184</v>
      </c>
      <c r="J968">
        <v>4</v>
      </c>
      <c r="K968">
        <v>23</v>
      </c>
      <c r="L968">
        <v>23</v>
      </c>
      <c r="M968">
        <v>1525</v>
      </c>
      <c r="N968" s="2">
        <v>139776</v>
      </c>
      <c r="O968" s="2">
        <v>2688</v>
      </c>
      <c r="P968" s="2">
        <v>4224</v>
      </c>
      <c r="Q968" s="2">
        <v>6100</v>
      </c>
      <c r="R968" s="2">
        <v>4608</v>
      </c>
      <c r="S968">
        <v>105.98399999999999</v>
      </c>
      <c r="T968" s="2">
        <v>110208</v>
      </c>
      <c r="U968" s="2">
        <v>29568</v>
      </c>
      <c r="V968">
        <v>140.30000000000001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28.6</v>
      </c>
      <c r="AC968">
        <v>12</v>
      </c>
      <c r="AD968">
        <v>22</v>
      </c>
      <c r="AI96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968" t="s">
        <v>603</v>
      </c>
      <c r="AN968">
        <f>INT(Table1[[#This Row],[reject_prod]]/Table1[[#This Row],[part_weight]] * 1000)</f>
        <v>0</v>
      </c>
    </row>
    <row r="969" spans="1:40">
      <c r="A969" s="1">
        <v>46052</v>
      </c>
      <c r="B969">
        <v>1</v>
      </c>
      <c r="C969">
        <v>4</v>
      </c>
      <c r="D969" t="s">
        <v>33</v>
      </c>
      <c r="E969" t="s">
        <v>34</v>
      </c>
      <c r="F969">
        <v>414439</v>
      </c>
      <c r="G969">
        <v>0</v>
      </c>
      <c r="H969" t="s">
        <v>587</v>
      </c>
      <c r="I969">
        <v>10684854</v>
      </c>
      <c r="J969">
        <v>6</v>
      </c>
      <c r="K969">
        <v>23</v>
      </c>
      <c r="L969">
        <v>15</v>
      </c>
      <c r="M969">
        <v>0</v>
      </c>
      <c r="N969" s="2">
        <v>59136</v>
      </c>
      <c r="O969" s="2">
        <v>0</v>
      </c>
      <c r="P969" s="2">
        <v>0</v>
      </c>
      <c r="Q969" s="2">
        <v>0</v>
      </c>
      <c r="R969" s="2">
        <v>0</v>
      </c>
      <c r="S969">
        <v>0</v>
      </c>
      <c r="T969" s="2">
        <v>0</v>
      </c>
      <c r="U969" s="2">
        <v>59136</v>
      </c>
      <c r="V969">
        <v>0</v>
      </c>
      <c r="W969">
        <v>0</v>
      </c>
      <c r="X969">
        <v>0</v>
      </c>
      <c r="Y969" t="e">
        <v>#DIV/0!</v>
      </c>
      <c r="Z969">
        <v>0</v>
      </c>
      <c r="AA969" t="e">
        <v>#DIV/0!</v>
      </c>
      <c r="AB969">
        <v>0</v>
      </c>
      <c r="AC969">
        <v>0</v>
      </c>
      <c r="AD969">
        <v>15</v>
      </c>
      <c r="AI96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969" t="s">
        <v>588</v>
      </c>
      <c r="AL969">
        <v>5</v>
      </c>
      <c r="AM969">
        <v>4</v>
      </c>
      <c r="AN969">
        <f>INT(Table1[[#This Row],[reject_prod]]/Table1[[#This Row],[part_weight]] * 1000)</f>
        <v>0</v>
      </c>
    </row>
    <row r="970" spans="1:40">
      <c r="A970" s="1">
        <v>46052</v>
      </c>
      <c r="B970">
        <v>1</v>
      </c>
      <c r="C970">
        <v>5</v>
      </c>
      <c r="D970" t="s">
        <v>595</v>
      </c>
      <c r="E970" t="s">
        <v>34</v>
      </c>
      <c r="F970">
        <v>322389</v>
      </c>
      <c r="G970">
        <v>0</v>
      </c>
      <c r="H970" t="s">
        <v>542</v>
      </c>
      <c r="I970">
        <v>10684749</v>
      </c>
      <c r="J970">
        <v>4</v>
      </c>
      <c r="K970">
        <v>12.5</v>
      </c>
      <c r="L970">
        <v>12.5</v>
      </c>
      <c r="M970">
        <v>1460</v>
      </c>
      <c r="N970" s="2">
        <v>46800</v>
      </c>
      <c r="O970" s="2">
        <v>3520</v>
      </c>
      <c r="P970" s="2">
        <v>0</v>
      </c>
      <c r="Q970" s="2">
        <v>5840</v>
      </c>
      <c r="R970" s="2">
        <v>9360</v>
      </c>
      <c r="S970">
        <v>117</v>
      </c>
      <c r="T970" s="2">
        <v>46800</v>
      </c>
      <c r="U970" s="2">
        <v>0</v>
      </c>
      <c r="V970">
        <v>73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20.399999999999999</v>
      </c>
      <c r="AC970">
        <v>8.2733333333333334</v>
      </c>
      <c r="AD970">
        <v>18.64</v>
      </c>
      <c r="AI97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3.7266666666666666</v>
      </c>
      <c r="AK970" t="s">
        <v>457</v>
      </c>
      <c r="AL970">
        <v>2</v>
      </c>
      <c r="AM970">
        <v>1.5</v>
      </c>
      <c r="AN970">
        <f>INT(Table1[[#This Row],[reject_prod]]/Table1[[#This Row],[part_weight]] * 1000)</f>
        <v>0</v>
      </c>
    </row>
    <row r="971" spans="1:40">
      <c r="A971" s="1">
        <v>46052</v>
      </c>
      <c r="B971">
        <v>1</v>
      </c>
      <c r="C971">
        <v>5</v>
      </c>
      <c r="D971" t="s">
        <v>33</v>
      </c>
      <c r="E971" t="s">
        <v>34</v>
      </c>
      <c r="F971">
        <v>322389</v>
      </c>
      <c r="G971">
        <v>0</v>
      </c>
      <c r="H971" t="s">
        <v>542</v>
      </c>
      <c r="I971" t="s">
        <v>604</v>
      </c>
      <c r="J971">
        <v>4</v>
      </c>
      <c r="K971">
        <v>12.5</v>
      </c>
      <c r="L971">
        <v>12.5</v>
      </c>
      <c r="M971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>
        <v>0</v>
      </c>
      <c r="T971" s="2">
        <v>0</v>
      </c>
      <c r="U971" s="2">
        <v>0</v>
      </c>
      <c r="V971">
        <v>0</v>
      </c>
      <c r="W971">
        <v>0</v>
      </c>
      <c r="X971">
        <v>0</v>
      </c>
      <c r="Y971" t="e">
        <v>#DIV/0!</v>
      </c>
      <c r="Z971">
        <v>0</v>
      </c>
      <c r="AA971" t="e">
        <v>#DIV/0!</v>
      </c>
      <c r="AB971">
        <v>20.399999999999999</v>
      </c>
      <c r="AC971">
        <v>0</v>
      </c>
      <c r="AD971">
        <v>18.64</v>
      </c>
      <c r="AI97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971" t="s">
        <v>604</v>
      </c>
      <c r="AN971">
        <f>INT(Table1[[#This Row],[reject_prod]]/Table1[[#This Row],[part_weight]] * 1000)</f>
        <v>0</v>
      </c>
    </row>
    <row r="972" spans="1:40">
      <c r="A972" s="1">
        <v>46052</v>
      </c>
      <c r="B972">
        <v>1</v>
      </c>
      <c r="C972">
        <v>5</v>
      </c>
      <c r="D972" t="s">
        <v>33</v>
      </c>
      <c r="E972" t="s">
        <v>34</v>
      </c>
      <c r="F972">
        <v>322394</v>
      </c>
      <c r="G972">
        <v>0</v>
      </c>
      <c r="H972" t="s">
        <v>605</v>
      </c>
      <c r="I972">
        <v>10685208</v>
      </c>
      <c r="J972">
        <v>4</v>
      </c>
      <c r="K972">
        <v>20</v>
      </c>
      <c r="L972">
        <v>20</v>
      </c>
      <c r="M972">
        <v>0</v>
      </c>
      <c r="N972" s="2">
        <v>11520</v>
      </c>
      <c r="O972" s="2">
        <v>0</v>
      </c>
      <c r="P972" s="2">
        <v>0</v>
      </c>
      <c r="Q972" s="2">
        <v>0</v>
      </c>
      <c r="R972" s="2">
        <v>0</v>
      </c>
      <c r="S972">
        <v>0</v>
      </c>
      <c r="T972" s="2">
        <v>0</v>
      </c>
      <c r="U972" s="2">
        <v>11520</v>
      </c>
      <c r="V972">
        <v>0</v>
      </c>
      <c r="W972">
        <v>0</v>
      </c>
      <c r="X972">
        <v>0</v>
      </c>
      <c r="Y972" t="e">
        <v>#DIV/0!</v>
      </c>
      <c r="Z972">
        <v>0</v>
      </c>
      <c r="AA972" t="e">
        <v>#DIV/0!</v>
      </c>
      <c r="AB972">
        <v>20.399999999999999</v>
      </c>
      <c r="AC972">
        <v>0</v>
      </c>
      <c r="AD972">
        <v>19.14</v>
      </c>
      <c r="AG972">
        <v>1.5</v>
      </c>
      <c r="AI97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10.5</v>
      </c>
      <c r="AK972" t="s">
        <v>588</v>
      </c>
      <c r="AN972">
        <f>INT(Table1[[#This Row],[reject_prod]]/Table1[[#This Row],[part_weight]] * 1000)</f>
        <v>0</v>
      </c>
    </row>
    <row r="973" spans="1:40">
      <c r="A973" s="1">
        <v>46052</v>
      </c>
      <c r="B973">
        <v>1</v>
      </c>
      <c r="C973">
        <v>6</v>
      </c>
      <c r="D973" t="s">
        <v>596</v>
      </c>
      <c r="E973" t="s">
        <v>34</v>
      </c>
      <c r="F973">
        <v>324174</v>
      </c>
      <c r="G973">
        <v>0</v>
      </c>
      <c r="H973" t="s">
        <v>558</v>
      </c>
      <c r="I973">
        <v>10683856</v>
      </c>
      <c r="J973">
        <v>4</v>
      </c>
      <c r="K973">
        <v>24</v>
      </c>
      <c r="L973">
        <v>24</v>
      </c>
      <c r="M973">
        <v>2025</v>
      </c>
      <c r="N973" s="2">
        <v>40600</v>
      </c>
      <c r="O973" s="2">
        <v>1421</v>
      </c>
      <c r="P973" s="2">
        <v>1624</v>
      </c>
      <c r="Q973" s="2">
        <v>8100</v>
      </c>
      <c r="R973" s="2">
        <v>8120</v>
      </c>
      <c r="S973">
        <v>194.88</v>
      </c>
      <c r="T973" s="2">
        <v>36134</v>
      </c>
      <c r="U973" s="2">
        <v>4466</v>
      </c>
      <c r="V973">
        <v>194.4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21.33</v>
      </c>
      <c r="AC973">
        <v>11.998125</v>
      </c>
      <c r="AD973">
        <v>20.12</v>
      </c>
      <c r="AI97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1.8750000000000711E-3</v>
      </c>
      <c r="AK973" t="s">
        <v>214</v>
      </c>
      <c r="AN973">
        <f>INT(Table1[[#This Row],[reject_prod]]/Table1[[#This Row],[part_weight]] * 1000)</f>
        <v>0</v>
      </c>
    </row>
    <row r="974" spans="1:40">
      <c r="A974" s="1">
        <v>46052</v>
      </c>
      <c r="B974">
        <v>1</v>
      </c>
      <c r="C974">
        <v>7</v>
      </c>
      <c r="D974" t="s">
        <v>208</v>
      </c>
      <c r="E974" t="s">
        <v>34</v>
      </c>
      <c r="F974">
        <v>323072</v>
      </c>
      <c r="G974">
        <v>0</v>
      </c>
      <c r="H974" t="s">
        <v>590</v>
      </c>
      <c r="I974">
        <v>10684033</v>
      </c>
      <c r="J974">
        <v>4</v>
      </c>
      <c r="K974">
        <v>34.5</v>
      </c>
      <c r="L974">
        <v>34.5</v>
      </c>
      <c r="M974">
        <v>1580</v>
      </c>
      <c r="N974" s="2">
        <v>44352</v>
      </c>
      <c r="O974" s="2">
        <v>645</v>
      </c>
      <c r="P974" s="2">
        <v>774</v>
      </c>
      <c r="Q974" s="2">
        <v>6320</v>
      </c>
      <c r="R974" s="2">
        <v>6192</v>
      </c>
      <c r="S974">
        <v>213.624</v>
      </c>
      <c r="T974" s="2">
        <v>6966</v>
      </c>
      <c r="U974" s="2">
        <v>37386</v>
      </c>
      <c r="V974">
        <v>218.04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23.67</v>
      </c>
      <c r="AC974">
        <v>10.388500000000001</v>
      </c>
      <c r="AD974">
        <v>16.2</v>
      </c>
      <c r="AI97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1.6114999999999995</v>
      </c>
      <c r="AK974" t="s">
        <v>603</v>
      </c>
      <c r="AL974">
        <v>3</v>
      </c>
      <c r="AM974">
        <v>5</v>
      </c>
      <c r="AN974">
        <f>INT(Table1[[#This Row],[reject_prod]]/Table1[[#This Row],[part_weight]] * 1000)</f>
        <v>0</v>
      </c>
    </row>
    <row r="975" spans="1:40">
      <c r="A975" s="1">
        <v>46052</v>
      </c>
      <c r="B975">
        <v>1</v>
      </c>
      <c r="C975">
        <v>8</v>
      </c>
      <c r="D975" t="s">
        <v>289</v>
      </c>
      <c r="E975" t="s">
        <v>41</v>
      </c>
      <c r="F975">
        <v>593537</v>
      </c>
      <c r="G975">
        <v>0</v>
      </c>
      <c r="H975" t="s">
        <v>48</v>
      </c>
      <c r="I975">
        <v>10685337</v>
      </c>
      <c r="J975">
        <v>4</v>
      </c>
      <c r="K975">
        <v>56.5</v>
      </c>
      <c r="L975">
        <v>56.8</v>
      </c>
      <c r="M975">
        <v>1440</v>
      </c>
      <c r="N975" s="2">
        <v>69000</v>
      </c>
      <c r="O975" s="2">
        <v>115</v>
      </c>
      <c r="P975" s="2">
        <v>115</v>
      </c>
      <c r="Q975" s="2">
        <v>5760</v>
      </c>
      <c r="R975" s="2">
        <v>5750</v>
      </c>
      <c r="S975">
        <v>326.60000000000002</v>
      </c>
      <c r="T975" s="2">
        <v>51750</v>
      </c>
      <c r="U975" s="2">
        <v>17250</v>
      </c>
      <c r="V975">
        <v>327.16800000000001</v>
      </c>
      <c r="W975">
        <v>-1.7279999999999835</v>
      </c>
      <c r="X975">
        <v>0</v>
      </c>
      <c r="Y975">
        <v>0</v>
      </c>
      <c r="Z975">
        <v>3</v>
      </c>
      <c r="AA975">
        <v>9.1696009389671367E-3</v>
      </c>
      <c r="AB975">
        <v>29.4</v>
      </c>
      <c r="AC975">
        <v>11.759999999999998</v>
      </c>
      <c r="AD975">
        <v>28.5</v>
      </c>
      <c r="AI97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0.24000000000000199</v>
      </c>
      <c r="AK975" t="s">
        <v>51</v>
      </c>
      <c r="AN975">
        <f>INT(Table1[[#This Row],[reject_prod]]/Table1[[#This Row],[part_weight]] * 1000)</f>
        <v>52</v>
      </c>
    </row>
    <row r="976" spans="1:40">
      <c r="A976" s="1">
        <v>46052</v>
      </c>
      <c r="B976">
        <v>1</v>
      </c>
      <c r="C976">
        <v>9</v>
      </c>
      <c r="D976" t="s">
        <v>54</v>
      </c>
      <c r="E976" t="s">
        <v>46</v>
      </c>
      <c r="F976">
        <v>586276</v>
      </c>
      <c r="G976">
        <v>0</v>
      </c>
      <c r="H976" t="s">
        <v>47</v>
      </c>
      <c r="I976">
        <v>10682924</v>
      </c>
      <c r="J976">
        <v>6</v>
      </c>
      <c r="K976">
        <v>12.3</v>
      </c>
      <c r="L976">
        <v>12.3</v>
      </c>
      <c r="M976">
        <v>1620</v>
      </c>
      <c r="N976" s="2">
        <v>162000</v>
      </c>
      <c r="O976" s="2">
        <v>4860</v>
      </c>
      <c r="P976" s="2">
        <v>4860</v>
      </c>
      <c r="Q976" s="2">
        <v>9720</v>
      </c>
      <c r="R976" s="2">
        <v>8100</v>
      </c>
      <c r="S976">
        <v>99.63</v>
      </c>
      <c r="T976" s="2">
        <v>102060</v>
      </c>
      <c r="U976" s="2">
        <v>59940</v>
      </c>
      <c r="V976">
        <v>119.556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25.6</v>
      </c>
      <c r="AC976">
        <v>11.520000000000001</v>
      </c>
      <c r="AD976">
        <v>26</v>
      </c>
      <c r="AI97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0.47999999999999865</v>
      </c>
      <c r="AK976" t="s">
        <v>51</v>
      </c>
      <c r="AL976">
        <v>2</v>
      </c>
      <c r="AM976">
        <v>2</v>
      </c>
      <c r="AN976">
        <f>INT(Table1[[#This Row],[reject_prod]]/Table1[[#This Row],[part_weight]] * 1000)</f>
        <v>0</v>
      </c>
    </row>
    <row r="977" spans="1:40">
      <c r="A977" s="1">
        <v>46052</v>
      </c>
      <c r="B977">
        <v>1</v>
      </c>
      <c r="C977">
        <v>10</v>
      </c>
      <c r="D977" t="s">
        <v>117</v>
      </c>
      <c r="E977" t="s">
        <v>34</v>
      </c>
      <c r="F977">
        <v>323133</v>
      </c>
      <c r="G977">
        <v>0</v>
      </c>
      <c r="H977" t="s">
        <v>568</v>
      </c>
      <c r="I977">
        <v>10684859</v>
      </c>
      <c r="J977">
        <v>4</v>
      </c>
      <c r="K977">
        <v>77</v>
      </c>
      <c r="L977">
        <v>77</v>
      </c>
      <c r="M977">
        <v>1080</v>
      </c>
      <c r="N977" s="2">
        <v>19872</v>
      </c>
      <c r="O977" s="2">
        <v>138</v>
      </c>
      <c r="P977" s="2">
        <v>0</v>
      </c>
      <c r="Q977" s="2">
        <v>4320</v>
      </c>
      <c r="R977" s="2">
        <v>4416</v>
      </c>
      <c r="S977">
        <v>340.03199999999998</v>
      </c>
      <c r="T977" s="2">
        <v>14904</v>
      </c>
      <c r="U977" s="2">
        <v>4968</v>
      </c>
      <c r="V977">
        <v>332.64</v>
      </c>
      <c r="W977">
        <v>0</v>
      </c>
      <c r="X977">
        <v>0</v>
      </c>
      <c r="Y977">
        <v>0</v>
      </c>
      <c r="Z977">
        <v>6</v>
      </c>
      <c r="AA977">
        <v>1.803751803751804E-2</v>
      </c>
      <c r="AB977">
        <v>38.299999999999997</v>
      </c>
      <c r="AC977">
        <v>11.49</v>
      </c>
      <c r="AD977">
        <v>35</v>
      </c>
      <c r="AI97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0.50999999999999979</v>
      </c>
      <c r="AK977" t="s">
        <v>606</v>
      </c>
      <c r="AM977">
        <v>7</v>
      </c>
      <c r="AN977">
        <f>INT(Table1[[#This Row],[reject_prod]]/Table1[[#This Row],[part_weight]] * 1000)</f>
        <v>77</v>
      </c>
    </row>
    <row r="978" spans="1:40">
      <c r="A978" s="1">
        <v>46052</v>
      </c>
      <c r="B978">
        <v>1</v>
      </c>
      <c r="C978">
        <v>11</v>
      </c>
      <c r="D978" t="s">
        <v>59</v>
      </c>
      <c r="E978" t="s">
        <v>46</v>
      </c>
      <c r="F978">
        <v>552181</v>
      </c>
      <c r="G978">
        <v>1</v>
      </c>
      <c r="H978" t="s">
        <v>49</v>
      </c>
      <c r="I978">
        <v>10685338</v>
      </c>
      <c r="J978">
        <v>6</v>
      </c>
      <c r="K978">
        <v>18.8</v>
      </c>
      <c r="L978">
        <v>18.8</v>
      </c>
      <c r="M978">
        <v>1440</v>
      </c>
      <c r="N978" s="2">
        <v>108000</v>
      </c>
      <c r="O978" s="2">
        <v>1350</v>
      </c>
      <c r="P978" s="2">
        <v>9990</v>
      </c>
      <c r="Q978" s="2">
        <v>8640</v>
      </c>
      <c r="R978" s="2">
        <v>0</v>
      </c>
      <c r="S978">
        <v>0</v>
      </c>
      <c r="T978" s="2">
        <v>49590</v>
      </c>
      <c r="U978" s="2">
        <v>58410</v>
      </c>
      <c r="V978">
        <v>162.43199999999999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28.7</v>
      </c>
      <c r="AC978">
        <v>11.48</v>
      </c>
      <c r="AD978">
        <v>27</v>
      </c>
      <c r="AI97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0.51999999999999957</v>
      </c>
      <c r="AK978" t="s">
        <v>51</v>
      </c>
      <c r="AN978">
        <f>INT(Table1[[#This Row],[reject_prod]]/Table1[[#This Row],[part_weight]] * 1000)</f>
        <v>0</v>
      </c>
    </row>
    <row r="979" spans="1:40">
      <c r="A979" s="1">
        <v>46052</v>
      </c>
      <c r="B979">
        <v>1</v>
      </c>
      <c r="C979">
        <v>12</v>
      </c>
      <c r="D979" t="s">
        <v>56</v>
      </c>
      <c r="E979" t="s">
        <v>34</v>
      </c>
      <c r="F979">
        <v>620599</v>
      </c>
      <c r="G979">
        <v>0</v>
      </c>
      <c r="H979" t="s">
        <v>50</v>
      </c>
      <c r="I979">
        <v>10685340</v>
      </c>
      <c r="J979">
        <v>4</v>
      </c>
      <c r="K979">
        <v>55</v>
      </c>
      <c r="L979">
        <v>55</v>
      </c>
      <c r="M979">
        <v>1500</v>
      </c>
      <c r="N979" s="2">
        <v>72000</v>
      </c>
      <c r="O979" s="2">
        <v>225</v>
      </c>
      <c r="P979" s="2">
        <v>850</v>
      </c>
      <c r="Q979" s="2">
        <v>6000</v>
      </c>
      <c r="R979" s="2">
        <v>5400</v>
      </c>
      <c r="S979">
        <v>297</v>
      </c>
      <c r="T979" s="2">
        <v>22450</v>
      </c>
      <c r="U979" s="2">
        <v>49550</v>
      </c>
      <c r="V979">
        <v>330</v>
      </c>
      <c r="W979">
        <v>0</v>
      </c>
      <c r="X979">
        <v>0</v>
      </c>
      <c r="Y979">
        <v>0</v>
      </c>
      <c r="Z979">
        <v>5</v>
      </c>
      <c r="AA979">
        <v>1.5151515151515152E-2</v>
      </c>
      <c r="AB979">
        <v>28.8</v>
      </c>
      <c r="AC979">
        <v>12</v>
      </c>
      <c r="AD979">
        <v>28</v>
      </c>
      <c r="AI97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979" t="s">
        <v>51</v>
      </c>
      <c r="AN979">
        <f>INT(Table1[[#This Row],[reject_prod]]/Table1[[#This Row],[part_weight]] * 1000)</f>
        <v>90</v>
      </c>
    </row>
    <row r="980" spans="1:40">
      <c r="A980" s="1">
        <v>46052</v>
      </c>
      <c r="B980">
        <v>1</v>
      </c>
      <c r="C980">
        <v>13</v>
      </c>
      <c r="D980" t="s">
        <v>59</v>
      </c>
      <c r="E980" t="s">
        <v>46</v>
      </c>
      <c r="F980">
        <v>586276</v>
      </c>
      <c r="G980">
        <v>0</v>
      </c>
      <c r="H980" t="s">
        <v>47</v>
      </c>
      <c r="I980">
        <v>10684862</v>
      </c>
      <c r="J980">
        <v>6</v>
      </c>
      <c r="K980">
        <v>12.3</v>
      </c>
      <c r="L980">
        <v>12.3</v>
      </c>
      <c r="M980">
        <v>1680</v>
      </c>
      <c r="N980" s="2">
        <v>162000</v>
      </c>
      <c r="O980" s="2">
        <v>4860</v>
      </c>
      <c r="P980" s="2">
        <v>6885</v>
      </c>
      <c r="Q980" s="2">
        <v>10080</v>
      </c>
      <c r="R980" s="2">
        <v>8100</v>
      </c>
      <c r="S980">
        <v>99.63</v>
      </c>
      <c r="T980" s="2">
        <v>152685</v>
      </c>
      <c r="U980" s="2">
        <v>9315</v>
      </c>
      <c r="V980">
        <v>123.98399999999999</v>
      </c>
      <c r="W980">
        <v>0</v>
      </c>
      <c r="X980">
        <v>0</v>
      </c>
      <c r="Y980">
        <v>0</v>
      </c>
      <c r="Z980">
        <v>1</v>
      </c>
      <c r="AA980">
        <v>8.0655568460446508E-3</v>
      </c>
      <c r="AB980">
        <v>26.2</v>
      </c>
      <c r="AC980">
        <v>12</v>
      </c>
      <c r="AD980">
        <v>26</v>
      </c>
      <c r="AI98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980" t="s">
        <v>51</v>
      </c>
      <c r="AN980">
        <f>INT(Table1[[#This Row],[reject_prod]]/Table1[[#This Row],[part_weight]] * 1000)</f>
        <v>81</v>
      </c>
    </row>
    <row r="981" spans="1:40">
      <c r="A981" s="1">
        <v>46052</v>
      </c>
      <c r="B981">
        <v>1</v>
      </c>
      <c r="C981">
        <v>14</v>
      </c>
      <c r="D981" t="s">
        <v>33</v>
      </c>
      <c r="E981" t="s">
        <v>46</v>
      </c>
      <c r="F981">
        <v>555979</v>
      </c>
      <c r="G981">
        <v>1</v>
      </c>
      <c r="H981" t="s">
        <v>52</v>
      </c>
      <c r="I981">
        <v>10683785</v>
      </c>
      <c r="J981">
        <v>6</v>
      </c>
      <c r="K981">
        <v>28</v>
      </c>
      <c r="L981">
        <v>28</v>
      </c>
      <c r="M981">
        <v>0</v>
      </c>
      <c r="N981" s="2">
        <v>100800</v>
      </c>
      <c r="O981" s="2">
        <v>0</v>
      </c>
      <c r="P981" s="2">
        <v>0</v>
      </c>
      <c r="Q981" s="2">
        <v>0</v>
      </c>
      <c r="R981" s="2">
        <v>0</v>
      </c>
      <c r="S981">
        <v>0</v>
      </c>
      <c r="T981" s="2">
        <v>30240</v>
      </c>
      <c r="U981" s="2">
        <v>70560</v>
      </c>
      <c r="V981">
        <v>0</v>
      </c>
      <c r="W981">
        <v>0</v>
      </c>
      <c r="X981">
        <v>0</v>
      </c>
      <c r="Y981" t="e">
        <v>#DIV/0!</v>
      </c>
      <c r="Z981">
        <v>0</v>
      </c>
      <c r="AA981" t="e">
        <v>#DIV/0!</v>
      </c>
      <c r="AB981">
        <v>43.4</v>
      </c>
      <c r="AC981">
        <v>0</v>
      </c>
      <c r="AD981">
        <v>42</v>
      </c>
      <c r="AI98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981" t="s">
        <v>523</v>
      </c>
      <c r="AN981">
        <f>INT(Table1[[#This Row],[reject_prod]]/Table1[[#This Row],[part_weight]] * 1000)</f>
        <v>0</v>
      </c>
    </row>
    <row r="982" spans="1:40">
      <c r="A982" s="1">
        <v>46052</v>
      </c>
      <c r="B982">
        <v>1</v>
      </c>
      <c r="C982">
        <v>15</v>
      </c>
      <c r="D982" t="s">
        <v>59</v>
      </c>
      <c r="E982" t="s">
        <v>46</v>
      </c>
      <c r="F982">
        <v>552181</v>
      </c>
      <c r="G982">
        <v>2</v>
      </c>
      <c r="H982" t="s">
        <v>49</v>
      </c>
      <c r="I982">
        <v>10685541</v>
      </c>
      <c r="J982">
        <v>6</v>
      </c>
      <c r="K982">
        <v>18.8</v>
      </c>
      <c r="L982">
        <v>18.8</v>
      </c>
      <c r="M982">
        <v>1320</v>
      </c>
      <c r="N982" s="2">
        <v>108000</v>
      </c>
      <c r="O982" s="2">
        <v>4860</v>
      </c>
      <c r="P982" s="2">
        <v>6210</v>
      </c>
      <c r="Q982" s="2">
        <v>7920</v>
      </c>
      <c r="R982" s="2">
        <v>5400</v>
      </c>
      <c r="S982">
        <v>101.52</v>
      </c>
      <c r="T982" s="2">
        <v>22410</v>
      </c>
      <c r="U982" s="2">
        <v>85590</v>
      </c>
      <c r="V982">
        <v>148.89599999999999</v>
      </c>
      <c r="W982">
        <v>0</v>
      </c>
      <c r="X982">
        <v>0</v>
      </c>
      <c r="Y982">
        <v>0</v>
      </c>
      <c r="Z982">
        <v>7</v>
      </c>
      <c r="AA982">
        <v>4.7012679991403399E-2</v>
      </c>
      <c r="AB982">
        <v>31.3</v>
      </c>
      <c r="AC982">
        <v>11.476666666666667</v>
      </c>
      <c r="AD982">
        <v>27</v>
      </c>
      <c r="AI98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0.52333333333333343</v>
      </c>
      <c r="AK982" t="s">
        <v>607</v>
      </c>
      <c r="AN982">
        <f>INT(Table1[[#This Row],[reject_prod]]/Table1[[#This Row],[part_weight]] * 1000)</f>
        <v>372</v>
      </c>
    </row>
    <row r="983" spans="1:40" s="4" customFormat="1">
      <c r="A983" s="3">
        <v>46052</v>
      </c>
      <c r="B983" s="4">
        <v>1</v>
      </c>
      <c r="C983" s="4">
        <v>16</v>
      </c>
      <c r="D983" s="4" t="s">
        <v>597</v>
      </c>
      <c r="E983" s="4" t="s">
        <v>46</v>
      </c>
      <c r="F983" s="4">
        <v>555979</v>
      </c>
      <c r="G983" s="4">
        <v>2</v>
      </c>
      <c r="H983" s="4" t="s">
        <v>52</v>
      </c>
      <c r="I983" s="4">
        <v>10684863</v>
      </c>
      <c r="J983" s="4">
        <v>6</v>
      </c>
      <c r="K983" s="4">
        <v>28</v>
      </c>
      <c r="L983" s="4">
        <v>28</v>
      </c>
      <c r="M983" s="4">
        <v>990</v>
      </c>
      <c r="N983" s="5">
        <v>100800</v>
      </c>
      <c r="O983" s="5">
        <v>840</v>
      </c>
      <c r="P983" s="5">
        <v>168</v>
      </c>
      <c r="Q983" s="5">
        <v>5940</v>
      </c>
      <c r="R983" s="5">
        <v>6720</v>
      </c>
      <c r="S983" s="4">
        <v>188.16</v>
      </c>
      <c r="T983" s="5">
        <v>77448</v>
      </c>
      <c r="U983" s="5">
        <v>23352</v>
      </c>
      <c r="V983" s="4">
        <v>166.32</v>
      </c>
      <c r="W983" s="4">
        <v>0</v>
      </c>
      <c r="X983" s="4">
        <v>0</v>
      </c>
      <c r="Y983" s="4">
        <v>0</v>
      </c>
      <c r="Z983" s="4">
        <v>3</v>
      </c>
      <c r="AA983" s="4">
        <v>1.803751803751804E-2</v>
      </c>
      <c r="AB983" s="4">
        <v>43.4</v>
      </c>
      <c r="AC983" s="4">
        <v>11.935</v>
      </c>
      <c r="AD983" s="4">
        <v>42</v>
      </c>
      <c r="AI98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6.4999999999999503E-2</v>
      </c>
      <c r="AK983" s="4" t="s">
        <v>51</v>
      </c>
      <c r="AN983" s="4">
        <f>INT(Table1[[#This Row],[reject_prod]]/Table1[[#This Row],[part_weight]] * 1000)</f>
        <v>107</v>
      </c>
    </row>
    <row r="984" spans="1:40">
      <c r="A984" s="1">
        <v>46052</v>
      </c>
      <c r="B984">
        <v>2</v>
      </c>
      <c r="C984">
        <v>1</v>
      </c>
      <c r="D984" t="s">
        <v>67</v>
      </c>
      <c r="E984" t="s">
        <v>34</v>
      </c>
      <c r="F984">
        <v>347623</v>
      </c>
      <c r="G984">
        <v>0</v>
      </c>
      <c r="H984" t="s">
        <v>35</v>
      </c>
      <c r="I984">
        <v>10685631</v>
      </c>
      <c r="J984">
        <v>4</v>
      </c>
      <c r="K984">
        <v>35.6</v>
      </c>
      <c r="L984">
        <v>35.6</v>
      </c>
      <c r="M984">
        <v>1582</v>
      </c>
      <c r="N984" s="2">
        <v>36800</v>
      </c>
      <c r="O984" s="2">
        <v>1104</v>
      </c>
      <c r="P984" s="2">
        <v>0</v>
      </c>
      <c r="Q984" s="2">
        <v>6328</v>
      </c>
      <c r="R984" s="2">
        <v>7360</v>
      </c>
      <c r="S984">
        <v>262.01600000000002</v>
      </c>
      <c r="T984" s="2">
        <v>7360</v>
      </c>
      <c r="U984" s="2">
        <v>29440</v>
      </c>
      <c r="V984">
        <v>225.27680000000001</v>
      </c>
      <c r="W984">
        <v>0</v>
      </c>
      <c r="X984">
        <v>0</v>
      </c>
      <c r="Y984">
        <v>0</v>
      </c>
      <c r="Z984">
        <v>2.5</v>
      </c>
      <c r="AA984">
        <v>1.1097458770721175E-2</v>
      </c>
      <c r="AB984">
        <v>27.2</v>
      </c>
      <c r="AC984">
        <v>11.952888888888888</v>
      </c>
      <c r="AD984">
        <v>27</v>
      </c>
      <c r="AI98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4.7111111111112436E-2</v>
      </c>
      <c r="AK984" t="s">
        <v>608</v>
      </c>
      <c r="AN984">
        <f>INT(Table1[[#This Row],[reject_prod]]/Table1[[#This Row],[part_weight]] * 1000)</f>
        <v>70</v>
      </c>
    </row>
    <row r="985" spans="1:40">
      <c r="A985" s="1">
        <v>46052</v>
      </c>
      <c r="B985">
        <v>2</v>
      </c>
      <c r="C985">
        <v>2</v>
      </c>
      <c r="D985" t="s">
        <v>110</v>
      </c>
      <c r="E985" t="s">
        <v>34</v>
      </c>
      <c r="F985">
        <v>416201</v>
      </c>
      <c r="G985">
        <v>0</v>
      </c>
      <c r="H985" t="s">
        <v>36</v>
      </c>
      <c r="I985">
        <v>10681779</v>
      </c>
      <c r="J985">
        <v>4</v>
      </c>
      <c r="K985">
        <v>20</v>
      </c>
      <c r="L985">
        <v>30</v>
      </c>
      <c r="M985">
        <v>1364</v>
      </c>
      <c r="N985" s="2">
        <v>50400</v>
      </c>
      <c r="O985" s="2">
        <v>4200</v>
      </c>
      <c r="P985" s="2">
        <v>3780</v>
      </c>
      <c r="Q985" s="2">
        <v>5456</v>
      </c>
      <c r="R985" s="2">
        <v>5040</v>
      </c>
      <c r="S985">
        <v>151.19999999999999</v>
      </c>
      <c r="T985" s="2">
        <v>18900</v>
      </c>
      <c r="U985" s="2">
        <v>31500</v>
      </c>
      <c r="V985">
        <v>163.68</v>
      </c>
      <c r="W985">
        <v>0</v>
      </c>
      <c r="X985">
        <v>0</v>
      </c>
      <c r="Y985">
        <v>0</v>
      </c>
      <c r="Z985">
        <v>25</v>
      </c>
      <c r="AA985">
        <v>0.15273704789833822</v>
      </c>
      <c r="AB985">
        <v>31.3</v>
      </c>
      <c r="AC985">
        <v>11.859222222222222</v>
      </c>
      <c r="AD985">
        <v>38.64</v>
      </c>
      <c r="AI98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0.14077777777777811</v>
      </c>
      <c r="AK985" t="s">
        <v>609</v>
      </c>
      <c r="AN985">
        <f>INT(Table1[[#This Row],[reject_prod]]/Table1[[#This Row],[part_weight]] * 1000)</f>
        <v>833</v>
      </c>
    </row>
    <row r="986" spans="1:40">
      <c r="A986" s="1">
        <v>46052</v>
      </c>
      <c r="B986">
        <v>2</v>
      </c>
      <c r="C986">
        <v>3</v>
      </c>
      <c r="D986" t="s">
        <v>598</v>
      </c>
      <c r="E986" t="s">
        <v>34</v>
      </c>
      <c r="F986">
        <v>442034</v>
      </c>
      <c r="G986">
        <v>0</v>
      </c>
      <c r="H986" t="s">
        <v>37</v>
      </c>
      <c r="I986">
        <v>10681184</v>
      </c>
      <c r="J986">
        <v>4</v>
      </c>
      <c r="K986">
        <v>23</v>
      </c>
      <c r="L986">
        <v>23</v>
      </c>
      <c r="M986">
        <v>1449</v>
      </c>
      <c r="N986" s="2">
        <v>139776</v>
      </c>
      <c r="O986" s="2">
        <v>4224</v>
      </c>
      <c r="P986" s="2">
        <v>768</v>
      </c>
      <c r="Q986" s="2">
        <v>5796</v>
      </c>
      <c r="R986" s="2">
        <v>9216</v>
      </c>
      <c r="S986">
        <v>211.96799999999999</v>
      </c>
      <c r="T986" s="2">
        <v>115968</v>
      </c>
      <c r="U986" s="2">
        <v>23808</v>
      </c>
      <c r="V986">
        <v>133.30799999999999</v>
      </c>
      <c r="W986">
        <v>0</v>
      </c>
      <c r="X986">
        <v>0</v>
      </c>
      <c r="Y986">
        <v>0</v>
      </c>
      <c r="Z986">
        <v>0.8</v>
      </c>
      <c r="AA986">
        <v>6.0011402166411628E-3</v>
      </c>
      <c r="AB986">
        <v>28.5</v>
      </c>
      <c r="AC986">
        <v>11.471250000000001</v>
      </c>
      <c r="AD986">
        <v>22</v>
      </c>
      <c r="AI98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0.52874999999999872</v>
      </c>
      <c r="AK986" t="s">
        <v>103</v>
      </c>
      <c r="AN986">
        <f>INT(Table1[[#This Row],[reject_prod]]/Table1[[#This Row],[part_weight]] * 1000)</f>
        <v>34</v>
      </c>
    </row>
    <row r="987" spans="1:40">
      <c r="A987" s="1">
        <v>46052</v>
      </c>
      <c r="B987">
        <v>2</v>
      </c>
      <c r="C987">
        <v>4</v>
      </c>
      <c r="D987" t="s">
        <v>33</v>
      </c>
      <c r="E987" t="s">
        <v>34</v>
      </c>
      <c r="F987">
        <v>414439</v>
      </c>
      <c r="G987">
        <v>0</v>
      </c>
      <c r="H987" t="s">
        <v>587</v>
      </c>
      <c r="I987">
        <v>10684854</v>
      </c>
      <c r="J987">
        <v>6</v>
      </c>
      <c r="K987">
        <v>23</v>
      </c>
      <c r="L987">
        <v>15</v>
      </c>
      <c r="M987">
        <v>0</v>
      </c>
      <c r="N987" s="2">
        <v>59136</v>
      </c>
      <c r="O987" s="2">
        <v>0</v>
      </c>
      <c r="P987" s="2">
        <v>0</v>
      </c>
      <c r="Q987" s="2">
        <v>0</v>
      </c>
      <c r="R987" s="2">
        <v>0</v>
      </c>
      <c r="S987">
        <v>0</v>
      </c>
      <c r="T987" s="2">
        <v>0</v>
      </c>
      <c r="U987" s="2">
        <v>59136</v>
      </c>
      <c r="V987">
        <v>0</v>
      </c>
      <c r="W987">
        <v>0</v>
      </c>
      <c r="X987">
        <v>0</v>
      </c>
      <c r="Y987" t="e">
        <v>#DIV/0!</v>
      </c>
      <c r="Z987">
        <v>0</v>
      </c>
      <c r="AA987" t="e">
        <v>#DIV/0!</v>
      </c>
      <c r="AB987">
        <v>0</v>
      </c>
      <c r="AC987">
        <v>0</v>
      </c>
      <c r="AD987">
        <v>15</v>
      </c>
      <c r="AI98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987" t="s">
        <v>610</v>
      </c>
      <c r="AN987">
        <f>INT(Table1[[#This Row],[reject_prod]]/Table1[[#This Row],[part_weight]] * 1000)</f>
        <v>0</v>
      </c>
    </row>
    <row r="988" spans="1:40">
      <c r="A988" s="1">
        <v>46052</v>
      </c>
      <c r="B988">
        <v>2</v>
      </c>
      <c r="C988">
        <v>5</v>
      </c>
      <c r="D988" t="s">
        <v>33</v>
      </c>
      <c r="E988" t="s">
        <v>34</v>
      </c>
      <c r="F988">
        <v>322394</v>
      </c>
      <c r="G988">
        <v>0</v>
      </c>
      <c r="H988" t="s">
        <v>605</v>
      </c>
      <c r="I988">
        <v>10685208</v>
      </c>
      <c r="J988">
        <v>4</v>
      </c>
      <c r="K988">
        <v>20</v>
      </c>
      <c r="L988">
        <v>20</v>
      </c>
      <c r="M988">
        <v>278</v>
      </c>
      <c r="N988" s="2">
        <v>11520</v>
      </c>
      <c r="O988" s="2">
        <v>0</v>
      </c>
      <c r="P988" s="2">
        <v>720</v>
      </c>
      <c r="Q988" s="2">
        <v>1112</v>
      </c>
      <c r="R988" s="2">
        <v>0</v>
      </c>
      <c r="S988">
        <v>0</v>
      </c>
      <c r="T988" s="2">
        <v>720</v>
      </c>
      <c r="U988" s="2">
        <v>10800</v>
      </c>
      <c r="V988">
        <v>22.24</v>
      </c>
      <c r="W988">
        <v>0</v>
      </c>
      <c r="X988">
        <v>7</v>
      </c>
      <c r="Y988">
        <v>0.31474820143884896</v>
      </c>
      <c r="Z988">
        <v>0.8</v>
      </c>
      <c r="AA988">
        <v>3.5971223021582739E-2</v>
      </c>
      <c r="AB988">
        <v>22.1</v>
      </c>
      <c r="AC988">
        <v>1.7066111111111111</v>
      </c>
      <c r="AD988">
        <v>19.14</v>
      </c>
      <c r="AI98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10.293388888888888</v>
      </c>
      <c r="AK988" t="s">
        <v>611</v>
      </c>
      <c r="AN988">
        <f>INT(Table1[[#This Row],[reject_prod]]/Table1[[#This Row],[part_weight]] * 1000)</f>
        <v>40</v>
      </c>
    </row>
    <row r="989" spans="1:40">
      <c r="A989" s="1">
        <v>46052</v>
      </c>
      <c r="B989">
        <v>2</v>
      </c>
      <c r="C989">
        <v>6</v>
      </c>
      <c r="D989" t="s">
        <v>281</v>
      </c>
      <c r="E989" t="s">
        <v>34</v>
      </c>
      <c r="F989">
        <v>324174</v>
      </c>
      <c r="G989">
        <v>0</v>
      </c>
      <c r="H989" t="s">
        <v>558</v>
      </c>
      <c r="I989">
        <v>10683856</v>
      </c>
      <c r="J989">
        <v>4</v>
      </c>
      <c r="K989">
        <v>24</v>
      </c>
      <c r="L989">
        <v>24</v>
      </c>
      <c r="M989">
        <v>1133</v>
      </c>
      <c r="N989" s="2">
        <v>40600</v>
      </c>
      <c r="O989" s="2">
        <v>1624</v>
      </c>
      <c r="P989" s="2">
        <v>0</v>
      </c>
      <c r="Q989" s="2">
        <v>4532</v>
      </c>
      <c r="R989" s="2">
        <v>6090</v>
      </c>
      <c r="S989">
        <v>146.16</v>
      </c>
      <c r="T989" s="2">
        <v>40600</v>
      </c>
      <c r="U989" s="2">
        <v>0</v>
      </c>
      <c r="V989">
        <v>108.768</v>
      </c>
      <c r="W989">
        <v>0</v>
      </c>
      <c r="X989">
        <v>0</v>
      </c>
      <c r="Y989">
        <v>0</v>
      </c>
      <c r="Z989">
        <v>1.5</v>
      </c>
      <c r="AA989">
        <v>1.379082082965578E-2</v>
      </c>
      <c r="AB989">
        <v>21.3</v>
      </c>
      <c r="AC989">
        <v>6.7035833333333343</v>
      </c>
      <c r="AD989">
        <v>20.12</v>
      </c>
      <c r="AI98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5.2964166666666657</v>
      </c>
      <c r="AK989" t="s">
        <v>102</v>
      </c>
      <c r="AN989">
        <f>INT(Table1[[#This Row],[reject_prod]]/Table1[[#This Row],[part_weight]] * 1000)</f>
        <v>62</v>
      </c>
    </row>
    <row r="990" spans="1:40">
      <c r="A990" s="1">
        <v>46052</v>
      </c>
      <c r="B990">
        <v>2</v>
      </c>
      <c r="C990">
        <v>6</v>
      </c>
      <c r="D990" t="s">
        <v>281</v>
      </c>
      <c r="E990" t="s">
        <v>34</v>
      </c>
      <c r="F990">
        <v>324174</v>
      </c>
      <c r="G990">
        <v>0</v>
      </c>
      <c r="H990" t="s">
        <v>558</v>
      </c>
      <c r="I990">
        <v>10684855</v>
      </c>
      <c r="J990">
        <v>4</v>
      </c>
      <c r="K990">
        <v>24</v>
      </c>
      <c r="L990">
        <v>24</v>
      </c>
      <c r="M990">
        <v>914</v>
      </c>
      <c r="N990" s="2">
        <v>20300</v>
      </c>
      <c r="O990" s="2">
        <v>0</v>
      </c>
      <c r="P990" s="2">
        <v>1624</v>
      </c>
      <c r="Q990" s="2">
        <v>3656</v>
      </c>
      <c r="R990" s="2">
        <v>2030</v>
      </c>
      <c r="S990">
        <v>48.72</v>
      </c>
      <c r="T990" s="2">
        <v>3654</v>
      </c>
      <c r="U990" s="2">
        <v>16646</v>
      </c>
      <c r="V990">
        <v>87.744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21.3</v>
      </c>
      <c r="AC990">
        <v>5.4078333333333335</v>
      </c>
      <c r="AD990">
        <v>20.12</v>
      </c>
      <c r="AI99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6.5921666666666665</v>
      </c>
      <c r="AK990" t="s">
        <v>214</v>
      </c>
      <c r="AN990">
        <f>INT(Table1[[#This Row],[reject_prod]]/Table1[[#This Row],[part_weight]] * 1000)</f>
        <v>0</v>
      </c>
    </row>
    <row r="991" spans="1:40">
      <c r="A991" s="1">
        <v>46052</v>
      </c>
      <c r="B991">
        <v>2</v>
      </c>
      <c r="C991">
        <v>7</v>
      </c>
      <c r="D991" t="s">
        <v>152</v>
      </c>
      <c r="E991" t="s">
        <v>34</v>
      </c>
      <c r="F991">
        <v>323072</v>
      </c>
      <c r="G991">
        <v>0</v>
      </c>
      <c r="H991" t="s">
        <v>590</v>
      </c>
      <c r="I991">
        <v>10684033</v>
      </c>
      <c r="J991">
        <v>4</v>
      </c>
      <c r="K991">
        <v>34.5</v>
      </c>
      <c r="L991">
        <v>34.5</v>
      </c>
      <c r="M991">
        <v>1628</v>
      </c>
      <c r="N991" s="2">
        <v>24768</v>
      </c>
      <c r="O991" s="2">
        <v>774</v>
      </c>
      <c r="P991" s="2">
        <v>387</v>
      </c>
      <c r="Q991" s="2">
        <v>6512</v>
      </c>
      <c r="R991" s="2">
        <v>6192</v>
      </c>
      <c r="S991">
        <v>213.624</v>
      </c>
      <c r="T991" s="2">
        <v>12771</v>
      </c>
      <c r="U991" s="2">
        <v>11997</v>
      </c>
      <c r="V991">
        <v>224.66399999999999</v>
      </c>
      <c r="W991">
        <v>0</v>
      </c>
      <c r="X991">
        <v>4.5</v>
      </c>
      <c r="Y991">
        <v>2.0029911334259163E-2</v>
      </c>
      <c r="Z991">
        <v>24.6</v>
      </c>
      <c r="AA991">
        <v>0.10949684862728343</v>
      </c>
      <c r="AB991">
        <v>26.8</v>
      </c>
      <c r="AC991">
        <v>12</v>
      </c>
      <c r="AD991">
        <v>16.2</v>
      </c>
      <c r="AI99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991" t="s">
        <v>612</v>
      </c>
      <c r="AN991">
        <f>INT(Table1[[#This Row],[reject_prod]]/Table1[[#This Row],[part_weight]] * 1000)</f>
        <v>713</v>
      </c>
    </row>
    <row r="992" spans="1:40">
      <c r="A992" s="1">
        <v>46052</v>
      </c>
      <c r="B992">
        <v>2</v>
      </c>
      <c r="C992">
        <v>8</v>
      </c>
      <c r="D992" t="s">
        <v>40</v>
      </c>
      <c r="E992" t="s">
        <v>41</v>
      </c>
      <c r="F992">
        <v>593537</v>
      </c>
      <c r="G992">
        <v>0</v>
      </c>
      <c r="H992" t="s">
        <v>48</v>
      </c>
      <c r="I992">
        <v>10685022</v>
      </c>
      <c r="J992">
        <v>4</v>
      </c>
      <c r="K992">
        <v>56.5</v>
      </c>
      <c r="L992">
        <v>56.8</v>
      </c>
      <c r="M992">
        <v>1413</v>
      </c>
      <c r="N992" s="2">
        <v>69000</v>
      </c>
      <c r="O992" s="2">
        <v>115</v>
      </c>
      <c r="P992" s="2">
        <v>0</v>
      </c>
      <c r="Q992" s="2">
        <v>5652</v>
      </c>
      <c r="R992" s="2">
        <v>5750</v>
      </c>
      <c r="S992">
        <v>326.60000000000002</v>
      </c>
      <c r="T992" s="2">
        <v>57500</v>
      </c>
      <c r="U992" s="2">
        <v>11500</v>
      </c>
      <c r="V992">
        <v>321.03359999999998</v>
      </c>
      <c r="W992">
        <v>0</v>
      </c>
      <c r="X992">
        <v>0</v>
      </c>
      <c r="Y992">
        <v>0</v>
      </c>
      <c r="Z992">
        <v>0.8</v>
      </c>
      <c r="AA992">
        <v>2.49195099827557E-3</v>
      </c>
      <c r="AB992">
        <v>29.9</v>
      </c>
      <c r="AC992">
        <v>11.735749999999999</v>
      </c>
      <c r="AD992">
        <v>28.5</v>
      </c>
      <c r="AI99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0.26425000000000054</v>
      </c>
      <c r="AK992" t="s">
        <v>51</v>
      </c>
      <c r="AN992">
        <f>INT(Table1[[#This Row],[reject_prod]]/Table1[[#This Row],[part_weight]] * 1000)</f>
        <v>14</v>
      </c>
    </row>
    <row r="993" spans="1:40">
      <c r="A993" s="1">
        <v>46052</v>
      </c>
      <c r="B993">
        <v>2</v>
      </c>
      <c r="C993">
        <v>9</v>
      </c>
      <c r="D993" t="s">
        <v>108</v>
      </c>
      <c r="E993" t="s">
        <v>46</v>
      </c>
      <c r="F993">
        <v>586276</v>
      </c>
      <c r="G993">
        <v>0</v>
      </c>
      <c r="H993" t="s">
        <v>47</v>
      </c>
      <c r="I993">
        <v>10682924</v>
      </c>
      <c r="J993">
        <v>6</v>
      </c>
      <c r="K993">
        <v>12.3</v>
      </c>
      <c r="L993">
        <v>12.3</v>
      </c>
      <c r="M993">
        <v>1553</v>
      </c>
      <c r="N993" s="2">
        <v>162000</v>
      </c>
      <c r="O993" s="2">
        <v>4860</v>
      </c>
      <c r="P993" s="2">
        <v>6075</v>
      </c>
      <c r="Q993" s="2">
        <v>9318</v>
      </c>
      <c r="R993" s="2">
        <v>8100</v>
      </c>
      <c r="S993">
        <v>99.63</v>
      </c>
      <c r="T993" s="2">
        <v>111375</v>
      </c>
      <c r="U993" s="2">
        <v>50625</v>
      </c>
      <c r="V993">
        <v>114.6114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26.6</v>
      </c>
      <c r="AC993">
        <v>11.474944444444445</v>
      </c>
      <c r="AD993">
        <v>26</v>
      </c>
      <c r="AI99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0.52505555555555539</v>
      </c>
      <c r="AK993" t="s">
        <v>51</v>
      </c>
      <c r="AN993">
        <f>INT(Table1[[#This Row],[reject_prod]]/Table1[[#This Row],[part_weight]] * 1000)</f>
        <v>0</v>
      </c>
    </row>
    <row r="994" spans="1:40">
      <c r="A994" s="1">
        <v>46052</v>
      </c>
      <c r="B994">
        <v>2</v>
      </c>
      <c r="C994">
        <v>10</v>
      </c>
      <c r="D994" t="s">
        <v>61</v>
      </c>
      <c r="E994" t="s">
        <v>34</v>
      </c>
      <c r="F994">
        <v>323133</v>
      </c>
      <c r="G994">
        <v>0</v>
      </c>
      <c r="H994" t="s">
        <v>568</v>
      </c>
      <c r="I994">
        <v>10684859</v>
      </c>
      <c r="J994">
        <v>4</v>
      </c>
      <c r="K994">
        <v>77</v>
      </c>
      <c r="L994">
        <v>77</v>
      </c>
      <c r="M994">
        <v>926</v>
      </c>
      <c r="N994" s="2">
        <v>19872</v>
      </c>
      <c r="O994" s="2">
        <v>0</v>
      </c>
      <c r="P994" s="2">
        <v>0</v>
      </c>
      <c r="Q994" s="2">
        <v>3704</v>
      </c>
      <c r="R994" s="2">
        <v>3588</v>
      </c>
      <c r="S994">
        <v>276.27600000000001</v>
      </c>
      <c r="T994" s="2">
        <v>18492</v>
      </c>
      <c r="U994" s="2">
        <v>1380</v>
      </c>
      <c r="V994">
        <v>285.20800000000003</v>
      </c>
      <c r="W994">
        <v>0</v>
      </c>
      <c r="X994">
        <v>0</v>
      </c>
      <c r="Y994">
        <v>0</v>
      </c>
      <c r="Z994">
        <v>8.8000000000000007</v>
      </c>
      <c r="AA994">
        <v>3.0854674483184203E-2</v>
      </c>
      <c r="AB994">
        <v>38.6</v>
      </c>
      <c r="AC994">
        <v>9.9287777777777784</v>
      </c>
      <c r="AD994">
        <v>35</v>
      </c>
      <c r="AI99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2.0712222222222216</v>
      </c>
      <c r="AK994" t="s">
        <v>613</v>
      </c>
      <c r="AN994">
        <f>INT(Table1[[#This Row],[reject_prod]]/Table1[[#This Row],[part_weight]] * 1000)</f>
        <v>114</v>
      </c>
    </row>
    <row r="995" spans="1:40">
      <c r="A995" s="1">
        <v>46052</v>
      </c>
      <c r="B995">
        <v>2</v>
      </c>
      <c r="C995">
        <v>11</v>
      </c>
      <c r="D995" t="s">
        <v>112</v>
      </c>
      <c r="E995" t="s">
        <v>46</v>
      </c>
      <c r="F995">
        <v>552181</v>
      </c>
      <c r="G995">
        <v>1</v>
      </c>
      <c r="H995" t="s">
        <v>49</v>
      </c>
      <c r="I995">
        <v>10685338</v>
      </c>
      <c r="J995">
        <v>6</v>
      </c>
      <c r="K995">
        <v>18.8</v>
      </c>
      <c r="L995">
        <v>18.8</v>
      </c>
      <c r="M995">
        <v>1112</v>
      </c>
      <c r="N995" s="2">
        <v>108000</v>
      </c>
      <c r="O995" s="2">
        <v>9990</v>
      </c>
      <c r="P995" s="2">
        <v>16470</v>
      </c>
      <c r="Q995" s="2">
        <v>6672</v>
      </c>
      <c r="R995" s="2">
        <v>0</v>
      </c>
      <c r="S995">
        <v>0</v>
      </c>
      <c r="T995" s="2">
        <v>59670</v>
      </c>
      <c r="U995" s="2">
        <v>48330</v>
      </c>
      <c r="V995">
        <v>125.43360000000001</v>
      </c>
      <c r="W995">
        <v>0</v>
      </c>
      <c r="X995">
        <v>87.2</v>
      </c>
      <c r="Y995">
        <v>0.69518853002704217</v>
      </c>
      <c r="Z995">
        <v>3.5</v>
      </c>
      <c r="AA995">
        <v>2.7903209347415681E-2</v>
      </c>
      <c r="AB995">
        <v>28.7</v>
      </c>
      <c r="AC995">
        <v>8.8651111111111121</v>
      </c>
      <c r="AD995">
        <v>27</v>
      </c>
      <c r="AI99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3.1348888888888879</v>
      </c>
      <c r="AK995" t="s">
        <v>614</v>
      </c>
      <c r="AN995">
        <f>INT(Table1[[#This Row],[reject_prod]]/Table1[[#This Row],[part_weight]] * 1000)</f>
        <v>186</v>
      </c>
    </row>
    <row r="996" spans="1:40">
      <c r="A996" s="1">
        <v>46052</v>
      </c>
      <c r="B996">
        <v>2</v>
      </c>
      <c r="C996">
        <v>12</v>
      </c>
      <c r="D996" t="s">
        <v>141</v>
      </c>
      <c r="E996" t="s">
        <v>34</v>
      </c>
      <c r="F996">
        <v>620599</v>
      </c>
      <c r="G996">
        <v>0</v>
      </c>
      <c r="H996" t="s">
        <v>50</v>
      </c>
      <c r="I996">
        <v>10685340</v>
      </c>
      <c r="J996">
        <v>4</v>
      </c>
      <c r="K996">
        <v>55</v>
      </c>
      <c r="L996">
        <v>55</v>
      </c>
      <c r="M996">
        <v>1440</v>
      </c>
      <c r="N996" s="2">
        <v>72000</v>
      </c>
      <c r="O996" s="2">
        <v>850</v>
      </c>
      <c r="P996" s="2">
        <v>1125</v>
      </c>
      <c r="Q996" s="2">
        <v>5760</v>
      </c>
      <c r="R996" s="2">
        <v>5400</v>
      </c>
      <c r="S996">
        <v>297</v>
      </c>
      <c r="T996" s="2">
        <v>28125</v>
      </c>
      <c r="U996" s="2">
        <v>43875</v>
      </c>
      <c r="V996">
        <v>316.8</v>
      </c>
      <c r="W996">
        <v>0</v>
      </c>
      <c r="X996">
        <v>0</v>
      </c>
      <c r="Y996">
        <v>0</v>
      </c>
      <c r="Z996">
        <v>4.5</v>
      </c>
      <c r="AA996">
        <v>1.4204545454545454E-2</v>
      </c>
      <c r="AB996">
        <v>29</v>
      </c>
      <c r="AC996">
        <v>11.6</v>
      </c>
      <c r="AD996">
        <v>28</v>
      </c>
      <c r="AI99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0.40000000000000036</v>
      </c>
      <c r="AK996" t="s">
        <v>237</v>
      </c>
      <c r="AN996">
        <f>INT(Table1[[#This Row],[reject_prod]]/Table1[[#This Row],[part_weight]] * 1000)</f>
        <v>81</v>
      </c>
    </row>
    <row r="997" spans="1:40">
      <c r="A997" s="1">
        <v>46052</v>
      </c>
      <c r="B997">
        <v>2</v>
      </c>
      <c r="C997">
        <v>13</v>
      </c>
      <c r="D997" t="s">
        <v>112</v>
      </c>
      <c r="E997" t="s">
        <v>46</v>
      </c>
      <c r="F997">
        <v>586276</v>
      </c>
      <c r="G997">
        <v>0</v>
      </c>
      <c r="H997" t="s">
        <v>47</v>
      </c>
      <c r="I997">
        <v>10684862</v>
      </c>
      <c r="J997">
        <v>6</v>
      </c>
      <c r="K997">
        <v>12.3</v>
      </c>
      <c r="L997">
        <v>12.3</v>
      </c>
      <c r="M997">
        <v>1564</v>
      </c>
      <c r="N997" s="2">
        <v>162000</v>
      </c>
      <c r="O997" s="2">
        <v>6885</v>
      </c>
      <c r="P997" s="2">
        <v>0</v>
      </c>
      <c r="Q997" s="2">
        <v>9384</v>
      </c>
      <c r="R997" s="2">
        <v>16200</v>
      </c>
      <c r="S997">
        <v>199.26</v>
      </c>
      <c r="T997" s="2">
        <v>162000</v>
      </c>
      <c r="U997" s="2">
        <v>0</v>
      </c>
      <c r="V997">
        <v>115.42320000000001</v>
      </c>
      <c r="W997">
        <v>0</v>
      </c>
      <c r="X997">
        <v>0</v>
      </c>
      <c r="Y997">
        <v>0</v>
      </c>
      <c r="Z997">
        <v>0.8</v>
      </c>
      <c r="AA997">
        <v>6.9310156017161192E-3</v>
      </c>
      <c r="AB997">
        <v>26.2</v>
      </c>
      <c r="AC997">
        <v>11.382444444444445</v>
      </c>
      <c r="AD997">
        <v>26</v>
      </c>
      <c r="AI99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0.61755555555555475</v>
      </c>
      <c r="AK997" t="s">
        <v>102</v>
      </c>
      <c r="AN997">
        <f>INT(Table1[[#This Row],[reject_prod]]/Table1[[#This Row],[part_weight]] * 1000)</f>
        <v>65</v>
      </c>
    </row>
    <row r="998" spans="1:40">
      <c r="A998" s="1">
        <v>46052</v>
      </c>
      <c r="B998">
        <v>2</v>
      </c>
      <c r="C998">
        <v>13</v>
      </c>
      <c r="D998" t="s">
        <v>112</v>
      </c>
      <c r="E998" t="s">
        <v>46</v>
      </c>
      <c r="F998">
        <v>586276</v>
      </c>
      <c r="G998">
        <v>0</v>
      </c>
      <c r="H998" t="s">
        <v>47</v>
      </c>
      <c r="I998">
        <v>10686191</v>
      </c>
      <c r="J998">
        <v>6</v>
      </c>
      <c r="K998">
        <v>12.3</v>
      </c>
      <c r="L998">
        <v>12.3</v>
      </c>
      <c r="M998">
        <v>68</v>
      </c>
      <c r="N998" s="2">
        <v>162000</v>
      </c>
      <c r="O998" s="2">
        <v>0</v>
      </c>
      <c r="P998" s="2">
        <v>405</v>
      </c>
      <c r="Q998" s="2">
        <v>408</v>
      </c>
      <c r="R998" s="2">
        <v>0</v>
      </c>
      <c r="S998">
        <v>0</v>
      </c>
      <c r="T998" s="2">
        <v>405</v>
      </c>
      <c r="U998" s="2">
        <v>161595</v>
      </c>
      <c r="V998">
        <v>5.0184000000000006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26.2</v>
      </c>
      <c r="AC998">
        <v>0.49488888888888888</v>
      </c>
      <c r="AD998">
        <v>26</v>
      </c>
      <c r="AI99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11.505111111111111</v>
      </c>
      <c r="AK998" t="s">
        <v>51</v>
      </c>
      <c r="AN998">
        <f>INT(Table1[[#This Row],[reject_prod]]/Table1[[#This Row],[part_weight]] * 1000)</f>
        <v>0</v>
      </c>
    </row>
    <row r="999" spans="1:40">
      <c r="A999" s="1">
        <v>46052</v>
      </c>
      <c r="B999">
        <v>2</v>
      </c>
      <c r="C999">
        <v>14</v>
      </c>
      <c r="F999">
        <v>123456</v>
      </c>
      <c r="G999">
        <v>0</v>
      </c>
      <c r="M999">
        <v>0</v>
      </c>
      <c r="N999" s="2">
        <v>0</v>
      </c>
      <c r="O999" s="2">
        <v>0</v>
      </c>
      <c r="P999" s="2">
        <v>0</v>
      </c>
      <c r="Q999" s="2"/>
      <c r="R999" s="2">
        <v>0</v>
      </c>
      <c r="T999" s="2">
        <v>0</v>
      </c>
      <c r="U999" s="2"/>
      <c r="X999">
        <v>0</v>
      </c>
      <c r="Z999">
        <v>0</v>
      </c>
      <c r="AB999">
        <v>0</v>
      </c>
      <c r="AC999">
        <v>0</v>
      </c>
      <c r="AD999">
        <v>0</v>
      </c>
      <c r="AI99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999">
        <v>12</v>
      </c>
      <c r="AK999" t="s">
        <v>116</v>
      </c>
      <c r="AN999">
        <v>0</v>
      </c>
    </row>
    <row r="1000" spans="1:40">
      <c r="A1000" s="1">
        <v>46052</v>
      </c>
      <c r="B1000">
        <v>2</v>
      </c>
      <c r="C1000">
        <v>15</v>
      </c>
      <c r="D1000" t="s">
        <v>599</v>
      </c>
      <c r="E1000" t="s">
        <v>46</v>
      </c>
      <c r="F1000">
        <v>552181</v>
      </c>
      <c r="G1000">
        <v>2</v>
      </c>
      <c r="H1000" t="s">
        <v>49</v>
      </c>
      <c r="I1000">
        <v>10685541</v>
      </c>
      <c r="J1000">
        <v>6</v>
      </c>
      <c r="K1000">
        <v>18.8</v>
      </c>
      <c r="L1000">
        <v>18.8</v>
      </c>
      <c r="M1000">
        <v>1372</v>
      </c>
      <c r="N1000" s="2">
        <v>108000</v>
      </c>
      <c r="O1000" s="2">
        <v>6210</v>
      </c>
      <c r="P1000" s="2">
        <v>8910</v>
      </c>
      <c r="Q1000" s="2">
        <v>8232</v>
      </c>
      <c r="R1000" s="2">
        <v>5400</v>
      </c>
      <c r="S1000">
        <v>101.52</v>
      </c>
      <c r="T1000" s="2">
        <v>30510</v>
      </c>
      <c r="U1000" s="2">
        <v>77490</v>
      </c>
      <c r="V1000">
        <v>154.76160000000002</v>
      </c>
      <c r="W1000">
        <v>0</v>
      </c>
      <c r="X1000">
        <v>0</v>
      </c>
      <c r="Y1000">
        <v>0</v>
      </c>
      <c r="Z1000">
        <v>2.5</v>
      </c>
      <c r="AA1000">
        <v>1.6153877964559683E-2</v>
      </c>
      <c r="AB1000">
        <v>31.2</v>
      </c>
      <c r="AC1000">
        <v>11.890666666666666</v>
      </c>
      <c r="AD1000">
        <v>27</v>
      </c>
      <c r="AI100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0.10933333333333373</v>
      </c>
      <c r="AK1000" t="s">
        <v>615</v>
      </c>
      <c r="AN1000">
        <f>INT(Table1[[#This Row],[reject_prod]]/Table1[[#This Row],[part_weight]] * 1000)</f>
        <v>132</v>
      </c>
    </row>
    <row r="1001" spans="1:40" s="4" customFormat="1">
      <c r="A1001" s="3">
        <v>46052</v>
      </c>
      <c r="B1001" s="4">
        <v>2</v>
      </c>
      <c r="C1001" s="4">
        <v>16</v>
      </c>
      <c r="D1001" s="4" t="s">
        <v>600</v>
      </c>
      <c r="E1001" s="4" t="s">
        <v>46</v>
      </c>
      <c r="F1001" s="4">
        <v>555979</v>
      </c>
      <c r="G1001" s="4">
        <v>2</v>
      </c>
      <c r="H1001" s="4" t="s">
        <v>52</v>
      </c>
      <c r="I1001" s="4">
        <v>10684863</v>
      </c>
      <c r="J1001" s="4">
        <v>6</v>
      </c>
      <c r="K1001" s="4">
        <v>28</v>
      </c>
      <c r="L1001" s="4">
        <v>28</v>
      </c>
      <c r="M1001" s="4">
        <v>962</v>
      </c>
      <c r="N1001" s="5">
        <v>100800</v>
      </c>
      <c r="O1001" s="5">
        <v>168</v>
      </c>
      <c r="P1001" s="5">
        <v>2520</v>
      </c>
      <c r="Q1001" s="5">
        <v>5772</v>
      </c>
      <c r="R1001" s="5">
        <v>3360</v>
      </c>
      <c r="S1001" s="4">
        <v>94.08</v>
      </c>
      <c r="T1001" s="5">
        <v>83160</v>
      </c>
      <c r="U1001" s="5">
        <v>17640</v>
      </c>
      <c r="V1001" s="4">
        <v>161.61600000000001</v>
      </c>
      <c r="W1001" s="4">
        <v>0</v>
      </c>
      <c r="X1001" s="4">
        <v>0</v>
      </c>
      <c r="Y1001" s="4">
        <v>0</v>
      </c>
      <c r="Z1001" s="4">
        <v>1.5</v>
      </c>
      <c r="AA1001" s="4">
        <v>9.2812592812592798E-3</v>
      </c>
      <c r="AB1001" s="4">
        <v>43.4</v>
      </c>
      <c r="AC1001" s="4">
        <v>11.597444444444445</v>
      </c>
      <c r="AD1001" s="4">
        <v>42</v>
      </c>
      <c r="AI100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0.40255555555555489</v>
      </c>
      <c r="AK1001" s="4" t="s">
        <v>51</v>
      </c>
      <c r="AN1001" s="4">
        <f>INT(Table1[[#This Row],[reject_prod]]/Table1[[#This Row],[part_weight]] * 1000)</f>
        <v>53</v>
      </c>
    </row>
    <row r="1002" spans="1:40">
      <c r="A1002" s="1">
        <v>46053</v>
      </c>
      <c r="B1002">
        <v>1</v>
      </c>
      <c r="C1002">
        <v>1</v>
      </c>
      <c r="D1002" t="s">
        <v>616</v>
      </c>
      <c r="E1002" t="s">
        <v>34</v>
      </c>
      <c r="F1002">
        <v>347623</v>
      </c>
      <c r="G1002">
        <v>0</v>
      </c>
      <c r="H1002" t="s">
        <v>35</v>
      </c>
      <c r="I1002">
        <v>10685631</v>
      </c>
      <c r="J1002">
        <v>4</v>
      </c>
      <c r="K1002">
        <v>35.6</v>
      </c>
      <c r="L1002">
        <v>35.6</v>
      </c>
      <c r="M1002">
        <v>1565</v>
      </c>
      <c r="N1002" s="2">
        <v>36800</v>
      </c>
      <c r="O1002" s="2">
        <v>0</v>
      </c>
      <c r="P1002" s="2">
        <v>736</v>
      </c>
      <c r="Q1002" s="2">
        <v>6260</v>
      </c>
      <c r="R1002" s="2">
        <v>5520</v>
      </c>
      <c r="S1002">
        <v>196.512</v>
      </c>
      <c r="T1002" s="2">
        <v>13616</v>
      </c>
      <c r="U1002" s="2">
        <v>23184</v>
      </c>
      <c r="V1002">
        <v>222.85599999999999</v>
      </c>
      <c r="W1002">
        <v>0</v>
      </c>
      <c r="X1002">
        <v>0</v>
      </c>
      <c r="Y1002">
        <v>0</v>
      </c>
      <c r="Z1002">
        <v>3</v>
      </c>
      <c r="AA1002">
        <v>1.3461607495423054E-2</v>
      </c>
      <c r="AB1002">
        <v>27.2</v>
      </c>
      <c r="AC1002">
        <v>11.824444444444444</v>
      </c>
      <c r="AD1002">
        <v>27</v>
      </c>
      <c r="AI100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0.17555555555555635</v>
      </c>
      <c r="AK1002" t="s">
        <v>51</v>
      </c>
      <c r="AL1002">
        <v>1</v>
      </c>
      <c r="AM1002">
        <v>3</v>
      </c>
      <c r="AN1002">
        <f>INT(Table1[[#This Row],[reject_prod]]/Table1[[#This Row],[part_weight]] * 1000)</f>
        <v>84</v>
      </c>
    </row>
    <row r="1003" spans="1:40">
      <c r="A1003" s="1">
        <v>46053</v>
      </c>
      <c r="B1003">
        <v>1</v>
      </c>
      <c r="C1003">
        <v>2</v>
      </c>
      <c r="D1003" t="s">
        <v>617</v>
      </c>
      <c r="E1003" t="s">
        <v>34</v>
      </c>
      <c r="F1003">
        <v>416201</v>
      </c>
      <c r="G1003">
        <v>0</v>
      </c>
      <c r="H1003" t="s">
        <v>36</v>
      </c>
      <c r="I1003">
        <v>10681779</v>
      </c>
      <c r="J1003">
        <v>4</v>
      </c>
      <c r="K1003">
        <v>20</v>
      </c>
      <c r="L1003">
        <v>30</v>
      </c>
      <c r="M1003">
        <v>1320</v>
      </c>
      <c r="N1003" s="2">
        <v>50400</v>
      </c>
      <c r="O1003" s="2">
        <v>3780</v>
      </c>
      <c r="P1003" s="2">
        <v>3780</v>
      </c>
      <c r="Q1003" s="2">
        <v>5280</v>
      </c>
      <c r="R1003" s="2">
        <v>5040</v>
      </c>
      <c r="S1003">
        <v>151.19999999999999</v>
      </c>
      <c r="T1003" s="2">
        <v>23940</v>
      </c>
      <c r="U1003" s="2">
        <v>26460</v>
      </c>
      <c r="V1003">
        <v>158.4</v>
      </c>
      <c r="W1003">
        <v>0</v>
      </c>
      <c r="X1003">
        <v>0</v>
      </c>
      <c r="Y1003">
        <v>0</v>
      </c>
      <c r="Z1003">
        <v>17</v>
      </c>
      <c r="AA1003">
        <v>0.10732323232323232</v>
      </c>
      <c r="AB1003">
        <v>31.3</v>
      </c>
      <c r="AC1003">
        <v>11.476666666666667</v>
      </c>
      <c r="AD1003">
        <v>38.64</v>
      </c>
      <c r="AI100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0.52333333333333343</v>
      </c>
      <c r="AK1003" t="s">
        <v>624</v>
      </c>
      <c r="AN1003">
        <f>INT(Table1[[#This Row],[reject_prod]]/Table1[[#This Row],[part_weight]] * 1000)</f>
        <v>566</v>
      </c>
    </row>
    <row r="1004" spans="1:40">
      <c r="A1004" s="1">
        <v>46053</v>
      </c>
      <c r="B1004">
        <v>1</v>
      </c>
      <c r="C1004">
        <v>3</v>
      </c>
      <c r="D1004" t="s">
        <v>427</v>
      </c>
      <c r="E1004" t="s">
        <v>34</v>
      </c>
      <c r="F1004">
        <v>442034</v>
      </c>
      <c r="G1004">
        <v>0</v>
      </c>
      <c r="H1004" t="s">
        <v>37</v>
      </c>
      <c r="I1004">
        <v>10681184</v>
      </c>
      <c r="J1004">
        <v>4</v>
      </c>
      <c r="K1004">
        <v>23</v>
      </c>
      <c r="L1004">
        <v>23</v>
      </c>
      <c r="M1004">
        <v>1530</v>
      </c>
      <c r="N1004" s="2">
        <v>139776</v>
      </c>
      <c r="O1004" s="2">
        <v>768</v>
      </c>
      <c r="P1004" s="2">
        <v>2304</v>
      </c>
      <c r="Q1004" s="2">
        <v>6120</v>
      </c>
      <c r="R1004" s="2">
        <v>4608</v>
      </c>
      <c r="S1004">
        <v>105.98399999999999</v>
      </c>
      <c r="T1004" s="2">
        <v>122112</v>
      </c>
      <c r="U1004" s="2">
        <v>17664</v>
      </c>
      <c r="V1004">
        <v>140.76</v>
      </c>
      <c r="W1004">
        <v>0</v>
      </c>
      <c r="X1004">
        <v>0</v>
      </c>
      <c r="Y1004">
        <v>0</v>
      </c>
      <c r="Z1004">
        <v>2</v>
      </c>
      <c r="AA1004">
        <v>1.4208581983518046E-2</v>
      </c>
      <c r="AB1004">
        <v>28.5</v>
      </c>
      <c r="AC1004">
        <v>12</v>
      </c>
      <c r="AD1004">
        <v>22</v>
      </c>
      <c r="AI100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1004" t="s">
        <v>168</v>
      </c>
      <c r="AN1004">
        <f>INT(Table1[[#This Row],[reject_prod]]/Table1[[#This Row],[part_weight]] * 1000)</f>
        <v>86</v>
      </c>
    </row>
    <row r="1005" spans="1:40">
      <c r="A1005" s="1">
        <v>46053</v>
      </c>
      <c r="B1005">
        <v>1</v>
      </c>
      <c r="C1005">
        <v>4</v>
      </c>
      <c r="D1005" t="s">
        <v>88</v>
      </c>
      <c r="E1005" t="s">
        <v>34</v>
      </c>
      <c r="F1005">
        <v>414439</v>
      </c>
      <c r="G1005">
        <v>0</v>
      </c>
      <c r="H1005" t="s">
        <v>587</v>
      </c>
      <c r="I1005">
        <v>10684854</v>
      </c>
      <c r="J1005">
        <v>6</v>
      </c>
      <c r="K1005">
        <v>23</v>
      </c>
      <c r="L1005">
        <v>15</v>
      </c>
      <c r="M1005">
        <v>1570</v>
      </c>
      <c r="N1005" s="2">
        <v>59136</v>
      </c>
      <c r="O1005" s="2">
        <v>0</v>
      </c>
      <c r="P1005" s="2">
        <v>6160</v>
      </c>
      <c r="Q1005" s="2">
        <v>9420</v>
      </c>
      <c r="R1005" s="2">
        <v>0</v>
      </c>
      <c r="S1005">
        <v>0</v>
      </c>
      <c r="T1005" s="2">
        <v>6160</v>
      </c>
      <c r="U1005" s="2">
        <v>52976</v>
      </c>
      <c r="V1005">
        <v>141.30000000000001</v>
      </c>
      <c r="W1005">
        <v>0</v>
      </c>
      <c r="X1005">
        <v>8</v>
      </c>
      <c r="Y1005">
        <v>5.6617126680820945E-2</v>
      </c>
      <c r="Z1005">
        <v>0.5</v>
      </c>
      <c r="AA1005">
        <v>3.5385704175513091E-3</v>
      </c>
      <c r="AB1005">
        <v>19.86</v>
      </c>
      <c r="AC1005">
        <v>8.6611666666666665</v>
      </c>
      <c r="AD1005">
        <v>15</v>
      </c>
      <c r="AI100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3.3388333333333335</v>
      </c>
      <c r="AK1005" t="s">
        <v>625</v>
      </c>
      <c r="AL1005">
        <v>3</v>
      </c>
      <c r="AM1005">
        <v>3</v>
      </c>
      <c r="AN1005">
        <f>INT(Table1[[#This Row],[reject_prod]]/Table1[[#This Row],[part_weight]] * 1000)</f>
        <v>33</v>
      </c>
    </row>
    <row r="1006" spans="1:40">
      <c r="A1006" s="1">
        <v>46053</v>
      </c>
      <c r="B1006">
        <v>1</v>
      </c>
      <c r="C1006">
        <v>5</v>
      </c>
      <c r="D1006" t="s">
        <v>618</v>
      </c>
      <c r="E1006" t="s">
        <v>34</v>
      </c>
      <c r="F1006">
        <v>322394</v>
      </c>
      <c r="G1006">
        <v>0</v>
      </c>
      <c r="H1006" t="s">
        <v>605</v>
      </c>
      <c r="I1006">
        <v>10685208</v>
      </c>
      <c r="J1006">
        <v>4</v>
      </c>
      <c r="K1006">
        <v>20</v>
      </c>
      <c r="L1006">
        <v>20</v>
      </c>
      <c r="M1006">
        <v>1820</v>
      </c>
      <c r="N1006" s="2">
        <v>11520</v>
      </c>
      <c r="O1006" s="2">
        <v>720</v>
      </c>
      <c r="P1006" s="2">
        <v>7920</v>
      </c>
      <c r="Q1006" s="2">
        <v>7280</v>
      </c>
      <c r="R1006" s="2">
        <v>0</v>
      </c>
      <c r="S1006">
        <v>0</v>
      </c>
      <c r="T1006" s="2">
        <v>7920</v>
      </c>
      <c r="U1006" s="2">
        <v>3600</v>
      </c>
      <c r="V1006">
        <v>145.6</v>
      </c>
      <c r="W1006">
        <v>0</v>
      </c>
      <c r="X1006">
        <v>0</v>
      </c>
      <c r="Y1006">
        <v>0</v>
      </c>
      <c r="Z1006">
        <v>2</v>
      </c>
      <c r="AA1006">
        <v>1.3736263736263736E-2</v>
      </c>
      <c r="AB1006">
        <v>21.9</v>
      </c>
      <c r="AC1006">
        <v>11.071666666666665</v>
      </c>
      <c r="AD1006">
        <v>19.14</v>
      </c>
      <c r="AI100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0.92833333333333456</v>
      </c>
      <c r="AK1006" t="s">
        <v>626</v>
      </c>
      <c r="AL1006">
        <v>3</v>
      </c>
      <c r="AM1006">
        <v>5</v>
      </c>
      <c r="AN1006">
        <f>INT(Table1[[#This Row],[reject_prod]]/Table1[[#This Row],[part_weight]] * 1000)</f>
        <v>100</v>
      </c>
    </row>
    <row r="1007" spans="1:40">
      <c r="A1007" s="1">
        <v>46053</v>
      </c>
      <c r="B1007">
        <v>1</v>
      </c>
      <c r="C1007">
        <v>6</v>
      </c>
      <c r="D1007" t="s">
        <v>619</v>
      </c>
      <c r="E1007" t="s">
        <v>34</v>
      </c>
      <c r="F1007">
        <v>324174</v>
      </c>
      <c r="G1007">
        <v>0</v>
      </c>
      <c r="H1007" t="s">
        <v>558</v>
      </c>
      <c r="I1007">
        <v>10684855</v>
      </c>
      <c r="J1007">
        <v>4</v>
      </c>
      <c r="K1007">
        <v>24</v>
      </c>
      <c r="L1007">
        <v>24</v>
      </c>
      <c r="M1007">
        <v>1780</v>
      </c>
      <c r="N1007" s="2">
        <v>20300</v>
      </c>
      <c r="O1007" s="2">
        <v>1624</v>
      </c>
      <c r="P1007" s="2">
        <v>609</v>
      </c>
      <c r="Q1007" s="2">
        <v>7120</v>
      </c>
      <c r="R1007" s="2">
        <v>8120</v>
      </c>
      <c r="S1007">
        <v>194.88</v>
      </c>
      <c r="T1007" s="2">
        <v>10759</v>
      </c>
      <c r="U1007" s="2">
        <v>9541</v>
      </c>
      <c r="V1007">
        <v>170.88</v>
      </c>
      <c r="W1007">
        <v>0</v>
      </c>
      <c r="X1007">
        <v>0</v>
      </c>
      <c r="Y1007">
        <v>0</v>
      </c>
      <c r="Z1007">
        <v>1</v>
      </c>
      <c r="AA1007">
        <v>5.8520599250936334E-3</v>
      </c>
      <c r="AB1007">
        <v>21.3</v>
      </c>
      <c r="AC1007">
        <v>10.531666666666668</v>
      </c>
      <c r="AD1007">
        <v>20.12</v>
      </c>
      <c r="AI100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1.4683333333333319</v>
      </c>
      <c r="AK1007" t="s">
        <v>103</v>
      </c>
      <c r="AM1007">
        <v>1</v>
      </c>
      <c r="AN1007">
        <f>INT(Table1[[#This Row],[reject_prod]]/Table1[[#This Row],[part_weight]] * 1000)</f>
        <v>41</v>
      </c>
    </row>
    <row r="1008" spans="1:40">
      <c r="A1008" s="1">
        <v>46053</v>
      </c>
      <c r="B1008">
        <v>1</v>
      </c>
      <c r="C1008">
        <v>7</v>
      </c>
      <c r="D1008" t="s">
        <v>620</v>
      </c>
      <c r="E1008" t="s">
        <v>34</v>
      </c>
      <c r="F1008">
        <v>323072</v>
      </c>
      <c r="G1008">
        <v>0</v>
      </c>
      <c r="H1008" t="s">
        <v>590</v>
      </c>
      <c r="I1008">
        <v>10684033</v>
      </c>
      <c r="J1008">
        <v>4</v>
      </c>
      <c r="K1008">
        <v>34.5</v>
      </c>
      <c r="L1008">
        <v>34.5</v>
      </c>
      <c r="M1008">
        <v>1612</v>
      </c>
      <c r="N1008" s="2">
        <v>24768</v>
      </c>
      <c r="O1008" s="2">
        <v>387</v>
      </c>
      <c r="P1008" s="2">
        <v>645</v>
      </c>
      <c r="Q1008" s="2">
        <v>6448</v>
      </c>
      <c r="R1008" s="2">
        <v>6192</v>
      </c>
      <c r="S1008">
        <v>213.624</v>
      </c>
      <c r="T1008" s="2">
        <v>19221</v>
      </c>
      <c r="U1008" s="2">
        <v>5547</v>
      </c>
      <c r="V1008">
        <v>222.45599999999999</v>
      </c>
      <c r="W1008">
        <v>0</v>
      </c>
      <c r="X1008">
        <v>0</v>
      </c>
      <c r="Y1008">
        <v>0</v>
      </c>
      <c r="Z1008">
        <v>5</v>
      </c>
      <c r="AA1008">
        <v>2.2476354874671846E-2</v>
      </c>
      <c r="AB1008">
        <v>26.8</v>
      </c>
      <c r="AC1008">
        <v>12</v>
      </c>
      <c r="AD1008">
        <v>16.2</v>
      </c>
      <c r="AI100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1008" t="s">
        <v>103</v>
      </c>
      <c r="AM1008">
        <v>4</v>
      </c>
      <c r="AN1008">
        <f>INT(Table1[[#This Row],[reject_prod]]/Table1[[#This Row],[part_weight]] * 1000)</f>
        <v>144</v>
      </c>
    </row>
    <row r="1009" spans="1:40">
      <c r="A1009" s="1">
        <v>46053</v>
      </c>
      <c r="B1009">
        <v>1</v>
      </c>
      <c r="C1009">
        <v>8</v>
      </c>
      <c r="D1009" t="s">
        <v>289</v>
      </c>
      <c r="E1009" t="s">
        <v>41</v>
      </c>
      <c r="F1009">
        <v>593537</v>
      </c>
      <c r="G1009">
        <v>0</v>
      </c>
      <c r="H1009" t="s">
        <v>48</v>
      </c>
      <c r="I1009">
        <v>10685337</v>
      </c>
      <c r="J1009">
        <v>4</v>
      </c>
      <c r="K1009">
        <v>56.5</v>
      </c>
      <c r="L1009">
        <v>56.8</v>
      </c>
      <c r="M1009">
        <v>1352</v>
      </c>
      <c r="N1009" s="2">
        <v>69000</v>
      </c>
      <c r="O1009" s="2">
        <v>0</v>
      </c>
      <c r="P1009" s="2">
        <v>230</v>
      </c>
      <c r="Q1009" s="2">
        <v>5408</v>
      </c>
      <c r="R1009" s="2">
        <v>5175</v>
      </c>
      <c r="S1009">
        <v>293.94</v>
      </c>
      <c r="T1009" s="2">
        <v>62905</v>
      </c>
      <c r="U1009" s="2">
        <v>6095</v>
      </c>
      <c r="V1009">
        <v>307.17439999999999</v>
      </c>
      <c r="W1009">
        <v>0</v>
      </c>
      <c r="X1009">
        <v>0</v>
      </c>
      <c r="Y1009">
        <v>0</v>
      </c>
      <c r="Z1009">
        <v>1</v>
      </c>
      <c r="AA1009">
        <v>3.2554796233019421E-3</v>
      </c>
      <c r="AB1009">
        <v>29.9</v>
      </c>
      <c r="AC1009">
        <v>11.229111111111111</v>
      </c>
      <c r="AD1009">
        <v>28.5</v>
      </c>
      <c r="AI100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0.77088888888888896</v>
      </c>
      <c r="AK1009" t="s">
        <v>178</v>
      </c>
      <c r="AM1009">
        <v>0.5</v>
      </c>
      <c r="AN1009">
        <f>INT(Table1[[#This Row],[reject_prod]]/Table1[[#This Row],[part_weight]] * 1000)</f>
        <v>17</v>
      </c>
    </row>
    <row r="1010" spans="1:40">
      <c r="A1010" s="1">
        <v>46053</v>
      </c>
      <c r="B1010">
        <v>1</v>
      </c>
      <c r="C1010">
        <v>9</v>
      </c>
      <c r="D1010" t="s">
        <v>56</v>
      </c>
      <c r="E1010" t="s">
        <v>46</v>
      </c>
      <c r="F1010">
        <v>586276</v>
      </c>
      <c r="G1010">
        <v>0</v>
      </c>
      <c r="H1010" t="s">
        <v>47</v>
      </c>
      <c r="I1010">
        <v>10682924</v>
      </c>
      <c r="J1010">
        <v>6</v>
      </c>
      <c r="K1010">
        <v>12.3</v>
      </c>
      <c r="L1010">
        <v>12.3</v>
      </c>
      <c r="M1010">
        <v>1620</v>
      </c>
      <c r="N1010" s="2">
        <v>162000</v>
      </c>
      <c r="O1010" s="2">
        <v>6075</v>
      </c>
      <c r="P1010" s="2">
        <v>7695</v>
      </c>
      <c r="Q1010" s="2">
        <v>9720</v>
      </c>
      <c r="R1010" s="2">
        <v>8100</v>
      </c>
      <c r="S1010">
        <v>99.63</v>
      </c>
      <c r="T1010" s="2">
        <v>121095</v>
      </c>
      <c r="U1010" s="2">
        <v>40905</v>
      </c>
      <c r="V1010">
        <v>119.556</v>
      </c>
      <c r="W1010">
        <v>0</v>
      </c>
      <c r="X1010">
        <v>0</v>
      </c>
      <c r="Y1010">
        <v>0</v>
      </c>
      <c r="Z1010">
        <v>0.5</v>
      </c>
      <c r="AA1010">
        <v>4.1821405868379671E-3</v>
      </c>
      <c r="AB1010">
        <v>26.6</v>
      </c>
      <c r="AC1010">
        <v>11.97</v>
      </c>
      <c r="AD1010">
        <v>26</v>
      </c>
      <c r="AI101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2.9999999999999361E-2</v>
      </c>
      <c r="AK1010" t="s">
        <v>51</v>
      </c>
      <c r="AN1010">
        <f>INT(Table1[[#This Row],[reject_prod]]/Table1[[#This Row],[part_weight]] * 1000)</f>
        <v>40</v>
      </c>
    </row>
    <row r="1011" spans="1:40">
      <c r="A1011" s="1">
        <v>46053</v>
      </c>
      <c r="B1011">
        <v>1</v>
      </c>
      <c r="C1011">
        <v>10</v>
      </c>
      <c r="D1011" t="s">
        <v>84</v>
      </c>
      <c r="E1011" t="s">
        <v>34</v>
      </c>
      <c r="F1011">
        <v>323133</v>
      </c>
      <c r="G1011">
        <v>0</v>
      </c>
      <c r="H1011" t="s">
        <v>568</v>
      </c>
      <c r="I1011">
        <v>10684859</v>
      </c>
      <c r="J1011">
        <v>4</v>
      </c>
      <c r="K1011">
        <v>77</v>
      </c>
      <c r="L1011">
        <v>77</v>
      </c>
      <c r="M1011">
        <v>360</v>
      </c>
      <c r="N1011" s="2">
        <v>19872</v>
      </c>
      <c r="O1011" s="2">
        <v>0</v>
      </c>
      <c r="P1011" s="2">
        <v>0</v>
      </c>
      <c r="Q1011" s="2">
        <v>1440</v>
      </c>
      <c r="R1011" s="2">
        <v>1380</v>
      </c>
      <c r="S1011">
        <v>106.26</v>
      </c>
      <c r="T1011" s="2">
        <v>19872</v>
      </c>
      <c r="U1011" s="2">
        <v>0</v>
      </c>
      <c r="V1011">
        <v>110.88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38.6</v>
      </c>
      <c r="AC1011">
        <v>3.8600000000000003</v>
      </c>
      <c r="AD1011">
        <v>35</v>
      </c>
      <c r="AI101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8.14</v>
      </c>
      <c r="AK1011" t="s">
        <v>102</v>
      </c>
      <c r="AM1011">
        <v>6</v>
      </c>
      <c r="AN1011">
        <f>INT(Table1[[#This Row],[reject_prod]]/Table1[[#This Row],[part_weight]] * 1000)</f>
        <v>0</v>
      </c>
    </row>
    <row r="1012" spans="1:40">
      <c r="A1012" s="1">
        <v>46053</v>
      </c>
      <c r="B1012">
        <v>1</v>
      </c>
      <c r="C1012">
        <v>10</v>
      </c>
      <c r="D1012" t="s">
        <v>84</v>
      </c>
      <c r="E1012" t="s">
        <v>34</v>
      </c>
      <c r="F1012">
        <v>323133</v>
      </c>
      <c r="G1012">
        <v>0</v>
      </c>
      <c r="H1012" t="s">
        <v>568</v>
      </c>
      <c r="I1012">
        <v>10685638</v>
      </c>
      <c r="J1012">
        <v>4</v>
      </c>
      <c r="K1012">
        <v>77</v>
      </c>
      <c r="L1012">
        <v>77</v>
      </c>
      <c r="M1012">
        <v>580</v>
      </c>
      <c r="N1012" s="2">
        <v>13248</v>
      </c>
      <c r="O1012" s="2">
        <v>0</v>
      </c>
      <c r="P1012" s="2">
        <v>69</v>
      </c>
      <c r="Q1012" s="2">
        <v>2320</v>
      </c>
      <c r="R1012" s="2">
        <v>2208</v>
      </c>
      <c r="S1012">
        <v>170.01599999999999</v>
      </c>
      <c r="T1012" s="2">
        <v>2208</v>
      </c>
      <c r="U1012" s="2">
        <v>11040</v>
      </c>
      <c r="V1012">
        <v>178.64</v>
      </c>
      <c r="W1012">
        <v>0</v>
      </c>
      <c r="X1012">
        <v>0</v>
      </c>
      <c r="Y1012">
        <v>0</v>
      </c>
      <c r="Z1012">
        <v>6</v>
      </c>
      <c r="AA1012">
        <v>3.3587102552619798E-2</v>
      </c>
      <c r="AB1012">
        <v>38.6</v>
      </c>
      <c r="AC1012">
        <v>6.2188888888888894</v>
      </c>
      <c r="AD1012">
        <v>35</v>
      </c>
      <c r="AI101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5.7811111111111106</v>
      </c>
      <c r="AK1012" t="s">
        <v>227</v>
      </c>
      <c r="AN1012">
        <f>INT(Table1[[#This Row],[reject_prod]]/Table1[[#This Row],[part_weight]] * 1000)</f>
        <v>77</v>
      </c>
    </row>
    <row r="1013" spans="1:40">
      <c r="A1013" s="1">
        <v>46053</v>
      </c>
      <c r="B1013">
        <v>1</v>
      </c>
      <c r="C1013">
        <v>11</v>
      </c>
      <c r="D1013" t="s">
        <v>59</v>
      </c>
      <c r="E1013" t="s">
        <v>46</v>
      </c>
      <c r="F1013">
        <v>552181</v>
      </c>
      <c r="G1013">
        <v>1</v>
      </c>
      <c r="H1013" t="s">
        <v>49</v>
      </c>
      <c r="I1013">
        <v>10685338</v>
      </c>
      <c r="J1013">
        <v>6</v>
      </c>
      <c r="K1013">
        <v>18.8</v>
      </c>
      <c r="L1013">
        <v>18.8</v>
      </c>
      <c r="M1013">
        <v>200</v>
      </c>
      <c r="N1013" s="2">
        <v>108000</v>
      </c>
      <c r="O1013" s="2">
        <v>16470</v>
      </c>
      <c r="P1013" s="2">
        <v>1080</v>
      </c>
      <c r="Q1013" s="2">
        <v>1200</v>
      </c>
      <c r="R1013" s="2">
        <v>0</v>
      </c>
      <c r="S1013">
        <v>0</v>
      </c>
      <c r="T1013" s="2">
        <v>60750</v>
      </c>
      <c r="U1013" s="2">
        <v>47250</v>
      </c>
      <c r="V1013">
        <v>22.56</v>
      </c>
      <c r="W1013">
        <v>0</v>
      </c>
      <c r="X1013">
        <v>5</v>
      </c>
      <c r="Y1013">
        <v>0.22163120567375888</v>
      </c>
      <c r="Z1013">
        <v>24</v>
      </c>
      <c r="AA1013">
        <v>1.0638297872340425</v>
      </c>
      <c r="AB1013">
        <v>28.7</v>
      </c>
      <c r="AC1013">
        <v>1.5944444444444446</v>
      </c>
      <c r="AD1013">
        <v>27</v>
      </c>
      <c r="AI101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10.405555555555555</v>
      </c>
      <c r="AK1013" t="s">
        <v>627</v>
      </c>
      <c r="AN1013">
        <f>INT(Table1[[#This Row],[reject_prod]]/Table1[[#This Row],[part_weight]] * 1000)</f>
        <v>1276</v>
      </c>
    </row>
    <row r="1014" spans="1:40">
      <c r="A1014" s="1">
        <v>46053</v>
      </c>
      <c r="B1014">
        <v>1</v>
      </c>
      <c r="C1014">
        <v>12</v>
      </c>
      <c r="D1014" t="s">
        <v>54</v>
      </c>
      <c r="E1014" t="s">
        <v>34</v>
      </c>
      <c r="F1014">
        <v>620599</v>
      </c>
      <c r="G1014">
        <v>0</v>
      </c>
      <c r="H1014" t="s">
        <v>50</v>
      </c>
      <c r="I1014">
        <v>10685340</v>
      </c>
      <c r="J1014">
        <v>4</v>
      </c>
      <c r="K1014">
        <v>55</v>
      </c>
      <c r="L1014">
        <v>55</v>
      </c>
      <c r="M1014">
        <v>1350</v>
      </c>
      <c r="N1014" s="2">
        <v>72000</v>
      </c>
      <c r="O1014" s="2">
        <v>1125</v>
      </c>
      <c r="P1014" s="2">
        <v>1125</v>
      </c>
      <c r="Q1014" s="2">
        <v>5400</v>
      </c>
      <c r="R1014" s="2">
        <v>5400</v>
      </c>
      <c r="S1014">
        <v>297</v>
      </c>
      <c r="T1014" s="2">
        <v>33525</v>
      </c>
      <c r="U1014" s="2">
        <v>38475</v>
      </c>
      <c r="V1014">
        <v>297</v>
      </c>
      <c r="W1014">
        <v>0</v>
      </c>
      <c r="X1014">
        <v>0</v>
      </c>
      <c r="Y1014">
        <v>0</v>
      </c>
      <c r="Z1014">
        <v>7</v>
      </c>
      <c r="AA1014">
        <v>2.3569023569023569E-2</v>
      </c>
      <c r="AB1014">
        <v>29</v>
      </c>
      <c r="AC1014">
        <v>10.875</v>
      </c>
      <c r="AD1014">
        <v>28</v>
      </c>
      <c r="AI101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1.125</v>
      </c>
      <c r="AK1014" t="s">
        <v>628</v>
      </c>
      <c r="AN1014">
        <f>INT(Table1[[#This Row],[reject_prod]]/Table1[[#This Row],[part_weight]] * 1000)</f>
        <v>127</v>
      </c>
    </row>
    <row r="1015" spans="1:40">
      <c r="A1015" s="1">
        <v>46053</v>
      </c>
      <c r="B1015">
        <v>1</v>
      </c>
      <c r="C1015">
        <v>13</v>
      </c>
      <c r="D1015" t="s">
        <v>59</v>
      </c>
      <c r="E1015" t="s">
        <v>46</v>
      </c>
      <c r="F1015">
        <v>586276</v>
      </c>
      <c r="G1015">
        <v>0</v>
      </c>
      <c r="H1015" t="s">
        <v>47</v>
      </c>
      <c r="I1015">
        <v>10686191</v>
      </c>
      <c r="J1015">
        <v>6</v>
      </c>
      <c r="K1015">
        <v>12.3</v>
      </c>
      <c r="L1015">
        <v>12.3</v>
      </c>
      <c r="M1015">
        <v>1620</v>
      </c>
      <c r="N1015" s="2">
        <v>162000</v>
      </c>
      <c r="O1015" s="2">
        <v>405</v>
      </c>
      <c r="P1015" s="2">
        <v>2025</v>
      </c>
      <c r="Q1015" s="2">
        <v>9720</v>
      </c>
      <c r="R1015" s="2">
        <v>8100</v>
      </c>
      <c r="S1015">
        <v>99.63</v>
      </c>
      <c r="T1015" s="2">
        <v>10125</v>
      </c>
      <c r="U1015" s="2">
        <v>151875</v>
      </c>
      <c r="V1015">
        <v>119.556</v>
      </c>
      <c r="W1015">
        <v>0</v>
      </c>
      <c r="X1015">
        <v>0</v>
      </c>
      <c r="Y1015">
        <v>0</v>
      </c>
      <c r="Z1015">
        <v>0.5</v>
      </c>
      <c r="AA1015">
        <v>4.1821405868379671E-3</v>
      </c>
      <c r="AB1015">
        <v>26.2</v>
      </c>
      <c r="AC1015">
        <v>11.790000000000001</v>
      </c>
      <c r="AD1015">
        <v>26</v>
      </c>
      <c r="AI101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0.20999999999999908</v>
      </c>
      <c r="AK1015" t="s">
        <v>51</v>
      </c>
      <c r="AN1015">
        <f>INT(Table1[[#This Row],[reject_prod]]/Table1[[#This Row],[part_weight]] * 1000)</f>
        <v>40</v>
      </c>
    </row>
    <row r="1016" spans="1:40">
      <c r="A1016" s="1">
        <v>46053</v>
      </c>
      <c r="B1016">
        <v>1</v>
      </c>
      <c r="C1016">
        <v>14</v>
      </c>
      <c r="F1016">
        <v>123456</v>
      </c>
      <c r="G1016">
        <v>0</v>
      </c>
      <c r="M1016">
        <v>0</v>
      </c>
      <c r="N1016" s="2">
        <v>0</v>
      </c>
      <c r="O1016" s="2">
        <v>0</v>
      </c>
      <c r="P1016" s="2">
        <v>0</v>
      </c>
      <c r="Q1016" s="2"/>
      <c r="R1016" s="2">
        <v>0</v>
      </c>
      <c r="T1016" s="2">
        <v>0</v>
      </c>
      <c r="U1016" s="2"/>
      <c r="X1016">
        <v>0</v>
      </c>
      <c r="Z1016">
        <v>0</v>
      </c>
      <c r="AB1016">
        <v>0</v>
      </c>
      <c r="AC1016">
        <v>0</v>
      </c>
      <c r="AD1016">
        <v>0</v>
      </c>
      <c r="AI101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1016">
        <v>12</v>
      </c>
      <c r="AK1016" t="s">
        <v>116</v>
      </c>
      <c r="AN1016">
        <v>0</v>
      </c>
    </row>
    <row r="1017" spans="1:40">
      <c r="A1017" s="1">
        <v>46053</v>
      </c>
      <c r="B1017">
        <v>1</v>
      </c>
      <c r="C1017">
        <v>15</v>
      </c>
      <c r="D1017" t="s">
        <v>59</v>
      </c>
      <c r="E1017" t="s">
        <v>46</v>
      </c>
      <c r="F1017">
        <v>552181</v>
      </c>
      <c r="G1017">
        <v>2</v>
      </c>
      <c r="H1017" t="s">
        <v>49</v>
      </c>
      <c r="I1017">
        <v>10685541</v>
      </c>
      <c r="J1017">
        <v>6</v>
      </c>
      <c r="K1017">
        <v>18.8</v>
      </c>
      <c r="L1017">
        <v>18.8</v>
      </c>
      <c r="M1017">
        <v>1395</v>
      </c>
      <c r="N1017" s="2">
        <v>108000</v>
      </c>
      <c r="O1017" s="2">
        <v>8910</v>
      </c>
      <c r="P1017" s="2">
        <v>6480</v>
      </c>
      <c r="Q1017" s="2">
        <v>8370</v>
      </c>
      <c r="R1017" s="2">
        <v>10800</v>
      </c>
      <c r="S1017">
        <v>203.04</v>
      </c>
      <c r="T1017" s="2">
        <v>38880</v>
      </c>
      <c r="U1017" s="2">
        <v>69120</v>
      </c>
      <c r="V1017">
        <v>157.35599999999999</v>
      </c>
      <c r="W1017">
        <v>0</v>
      </c>
      <c r="X1017">
        <v>0</v>
      </c>
      <c r="Y1017">
        <v>0</v>
      </c>
      <c r="Z1017">
        <v>1</v>
      </c>
      <c r="AA1017">
        <v>6.3550166501436236E-3</v>
      </c>
      <c r="AB1017">
        <v>31.2</v>
      </c>
      <c r="AC1017">
        <v>12</v>
      </c>
      <c r="AD1017">
        <v>27</v>
      </c>
      <c r="AI101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1017" t="s">
        <v>51</v>
      </c>
      <c r="AN1017">
        <f>INT(Table1[[#This Row],[reject_prod]]/Table1[[#This Row],[part_weight]] * 1000)</f>
        <v>53</v>
      </c>
    </row>
    <row r="1018" spans="1:40" s="4" customFormat="1">
      <c r="A1018" s="3">
        <v>46053</v>
      </c>
      <c r="B1018" s="4">
        <v>1</v>
      </c>
      <c r="C1018" s="4">
        <v>16</v>
      </c>
      <c r="D1018" s="4" t="s">
        <v>621</v>
      </c>
      <c r="E1018" s="4" t="s">
        <v>46</v>
      </c>
      <c r="F1018" s="4">
        <v>555979</v>
      </c>
      <c r="G1018" s="4">
        <v>2</v>
      </c>
      <c r="H1018" s="4" t="s">
        <v>52</v>
      </c>
      <c r="I1018" s="4">
        <v>10684863</v>
      </c>
      <c r="J1018" s="4">
        <v>6</v>
      </c>
      <c r="K1018" s="4">
        <v>28</v>
      </c>
      <c r="L1018" s="4">
        <v>28</v>
      </c>
      <c r="M1018" s="4">
        <v>980</v>
      </c>
      <c r="N1018" s="5">
        <v>100800</v>
      </c>
      <c r="O1018" s="5">
        <v>2520</v>
      </c>
      <c r="P1018" s="5">
        <v>1680</v>
      </c>
      <c r="Q1018" s="5">
        <v>5880</v>
      </c>
      <c r="R1018" s="5">
        <v>6720</v>
      </c>
      <c r="S1018" s="4">
        <v>188.16</v>
      </c>
      <c r="T1018" s="5">
        <v>89040</v>
      </c>
      <c r="U1018" s="5">
        <v>11760</v>
      </c>
      <c r="V1018" s="4">
        <v>164.64</v>
      </c>
      <c r="W1018" s="4">
        <v>0</v>
      </c>
      <c r="X1018" s="4">
        <v>0</v>
      </c>
      <c r="Y1018" s="4">
        <v>0</v>
      </c>
      <c r="Z1018" s="4">
        <v>0.5</v>
      </c>
      <c r="AA1018" s="4">
        <v>3.0369290573372208E-3</v>
      </c>
      <c r="AB1018" s="4">
        <v>43.4</v>
      </c>
      <c r="AC1018" s="4">
        <v>11.814444444444444</v>
      </c>
      <c r="AD1018" s="4">
        <v>42</v>
      </c>
      <c r="AI101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0.18555555555555614</v>
      </c>
      <c r="AK1018" s="4" t="s">
        <v>51</v>
      </c>
      <c r="AN1018" s="4">
        <f>INT(Table1[[#This Row],[reject_prod]]/Table1[[#This Row],[part_weight]] * 1000)</f>
        <v>17</v>
      </c>
    </row>
    <row r="1019" spans="1:40">
      <c r="A1019" s="1">
        <v>46053</v>
      </c>
      <c r="B1019">
        <v>2</v>
      </c>
      <c r="C1019">
        <v>1</v>
      </c>
      <c r="D1019" t="s">
        <v>152</v>
      </c>
      <c r="E1019" t="s">
        <v>34</v>
      </c>
      <c r="F1019">
        <v>347623</v>
      </c>
      <c r="G1019">
        <v>0</v>
      </c>
      <c r="H1019" t="s">
        <v>35</v>
      </c>
      <c r="I1019">
        <v>10685631</v>
      </c>
      <c r="J1019">
        <v>4</v>
      </c>
      <c r="K1019">
        <v>35.6</v>
      </c>
      <c r="L1019">
        <v>35.6</v>
      </c>
      <c r="M1019">
        <v>1578</v>
      </c>
      <c r="N1019" s="2">
        <v>36800</v>
      </c>
      <c r="O1019" s="2">
        <v>736</v>
      </c>
      <c r="P1019" s="2">
        <v>1472</v>
      </c>
      <c r="Q1019" s="2">
        <v>6312</v>
      </c>
      <c r="R1019" s="2">
        <v>5520</v>
      </c>
      <c r="S1019">
        <v>196.512</v>
      </c>
      <c r="T1019" s="2">
        <v>19872</v>
      </c>
      <c r="U1019" s="2">
        <v>16928</v>
      </c>
      <c r="V1019">
        <v>224.7072</v>
      </c>
      <c r="W1019">
        <v>0</v>
      </c>
      <c r="X1019">
        <v>0</v>
      </c>
      <c r="Y1019">
        <v>0</v>
      </c>
      <c r="Z1019">
        <v>2</v>
      </c>
      <c r="AA1019">
        <v>8.9004713689636999E-3</v>
      </c>
      <c r="AB1019">
        <v>27.2</v>
      </c>
      <c r="AC1019">
        <v>11.922666666666666</v>
      </c>
      <c r="AD1019">
        <v>27</v>
      </c>
      <c r="AI101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7.7333333333333698E-2</v>
      </c>
      <c r="AK1019" t="s">
        <v>51</v>
      </c>
      <c r="AN1019">
        <f>INT(Table1[[#This Row],[reject_prod]]/Table1[[#This Row],[part_weight]] * 1000)</f>
        <v>56</v>
      </c>
    </row>
    <row r="1020" spans="1:40">
      <c r="A1020" s="1">
        <v>46053</v>
      </c>
      <c r="B1020">
        <v>2</v>
      </c>
      <c r="C1020">
        <v>2</v>
      </c>
      <c r="D1020" t="s">
        <v>110</v>
      </c>
      <c r="E1020" t="s">
        <v>34</v>
      </c>
      <c r="F1020">
        <v>416201</v>
      </c>
      <c r="G1020">
        <v>0</v>
      </c>
      <c r="H1020" t="s">
        <v>36</v>
      </c>
      <c r="I1020">
        <v>10681779</v>
      </c>
      <c r="J1020">
        <v>4</v>
      </c>
      <c r="K1020">
        <v>20</v>
      </c>
      <c r="L1020">
        <v>30</v>
      </c>
      <c r="M1020">
        <v>1362</v>
      </c>
      <c r="N1020" s="2">
        <v>50400</v>
      </c>
      <c r="O1020" s="2">
        <v>3780</v>
      </c>
      <c r="P1020" s="2">
        <v>4000</v>
      </c>
      <c r="Q1020" s="2">
        <v>5448</v>
      </c>
      <c r="R1020" s="2">
        <v>5040</v>
      </c>
      <c r="S1020">
        <v>151.19999999999999</v>
      </c>
      <c r="T1020" s="2">
        <v>29200</v>
      </c>
      <c r="U1020" s="2">
        <v>21200</v>
      </c>
      <c r="V1020">
        <v>163.44</v>
      </c>
      <c r="W1020">
        <v>0</v>
      </c>
      <c r="X1020">
        <v>0</v>
      </c>
      <c r="Y1020">
        <v>0</v>
      </c>
      <c r="Z1020">
        <v>4.5999999999999996</v>
      </c>
      <c r="AA1020">
        <v>2.8144884973078804E-2</v>
      </c>
      <c r="AB1020">
        <v>31.4</v>
      </c>
      <c r="AC1020">
        <v>11.879666666666665</v>
      </c>
      <c r="AD1020">
        <v>38.64</v>
      </c>
      <c r="AI102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0.12033333333333474</v>
      </c>
      <c r="AK1020" t="s">
        <v>629</v>
      </c>
      <c r="AN1020">
        <f>INT(Table1[[#This Row],[reject_prod]]/Table1[[#This Row],[part_weight]] * 1000)</f>
        <v>153</v>
      </c>
    </row>
    <row r="1021" spans="1:40">
      <c r="A1021" s="1">
        <v>46053</v>
      </c>
      <c r="B1021">
        <v>2</v>
      </c>
      <c r="C1021">
        <v>3</v>
      </c>
      <c r="D1021" t="s">
        <v>43</v>
      </c>
      <c r="E1021" t="s">
        <v>34</v>
      </c>
      <c r="F1021">
        <v>442034</v>
      </c>
      <c r="G1021">
        <v>0</v>
      </c>
      <c r="H1021" t="s">
        <v>37</v>
      </c>
      <c r="I1021">
        <v>10681184</v>
      </c>
      <c r="J1021">
        <v>4</v>
      </c>
      <c r="K1021">
        <v>23</v>
      </c>
      <c r="L1021">
        <v>23</v>
      </c>
      <c r="M1021">
        <v>1425</v>
      </c>
      <c r="N1021" s="2">
        <v>139776</v>
      </c>
      <c r="O1021" s="2">
        <v>2304</v>
      </c>
      <c r="P1021" s="2">
        <v>3072</v>
      </c>
      <c r="Q1021" s="2">
        <v>5700</v>
      </c>
      <c r="R1021" s="2">
        <v>4608</v>
      </c>
      <c r="S1021">
        <v>105.98399999999999</v>
      </c>
      <c r="T1021" s="2">
        <v>127488</v>
      </c>
      <c r="U1021" s="2">
        <v>12288</v>
      </c>
      <c r="V1021">
        <v>131.1</v>
      </c>
      <c r="W1021">
        <v>0</v>
      </c>
      <c r="X1021">
        <v>0</v>
      </c>
      <c r="Y1021">
        <v>0</v>
      </c>
      <c r="Z1021">
        <v>7.4</v>
      </c>
      <c r="AA1021">
        <v>5.6445461479786428E-2</v>
      </c>
      <c r="AB1021">
        <v>29.2</v>
      </c>
      <c r="AC1021">
        <v>11.558333333333332</v>
      </c>
      <c r="AD1021">
        <v>22</v>
      </c>
      <c r="AI102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0.44166666666666821</v>
      </c>
      <c r="AK1021" t="s">
        <v>630</v>
      </c>
      <c r="AN1021">
        <f>INT(Table1[[#This Row],[reject_prod]]/Table1[[#This Row],[part_weight]] * 1000)</f>
        <v>321</v>
      </c>
    </row>
    <row r="1022" spans="1:40">
      <c r="A1022" s="1">
        <v>46053</v>
      </c>
      <c r="B1022">
        <v>2</v>
      </c>
      <c r="C1022">
        <v>4</v>
      </c>
      <c r="F1022">
        <v>123456</v>
      </c>
      <c r="G1022">
        <v>0</v>
      </c>
      <c r="M1022">
        <v>0</v>
      </c>
      <c r="N1022" s="2">
        <v>0</v>
      </c>
      <c r="O1022" s="2">
        <v>0</v>
      </c>
      <c r="P1022" s="2">
        <v>0</v>
      </c>
      <c r="Q1022" s="2"/>
      <c r="R1022" s="2">
        <v>0</v>
      </c>
      <c r="T1022" s="2">
        <v>0</v>
      </c>
      <c r="U1022" s="2"/>
      <c r="X1022">
        <v>0</v>
      </c>
      <c r="Z1022">
        <v>0</v>
      </c>
      <c r="AB1022">
        <v>0</v>
      </c>
      <c r="AC1022">
        <v>0</v>
      </c>
      <c r="AD1022">
        <v>0</v>
      </c>
      <c r="AI102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1022">
        <v>12</v>
      </c>
      <c r="AK1022" t="s">
        <v>116</v>
      </c>
      <c r="AN1022">
        <v>0</v>
      </c>
    </row>
    <row r="1023" spans="1:40">
      <c r="A1023" s="1">
        <v>46053</v>
      </c>
      <c r="B1023">
        <v>2</v>
      </c>
      <c r="C1023">
        <v>5</v>
      </c>
      <c r="D1023" t="s">
        <v>622</v>
      </c>
      <c r="E1023" t="s">
        <v>34</v>
      </c>
      <c r="F1023">
        <v>322394</v>
      </c>
      <c r="G1023">
        <v>0</v>
      </c>
      <c r="H1023" t="s">
        <v>605</v>
      </c>
      <c r="I1023">
        <v>10685208</v>
      </c>
      <c r="J1023">
        <v>4</v>
      </c>
      <c r="K1023">
        <v>20</v>
      </c>
      <c r="L1023">
        <v>20</v>
      </c>
      <c r="M1023">
        <v>913</v>
      </c>
      <c r="N1023" s="2">
        <v>11520</v>
      </c>
      <c r="O1023" s="2">
        <v>7920</v>
      </c>
      <c r="P1023" s="2">
        <v>0</v>
      </c>
      <c r="Q1023" s="2">
        <v>3652</v>
      </c>
      <c r="R1023" s="2">
        <v>11520</v>
      </c>
      <c r="S1023">
        <v>230.4</v>
      </c>
      <c r="T1023" s="2">
        <v>11520</v>
      </c>
      <c r="U1023" s="2">
        <v>0</v>
      </c>
      <c r="V1023">
        <v>73.040000000000006</v>
      </c>
      <c r="W1023">
        <v>0</v>
      </c>
      <c r="X1023">
        <v>0</v>
      </c>
      <c r="Y1023">
        <v>0</v>
      </c>
      <c r="Z1023">
        <v>1</v>
      </c>
      <c r="AA1023">
        <v>1.3691128148959474E-2</v>
      </c>
      <c r="AB1023">
        <v>21.9</v>
      </c>
      <c r="AC1023">
        <v>5.5540833333333328</v>
      </c>
      <c r="AD1023">
        <v>19.14</v>
      </c>
      <c r="AI102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6.4459166666666672</v>
      </c>
      <c r="AK1023" t="s">
        <v>631</v>
      </c>
      <c r="AN1023">
        <f>INT(Table1[[#This Row],[reject_prod]]/Table1[[#This Row],[part_weight]] * 1000)</f>
        <v>50</v>
      </c>
    </row>
    <row r="1024" spans="1:40">
      <c r="A1024" s="1">
        <v>46053</v>
      </c>
      <c r="B1024">
        <v>2</v>
      </c>
      <c r="C1024">
        <v>5</v>
      </c>
      <c r="D1024" t="s">
        <v>622</v>
      </c>
      <c r="E1024" t="s">
        <v>34</v>
      </c>
      <c r="F1024">
        <v>324198</v>
      </c>
      <c r="G1024">
        <v>0</v>
      </c>
      <c r="H1024" t="s">
        <v>632</v>
      </c>
      <c r="I1024">
        <v>10685209</v>
      </c>
      <c r="J1024">
        <v>4</v>
      </c>
      <c r="K1024">
        <v>20</v>
      </c>
      <c r="L1024">
        <v>20</v>
      </c>
      <c r="M1024">
        <v>0</v>
      </c>
      <c r="N1024" s="2">
        <v>25920</v>
      </c>
      <c r="O1024" s="2">
        <v>0</v>
      </c>
      <c r="P1024" s="2">
        <v>0</v>
      </c>
      <c r="Q1024" s="2">
        <v>0</v>
      </c>
      <c r="R1024" s="2">
        <v>0</v>
      </c>
      <c r="S1024">
        <v>0</v>
      </c>
      <c r="T1024" s="2">
        <v>0</v>
      </c>
      <c r="U1024" s="2">
        <v>25920</v>
      </c>
      <c r="V1024">
        <v>0</v>
      </c>
      <c r="W1024">
        <v>0</v>
      </c>
      <c r="X1024">
        <v>1</v>
      </c>
      <c r="Y1024" t="e">
        <v>#DIV/0!</v>
      </c>
      <c r="Z1024">
        <v>0</v>
      </c>
      <c r="AA1024" t="e">
        <v>#DIV/0!</v>
      </c>
      <c r="AB1024">
        <v>21.9</v>
      </c>
      <c r="AC1024">
        <v>0</v>
      </c>
      <c r="AD1024">
        <v>19.5</v>
      </c>
      <c r="AI102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12</v>
      </c>
      <c r="AK1024" t="s">
        <v>633</v>
      </c>
      <c r="AN1024">
        <f>INT(Table1[[#This Row],[reject_prod]]/Table1[[#This Row],[part_weight]] * 1000)</f>
        <v>0</v>
      </c>
    </row>
    <row r="1025" spans="1:40">
      <c r="A1025" s="1">
        <v>46053</v>
      </c>
      <c r="B1025">
        <v>2</v>
      </c>
      <c r="C1025">
        <v>6</v>
      </c>
      <c r="D1025" t="s">
        <v>623</v>
      </c>
      <c r="E1025" t="s">
        <v>34</v>
      </c>
      <c r="F1025">
        <v>324174</v>
      </c>
      <c r="G1025">
        <v>0</v>
      </c>
      <c r="H1025" t="s">
        <v>558</v>
      </c>
      <c r="I1025">
        <v>10684855</v>
      </c>
      <c r="J1025">
        <v>4</v>
      </c>
      <c r="K1025">
        <v>24</v>
      </c>
      <c r="L1025">
        <v>24</v>
      </c>
      <c r="M1025">
        <v>265</v>
      </c>
      <c r="N1025" s="2">
        <v>20300</v>
      </c>
      <c r="O1025" s="2">
        <v>609</v>
      </c>
      <c r="P1025" s="2">
        <v>1624</v>
      </c>
      <c r="Q1025" s="2">
        <v>1060</v>
      </c>
      <c r="R1025" s="2">
        <v>0</v>
      </c>
      <c r="S1025">
        <v>0</v>
      </c>
      <c r="T1025" s="2">
        <v>11774</v>
      </c>
      <c r="U1025" s="2">
        <v>8526</v>
      </c>
      <c r="V1025">
        <v>25.44</v>
      </c>
      <c r="W1025">
        <v>0</v>
      </c>
      <c r="X1025">
        <v>0</v>
      </c>
      <c r="Y1025">
        <v>0</v>
      </c>
      <c r="Z1025">
        <v>1</v>
      </c>
      <c r="AA1025">
        <v>3.9308176100628929E-2</v>
      </c>
      <c r="AB1025">
        <v>21.3</v>
      </c>
      <c r="AC1025">
        <v>1.5679166666666668</v>
      </c>
      <c r="AD1025">
        <v>20.12</v>
      </c>
      <c r="AI102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10.432083333333333</v>
      </c>
      <c r="AK1025" t="s">
        <v>634</v>
      </c>
      <c r="AN1025">
        <f>INT(Table1[[#This Row],[reject_prod]]/Table1[[#This Row],[part_weight]] * 1000)</f>
        <v>41</v>
      </c>
    </row>
    <row r="1026" spans="1:40">
      <c r="A1026" s="1">
        <v>46053</v>
      </c>
      <c r="B1026">
        <v>2</v>
      </c>
      <c r="C1026">
        <v>7</v>
      </c>
      <c r="D1026" t="s">
        <v>67</v>
      </c>
      <c r="E1026" t="s">
        <v>34</v>
      </c>
      <c r="F1026">
        <v>323072</v>
      </c>
      <c r="G1026">
        <v>0</v>
      </c>
      <c r="H1026" t="s">
        <v>590</v>
      </c>
      <c r="I1026">
        <v>10684033</v>
      </c>
      <c r="J1026">
        <v>4</v>
      </c>
      <c r="K1026">
        <v>34.5</v>
      </c>
      <c r="L1026">
        <v>34.5</v>
      </c>
      <c r="M1026">
        <v>1459</v>
      </c>
      <c r="N1026" s="2">
        <v>24768</v>
      </c>
      <c r="O1026" s="2">
        <v>645</v>
      </c>
      <c r="P1026" s="2">
        <v>1548</v>
      </c>
      <c r="Q1026" s="2">
        <v>5836</v>
      </c>
      <c r="R1026" s="2">
        <v>4644</v>
      </c>
      <c r="S1026">
        <v>160.21799999999999</v>
      </c>
      <c r="T1026" s="2">
        <v>24768</v>
      </c>
      <c r="U1026" s="2">
        <v>0</v>
      </c>
      <c r="V1026">
        <v>201.34200000000001</v>
      </c>
      <c r="W1026">
        <v>0</v>
      </c>
      <c r="X1026">
        <v>0</v>
      </c>
      <c r="Y1026">
        <v>0</v>
      </c>
      <c r="Z1026">
        <v>10</v>
      </c>
      <c r="AA1026">
        <v>4.9666736200097344E-2</v>
      </c>
      <c r="AB1026">
        <v>24.1</v>
      </c>
      <c r="AC1026">
        <v>9.7671944444444456</v>
      </c>
      <c r="AD1026">
        <v>16.2</v>
      </c>
      <c r="AI102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2.2328055555555544</v>
      </c>
      <c r="AK1026" t="s">
        <v>635</v>
      </c>
      <c r="AN1026">
        <f>INT(Table1[[#This Row],[reject_prod]]/Table1[[#This Row],[part_weight]] * 1000)</f>
        <v>289</v>
      </c>
    </row>
    <row r="1027" spans="1:40">
      <c r="A1027" s="1">
        <v>46053</v>
      </c>
      <c r="B1027">
        <v>2</v>
      </c>
      <c r="C1027">
        <v>7</v>
      </c>
      <c r="D1027" t="s">
        <v>67</v>
      </c>
      <c r="E1027" t="s">
        <v>34</v>
      </c>
      <c r="F1027">
        <v>322444</v>
      </c>
      <c r="G1027">
        <v>0</v>
      </c>
      <c r="H1027" t="s">
        <v>636</v>
      </c>
      <c r="I1027">
        <v>10684856</v>
      </c>
      <c r="J1027">
        <v>4</v>
      </c>
      <c r="K1027">
        <v>32.74</v>
      </c>
      <c r="L1027">
        <v>34.5</v>
      </c>
      <c r="M1027">
        <v>0</v>
      </c>
      <c r="N1027" s="2">
        <v>16240</v>
      </c>
      <c r="O1027" s="2">
        <v>0</v>
      </c>
      <c r="P1027" s="2">
        <v>0</v>
      </c>
      <c r="Q1027" s="2">
        <v>0</v>
      </c>
      <c r="R1027" s="2">
        <v>0</v>
      </c>
      <c r="S1027">
        <v>0</v>
      </c>
      <c r="T1027" s="2">
        <v>0</v>
      </c>
      <c r="U1027" s="2">
        <v>16240</v>
      </c>
      <c r="V1027">
        <v>0</v>
      </c>
      <c r="W1027">
        <v>0</v>
      </c>
      <c r="X1027">
        <v>0</v>
      </c>
      <c r="Y1027" t="e">
        <v>#DIV/0!</v>
      </c>
      <c r="Z1027">
        <v>0</v>
      </c>
      <c r="AA1027" t="e">
        <v>#DIV/0!</v>
      </c>
      <c r="AB1027">
        <v>24.1</v>
      </c>
      <c r="AC1027">
        <v>0</v>
      </c>
      <c r="AD1027">
        <v>23</v>
      </c>
      <c r="AG1027">
        <v>1.5</v>
      </c>
      <c r="AI1027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10.5</v>
      </c>
      <c r="AK1027" t="s">
        <v>637</v>
      </c>
      <c r="AN1027">
        <f>INT(Table1[[#This Row],[reject_prod]]/Table1[[#This Row],[part_weight]] * 1000)</f>
        <v>0</v>
      </c>
    </row>
    <row r="1028" spans="1:40">
      <c r="A1028" s="1">
        <v>46053</v>
      </c>
      <c r="B1028">
        <v>2</v>
      </c>
      <c r="C1028">
        <v>8</v>
      </c>
      <c r="F1028">
        <v>123456</v>
      </c>
      <c r="G1028">
        <v>0</v>
      </c>
      <c r="M1028">
        <v>0</v>
      </c>
      <c r="N1028" s="2">
        <v>0</v>
      </c>
      <c r="O1028" s="2">
        <v>0</v>
      </c>
      <c r="P1028" s="2">
        <v>0</v>
      </c>
      <c r="Q1028" s="2"/>
      <c r="R1028" s="2">
        <v>0</v>
      </c>
      <c r="T1028" s="2">
        <v>0</v>
      </c>
      <c r="U1028" s="2"/>
      <c r="X1028">
        <v>0</v>
      </c>
      <c r="Z1028">
        <v>0</v>
      </c>
      <c r="AB1028">
        <v>0</v>
      </c>
      <c r="AC1028">
        <v>0</v>
      </c>
      <c r="AD1028">
        <v>0</v>
      </c>
      <c r="AI1028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1028">
        <v>12</v>
      </c>
      <c r="AK1028" t="s">
        <v>116</v>
      </c>
      <c r="AN1028">
        <v>0</v>
      </c>
    </row>
    <row r="1029" spans="1:40">
      <c r="A1029" s="1">
        <v>46053</v>
      </c>
      <c r="B1029">
        <v>2</v>
      </c>
      <c r="C1029">
        <v>9</v>
      </c>
      <c r="D1029" t="s">
        <v>257</v>
      </c>
      <c r="E1029" t="s">
        <v>46</v>
      </c>
      <c r="F1029">
        <v>586276</v>
      </c>
      <c r="G1029">
        <v>0</v>
      </c>
      <c r="H1029" t="s">
        <v>47</v>
      </c>
      <c r="I1029">
        <v>10682924</v>
      </c>
      <c r="J1029">
        <v>6</v>
      </c>
      <c r="K1029">
        <v>12.3</v>
      </c>
      <c r="L1029">
        <v>12.3</v>
      </c>
      <c r="M1029">
        <v>1574</v>
      </c>
      <c r="N1029" s="2">
        <v>162000</v>
      </c>
      <c r="O1029" s="2">
        <v>7695</v>
      </c>
      <c r="P1029" s="2">
        <v>810</v>
      </c>
      <c r="Q1029" s="2">
        <v>9444</v>
      </c>
      <c r="R1029" s="2">
        <v>16200</v>
      </c>
      <c r="S1029">
        <v>199.26</v>
      </c>
      <c r="T1029" s="2">
        <v>130410</v>
      </c>
      <c r="U1029" s="2">
        <v>31590</v>
      </c>
      <c r="V1029">
        <v>116.16120000000001</v>
      </c>
      <c r="W1029">
        <v>0</v>
      </c>
      <c r="X1029">
        <v>0</v>
      </c>
      <c r="Y1029">
        <v>0</v>
      </c>
      <c r="Z1029">
        <v>1.5</v>
      </c>
      <c r="AA1029">
        <v>1.2913089740808462E-2</v>
      </c>
      <c r="AB1029">
        <v>26.6</v>
      </c>
      <c r="AC1029">
        <v>11.630111111111113</v>
      </c>
      <c r="AD1029">
        <v>26</v>
      </c>
      <c r="AI1029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0.36988888888888738</v>
      </c>
      <c r="AK1029" t="s">
        <v>51</v>
      </c>
      <c r="AN1029">
        <f>INT(Table1[[#This Row],[reject_prod]]/Table1[[#This Row],[part_weight]] * 1000)</f>
        <v>121</v>
      </c>
    </row>
    <row r="1030" spans="1:40">
      <c r="A1030" s="1">
        <v>46053</v>
      </c>
      <c r="B1030">
        <v>2</v>
      </c>
      <c r="C1030">
        <v>10</v>
      </c>
      <c r="F1030">
        <v>123456</v>
      </c>
      <c r="G1030">
        <v>0</v>
      </c>
      <c r="M1030">
        <v>0</v>
      </c>
      <c r="N1030" s="2">
        <v>0</v>
      </c>
      <c r="O1030" s="2">
        <v>0</v>
      </c>
      <c r="P1030" s="2">
        <v>0</v>
      </c>
      <c r="Q1030" s="2"/>
      <c r="R1030" s="2">
        <v>0</v>
      </c>
      <c r="T1030" s="2">
        <v>0</v>
      </c>
      <c r="U1030" s="2"/>
      <c r="X1030">
        <v>0</v>
      </c>
      <c r="Z1030">
        <v>0</v>
      </c>
      <c r="AB1030">
        <v>0</v>
      </c>
      <c r="AC1030">
        <v>0</v>
      </c>
      <c r="AD1030">
        <v>0</v>
      </c>
      <c r="AI1030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1030">
        <v>12</v>
      </c>
      <c r="AK1030" t="s">
        <v>116</v>
      </c>
      <c r="AN1030">
        <v>0</v>
      </c>
    </row>
    <row r="1031" spans="1:40">
      <c r="A1031" s="1">
        <v>46053</v>
      </c>
      <c r="B1031">
        <v>2</v>
      </c>
      <c r="C1031">
        <v>11</v>
      </c>
      <c r="D1031" t="s">
        <v>112</v>
      </c>
      <c r="E1031" t="s">
        <v>46</v>
      </c>
      <c r="F1031">
        <v>552181</v>
      </c>
      <c r="G1031">
        <v>1</v>
      </c>
      <c r="H1031" t="s">
        <v>49</v>
      </c>
      <c r="I1031">
        <v>10685338</v>
      </c>
      <c r="J1031">
        <v>6</v>
      </c>
      <c r="K1031">
        <v>18.8</v>
      </c>
      <c r="L1031">
        <v>18.8</v>
      </c>
      <c r="M1031">
        <v>1511</v>
      </c>
      <c r="N1031" s="2">
        <v>108000</v>
      </c>
      <c r="O1031" s="2">
        <v>1080</v>
      </c>
      <c r="P1031" s="2">
        <v>4590</v>
      </c>
      <c r="Q1031" s="2">
        <v>9066</v>
      </c>
      <c r="R1031" s="2">
        <v>5400</v>
      </c>
      <c r="S1031">
        <v>101.52</v>
      </c>
      <c r="T1031" s="2">
        <v>53190</v>
      </c>
      <c r="U1031" s="2">
        <v>54810</v>
      </c>
      <c r="V1031">
        <v>170.44080000000002</v>
      </c>
      <c r="W1031">
        <v>0</v>
      </c>
      <c r="X1031">
        <v>0</v>
      </c>
      <c r="Y1031">
        <v>0</v>
      </c>
      <c r="Z1031">
        <v>3</v>
      </c>
      <c r="AA1031">
        <v>1.7601419378458678E-2</v>
      </c>
      <c r="AB1031">
        <v>28.9</v>
      </c>
      <c r="AC1031">
        <v>12</v>
      </c>
      <c r="AD1031">
        <v>27</v>
      </c>
      <c r="AI1031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K1031" t="s">
        <v>51</v>
      </c>
      <c r="AN1031">
        <f>INT(Table1[[#This Row],[reject_prod]]/Table1[[#This Row],[part_weight]] * 1000)</f>
        <v>159</v>
      </c>
    </row>
    <row r="1032" spans="1:40">
      <c r="A1032" s="1">
        <v>46053</v>
      </c>
      <c r="B1032">
        <v>2</v>
      </c>
      <c r="C1032">
        <v>12</v>
      </c>
      <c r="F1032">
        <v>123456</v>
      </c>
      <c r="G1032">
        <v>0</v>
      </c>
      <c r="M1032">
        <v>0</v>
      </c>
      <c r="N1032" s="2">
        <v>0</v>
      </c>
      <c r="O1032" s="2">
        <v>0</v>
      </c>
      <c r="P1032" s="2">
        <v>0</v>
      </c>
      <c r="Q1032" s="2"/>
      <c r="R1032" s="2">
        <v>0</v>
      </c>
      <c r="T1032" s="2">
        <v>0</v>
      </c>
      <c r="U1032" s="2"/>
      <c r="X1032">
        <v>0</v>
      </c>
      <c r="Z1032">
        <v>0</v>
      </c>
      <c r="AB1032">
        <v>0</v>
      </c>
      <c r="AC1032">
        <v>0</v>
      </c>
      <c r="AD1032">
        <v>0</v>
      </c>
      <c r="AI1032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1032">
        <v>12</v>
      </c>
      <c r="AK1032" t="s">
        <v>116</v>
      </c>
      <c r="AN1032">
        <v>0</v>
      </c>
    </row>
    <row r="1033" spans="1:40">
      <c r="A1033" s="1">
        <v>46053</v>
      </c>
      <c r="B1033">
        <v>2</v>
      </c>
      <c r="C1033">
        <v>13</v>
      </c>
      <c r="D1033" t="s">
        <v>112</v>
      </c>
      <c r="E1033" t="s">
        <v>46</v>
      </c>
      <c r="F1033">
        <v>586276</v>
      </c>
      <c r="G1033">
        <v>0</v>
      </c>
      <c r="H1033" t="s">
        <v>47</v>
      </c>
      <c r="I1033">
        <v>10686191</v>
      </c>
      <c r="J1033">
        <v>6</v>
      </c>
      <c r="K1033">
        <v>12.3</v>
      </c>
      <c r="L1033">
        <v>12.3</v>
      </c>
      <c r="M1033">
        <v>1637</v>
      </c>
      <c r="N1033" s="2">
        <v>162000</v>
      </c>
      <c r="O1033" s="2">
        <v>2025</v>
      </c>
      <c r="P1033" s="2">
        <v>3645</v>
      </c>
      <c r="Q1033" s="2">
        <v>9822</v>
      </c>
      <c r="R1033" s="2">
        <v>8100</v>
      </c>
      <c r="S1033">
        <v>99.63</v>
      </c>
      <c r="T1033" s="2">
        <v>19845</v>
      </c>
      <c r="U1033" s="2">
        <v>142155</v>
      </c>
      <c r="V1033">
        <v>120.81060000000001</v>
      </c>
      <c r="W1033">
        <v>0</v>
      </c>
      <c r="X1033">
        <v>0</v>
      </c>
      <c r="Y1033">
        <v>0</v>
      </c>
      <c r="Z1033">
        <v>1.2</v>
      </c>
      <c r="AA1033">
        <v>9.9329032386231003E-3</v>
      </c>
      <c r="AB1033">
        <v>26.2</v>
      </c>
      <c r="AC1033">
        <v>11.913722222222223</v>
      </c>
      <c r="AD1033">
        <v>26</v>
      </c>
      <c r="AI1033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8.6277777777777231E-2</v>
      </c>
      <c r="AK1033" t="s">
        <v>51</v>
      </c>
      <c r="AN1033">
        <f>INT(Table1[[#This Row],[reject_prod]]/Table1[[#This Row],[part_weight]] * 1000)</f>
        <v>97</v>
      </c>
    </row>
    <row r="1034" spans="1:40">
      <c r="A1034" s="1">
        <v>46053</v>
      </c>
      <c r="B1034">
        <v>2</v>
      </c>
      <c r="C1034">
        <v>14</v>
      </c>
      <c r="F1034">
        <v>123456</v>
      </c>
      <c r="G1034">
        <v>0</v>
      </c>
      <c r="M1034">
        <v>0</v>
      </c>
      <c r="N1034" s="2">
        <v>0</v>
      </c>
      <c r="O1034" s="2">
        <v>0</v>
      </c>
      <c r="P1034" s="2">
        <v>0</v>
      </c>
      <c r="Q1034" s="2"/>
      <c r="R1034" s="2">
        <v>0</v>
      </c>
      <c r="T1034" s="2">
        <v>0</v>
      </c>
      <c r="U1034" s="2"/>
      <c r="X1034">
        <v>0</v>
      </c>
      <c r="Z1034">
        <v>0</v>
      </c>
      <c r="AB1034">
        <v>0</v>
      </c>
      <c r="AC1034">
        <v>0</v>
      </c>
      <c r="AD1034">
        <v>0</v>
      </c>
      <c r="AI1034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</v>
      </c>
      <c r="AJ1034">
        <v>12</v>
      </c>
      <c r="AK1034" t="s">
        <v>116</v>
      </c>
      <c r="AN1034">
        <v>0</v>
      </c>
    </row>
    <row r="1035" spans="1:40">
      <c r="A1035" s="1">
        <v>46053</v>
      </c>
      <c r="B1035">
        <v>2</v>
      </c>
      <c r="C1035">
        <v>15</v>
      </c>
      <c r="D1035" t="s">
        <v>112</v>
      </c>
      <c r="E1035" t="s">
        <v>46</v>
      </c>
      <c r="F1035">
        <v>552181</v>
      </c>
      <c r="G1035">
        <v>2</v>
      </c>
      <c r="H1035" t="s">
        <v>49</v>
      </c>
      <c r="I1035">
        <v>10685541</v>
      </c>
      <c r="J1035">
        <v>6</v>
      </c>
      <c r="K1035">
        <v>18.8</v>
      </c>
      <c r="L1035">
        <v>18.8</v>
      </c>
      <c r="M1035">
        <v>1365</v>
      </c>
      <c r="N1035" s="2">
        <v>108000</v>
      </c>
      <c r="O1035" s="2">
        <v>6480</v>
      </c>
      <c r="P1035" s="2">
        <v>2700</v>
      </c>
      <c r="Q1035" s="2">
        <v>8190</v>
      </c>
      <c r="R1035" s="2">
        <v>5400</v>
      </c>
      <c r="S1035">
        <v>101.52</v>
      </c>
      <c r="T1035" s="2">
        <v>37800</v>
      </c>
      <c r="U1035" s="2">
        <v>70200</v>
      </c>
      <c r="V1035">
        <v>153.97200000000001</v>
      </c>
      <c r="W1035">
        <v>0</v>
      </c>
      <c r="X1035">
        <v>0</v>
      </c>
      <c r="Y1035">
        <v>0</v>
      </c>
      <c r="Z1035">
        <v>1</v>
      </c>
      <c r="AA1035">
        <v>6.4946873457511749E-3</v>
      </c>
      <c r="AB1035">
        <v>31.2</v>
      </c>
      <c r="AC1035">
        <v>11.83</v>
      </c>
      <c r="AD1035">
        <v>27</v>
      </c>
      <c r="AI1035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0.16999999999999993</v>
      </c>
      <c r="AK1035" t="s">
        <v>51</v>
      </c>
      <c r="AN1035">
        <f>INT(Table1[[#This Row],[reject_prod]]/Table1[[#This Row],[part_weight]] * 1000)</f>
        <v>53</v>
      </c>
    </row>
    <row r="1036" spans="1:40" s="4" customFormat="1">
      <c r="A1036" s="3">
        <v>46053</v>
      </c>
      <c r="B1036" s="4">
        <v>2</v>
      </c>
      <c r="C1036" s="4">
        <v>16</v>
      </c>
      <c r="D1036" s="4" t="s">
        <v>108</v>
      </c>
      <c r="E1036" s="4" t="s">
        <v>46</v>
      </c>
      <c r="F1036" s="4">
        <v>555979</v>
      </c>
      <c r="G1036" s="4">
        <v>2</v>
      </c>
      <c r="H1036" s="4" t="s">
        <v>52</v>
      </c>
      <c r="I1036" s="4">
        <v>10684863</v>
      </c>
      <c r="J1036" s="4">
        <v>6</v>
      </c>
      <c r="K1036" s="4">
        <v>28</v>
      </c>
      <c r="L1036" s="4">
        <v>28</v>
      </c>
      <c r="M1036" s="4">
        <v>986</v>
      </c>
      <c r="N1036" s="5">
        <v>100800</v>
      </c>
      <c r="O1036" s="5">
        <v>1680</v>
      </c>
      <c r="P1036" s="5">
        <v>840</v>
      </c>
      <c r="Q1036" s="5">
        <v>5916</v>
      </c>
      <c r="R1036" s="5">
        <v>6720</v>
      </c>
      <c r="S1036" s="4">
        <v>188.16</v>
      </c>
      <c r="T1036" s="5">
        <v>94920</v>
      </c>
      <c r="U1036" s="5">
        <v>5880</v>
      </c>
      <c r="V1036" s="4">
        <v>165.648</v>
      </c>
      <c r="W1036" s="4">
        <v>0</v>
      </c>
      <c r="X1036" s="4">
        <v>0</v>
      </c>
      <c r="Y1036" s="4">
        <v>0</v>
      </c>
      <c r="Z1036" s="4">
        <v>1</v>
      </c>
      <c r="AA1036" s="4">
        <v>6.0368975176277413E-3</v>
      </c>
      <c r="AB1036" s="4">
        <v>43.5</v>
      </c>
      <c r="AC1036" s="4">
        <v>11.914166666666667</v>
      </c>
      <c r="AD1036" s="4">
        <v>42</v>
      </c>
      <c r="AI1036" s="6">
        <f>12 - Table1[[#This Row],[production_running]] - Table1[[#This Row],[ change_full_set ]] - Table1[[#This Row],[ change_half_set ]] - Table1[[#This Row],[ change_parts ]] - Table1[[#This Row],[ maintenance_dt ]] - Table1[[#This Row],[production_dt]]</f>
        <v>8.5833333333333428E-2</v>
      </c>
      <c r="AK1036" s="4" t="s">
        <v>51</v>
      </c>
      <c r="AN1036" s="4">
        <f>INT(Table1[[#This Row],[reject_prod]]/Table1[[#This Row],[part_weight]] * 1000)</f>
        <v>35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Syafiq SUHAIMI</dc:creator>
  <cp:lastModifiedBy>Syafiq SUHAIMI</cp:lastModifiedBy>
  <dcterms:created xsi:type="dcterms:W3CDTF">2026-02-24T06:41:57Z</dcterms:created>
  <dcterms:modified xsi:type="dcterms:W3CDTF">2026-02-25T03:00:00Z</dcterms:modified>
</cp:coreProperties>
</file>