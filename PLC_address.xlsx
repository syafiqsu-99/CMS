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yafiq_suhaimi\VSC projects\CMS\"/>
    </mc:Choice>
  </mc:AlternateContent>
  <xr:revisionPtr revIDLastSave="0" documentId="13_ncr:1_{B7A49CDF-27B2-4AC9-8DD6-346905F63D54}" xr6:coauthVersionLast="47" xr6:coauthVersionMax="47" xr10:uidLastSave="{00000000-0000-0000-0000-000000000000}"/>
  <bookViews>
    <workbookView xWindow="-110" yWindow="-110" windowWidth="19420" windowHeight="10420" activeTab="1" xr2:uid="{94BA1258-89D2-475F-8625-7748BD6674CA}"/>
  </bookViews>
  <sheets>
    <sheet name="CJ2M_ADDRESS" sheetId="1" r:id="rId1"/>
    <sheet name="CP2E_ADDRES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F39" i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F40" i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F41" i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F42" i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F43" i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F38" i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F32" i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F33" i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F34" i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F35" i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F36" i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F37" i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F31" i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F5" i="1" l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F30" i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F29" i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F28" i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F27" i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F26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F25" i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F24" i="1"/>
  <c r="G24" i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F23" i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F22" i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F8" i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F10" i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F21" i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F18" i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F19" i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F20" i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F7" i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F9" i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F11" i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F13" i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F14" i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F15" i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F16" i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F17" i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F6" i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</calcChain>
</file>

<file path=xl/sharedStrings.xml><?xml version="1.0" encoding="utf-8"?>
<sst xmlns="http://schemas.openxmlformats.org/spreadsheetml/2006/main" count="611" uniqueCount="196">
  <si>
    <t>Name</t>
  </si>
  <si>
    <t>SAP</t>
  </si>
  <si>
    <t>Mould</t>
  </si>
  <si>
    <t>Shot</t>
  </si>
  <si>
    <t>Act_ct</t>
  </si>
  <si>
    <t>SAP_ct</t>
  </si>
  <si>
    <t>Type</t>
  </si>
  <si>
    <t>Packer</t>
  </si>
  <si>
    <t>Status_off</t>
  </si>
  <si>
    <t>Status_start</t>
  </si>
  <si>
    <t>Plan_output</t>
  </si>
  <si>
    <t>Qty_perct</t>
  </si>
  <si>
    <t>Data Type</t>
  </si>
  <si>
    <t>int</t>
  </si>
  <si>
    <t>float</t>
  </si>
  <si>
    <t>string</t>
  </si>
  <si>
    <t>bit</t>
  </si>
  <si>
    <t>Address</t>
  </si>
  <si>
    <t>D</t>
  </si>
  <si>
    <t>W</t>
  </si>
  <si>
    <t>IP Address</t>
  </si>
  <si>
    <t>A5</t>
  </si>
  <si>
    <t>A6</t>
  </si>
  <si>
    <t>A7</t>
  </si>
  <si>
    <t>A8</t>
  </si>
  <si>
    <t>A9</t>
  </si>
  <si>
    <t>A10</t>
  </si>
  <si>
    <t>A12</t>
  </si>
  <si>
    <t>A13</t>
  </si>
  <si>
    <t>A15</t>
  </si>
  <si>
    <t>A14</t>
  </si>
  <si>
    <t>A16</t>
  </si>
  <si>
    <t>A17</t>
  </si>
  <si>
    <t>A18</t>
  </si>
  <si>
    <t>A19</t>
  </si>
  <si>
    <t>A21</t>
  </si>
  <si>
    <t>A23</t>
  </si>
  <si>
    <t>KM16</t>
  </si>
  <si>
    <t>KM17</t>
  </si>
  <si>
    <t>KM18</t>
  </si>
  <si>
    <t>KM25</t>
  </si>
  <si>
    <t>KM26</t>
  </si>
  <si>
    <t>SM5</t>
  </si>
  <si>
    <t>H1</t>
  </si>
  <si>
    <t>B3</t>
  </si>
  <si>
    <t>Y1</t>
  </si>
  <si>
    <t>From</t>
  </si>
  <si>
    <t>Server</t>
  </si>
  <si>
    <t>PLC</t>
  </si>
  <si>
    <t>CJ2M IP ADDRESS: 172.17.86.80</t>
  </si>
  <si>
    <t>CJ2M</t>
  </si>
  <si>
    <t>IN</t>
  </si>
  <si>
    <t>OUT</t>
  </si>
  <si>
    <t>Power Supply Signal</t>
  </si>
  <si>
    <t>Start Auto Signal</t>
  </si>
  <si>
    <t>Barrel (Dry Cycle) Signal</t>
  </si>
  <si>
    <t>Shot Signal</t>
  </si>
  <si>
    <t>Barrel Heater Signal</t>
  </si>
  <si>
    <t>Hyd. Motor Signal</t>
  </si>
  <si>
    <t>Dehumidifier Signal</t>
  </si>
  <si>
    <t>Chiller Signal</t>
  </si>
  <si>
    <t>Material Signal</t>
  </si>
  <si>
    <t>Alarm Signal</t>
  </si>
  <si>
    <t>Panelling Reject (kg)</t>
  </si>
  <si>
    <t>Lumpy Reject (kg)</t>
  </si>
  <si>
    <t>Black Dot Reject (kg)</t>
  </si>
  <si>
    <t>Burst Reject (kg)</t>
  </si>
  <si>
    <t>Start Up Reject (kg)</t>
  </si>
  <si>
    <t>Preform Reject (kg)</t>
  </si>
  <si>
    <t>Purging Reject (kg)</t>
  </si>
  <si>
    <t>Others Reject (kg)</t>
  </si>
  <si>
    <t>Panelling Reject (pcs)</t>
  </si>
  <si>
    <t>Lumpy Reject (pcs)</t>
  </si>
  <si>
    <t>Black Dot Reject (pcs)</t>
  </si>
  <si>
    <t>Burst Reject (pcs)</t>
  </si>
  <si>
    <t>Start Up Reject (pcs)</t>
  </si>
  <si>
    <t>Preform Reject (pcs)</t>
  </si>
  <si>
    <t>Purging Reject (pcs)</t>
  </si>
  <si>
    <t>Others Reject (pcs)</t>
  </si>
  <si>
    <t>Remark</t>
  </si>
  <si>
    <t>String</t>
  </si>
  <si>
    <t>Stop_category</t>
  </si>
  <si>
    <t>Mould_category</t>
  </si>
  <si>
    <t>Part_weight</t>
  </si>
  <si>
    <t>Act_Output</t>
  </si>
  <si>
    <t>Clock</t>
  </si>
  <si>
    <t>Alarm Barrel</t>
  </si>
  <si>
    <t>Alarm Hyd. Motor</t>
  </si>
  <si>
    <t>Alarm Dehumidifier</t>
  </si>
  <si>
    <t>Alarm Chiller</t>
  </si>
  <si>
    <t>Alarm Material</t>
  </si>
  <si>
    <t>Alarm General</t>
  </si>
  <si>
    <t>Dry Cycle Signal</t>
  </si>
  <si>
    <t>Barrel Signal</t>
  </si>
  <si>
    <t>Dehumidifier Switch</t>
  </si>
  <si>
    <t xml:space="preserve">bit </t>
  </si>
  <si>
    <t>Production Run Signal</t>
  </si>
  <si>
    <t>Remark Signal</t>
  </si>
  <si>
    <t>Status Start</t>
  </si>
  <si>
    <t>Status Off</t>
  </si>
  <si>
    <t>Total Reject (pcs)</t>
  </si>
  <si>
    <t>Mould Category</t>
  </si>
  <si>
    <t>Stop Category</t>
  </si>
  <si>
    <t>Act CT</t>
  </si>
  <si>
    <t>Accum CT</t>
  </si>
  <si>
    <t>Last CT</t>
  </si>
  <si>
    <t>Change Shift Signal</t>
  </si>
  <si>
    <t>HMI Page</t>
  </si>
  <si>
    <t>0.02s Constant</t>
  </si>
  <si>
    <t>Shot Float</t>
  </si>
  <si>
    <t>Shot Others</t>
  </si>
  <si>
    <t>Shot Total</t>
  </si>
  <si>
    <t>Utility Category</t>
  </si>
  <si>
    <t>Alarm Utility</t>
  </si>
  <si>
    <t>Reset Alarm</t>
  </si>
  <si>
    <t>HMI</t>
  </si>
  <si>
    <t>CT Timer Signal</t>
  </si>
  <si>
    <t>Visual_qc</t>
  </si>
  <si>
    <t>Measure_qc</t>
  </si>
  <si>
    <t>Reject Signal</t>
  </si>
  <si>
    <t>Value</t>
  </si>
  <si>
    <t>CP2E</t>
  </si>
  <si>
    <t>Clock Constant</t>
  </si>
  <si>
    <t>H</t>
  </si>
  <si>
    <t>TEST</t>
  </si>
  <si>
    <t>Id_machine</t>
  </si>
  <si>
    <t>Change Mould Signal</t>
  </si>
  <si>
    <t>172.17.86.220</t>
  </si>
  <si>
    <t>Ip M1</t>
  </si>
  <si>
    <t>Ip M2</t>
  </si>
  <si>
    <t>Ip M3</t>
  </si>
  <si>
    <t>Ip M4</t>
  </si>
  <si>
    <t>Ip M5</t>
  </si>
  <si>
    <t>Ip M6</t>
  </si>
  <si>
    <t>Ip M7</t>
  </si>
  <si>
    <t>Ip M8</t>
  </si>
  <si>
    <t>Ip M9</t>
  </si>
  <si>
    <t>Ip M10</t>
  </si>
  <si>
    <t>Ip M11</t>
  </si>
  <si>
    <t>Ip M12</t>
  </si>
  <si>
    <t>Ip M13</t>
  </si>
  <si>
    <t>Ip M14</t>
  </si>
  <si>
    <t>Ip M15</t>
  </si>
  <si>
    <t>Ip M16</t>
  </si>
  <si>
    <t>Ip M17</t>
  </si>
  <si>
    <t>Ip M18</t>
  </si>
  <si>
    <t>Ip M19</t>
  </si>
  <si>
    <t>Ip M20</t>
  </si>
  <si>
    <t>0 CONSTANT</t>
  </si>
  <si>
    <t>0.00 CONSTANT</t>
  </si>
  <si>
    <t>STRING_CONSTANT</t>
  </si>
  <si>
    <t>dint</t>
  </si>
  <si>
    <t>Stop Category Signal</t>
  </si>
  <si>
    <t>IP_NODE</t>
  </si>
  <si>
    <t>Visual QC</t>
  </si>
  <si>
    <t>Measure QC</t>
  </si>
  <si>
    <t>Timer Shift</t>
  </si>
  <si>
    <t>T</t>
  </si>
  <si>
    <t>Timer Function Block</t>
  </si>
  <si>
    <t>Ip M21</t>
  </si>
  <si>
    <t>Ip M22</t>
  </si>
  <si>
    <t>Ip M23</t>
  </si>
  <si>
    <t>Ip M24</t>
  </si>
  <si>
    <t>Ip M25</t>
  </si>
  <si>
    <t>Ip M26</t>
  </si>
  <si>
    <t>Change QC Signal</t>
  </si>
  <si>
    <t>Timer QC</t>
  </si>
  <si>
    <t>CENTRAL_STATUS_START</t>
  </si>
  <si>
    <t>CENTRAL_STATUS_OFF</t>
  </si>
  <si>
    <t>CENTRAL_PROD_RUN</t>
  </si>
  <si>
    <t>CENTRAL_VISUAL_QC</t>
  </si>
  <si>
    <t>Stop Category Temp</t>
  </si>
  <si>
    <t>Shot_accum</t>
  </si>
  <si>
    <t>HMI Done</t>
  </si>
  <si>
    <t>Shot Accum</t>
  </si>
  <si>
    <t>Interlock Counter</t>
  </si>
  <si>
    <t>Part Weight</t>
  </si>
  <si>
    <t>ipNode</t>
  </si>
  <si>
    <t>ipReset</t>
  </si>
  <si>
    <t>ipQC</t>
  </si>
  <si>
    <t>IN/OUT</t>
  </si>
  <si>
    <t>PLC ADDRESS</t>
  </si>
  <si>
    <t>SIGNAL</t>
  </si>
  <si>
    <t>Power Supply</t>
  </si>
  <si>
    <t>Start Auto</t>
  </si>
  <si>
    <t>Barrel (Dry Cycle)</t>
  </si>
  <si>
    <t>Barrel Heater</t>
  </si>
  <si>
    <t>Hyd. Motor</t>
  </si>
  <si>
    <t>Dehumidifier</t>
  </si>
  <si>
    <t>Chiller</t>
  </si>
  <si>
    <t>Material</t>
  </si>
  <si>
    <t>Alarm</t>
  </si>
  <si>
    <t>INPUT</t>
  </si>
  <si>
    <t>OUTPUT</t>
  </si>
  <si>
    <t>CENTRAL_REMARK</t>
  </si>
  <si>
    <t>CENTRAL_REJECT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</si>
</sst>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4" xfId="0" applyFill="1" applyBorder="1"/>
    <xf numFmtId="0" fontId="0" fillId="2" borderId="0" xfId="0" applyFill="1"/>
    <xf numFmtId="0" fontId="0" fillId="2" borderId="1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0" fontId="0" fillId="3" borderId="14" xfId="0" applyFill="1" applyBorder="1"/>
    <xf numFmtId="0" fontId="0" fillId="3" borderId="0" xfId="0" applyFill="1"/>
    <xf numFmtId="0" fontId="0" fillId="3" borderId="1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8" xfId="0" applyFill="1" applyBorder="1" applyAlignment="1">
      <alignment horizontal="center" vertical="center"/>
    </xf>
    <xf numFmtId="2" fontId="0" fillId="3" borderId="17" xfId="0" applyNumberFormat="1" applyFill="1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0" fillId="2" borderId="1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/>
    </xf>
    <xf numFmtId="2" fontId="0" fillId="3" borderId="2" xfId="0" applyNumberForma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1">
    <cellStyle name="Normal" xfId="0" builtinId="0"/>
  </cellStyles>
  <dxfs count="6"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Invisible" pivot="0" table="0" count="0" xr9:uid="{61CFC4CC-36B7-437F-8D5C-367E0DA16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</xdr:colOff>
      <xdr:row>4</xdr:row>
      <xdr:rowOff>25400</xdr:rowOff>
    </xdr:from>
    <xdr:to>
      <xdr:col>10</xdr:col>
      <xdr:colOff>558350</xdr:colOff>
      <xdr:row>8</xdr:row>
      <xdr:rowOff>72107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CE4228-4A1E-14CB-EFEA-933069514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5650" y="762000"/>
          <a:ext cx="3600000" cy="783307"/>
        </a:xfrm>
        <a:prstGeom prst="rect">
          <a:avLst/>
        </a:prstGeom>
      </xdr:spPr>
    </xdr:pic>
    <xdr:clientData/>
  </xdr:twoCellAnchor>
  <xdr:twoCellAnchor editAs="oneCell">
    <xdr:from>
      <xdr:col>5</xdr:col>
      <xdr:colOff>6351</xdr:colOff>
      <xdr:row>11</xdr:row>
      <xdr:rowOff>6350</xdr:rowOff>
    </xdr:from>
    <xdr:to>
      <xdr:col>10</xdr:col>
      <xdr:colOff>558351</xdr:colOff>
      <xdr:row>15</xdr:row>
      <xdr:rowOff>110927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4716F8-42C1-14CB-E89D-308EBC205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65651" y="2032000"/>
          <a:ext cx="3600000" cy="841177"/>
        </a:xfrm>
        <a:prstGeom prst="rect">
          <a:avLst/>
        </a:prstGeom>
      </xdr:spPr>
    </xdr:pic>
    <xdr:clientData/>
  </xdr:twoCellAnchor>
  <xdr:twoCellAnchor editAs="oneCell">
    <xdr:from>
      <xdr:col>1</xdr:col>
      <xdr:colOff>1381125</xdr:colOff>
      <xdr:row>17</xdr:row>
      <xdr:rowOff>23813</xdr:rowOff>
    </xdr:from>
    <xdr:to>
      <xdr:col>7</xdr:col>
      <xdr:colOff>460375</xdr:colOff>
      <xdr:row>39</xdr:row>
      <xdr:rowOff>117788</xdr:rowOff>
    </xdr:to>
    <xdr:pic>
      <xdr:nvPicPr>
        <xdr:cNvPr id="4" name="Picture 3" descr="CP2E Features 1 ">
          <a:extLst>
            <a:ext uri="{FF2B5EF4-FFF2-40B4-BE49-F238E27FC236}">
              <a16:creationId xmlns:a16="http://schemas.microsoft.com/office/drawing/2014/main" id="{46BC3948-E36B-DC27-0C7D-7371697D9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3" y="3127376"/>
          <a:ext cx="4254500" cy="411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B67F9-27CB-4E67-9158-A9C9211E4B48}" name="Table1" displayName="Table1" ref="B5:D15" totalsRowShown="0" headerRowDxfId="5" headerRowBorderDxfId="4" tableBorderDxfId="3">
  <autoFilter ref="B5:D15" xr:uid="{96EB67F9-27CB-4E67-9158-A9C9211E4B48}"/>
  <tableColumns count="3">
    <tableColumn id="1" xr3:uid="{7405E9C0-CDC6-47F4-8267-BDC4D4C5337B}" name="SIGNAL" dataDxfId="2"/>
    <tableColumn id="2" xr3:uid="{CC9A2018-94C4-4DC2-ACF4-FF1BD0B8B5FF}" name="IN/OUT" dataDxfId="1"/>
    <tableColumn id="3" xr3:uid="{AB8E0722-2188-4DD5-8142-F8D6CA948080}" name="PLC ADDRESS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6660-CA02-4DC0-86F7-629EF845D9A1}">
  <sheetPr codeName="Sheet1"/>
  <dimension ref="A1:AD43"/>
  <sheetViews>
    <sheetView topLeftCell="A31" workbookViewId="0">
      <pane xSplit="3" topLeftCell="V1" activePane="topRight" state="frozen"/>
      <selection pane="topRight" activeCell="AD18" sqref="AD18"/>
    </sheetView>
  </sheetViews>
  <sheetFormatPr defaultColWidth="12.6328125" defaultRowHeight="14.5" x14ac:dyDescent="0.35"/>
  <cols>
    <col min="1" max="1" width="19.08984375" bestFit="1" customWidth="1"/>
    <col min="3" max="4" width="12.6328125" style="1"/>
  </cols>
  <sheetData>
    <row r="1" spans="1:30" x14ac:dyDescent="0.35">
      <c r="G1" t="s">
        <v>49</v>
      </c>
    </row>
    <row r="2" spans="1:30" ht="15" thickBot="1" x14ac:dyDescent="0.4"/>
    <row r="3" spans="1:30" s="2" customFormat="1" ht="15" thickBot="1" x14ac:dyDescent="0.4">
      <c r="A3" s="11"/>
      <c r="B3" s="12"/>
      <c r="C3" s="13"/>
      <c r="D3" s="12"/>
      <c r="E3" s="12">
        <v>1</v>
      </c>
      <c r="F3" s="12">
        <v>2</v>
      </c>
      <c r="G3" s="12">
        <v>3</v>
      </c>
      <c r="H3" s="12">
        <v>4</v>
      </c>
      <c r="I3" s="12">
        <v>5</v>
      </c>
      <c r="J3" s="12">
        <v>6</v>
      </c>
      <c r="K3" s="12">
        <v>7</v>
      </c>
      <c r="L3" s="12">
        <v>8</v>
      </c>
      <c r="M3" s="12">
        <v>9</v>
      </c>
      <c r="N3" s="12">
        <v>10</v>
      </c>
      <c r="O3" s="12">
        <v>11</v>
      </c>
      <c r="P3" s="12">
        <v>12</v>
      </c>
      <c r="Q3" s="12">
        <v>13</v>
      </c>
      <c r="R3" s="12">
        <v>14</v>
      </c>
      <c r="S3" s="12">
        <v>15</v>
      </c>
      <c r="T3" s="12">
        <v>16</v>
      </c>
      <c r="U3" s="12">
        <v>17</v>
      </c>
      <c r="V3" s="12">
        <v>18</v>
      </c>
      <c r="W3" s="12">
        <v>19</v>
      </c>
      <c r="X3" s="12">
        <v>20</v>
      </c>
      <c r="Y3" s="12">
        <v>21</v>
      </c>
      <c r="Z3" s="12">
        <v>22</v>
      </c>
      <c r="AA3" s="12">
        <v>23</v>
      </c>
      <c r="AB3" s="12">
        <v>24</v>
      </c>
      <c r="AC3" s="14">
        <v>25</v>
      </c>
      <c r="AD3" s="2">
        <v>26</v>
      </c>
    </row>
    <row r="4" spans="1:30" s="10" customFormat="1" ht="15" thickBot="1" x14ac:dyDescent="0.4">
      <c r="A4" s="20" t="s">
        <v>0</v>
      </c>
      <c r="B4" s="21" t="s">
        <v>12</v>
      </c>
      <c r="C4" s="22" t="s">
        <v>17</v>
      </c>
      <c r="D4" s="21" t="s">
        <v>46</v>
      </c>
      <c r="E4" s="21" t="s">
        <v>21</v>
      </c>
      <c r="F4" s="21" t="s">
        <v>22</v>
      </c>
      <c r="G4" s="21" t="s">
        <v>23</v>
      </c>
      <c r="H4" s="21" t="s">
        <v>24</v>
      </c>
      <c r="I4" s="21" t="s">
        <v>25</v>
      </c>
      <c r="J4" s="21" t="s">
        <v>26</v>
      </c>
      <c r="K4" s="21" t="s">
        <v>27</v>
      </c>
      <c r="L4" s="21" t="s">
        <v>28</v>
      </c>
      <c r="M4" s="21" t="s">
        <v>30</v>
      </c>
      <c r="N4" s="21" t="s">
        <v>29</v>
      </c>
      <c r="O4" s="21" t="s">
        <v>31</v>
      </c>
      <c r="P4" s="21" t="s">
        <v>32</v>
      </c>
      <c r="Q4" s="21" t="s">
        <v>33</v>
      </c>
      <c r="R4" s="21" t="s">
        <v>34</v>
      </c>
      <c r="S4" s="21" t="s">
        <v>35</v>
      </c>
      <c r="T4" s="21" t="s">
        <v>36</v>
      </c>
      <c r="U4" s="21" t="s">
        <v>37</v>
      </c>
      <c r="V4" s="21" t="s">
        <v>38</v>
      </c>
      <c r="W4" s="21" t="s">
        <v>39</v>
      </c>
      <c r="X4" s="21" t="s">
        <v>40</v>
      </c>
      <c r="Y4" s="21" t="s">
        <v>41</v>
      </c>
      <c r="Z4" s="21" t="s">
        <v>42</v>
      </c>
      <c r="AA4" s="21" t="s">
        <v>43</v>
      </c>
      <c r="AB4" s="21" t="s">
        <v>44</v>
      </c>
      <c r="AC4" s="23" t="s">
        <v>45</v>
      </c>
      <c r="AD4" s="10" t="s">
        <v>124</v>
      </c>
    </row>
    <row r="5" spans="1:30" s="8" customFormat="1" ht="15" thickBot="1" x14ac:dyDescent="0.4">
      <c r="A5" s="19" t="s">
        <v>20</v>
      </c>
      <c r="B5" s="18"/>
      <c r="C5" s="17"/>
      <c r="D5" s="18"/>
      <c r="E5" s="18" t="s">
        <v>127</v>
      </c>
      <c r="F5" s="18" t="str">
        <f>LEFT(E5,FIND("~",SUBSTITUTE(E5,".","~",LEN(E5)-LEN(SUBSTITUTE(E5,".",""))))-1) &amp; "." &amp; (VALUE(RIGHT(E5,LEN(E5)-FIND("~",SUBSTITUTE(E5,".","~",LEN(E5)-LEN(SUBSTITUTE(E5,".",""))))))+1)</f>
        <v>172.17.86.221</v>
      </c>
      <c r="G5" s="18" t="str">
        <f>LEFT(F5,FIND("~",SUBSTITUTE(F5,".","~",LEN(F5)-LEN(SUBSTITUTE(F5,".",""))))-1) &amp; "." &amp; (VALUE(RIGHT(F5,LEN(F5)-FIND("~",SUBSTITUTE(F5,".","~",LEN(F5)-LEN(SUBSTITUTE(F5,".",""))))))+1)</f>
        <v>172.17.86.222</v>
      </c>
      <c r="H5" s="18" t="str">
        <f>LEFT(G5,FIND("~",SUBSTITUTE(G5,".","~",LEN(G5)-LEN(SUBSTITUTE(G5,".",""))))-1) &amp; "." &amp; (VALUE(RIGHT(G5,LEN(G5)-FIND("~",SUBSTITUTE(G5,".","~",LEN(G5)-LEN(SUBSTITUTE(G5,".",""))))))+1)</f>
        <v>172.17.86.223</v>
      </c>
      <c r="I5" s="18" t="str">
        <f t="shared" ref="I5:AD5" si="0">LEFT(H5,FIND("~",SUBSTITUTE(H5,".","~",LEN(H5)-LEN(SUBSTITUTE(H5,".",""))))-1) &amp; "." &amp; (VALUE(RIGHT(H5,LEN(H5)-FIND("~",SUBSTITUTE(H5,".","~",LEN(H5)-LEN(SUBSTITUTE(H5,".",""))))))+1)</f>
        <v>172.17.86.224</v>
      </c>
      <c r="J5" s="18" t="str">
        <f t="shared" si="0"/>
        <v>172.17.86.225</v>
      </c>
      <c r="K5" s="18" t="str">
        <f t="shared" si="0"/>
        <v>172.17.86.226</v>
      </c>
      <c r="L5" s="18" t="str">
        <f t="shared" si="0"/>
        <v>172.17.86.227</v>
      </c>
      <c r="M5" s="18" t="str">
        <f t="shared" si="0"/>
        <v>172.17.86.228</v>
      </c>
      <c r="N5" s="18" t="str">
        <f t="shared" si="0"/>
        <v>172.17.86.229</v>
      </c>
      <c r="O5" s="18" t="str">
        <f t="shared" si="0"/>
        <v>172.17.86.230</v>
      </c>
      <c r="P5" s="18" t="str">
        <f t="shared" si="0"/>
        <v>172.17.86.231</v>
      </c>
      <c r="Q5" s="18" t="str">
        <f t="shared" si="0"/>
        <v>172.17.86.232</v>
      </c>
      <c r="R5" s="18" t="str">
        <f t="shared" si="0"/>
        <v>172.17.86.233</v>
      </c>
      <c r="S5" s="18" t="str">
        <f t="shared" si="0"/>
        <v>172.17.86.234</v>
      </c>
      <c r="T5" s="18" t="str">
        <f t="shared" si="0"/>
        <v>172.17.86.235</v>
      </c>
      <c r="U5" s="18" t="str">
        <f t="shared" si="0"/>
        <v>172.17.86.236</v>
      </c>
      <c r="V5" s="18" t="str">
        <f t="shared" si="0"/>
        <v>172.17.86.237</v>
      </c>
      <c r="W5" s="18" t="str">
        <f t="shared" si="0"/>
        <v>172.17.86.238</v>
      </c>
      <c r="X5" s="18" t="str">
        <f t="shared" si="0"/>
        <v>172.17.86.239</v>
      </c>
      <c r="Y5" s="18" t="str">
        <f t="shared" si="0"/>
        <v>172.17.86.240</v>
      </c>
      <c r="Z5" s="18" t="str">
        <f t="shared" si="0"/>
        <v>172.17.86.241</v>
      </c>
      <c r="AA5" s="18" t="str">
        <f t="shared" si="0"/>
        <v>172.17.86.242</v>
      </c>
      <c r="AB5" s="18" t="str">
        <f t="shared" si="0"/>
        <v>172.17.86.243</v>
      </c>
      <c r="AC5" s="18" t="str">
        <f t="shared" si="0"/>
        <v>172.17.86.244</v>
      </c>
      <c r="AD5" s="18" t="str">
        <f t="shared" si="0"/>
        <v>172.17.86.245</v>
      </c>
    </row>
    <row r="6" spans="1:30" s="1" customFormat="1" x14ac:dyDescent="0.35">
      <c r="A6" s="79" t="s">
        <v>1</v>
      </c>
      <c r="B6" s="80" t="s">
        <v>13</v>
      </c>
      <c r="C6" s="81" t="s">
        <v>18</v>
      </c>
      <c r="D6" s="82" t="s">
        <v>47</v>
      </c>
      <c r="E6" s="12">
        <v>500</v>
      </c>
      <c r="F6" s="12">
        <f>SUM(E6, 500)</f>
        <v>1000</v>
      </c>
      <c r="G6" s="12">
        <f>SUM(F6, 500)</f>
        <v>1500</v>
      </c>
      <c r="H6" s="12">
        <f t="shared" ref="H6:AD6" si="1">SUM(G6, 500)</f>
        <v>2000</v>
      </c>
      <c r="I6" s="12">
        <f t="shared" si="1"/>
        <v>2500</v>
      </c>
      <c r="J6" s="12">
        <f t="shared" si="1"/>
        <v>3000</v>
      </c>
      <c r="K6" s="12">
        <f t="shared" si="1"/>
        <v>3500</v>
      </c>
      <c r="L6" s="12">
        <f t="shared" si="1"/>
        <v>4000</v>
      </c>
      <c r="M6" s="12">
        <f t="shared" si="1"/>
        <v>4500</v>
      </c>
      <c r="N6" s="12">
        <f t="shared" si="1"/>
        <v>5000</v>
      </c>
      <c r="O6" s="12">
        <f t="shared" si="1"/>
        <v>5500</v>
      </c>
      <c r="P6" s="12">
        <f t="shared" si="1"/>
        <v>6000</v>
      </c>
      <c r="Q6" s="12">
        <f t="shared" si="1"/>
        <v>6500</v>
      </c>
      <c r="R6" s="12">
        <f t="shared" si="1"/>
        <v>7000</v>
      </c>
      <c r="S6" s="12">
        <f t="shared" si="1"/>
        <v>7500</v>
      </c>
      <c r="T6" s="12">
        <f t="shared" si="1"/>
        <v>8000</v>
      </c>
      <c r="U6" s="12">
        <f t="shared" si="1"/>
        <v>8500</v>
      </c>
      <c r="V6" s="12">
        <f t="shared" si="1"/>
        <v>9000</v>
      </c>
      <c r="W6" s="12">
        <f t="shared" si="1"/>
        <v>9500</v>
      </c>
      <c r="X6" s="12">
        <f t="shared" si="1"/>
        <v>10000</v>
      </c>
      <c r="Y6" s="12">
        <f t="shared" si="1"/>
        <v>10500</v>
      </c>
      <c r="Z6" s="12">
        <f t="shared" si="1"/>
        <v>11000</v>
      </c>
      <c r="AA6" s="12">
        <f t="shared" si="1"/>
        <v>11500</v>
      </c>
      <c r="AB6" s="12">
        <f t="shared" si="1"/>
        <v>12000</v>
      </c>
      <c r="AC6" s="14">
        <f t="shared" si="1"/>
        <v>12500</v>
      </c>
      <c r="AD6" s="14">
        <f t="shared" si="1"/>
        <v>13000</v>
      </c>
    </row>
    <row r="7" spans="1:30" s="1" customFormat="1" x14ac:dyDescent="0.35">
      <c r="A7" s="65" t="s">
        <v>2</v>
      </c>
      <c r="B7" s="65" t="s">
        <v>13</v>
      </c>
      <c r="C7" s="67" t="s">
        <v>18</v>
      </c>
      <c r="D7" s="67" t="s">
        <v>47</v>
      </c>
      <c r="E7" s="1">
        <v>510</v>
      </c>
      <c r="F7" s="1">
        <f t="shared" ref="F7:AD8" si="2">SUM(E7, 500)</f>
        <v>1010</v>
      </c>
      <c r="G7" s="1">
        <f t="shared" si="2"/>
        <v>1510</v>
      </c>
      <c r="H7" s="1">
        <f t="shared" si="2"/>
        <v>2010</v>
      </c>
      <c r="I7" s="1">
        <f t="shared" si="2"/>
        <v>2510</v>
      </c>
      <c r="J7" s="1">
        <f t="shared" si="2"/>
        <v>3010</v>
      </c>
      <c r="K7" s="1">
        <f t="shared" si="2"/>
        <v>3510</v>
      </c>
      <c r="L7" s="1">
        <f t="shared" si="2"/>
        <v>4010</v>
      </c>
      <c r="M7" s="1">
        <f t="shared" si="2"/>
        <v>4510</v>
      </c>
      <c r="N7" s="1">
        <f t="shared" si="2"/>
        <v>5010</v>
      </c>
      <c r="O7" s="1">
        <f t="shared" si="2"/>
        <v>5510</v>
      </c>
      <c r="P7" s="1">
        <f t="shared" si="2"/>
        <v>6010</v>
      </c>
      <c r="Q7" s="1">
        <f t="shared" si="2"/>
        <v>6510</v>
      </c>
      <c r="R7" s="1">
        <f t="shared" si="2"/>
        <v>7010</v>
      </c>
      <c r="S7" s="1">
        <f t="shared" si="2"/>
        <v>7510</v>
      </c>
      <c r="T7" s="1">
        <f t="shared" si="2"/>
        <v>8010</v>
      </c>
      <c r="U7" s="1">
        <f t="shared" si="2"/>
        <v>8510</v>
      </c>
      <c r="V7" s="1">
        <f t="shared" si="2"/>
        <v>9010</v>
      </c>
      <c r="W7" s="1">
        <f t="shared" si="2"/>
        <v>9510</v>
      </c>
      <c r="X7" s="1">
        <f t="shared" si="2"/>
        <v>10010</v>
      </c>
      <c r="Y7" s="1">
        <f t="shared" si="2"/>
        <v>10510</v>
      </c>
      <c r="Z7" s="1">
        <f t="shared" si="2"/>
        <v>11010</v>
      </c>
      <c r="AA7" s="1">
        <f t="shared" si="2"/>
        <v>11510</v>
      </c>
      <c r="AB7" s="1">
        <f t="shared" si="2"/>
        <v>12010</v>
      </c>
      <c r="AC7" s="1">
        <f t="shared" si="2"/>
        <v>12510</v>
      </c>
      <c r="AD7" s="1">
        <f t="shared" si="2"/>
        <v>13010</v>
      </c>
    </row>
    <row r="8" spans="1:30" s="1" customFormat="1" x14ac:dyDescent="0.35">
      <c r="A8" s="64" t="s">
        <v>125</v>
      </c>
      <c r="B8" s="65" t="s">
        <v>13</v>
      </c>
      <c r="C8" s="66" t="s">
        <v>18</v>
      </c>
      <c r="D8" s="67" t="s">
        <v>47</v>
      </c>
      <c r="E8" s="1">
        <v>515</v>
      </c>
      <c r="F8" s="1">
        <f>SUM(E8, 500)</f>
        <v>1015</v>
      </c>
      <c r="G8" s="1">
        <f>SUM(F8, 500)</f>
        <v>1515</v>
      </c>
      <c r="H8" s="1">
        <f t="shared" si="2"/>
        <v>2015</v>
      </c>
      <c r="I8" s="1">
        <f t="shared" si="2"/>
        <v>2515</v>
      </c>
      <c r="J8" s="1">
        <f t="shared" si="2"/>
        <v>3015</v>
      </c>
      <c r="K8" s="1">
        <f t="shared" si="2"/>
        <v>3515</v>
      </c>
      <c r="L8" s="1">
        <f t="shared" si="2"/>
        <v>4015</v>
      </c>
      <c r="M8" s="1">
        <f t="shared" si="2"/>
        <v>4515</v>
      </c>
      <c r="N8" s="1">
        <f t="shared" si="2"/>
        <v>5015</v>
      </c>
      <c r="O8" s="1">
        <f t="shared" si="2"/>
        <v>5515</v>
      </c>
      <c r="P8" s="1">
        <f t="shared" si="2"/>
        <v>6015</v>
      </c>
      <c r="Q8" s="1">
        <f t="shared" si="2"/>
        <v>6515</v>
      </c>
      <c r="R8" s="1">
        <f t="shared" si="2"/>
        <v>7015</v>
      </c>
      <c r="S8" s="1">
        <f t="shared" si="2"/>
        <v>7515</v>
      </c>
      <c r="T8" s="1">
        <f t="shared" si="2"/>
        <v>8015</v>
      </c>
      <c r="U8" s="1">
        <f t="shared" si="2"/>
        <v>8515</v>
      </c>
      <c r="V8" s="1">
        <f t="shared" si="2"/>
        <v>9015</v>
      </c>
      <c r="W8" s="1">
        <f t="shared" si="2"/>
        <v>9515</v>
      </c>
      <c r="X8" s="1">
        <f t="shared" si="2"/>
        <v>10015</v>
      </c>
      <c r="Y8" s="1">
        <f t="shared" si="2"/>
        <v>10515</v>
      </c>
      <c r="Z8" s="1">
        <f t="shared" si="2"/>
        <v>11015</v>
      </c>
      <c r="AA8" s="1">
        <f t="shared" si="2"/>
        <v>11515</v>
      </c>
      <c r="AB8" s="1">
        <f t="shared" si="2"/>
        <v>12015</v>
      </c>
      <c r="AC8" s="16">
        <f t="shared" si="2"/>
        <v>12515</v>
      </c>
      <c r="AD8" s="16">
        <f t="shared" si="2"/>
        <v>13015</v>
      </c>
    </row>
    <row r="9" spans="1:30" x14ac:dyDescent="0.35">
      <c r="A9" s="64" t="s">
        <v>11</v>
      </c>
      <c r="B9" s="65" t="s">
        <v>13</v>
      </c>
      <c r="C9" s="66" t="s">
        <v>18</v>
      </c>
      <c r="D9" s="67" t="s">
        <v>47</v>
      </c>
      <c r="E9" s="1">
        <v>520</v>
      </c>
      <c r="F9" s="1">
        <f t="shared" ref="F9:AD9" si="3">SUM(E9, 500)</f>
        <v>1020</v>
      </c>
      <c r="G9" s="1">
        <f t="shared" si="3"/>
        <v>1520</v>
      </c>
      <c r="H9" s="1">
        <f t="shared" si="3"/>
        <v>2020</v>
      </c>
      <c r="I9" s="1">
        <f t="shared" si="3"/>
        <v>2520</v>
      </c>
      <c r="J9" s="1">
        <f t="shared" si="3"/>
        <v>3020</v>
      </c>
      <c r="K9" s="1">
        <f t="shared" si="3"/>
        <v>3520</v>
      </c>
      <c r="L9" s="1">
        <f t="shared" si="3"/>
        <v>4020</v>
      </c>
      <c r="M9" s="1">
        <f t="shared" si="3"/>
        <v>4520</v>
      </c>
      <c r="N9" s="1">
        <f t="shared" si="3"/>
        <v>5020</v>
      </c>
      <c r="O9" s="1">
        <f t="shared" si="3"/>
        <v>5520</v>
      </c>
      <c r="P9" s="1">
        <f t="shared" si="3"/>
        <v>6020</v>
      </c>
      <c r="Q9" s="1">
        <f t="shared" si="3"/>
        <v>6520</v>
      </c>
      <c r="R9" s="1">
        <f t="shared" si="3"/>
        <v>7020</v>
      </c>
      <c r="S9" s="1">
        <f t="shared" si="3"/>
        <v>7520</v>
      </c>
      <c r="T9" s="1">
        <f t="shared" si="3"/>
        <v>8020</v>
      </c>
      <c r="U9" s="1">
        <f t="shared" si="3"/>
        <v>8520</v>
      </c>
      <c r="V9" s="1">
        <f t="shared" si="3"/>
        <v>9020</v>
      </c>
      <c r="W9" s="1">
        <f t="shared" si="3"/>
        <v>9520</v>
      </c>
      <c r="X9" s="1">
        <f t="shared" si="3"/>
        <v>10020</v>
      </c>
      <c r="Y9" s="1">
        <f t="shared" si="3"/>
        <v>10520</v>
      </c>
      <c r="Z9" s="1">
        <f t="shared" si="3"/>
        <v>11020</v>
      </c>
      <c r="AA9" s="1">
        <f t="shared" si="3"/>
        <v>11520</v>
      </c>
      <c r="AB9" s="1">
        <f t="shared" si="3"/>
        <v>12020</v>
      </c>
      <c r="AC9" s="16">
        <f t="shared" si="3"/>
        <v>12520</v>
      </c>
      <c r="AD9" s="16">
        <f t="shared" si="3"/>
        <v>13020</v>
      </c>
    </row>
    <row r="10" spans="1:30" x14ac:dyDescent="0.35">
      <c r="A10" s="71" t="s">
        <v>83</v>
      </c>
      <c r="B10" s="72" t="s">
        <v>14</v>
      </c>
      <c r="C10" s="73" t="s">
        <v>18</v>
      </c>
      <c r="D10" s="1" t="s">
        <v>47</v>
      </c>
      <c r="E10" s="1">
        <v>525</v>
      </c>
      <c r="F10" s="1">
        <f>SUM(E10, 500)</f>
        <v>1025</v>
      </c>
      <c r="G10" s="1">
        <f t="shared" ref="G10:AD10" si="4">SUM(F10, 500)</f>
        <v>1525</v>
      </c>
      <c r="H10" s="1">
        <f t="shared" si="4"/>
        <v>2025</v>
      </c>
      <c r="I10" s="1">
        <f t="shared" si="4"/>
        <v>2525</v>
      </c>
      <c r="J10" s="1">
        <f t="shared" si="4"/>
        <v>3025</v>
      </c>
      <c r="K10" s="1">
        <f t="shared" si="4"/>
        <v>3525</v>
      </c>
      <c r="L10" s="1">
        <f t="shared" si="4"/>
        <v>4025</v>
      </c>
      <c r="M10" s="1">
        <f t="shared" si="4"/>
        <v>4525</v>
      </c>
      <c r="N10" s="1">
        <f t="shared" si="4"/>
        <v>5025</v>
      </c>
      <c r="O10" s="1">
        <f t="shared" si="4"/>
        <v>5525</v>
      </c>
      <c r="P10" s="1">
        <f t="shared" si="4"/>
        <v>6025</v>
      </c>
      <c r="Q10" s="1">
        <f t="shared" si="4"/>
        <v>6525</v>
      </c>
      <c r="R10" s="1">
        <f t="shared" si="4"/>
        <v>7025</v>
      </c>
      <c r="S10" s="1">
        <f t="shared" si="4"/>
        <v>7525</v>
      </c>
      <c r="T10" s="1">
        <f t="shared" si="4"/>
        <v>8025</v>
      </c>
      <c r="U10" s="1">
        <f t="shared" si="4"/>
        <v>8525</v>
      </c>
      <c r="V10" s="1">
        <f t="shared" si="4"/>
        <v>9025</v>
      </c>
      <c r="W10" s="1">
        <f t="shared" si="4"/>
        <v>9525</v>
      </c>
      <c r="X10" s="1">
        <f t="shared" si="4"/>
        <v>10025</v>
      </c>
      <c r="Y10" s="1">
        <f t="shared" si="4"/>
        <v>10525</v>
      </c>
      <c r="Z10" s="1">
        <f t="shared" si="4"/>
        <v>11025</v>
      </c>
      <c r="AA10" s="1">
        <f t="shared" si="4"/>
        <v>11525</v>
      </c>
      <c r="AB10" s="1">
        <f t="shared" si="4"/>
        <v>12025</v>
      </c>
      <c r="AC10" s="16">
        <f t="shared" si="4"/>
        <v>12525</v>
      </c>
      <c r="AD10" s="16">
        <f t="shared" si="4"/>
        <v>13025</v>
      </c>
    </row>
    <row r="11" spans="1:30" x14ac:dyDescent="0.35">
      <c r="A11" s="15" t="s">
        <v>3</v>
      </c>
      <c r="B11" t="s">
        <v>13</v>
      </c>
      <c r="C11" s="16" t="s">
        <v>18</v>
      </c>
      <c r="D11" s="1" t="s">
        <v>48</v>
      </c>
      <c r="E11" s="74">
        <v>530</v>
      </c>
      <c r="F11" s="74">
        <f t="shared" ref="F11:AD12" si="5">SUM(E11, 500)</f>
        <v>1030</v>
      </c>
      <c r="G11" s="74">
        <f t="shared" si="5"/>
        <v>1530</v>
      </c>
      <c r="H11" s="74">
        <f t="shared" si="5"/>
        <v>2030</v>
      </c>
      <c r="I11" s="74">
        <f t="shared" si="5"/>
        <v>2530</v>
      </c>
      <c r="J11" s="74">
        <f t="shared" si="5"/>
        <v>3030</v>
      </c>
      <c r="K11" s="74">
        <f t="shared" si="5"/>
        <v>3530</v>
      </c>
      <c r="L11" s="74">
        <f t="shared" si="5"/>
        <v>4030</v>
      </c>
      <c r="M11" s="74">
        <f t="shared" si="5"/>
        <v>4530</v>
      </c>
      <c r="N11" s="74">
        <f t="shared" si="5"/>
        <v>5030</v>
      </c>
      <c r="O11" s="74">
        <f t="shared" si="5"/>
        <v>5530</v>
      </c>
      <c r="P11" s="74">
        <f t="shared" si="5"/>
        <v>6030</v>
      </c>
      <c r="Q11" s="74">
        <f t="shared" si="5"/>
        <v>6530</v>
      </c>
      <c r="R11" s="74">
        <f t="shared" si="5"/>
        <v>7030</v>
      </c>
      <c r="S11" s="74">
        <f t="shared" si="5"/>
        <v>7530</v>
      </c>
      <c r="T11" s="92">
        <f t="shared" si="5"/>
        <v>8030</v>
      </c>
      <c r="U11" s="74">
        <f t="shared" si="5"/>
        <v>8530</v>
      </c>
      <c r="V11" s="74">
        <f t="shared" si="5"/>
        <v>9030</v>
      </c>
      <c r="W11" s="74">
        <f t="shared" si="5"/>
        <v>9530</v>
      </c>
      <c r="X11" s="74">
        <f t="shared" si="5"/>
        <v>10030</v>
      </c>
      <c r="Y11" s="74">
        <f t="shared" si="5"/>
        <v>10530</v>
      </c>
      <c r="Z11" s="74">
        <f t="shared" si="5"/>
        <v>11030</v>
      </c>
      <c r="AA11" s="74">
        <f t="shared" si="5"/>
        <v>11530</v>
      </c>
      <c r="AB11" s="74">
        <f t="shared" si="5"/>
        <v>12030</v>
      </c>
      <c r="AC11" s="73">
        <f t="shared" si="5"/>
        <v>12530</v>
      </c>
      <c r="AD11" s="73">
        <f t="shared" si="5"/>
        <v>13030</v>
      </c>
    </row>
    <row r="12" spans="1:30" x14ac:dyDescent="0.35">
      <c r="A12" s="15" t="s">
        <v>172</v>
      </c>
      <c r="B12" s="65" t="s">
        <v>13</v>
      </c>
      <c r="C12" s="16" t="s">
        <v>18</v>
      </c>
      <c r="D12" s="1" t="s">
        <v>48</v>
      </c>
      <c r="E12" s="74">
        <v>532</v>
      </c>
      <c r="F12" s="74">
        <f t="shared" si="5"/>
        <v>1032</v>
      </c>
      <c r="G12" s="74">
        <f t="shared" si="5"/>
        <v>1532</v>
      </c>
      <c r="H12" s="74">
        <f t="shared" si="5"/>
        <v>2032</v>
      </c>
      <c r="I12" s="74">
        <f t="shared" si="5"/>
        <v>2532</v>
      </c>
      <c r="J12" s="74">
        <f t="shared" si="5"/>
        <v>3032</v>
      </c>
      <c r="K12" s="74">
        <f t="shared" si="5"/>
        <v>3532</v>
      </c>
      <c r="L12" s="74">
        <f t="shared" si="5"/>
        <v>4032</v>
      </c>
      <c r="M12" s="74">
        <f t="shared" si="5"/>
        <v>4532</v>
      </c>
      <c r="N12" s="74">
        <f t="shared" si="5"/>
        <v>5032</v>
      </c>
      <c r="O12" s="74">
        <f t="shared" si="5"/>
        <v>5532</v>
      </c>
      <c r="P12" s="74">
        <f t="shared" si="5"/>
        <v>6032</v>
      </c>
      <c r="Q12" s="74">
        <f t="shared" si="5"/>
        <v>6532</v>
      </c>
      <c r="R12" s="74">
        <f t="shared" si="5"/>
        <v>7032</v>
      </c>
      <c r="S12" s="74">
        <f t="shared" si="5"/>
        <v>7532</v>
      </c>
      <c r="T12" s="92">
        <f t="shared" si="5"/>
        <v>8032</v>
      </c>
      <c r="U12" s="74">
        <f t="shared" si="5"/>
        <v>8532</v>
      </c>
      <c r="V12" s="74">
        <f t="shared" si="5"/>
        <v>9032</v>
      </c>
      <c r="W12" s="74">
        <f t="shared" si="5"/>
        <v>9532</v>
      </c>
      <c r="X12" s="74">
        <f t="shared" si="5"/>
        <v>10032</v>
      </c>
      <c r="Y12" s="74">
        <f t="shared" si="5"/>
        <v>10532</v>
      </c>
      <c r="Z12" s="74">
        <f t="shared" si="5"/>
        <v>11032</v>
      </c>
      <c r="AA12" s="74">
        <f t="shared" si="5"/>
        <v>11532</v>
      </c>
      <c r="AB12" s="74">
        <f t="shared" si="5"/>
        <v>12032</v>
      </c>
      <c r="AC12" s="73">
        <f t="shared" si="5"/>
        <v>12532</v>
      </c>
      <c r="AD12" s="73">
        <f t="shared" si="5"/>
        <v>13032</v>
      </c>
    </row>
    <row r="13" spans="1:30" x14ac:dyDescent="0.35">
      <c r="A13" s="64" t="s">
        <v>84</v>
      </c>
      <c r="B13" s="65" t="s">
        <v>13</v>
      </c>
      <c r="C13" s="66" t="s">
        <v>18</v>
      </c>
      <c r="D13" s="67"/>
      <c r="E13" s="1">
        <v>540</v>
      </c>
      <c r="F13" s="1">
        <f t="shared" ref="F13:AD13" si="6">SUM(E13, 500)</f>
        <v>1040</v>
      </c>
      <c r="G13" s="1">
        <f t="shared" si="6"/>
        <v>1540</v>
      </c>
      <c r="H13" s="1">
        <f t="shared" si="6"/>
        <v>2040</v>
      </c>
      <c r="I13" s="1">
        <f t="shared" si="6"/>
        <v>2540</v>
      </c>
      <c r="J13" s="1">
        <f t="shared" si="6"/>
        <v>3040</v>
      </c>
      <c r="K13" s="1">
        <f t="shared" si="6"/>
        <v>3540</v>
      </c>
      <c r="L13" s="1">
        <f t="shared" si="6"/>
        <v>4040</v>
      </c>
      <c r="M13" s="1">
        <f t="shared" si="6"/>
        <v>4540</v>
      </c>
      <c r="N13" s="1">
        <f t="shared" si="6"/>
        <v>5040</v>
      </c>
      <c r="O13" s="1">
        <f t="shared" si="6"/>
        <v>5540</v>
      </c>
      <c r="P13" s="1">
        <f t="shared" si="6"/>
        <v>6040</v>
      </c>
      <c r="Q13" s="1">
        <f t="shared" si="6"/>
        <v>6540</v>
      </c>
      <c r="R13" s="1">
        <f t="shared" si="6"/>
        <v>7040</v>
      </c>
      <c r="S13" s="1">
        <f t="shared" si="6"/>
        <v>7540</v>
      </c>
      <c r="T13" s="1">
        <f t="shared" si="6"/>
        <v>8040</v>
      </c>
      <c r="U13" s="1">
        <f t="shared" si="6"/>
        <v>8540</v>
      </c>
      <c r="V13" s="1">
        <f t="shared" si="6"/>
        <v>9040</v>
      </c>
      <c r="W13" s="1">
        <f t="shared" si="6"/>
        <v>9540</v>
      </c>
      <c r="X13" s="1">
        <f t="shared" si="6"/>
        <v>10040</v>
      </c>
      <c r="Y13" s="1">
        <f t="shared" si="6"/>
        <v>10540</v>
      </c>
      <c r="Z13" s="1">
        <f t="shared" si="6"/>
        <v>11040</v>
      </c>
      <c r="AA13" s="1">
        <f t="shared" si="6"/>
        <v>11540</v>
      </c>
      <c r="AB13" s="1">
        <f t="shared" si="6"/>
        <v>12040</v>
      </c>
      <c r="AC13" s="16">
        <f t="shared" si="6"/>
        <v>12540</v>
      </c>
      <c r="AD13" s="16">
        <f t="shared" si="6"/>
        <v>13040</v>
      </c>
    </row>
    <row r="14" spans="1:30" x14ac:dyDescent="0.35">
      <c r="A14" s="64" t="s">
        <v>10</v>
      </c>
      <c r="B14" s="65" t="s">
        <v>13</v>
      </c>
      <c r="C14" s="66" t="s">
        <v>18</v>
      </c>
      <c r="D14" s="67"/>
      <c r="E14" s="1">
        <v>550</v>
      </c>
      <c r="F14" s="1">
        <f t="shared" ref="F14:AD14" si="7">SUM(E14, 500)</f>
        <v>1050</v>
      </c>
      <c r="G14" s="1">
        <f t="shared" si="7"/>
        <v>1550</v>
      </c>
      <c r="H14" s="1">
        <f t="shared" si="7"/>
        <v>2050</v>
      </c>
      <c r="I14" s="1">
        <f t="shared" si="7"/>
        <v>2550</v>
      </c>
      <c r="J14" s="1">
        <f t="shared" si="7"/>
        <v>3050</v>
      </c>
      <c r="K14" s="1">
        <f t="shared" si="7"/>
        <v>3550</v>
      </c>
      <c r="L14" s="1">
        <f t="shared" si="7"/>
        <v>4050</v>
      </c>
      <c r="M14" s="1">
        <f t="shared" si="7"/>
        <v>4550</v>
      </c>
      <c r="N14" s="1">
        <f t="shared" si="7"/>
        <v>5050</v>
      </c>
      <c r="O14" s="1">
        <f t="shared" si="7"/>
        <v>5550</v>
      </c>
      <c r="P14" s="1">
        <f t="shared" si="7"/>
        <v>6050</v>
      </c>
      <c r="Q14" s="1">
        <f t="shared" si="7"/>
        <v>6550</v>
      </c>
      <c r="R14" s="1">
        <f t="shared" si="7"/>
        <v>7050</v>
      </c>
      <c r="S14" s="1">
        <f t="shared" si="7"/>
        <v>7550</v>
      </c>
      <c r="T14" s="1">
        <f t="shared" si="7"/>
        <v>8050</v>
      </c>
      <c r="U14" s="1">
        <f t="shared" si="7"/>
        <v>8550</v>
      </c>
      <c r="V14" s="1">
        <f t="shared" si="7"/>
        <v>9050</v>
      </c>
      <c r="W14" s="1">
        <f t="shared" si="7"/>
        <v>9550</v>
      </c>
      <c r="X14" s="1">
        <f t="shared" si="7"/>
        <v>10050</v>
      </c>
      <c r="Y14" s="1">
        <f t="shared" si="7"/>
        <v>10550</v>
      </c>
      <c r="Z14" s="1">
        <f t="shared" si="7"/>
        <v>11050</v>
      </c>
      <c r="AA14" s="1">
        <f t="shared" si="7"/>
        <v>11550</v>
      </c>
      <c r="AB14" s="1">
        <f t="shared" si="7"/>
        <v>12050</v>
      </c>
      <c r="AC14" s="16">
        <f t="shared" si="7"/>
        <v>12550</v>
      </c>
      <c r="AD14" s="16">
        <f t="shared" si="7"/>
        <v>13050</v>
      </c>
    </row>
    <row r="15" spans="1:30" x14ac:dyDescent="0.35">
      <c r="A15" s="15" t="s">
        <v>4</v>
      </c>
      <c r="B15" t="s">
        <v>14</v>
      </c>
      <c r="C15" s="16" t="s">
        <v>18</v>
      </c>
      <c r="D15" s="1" t="s">
        <v>48</v>
      </c>
      <c r="E15" s="74">
        <v>560</v>
      </c>
      <c r="F15" s="74">
        <f t="shared" ref="F15:AD15" si="8">SUM(E15, 500)</f>
        <v>1060</v>
      </c>
      <c r="G15" s="74">
        <f t="shared" si="8"/>
        <v>1560</v>
      </c>
      <c r="H15" s="74">
        <f t="shared" si="8"/>
        <v>2060</v>
      </c>
      <c r="I15" s="74">
        <f t="shared" si="8"/>
        <v>2560</v>
      </c>
      <c r="J15" s="74">
        <f t="shared" si="8"/>
        <v>3060</v>
      </c>
      <c r="K15" s="74">
        <f t="shared" si="8"/>
        <v>3560</v>
      </c>
      <c r="L15" s="74">
        <f t="shared" si="8"/>
        <v>4060</v>
      </c>
      <c r="M15" s="74">
        <f t="shared" si="8"/>
        <v>4560</v>
      </c>
      <c r="N15" s="74">
        <f t="shared" si="8"/>
        <v>5060</v>
      </c>
      <c r="O15" s="74">
        <f t="shared" si="8"/>
        <v>5560</v>
      </c>
      <c r="P15" s="74">
        <f t="shared" si="8"/>
        <v>6060</v>
      </c>
      <c r="Q15" s="74">
        <f t="shared" si="8"/>
        <v>6560</v>
      </c>
      <c r="R15" s="74">
        <f t="shared" si="8"/>
        <v>7060</v>
      </c>
      <c r="S15" s="74">
        <f t="shared" si="8"/>
        <v>7560</v>
      </c>
      <c r="T15" s="92">
        <f t="shared" si="8"/>
        <v>8060</v>
      </c>
      <c r="U15" s="74">
        <f t="shared" si="8"/>
        <v>8560</v>
      </c>
      <c r="V15" s="74">
        <f t="shared" si="8"/>
        <v>9060</v>
      </c>
      <c r="W15" s="74">
        <f t="shared" si="8"/>
        <v>9560</v>
      </c>
      <c r="X15" s="74">
        <f t="shared" si="8"/>
        <v>10060</v>
      </c>
      <c r="Y15" s="74">
        <f t="shared" si="8"/>
        <v>10560</v>
      </c>
      <c r="Z15" s="74">
        <f t="shared" si="8"/>
        <v>11060</v>
      </c>
      <c r="AA15" s="74">
        <f t="shared" si="8"/>
        <v>11560</v>
      </c>
      <c r="AB15" s="74">
        <f t="shared" si="8"/>
        <v>12060</v>
      </c>
      <c r="AC15" s="73">
        <f t="shared" si="8"/>
        <v>12560</v>
      </c>
      <c r="AD15" s="73">
        <f t="shared" si="8"/>
        <v>13060</v>
      </c>
    </row>
    <row r="16" spans="1:30" x14ac:dyDescent="0.35">
      <c r="A16" s="64" t="s">
        <v>5</v>
      </c>
      <c r="B16" s="65" t="s">
        <v>14</v>
      </c>
      <c r="C16" s="66" t="s">
        <v>18</v>
      </c>
      <c r="D16" s="67" t="s">
        <v>47</v>
      </c>
      <c r="E16" s="1">
        <v>570</v>
      </c>
      <c r="F16" s="1">
        <f t="shared" ref="F16:AD16" si="9">SUM(E16, 500)</f>
        <v>1070</v>
      </c>
      <c r="G16" s="1">
        <f t="shared" si="9"/>
        <v>1570</v>
      </c>
      <c r="H16" s="1">
        <f t="shared" si="9"/>
        <v>2070</v>
      </c>
      <c r="I16" s="1">
        <f t="shared" si="9"/>
        <v>2570</v>
      </c>
      <c r="J16" s="1">
        <f t="shared" si="9"/>
        <v>3070</v>
      </c>
      <c r="K16" s="1">
        <f t="shared" si="9"/>
        <v>3570</v>
      </c>
      <c r="L16" s="1">
        <f t="shared" si="9"/>
        <v>4070</v>
      </c>
      <c r="M16" s="1">
        <f t="shared" si="9"/>
        <v>4570</v>
      </c>
      <c r="N16" s="1">
        <f t="shared" si="9"/>
        <v>5070</v>
      </c>
      <c r="O16" s="1">
        <f t="shared" si="9"/>
        <v>5570</v>
      </c>
      <c r="P16" s="1">
        <f t="shared" si="9"/>
        <v>6070</v>
      </c>
      <c r="Q16" s="1">
        <f t="shared" si="9"/>
        <v>6570</v>
      </c>
      <c r="R16" s="1">
        <f t="shared" si="9"/>
        <v>7070</v>
      </c>
      <c r="S16" s="1">
        <f t="shared" si="9"/>
        <v>7570</v>
      </c>
      <c r="T16" s="1">
        <f t="shared" si="9"/>
        <v>8070</v>
      </c>
      <c r="U16" s="1">
        <f t="shared" si="9"/>
        <v>8570</v>
      </c>
      <c r="V16" s="1">
        <f t="shared" si="9"/>
        <v>9070</v>
      </c>
      <c r="W16" s="1">
        <f t="shared" si="9"/>
        <v>9570</v>
      </c>
      <c r="X16" s="1">
        <f t="shared" si="9"/>
        <v>10070</v>
      </c>
      <c r="Y16" s="1">
        <f t="shared" si="9"/>
        <v>10570</v>
      </c>
      <c r="Z16" s="1">
        <f t="shared" si="9"/>
        <v>11070</v>
      </c>
      <c r="AA16" s="1">
        <f t="shared" si="9"/>
        <v>11570</v>
      </c>
      <c r="AB16" s="1">
        <f t="shared" si="9"/>
        <v>12070</v>
      </c>
      <c r="AC16" s="16">
        <f t="shared" si="9"/>
        <v>12570</v>
      </c>
      <c r="AD16" s="16">
        <f t="shared" si="9"/>
        <v>13070</v>
      </c>
    </row>
    <row r="17" spans="1:30" x14ac:dyDescent="0.35">
      <c r="A17" s="64" t="s">
        <v>81</v>
      </c>
      <c r="B17" s="65" t="s">
        <v>13</v>
      </c>
      <c r="C17" s="66" t="s">
        <v>18</v>
      </c>
      <c r="D17" s="67" t="s">
        <v>48</v>
      </c>
      <c r="E17" s="1">
        <v>580</v>
      </c>
      <c r="F17" s="1">
        <f t="shared" ref="F17:AD18" si="10">SUM(E17, 500)</f>
        <v>1080</v>
      </c>
      <c r="G17" s="1">
        <f t="shared" si="10"/>
        <v>1580</v>
      </c>
      <c r="H17" s="1">
        <f t="shared" si="10"/>
        <v>2080</v>
      </c>
      <c r="I17" s="1">
        <f t="shared" si="10"/>
        <v>2580</v>
      </c>
      <c r="J17" s="1">
        <f t="shared" si="10"/>
        <v>3080</v>
      </c>
      <c r="K17" s="1">
        <f t="shared" si="10"/>
        <v>3580</v>
      </c>
      <c r="L17" s="1">
        <f t="shared" si="10"/>
        <v>4080</v>
      </c>
      <c r="M17" s="1">
        <f t="shared" si="10"/>
        <v>4580</v>
      </c>
      <c r="N17" s="1">
        <f t="shared" si="10"/>
        <v>5080</v>
      </c>
      <c r="O17" s="1">
        <f t="shared" si="10"/>
        <v>5580</v>
      </c>
      <c r="P17" s="1">
        <f t="shared" si="10"/>
        <v>6080</v>
      </c>
      <c r="Q17" s="1">
        <f t="shared" si="10"/>
        <v>6580</v>
      </c>
      <c r="R17" s="1">
        <f t="shared" si="10"/>
        <v>7080</v>
      </c>
      <c r="S17" s="1">
        <f t="shared" si="10"/>
        <v>7580</v>
      </c>
      <c r="T17" s="1">
        <f t="shared" si="10"/>
        <v>8080</v>
      </c>
      <c r="U17" s="1">
        <f t="shared" si="10"/>
        <v>8580</v>
      </c>
      <c r="V17" s="1">
        <f t="shared" si="10"/>
        <v>9080</v>
      </c>
      <c r="W17" s="1">
        <f t="shared" si="10"/>
        <v>9580</v>
      </c>
      <c r="X17" s="1">
        <f t="shared" si="10"/>
        <v>10080</v>
      </c>
      <c r="Y17" s="1">
        <f t="shared" si="10"/>
        <v>10580</v>
      </c>
      <c r="Z17" s="1">
        <f t="shared" si="10"/>
        <v>11080</v>
      </c>
      <c r="AA17" s="1">
        <f t="shared" si="10"/>
        <v>11580</v>
      </c>
      <c r="AB17" s="1">
        <f t="shared" si="10"/>
        <v>12080</v>
      </c>
      <c r="AC17" s="16">
        <f t="shared" si="10"/>
        <v>12580</v>
      </c>
      <c r="AD17" s="16">
        <f t="shared" si="10"/>
        <v>13080</v>
      </c>
    </row>
    <row r="18" spans="1:30" x14ac:dyDescent="0.35">
      <c r="A18" s="15" t="s">
        <v>82</v>
      </c>
      <c r="B18" t="s">
        <v>13</v>
      </c>
      <c r="C18" s="16" t="s">
        <v>18</v>
      </c>
      <c r="D18" s="1" t="s">
        <v>48</v>
      </c>
      <c r="E18" s="74">
        <v>590</v>
      </c>
      <c r="F18" s="74">
        <f t="shared" si="10"/>
        <v>1090</v>
      </c>
      <c r="G18" s="74">
        <f t="shared" si="10"/>
        <v>1590</v>
      </c>
      <c r="H18" s="74">
        <f t="shared" si="10"/>
        <v>2090</v>
      </c>
      <c r="I18" s="74">
        <f t="shared" si="10"/>
        <v>2590</v>
      </c>
      <c r="J18" s="74">
        <f t="shared" si="10"/>
        <v>3090</v>
      </c>
      <c r="K18" s="74">
        <f t="shared" si="10"/>
        <v>3590</v>
      </c>
      <c r="L18" s="74">
        <f t="shared" si="10"/>
        <v>4090</v>
      </c>
      <c r="M18" s="74">
        <f t="shared" si="10"/>
        <v>4590</v>
      </c>
      <c r="N18" s="74">
        <f t="shared" si="10"/>
        <v>5090</v>
      </c>
      <c r="O18" s="74">
        <f t="shared" si="10"/>
        <v>5590</v>
      </c>
      <c r="P18" s="74">
        <f t="shared" si="10"/>
        <v>6090</v>
      </c>
      <c r="Q18" s="74">
        <f t="shared" si="10"/>
        <v>6590</v>
      </c>
      <c r="R18" s="74">
        <f t="shared" si="10"/>
        <v>7090</v>
      </c>
      <c r="S18" s="74">
        <f t="shared" si="10"/>
        <v>7590</v>
      </c>
      <c r="T18" s="92">
        <f t="shared" si="10"/>
        <v>8090</v>
      </c>
      <c r="U18" s="74">
        <f t="shared" si="10"/>
        <v>8590</v>
      </c>
      <c r="V18" s="74">
        <f t="shared" si="10"/>
        <v>9090</v>
      </c>
      <c r="W18" s="74">
        <f t="shared" si="10"/>
        <v>9590</v>
      </c>
      <c r="X18" s="74">
        <f t="shared" si="10"/>
        <v>10090</v>
      </c>
      <c r="Y18" s="74">
        <f t="shared" si="10"/>
        <v>10590</v>
      </c>
      <c r="Z18" s="74">
        <f t="shared" si="10"/>
        <v>11090</v>
      </c>
      <c r="AA18" s="74">
        <f t="shared" si="10"/>
        <v>11590</v>
      </c>
      <c r="AB18" s="74">
        <f t="shared" si="10"/>
        <v>12090</v>
      </c>
      <c r="AC18" s="73">
        <f t="shared" si="10"/>
        <v>12590</v>
      </c>
      <c r="AD18" s="73">
        <f t="shared" si="10"/>
        <v>13090</v>
      </c>
    </row>
    <row r="19" spans="1:30" x14ac:dyDescent="0.35">
      <c r="A19" s="71" t="s">
        <v>6</v>
      </c>
      <c r="B19" s="72" t="s">
        <v>15</v>
      </c>
      <c r="C19" s="73" t="s">
        <v>18</v>
      </c>
      <c r="D19" s="74" t="s">
        <v>47</v>
      </c>
      <c r="E19" s="1">
        <v>600</v>
      </c>
      <c r="F19" s="1">
        <f>SUM(E19, 500)</f>
        <v>1100</v>
      </c>
      <c r="G19" s="1">
        <f>SUM(F19, 500)</f>
        <v>1600</v>
      </c>
      <c r="H19" s="1">
        <f t="shared" ref="H19:AD19" si="11">SUM(G19, 500)</f>
        <v>2100</v>
      </c>
      <c r="I19" s="1">
        <f t="shared" si="11"/>
        <v>2600</v>
      </c>
      <c r="J19" s="1">
        <f t="shared" si="11"/>
        <v>3100</v>
      </c>
      <c r="K19" s="1">
        <f t="shared" si="11"/>
        <v>3600</v>
      </c>
      <c r="L19" s="1">
        <f t="shared" si="11"/>
        <v>4100</v>
      </c>
      <c r="M19" s="1">
        <f t="shared" si="11"/>
        <v>4600</v>
      </c>
      <c r="N19" s="1">
        <f t="shared" si="11"/>
        <v>5100</v>
      </c>
      <c r="O19" s="1">
        <f t="shared" si="11"/>
        <v>5600</v>
      </c>
      <c r="P19" s="1">
        <f t="shared" si="11"/>
        <v>6100</v>
      </c>
      <c r="Q19" s="1">
        <f t="shared" si="11"/>
        <v>6600</v>
      </c>
      <c r="R19" s="1">
        <f t="shared" si="11"/>
        <v>7100</v>
      </c>
      <c r="S19" s="1">
        <f t="shared" si="11"/>
        <v>7600</v>
      </c>
      <c r="T19" s="1">
        <f t="shared" si="11"/>
        <v>8100</v>
      </c>
      <c r="U19" s="1">
        <f t="shared" si="11"/>
        <v>8600</v>
      </c>
      <c r="V19" s="1">
        <f t="shared" si="11"/>
        <v>9100</v>
      </c>
      <c r="W19" s="1">
        <f t="shared" si="11"/>
        <v>9600</v>
      </c>
      <c r="X19" s="1">
        <f t="shared" si="11"/>
        <v>10100</v>
      </c>
      <c r="Y19" s="1">
        <f t="shared" si="11"/>
        <v>10600</v>
      </c>
      <c r="Z19" s="1">
        <f t="shared" si="11"/>
        <v>11100</v>
      </c>
      <c r="AA19" s="1">
        <f t="shared" si="11"/>
        <v>11600</v>
      </c>
      <c r="AB19" s="1">
        <f t="shared" si="11"/>
        <v>12100</v>
      </c>
      <c r="AC19" s="16">
        <f t="shared" si="11"/>
        <v>12600</v>
      </c>
      <c r="AD19" s="16">
        <f t="shared" si="11"/>
        <v>13100</v>
      </c>
    </row>
    <row r="20" spans="1:30" x14ac:dyDescent="0.35">
      <c r="A20" s="71" t="s">
        <v>7</v>
      </c>
      <c r="B20" s="72" t="s">
        <v>15</v>
      </c>
      <c r="C20" s="73" t="s">
        <v>18</v>
      </c>
      <c r="D20" s="74" t="s">
        <v>47</v>
      </c>
      <c r="E20" s="1">
        <v>700</v>
      </c>
      <c r="F20" s="1">
        <f t="shared" ref="F20:AD30" si="12">SUM(E20, 500)</f>
        <v>1200</v>
      </c>
      <c r="G20" s="1">
        <f t="shared" si="12"/>
        <v>1700</v>
      </c>
      <c r="H20" s="1">
        <f t="shared" si="12"/>
        <v>2200</v>
      </c>
      <c r="I20" s="1">
        <f t="shared" si="12"/>
        <v>2700</v>
      </c>
      <c r="J20" s="1">
        <f t="shared" si="12"/>
        <v>3200</v>
      </c>
      <c r="K20" s="1">
        <f t="shared" si="12"/>
        <v>3700</v>
      </c>
      <c r="L20" s="1">
        <f t="shared" si="12"/>
        <v>4200</v>
      </c>
      <c r="M20" s="1">
        <f t="shared" si="12"/>
        <v>4700</v>
      </c>
      <c r="N20" s="1">
        <f t="shared" si="12"/>
        <v>5200</v>
      </c>
      <c r="O20" s="1">
        <f t="shared" si="12"/>
        <v>5700</v>
      </c>
      <c r="P20" s="1">
        <f t="shared" si="12"/>
        <v>6200</v>
      </c>
      <c r="Q20" s="1">
        <f t="shared" si="12"/>
        <v>6700</v>
      </c>
      <c r="R20" s="1">
        <f t="shared" si="12"/>
        <v>7200</v>
      </c>
      <c r="S20" s="1">
        <f t="shared" si="12"/>
        <v>7700</v>
      </c>
      <c r="T20" s="1">
        <f t="shared" si="12"/>
        <v>8200</v>
      </c>
      <c r="U20" s="1">
        <f t="shared" si="12"/>
        <v>8700</v>
      </c>
      <c r="V20" s="1">
        <f t="shared" si="12"/>
        <v>9200</v>
      </c>
      <c r="W20" s="1">
        <f t="shared" si="12"/>
        <v>9700</v>
      </c>
      <c r="X20" s="1">
        <f t="shared" si="12"/>
        <v>10200</v>
      </c>
      <c r="Y20" s="1">
        <f t="shared" si="12"/>
        <v>10700</v>
      </c>
      <c r="Z20" s="1">
        <f t="shared" si="12"/>
        <v>11200</v>
      </c>
      <c r="AA20" s="1">
        <f t="shared" si="12"/>
        <v>11700</v>
      </c>
      <c r="AB20" s="1">
        <f t="shared" si="12"/>
        <v>12200</v>
      </c>
      <c r="AC20" s="16">
        <f t="shared" si="12"/>
        <v>12700</v>
      </c>
      <c r="AD20" s="16">
        <f t="shared" si="12"/>
        <v>13200</v>
      </c>
    </row>
    <row r="21" spans="1:30" x14ac:dyDescent="0.35">
      <c r="A21" s="15" t="s">
        <v>102</v>
      </c>
      <c r="B21" t="s">
        <v>15</v>
      </c>
      <c r="C21" s="1" t="s">
        <v>18</v>
      </c>
      <c r="D21" s="1" t="s">
        <v>48</v>
      </c>
      <c r="E21" s="74">
        <v>800</v>
      </c>
      <c r="F21" s="74">
        <f t="shared" si="12"/>
        <v>1300</v>
      </c>
      <c r="G21" s="74">
        <f t="shared" si="12"/>
        <v>1800</v>
      </c>
      <c r="H21" s="74">
        <f t="shared" si="12"/>
        <v>2300</v>
      </c>
      <c r="I21" s="74">
        <f t="shared" si="12"/>
        <v>2800</v>
      </c>
      <c r="J21" s="74">
        <f t="shared" si="12"/>
        <v>3300</v>
      </c>
      <c r="K21" s="74">
        <f t="shared" si="12"/>
        <v>3800</v>
      </c>
      <c r="L21" s="74">
        <f t="shared" si="12"/>
        <v>4300</v>
      </c>
      <c r="M21" s="74">
        <f t="shared" si="12"/>
        <v>4800</v>
      </c>
      <c r="N21" s="74">
        <f t="shared" si="12"/>
        <v>5300</v>
      </c>
      <c r="O21" s="74">
        <f t="shared" si="12"/>
        <v>5800</v>
      </c>
      <c r="P21" s="74">
        <f t="shared" si="12"/>
        <v>6300</v>
      </c>
      <c r="Q21" s="74">
        <f t="shared" si="12"/>
        <v>6800</v>
      </c>
      <c r="R21" s="74">
        <f t="shared" si="12"/>
        <v>7300</v>
      </c>
      <c r="S21" s="74">
        <f t="shared" si="12"/>
        <v>7800</v>
      </c>
      <c r="T21" s="92">
        <f t="shared" si="12"/>
        <v>8300</v>
      </c>
      <c r="U21" s="74">
        <f t="shared" si="12"/>
        <v>8800</v>
      </c>
      <c r="V21" s="74">
        <f t="shared" si="12"/>
        <v>9300</v>
      </c>
      <c r="W21" s="74">
        <f t="shared" si="12"/>
        <v>9800</v>
      </c>
      <c r="X21" s="74">
        <f t="shared" si="12"/>
        <v>10300</v>
      </c>
      <c r="Y21" s="74">
        <f t="shared" si="12"/>
        <v>10800</v>
      </c>
      <c r="Z21" s="74">
        <f t="shared" si="12"/>
        <v>11300</v>
      </c>
      <c r="AA21" s="74">
        <f t="shared" si="12"/>
        <v>11800</v>
      </c>
      <c r="AB21" s="74">
        <f t="shared" si="12"/>
        <v>12300</v>
      </c>
      <c r="AC21" s="73">
        <f t="shared" si="12"/>
        <v>12800</v>
      </c>
      <c r="AD21" s="73">
        <f t="shared" si="12"/>
        <v>13300</v>
      </c>
    </row>
    <row r="22" spans="1:30" ht="15" thickBot="1" x14ac:dyDescent="0.4">
      <c r="A22" s="15" t="s">
        <v>79</v>
      </c>
      <c r="B22" t="s">
        <v>15</v>
      </c>
      <c r="C22" s="1" t="s">
        <v>18</v>
      </c>
      <c r="D22" s="1" t="s">
        <v>48</v>
      </c>
      <c r="E22" s="74">
        <v>900</v>
      </c>
      <c r="F22" s="74">
        <f t="shared" si="12"/>
        <v>1400</v>
      </c>
      <c r="G22" s="74">
        <f t="shared" si="12"/>
        <v>1900</v>
      </c>
      <c r="H22" s="74">
        <f t="shared" si="12"/>
        <v>2400</v>
      </c>
      <c r="I22" s="74">
        <f t="shared" si="12"/>
        <v>2900</v>
      </c>
      <c r="J22" s="74">
        <f t="shared" si="12"/>
        <v>3400</v>
      </c>
      <c r="K22" s="74">
        <f t="shared" si="12"/>
        <v>3900</v>
      </c>
      <c r="L22" s="74">
        <f t="shared" si="12"/>
        <v>4400</v>
      </c>
      <c r="M22" s="74">
        <f t="shared" si="12"/>
        <v>4900</v>
      </c>
      <c r="N22" s="74">
        <f t="shared" si="12"/>
        <v>5400</v>
      </c>
      <c r="O22" s="74">
        <f t="shared" si="12"/>
        <v>5900</v>
      </c>
      <c r="P22" s="74">
        <f t="shared" si="12"/>
        <v>6400</v>
      </c>
      <c r="Q22" s="74">
        <f t="shared" si="12"/>
        <v>6900</v>
      </c>
      <c r="R22" s="74">
        <f t="shared" si="12"/>
        <v>7400</v>
      </c>
      <c r="S22" s="74">
        <f t="shared" si="12"/>
        <v>7900</v>
      </c>
      <c r="T22" s="92">
        <f t="shared" si="12"/>
        <v>8400</v>
      </c>
      <c r="U22" s="74">
        <f t="shared" si="12"/>
        <v>8900</v>
      </c>
      <c r="V22" s="74">
        <f t="shared" si="12"/>
        <v>9400</v>
      </c>
      <c r="W22" s="74">
        <f t="shared" si="12"/>
        <v>9900</v>
      </c>
      <c r="X22" s="74">
        <f t="shared" si="12"/>
        <v>10400</v>
      </c>
      <c r="Y22" s="74">
        <f t="shared" si="12"/>
        <v>10900</v>
      </c>
      <c r="Z22" s="74">
        <f t="shared" si="12"/>
        <v>11400</v>
      </c>
      <c r="AA22" s="74">
        <f t="shared" si="12"/>
        <v>11900</v>
      </c>
      <c r="AB22" s="74">
        <f t="shared" si="12"/>
        <v>12400</v>
      </c>
      <c r="AC22" s="73">
        <f t="shared" si="12"/>
        <v>12900</v>
      </c>
      <c r="AD22" s="73">
        <f t="shared" si="12"/>
        <v>13400</v>
      </c>
    </row>
    <row r="23" spans="1:30" x14ac:dyDescent="0.35">
      <c r="A23" s="24" t="s">
        <v>63</v>
      </c>
      <c r="B23" s="25" t="s">
        <v>14</v>
      </c>
      <c r="C23" s="14" t="s">
        <v>18</v>
      </c>
      <c r="E23" s="74">
        <v>750</v>
      </c>
      <c r="F23" s="74">
        <f t="shared" si="12"/>
        <v>1250</v>
      </c>
      <c r="G23" s="74">
        <f t="shared" si="12"/>
        <v>1750</v>
      </c>
      <c r="H23" s="74">
        <f t="shared" si="12"/>
        <v>2250</v>
      </c>
      <c r="I23" s="74">
        <f t="shared" si="12"/>
        <v>2750</v>
      </c>
      <c r="J23" s="74">
        <f t="shared" si="12"/>
        <v>3250</v>
      </c>
      <c r="K23" s="74">
        <f t="shared" si="12"/>
        <v>3750</v>
      </c>
      <c r="L23" s="74">
        <f t="shared" si="12"/>
        <v>4250</v>
      </c>
      <c r="M23" s="74">
        <f t="shared" si="12"/>
        <v>4750</v>
      </c>
      <c r="N23" s="74">
        <f t="shared" si="12"/>
        <v>5250</v>
      </c>
      <c r="O23" s="74">
        <f t="shared" si="12"/>
        <v>5750</v>
      </c>
      <c r="P23" s="74">
        <f t="shared" si="12"/>
        <v>6250</v>
      </c>
      <c r="Q23" s="74">
        <f t="shared" si="12"/>
        <v>6750</v>
      </c>
      <c r="R23" s="74">
        <f t="shared" si="12"/>
        <v>7250</v>
      </c>
      <c r="S23" s="74">
        <f t="shared" si="12"/>
        <v>7750</v>
      </c>
      <c r="T23" s="92">
        <f t="shared" si="12"/>
        <v>8250</v>
      </c>
      <c r="U23" s="74">
        <f t="shared" si="12"/>
        <v>8750</v>
      </c>
      <c r="V23" s="74">
        <f t="shared" si="12"/>
        <v>9250</v>
      </c>
      <c r="W23" s="74">
        <f t="shared" si="12"/>
        <v>9750</v>
      </c>
      <c r="X23" s="74">
        <f t="shared" si="12"/>
        <v>10250</v>
      </c>
      <c r="Y23" s="74">
        <f t="shared" si="12"/>
        <v>10750</v>
      </c>
      <c r="Z23" s="74">
        <f t="shared" si="12"/>
        <v>11250</v>
      </c>
      <c r="AA23" s="74">
        <f t="shared" si="12"/>
        <v>11750</v>
      </c>
      <c r="AB23" s="74">
        <f t="shared" si="12"/>
        <v>12250</v>
      </c>
      <c r="AC23" s="73">
        <f t="shared" si="12"/>
        <v>12750</v>
      </c>
      <c r="AD23" s="73">
        <f t="shared" si="12"/>
        <v>13250</v>
      </c>
    </row>
    <row r="24" spans="1:30" x14ac:dyDescent="0.35">
      <c r="A24" s="15" t="s">
        <v>64</v>
      </c>
      <c r="B24" t="s">
        <v>14</v>
      </c>
      <c r="C24" s="16" t="s">
        <v>18</v>
      </c>
      <c r="E24" s="74">
        <v>755</v>
      </c>
      <c r="F24" s="74">
        <f t="shared" si="12"/>
        <v>1255</v>
      </c>
      <c r="G24" s="74">
        <f t="shared" si="12"/>
        <v>1755</v>
      </c>
      <c r="H24" s="74">
        <f t="shared" si="12"/>
        <v>2255</v>
      </c>
      <c r="I24" s="74">
        <f t="shared" si="12"/>
        <v>2755</v>
      </c>
      <c r="J24" s="74">
        <f t="shared" si="12"/>
        <v>3255</v>
      </c>
      <c r="K24" s="74">
        <f t="shared" si="12"/>
        <v>3755</v>
      </c>
      <c r="L24" s="74">
        <f t="shared" si="12"/>
        <v>4255</v>
      </c>
      <c r="M24" s="74">
        <f t="shared" si="12"/>
        <v>4755</v>
      </c>
      <c r="N24" s="74">
        <f t="shared" si="12"/>
        <v>5255</v>
      </c>
      <c r="O24" s="74">
        <f t="shared" si="12"/>
        <v>5755</v>
      </c>
      <c r="P24" s="74">
        <f t="shared" si="12"/>
        <v>6255</v>
      </c>
      <c r="Q24" s="74">
        <f t="shared" si="12"/>
        <v>6755</v>
      </c>
      <c r="R24" s="74">
        <f t="shared" si="12"/>
        <v>7255</v>
      </c>
      <c r="S24" s="74">
        <f t="shared" si="12"/>
        <v>7755</v>
      </c>
      <c r="T24" s="92">
        <f t="shared" si="12"/>
        <v>8255</v>
      </c>
      <c r="U24" s="74">
        <f t="shared" si="12"/>
        <v>8755</v>
      </c>
      <c r="V24" s="74">
        <f t="shared" si="12"/>
        <v>9255</v>
      </c>
      <c r="W24" s="74">
        <f t="shared" si="12"/>
        <v>9755</v>
      </c>
      <c r="X24" s="74">
        <f t="shared" si="12"/>
        <v>10255</v>
      </c>
      <c r="Y24" s="74">
        <f t="shared" si="12"/>
        <v>10755</v>
      </c>
      <c r="Z24" s="74">
        <f t="shared" si="12"/>
        <v>11255</v>
      </c>
      <c r="AA24" s="74">
        <f t="shared" si="12"/>
        <v>11755</v>
      </c>
      <c r="AB24" s="74">
        <f t="shared" si="12"/>
        <v>12255</v>
      </c>
      <c r="AC24" s="73">
        <f t="shared" si="12"/>
        <v>12755</v>
      </c>
      <c r="AD24" s="73">
        <f t="shared" si="12"/>
        <v>13255</v>
      </c>
    </row>
    <row r="25" spans="1:30" x14ac:dyDescent="0.35">
      <c r="A25" s="15" t="s">
        <v>65</v>
      </c>
      <c r="B25" t="s">
        <v>14</v>
      </c>
      <c r="C25" s="16" t="s">
        <v>18</v>
      </c>
      <c r="E25" s="74">
        <v>760</v>
      </c>
      <c r="F25" s="74">
        <f t="shared" si="12"/>
        <v>1260</v>
      </c>
      <c r="G25" s="74">
        <f t="shared" si="12"/>
        <v>1760</v>
      </c>
      <c r="H25" s="74">
        <f t="shared" si="12"/>
        <v>2260</v>
      </c>
      <c r="I25" s="74">
        <f t="shared" si="12"/>
        <v>2760</v>
      </c>
      <c r="J25" s="74">
        <f t="shared" si="12"/>
        <v>3260</v>
      </c>
      <c r="K25" s="74">
        <f t="shared" si="12"/>
        <v>3760</v>
      </c>
      <c r="L25" s="74">
        <f t="shared" si="12"/>
        <v>4260</v>
      </c>
      <c r="M25" s="74">
        <f t="shared" si="12"/>
        <v>4760</v>
      </c>
      <c r="N25" s="74">
        <f t="shared" si="12"/>
        <v>5260</v>
      </c>
      <c r="O25" s="74">
        <f t="shared" si="12"/>
        <v>5760</v>
      </c>
      <c r="P25" s="74">
        <f t="shared" si="12"/>
        <v>6260</v>
      </c>
      <c r="Q25" s="74">
        <f t="shared" si="12"/>
        <v>6760</v>
      </c>
      <c r="R25" s="74">
        <f t="shared" si="12"/>
        <v>7260</v>
      </c>
      <c r="S25" s="74">
        <f t="shared" si="12"/>
        <v>7760</v>
      </c>
      <c r="T25" s="92">
        <f t="shared" si="12"/>
        <v>8260</v>
      </c>
      <c r="U25" s="74">
        <f t="shared" si="12"/>
        <v>8760</v>
      </c>
      <c r="V25" s="74">
        <f t="shared" si="12"/>
        <v>9260</v>
      </c>
      <c r="W25" s="74">
        <f t="shared" si="12"/>
        <v>9760</v>
      </c>
      <c r="X25" s="74">
        <f t="shared" si="12"/>
        <v>10260</v>
      </c>
      <c r="Y25" s="74">
        <f t="shared" si="12"/>
        <v>10760</v>
      </c>
      <c r="Z25" s="74">
        <f t="shared" si="12"/>
        <v>11260</v>
      </c>
      <c r="AA25" s="74">
        <f t="shared" si="12"/>
        <v>11760</v>
      </c>
      <c r="AB25" s="74">
        <f t="shared" si="12"/>
        <v>12260</v>
      </c>
      <c r="AC25" s="73">
        <f t="shared" si="12"/>
        <v>12760</v>
      </c>
      <c r="AD25" s="73">
        <f t="shared" si="12"/>
        <v>13260</v>
      </c>
    </row>
    <row r="26" spans="1:30" x14ac:dyDescent="0.35">
      <c r="A26" s="15" t="s">
        <v>66</v>
      </c>
      <c r="B26" t="s">
        <v>14</v>
      </c>
      <c r="C26" s="16" t="s">
        <v>18</v>
      </c>
      <c r="E26" s="74">
        <v>765</v>
      </c>
      <c r="F26" s="74">
        <f t="shared" si="12"/>
        <v>1265</v>
      </c>
      <c r="G26" s="74">
        <f t="shared" si="12"/>
        <v>1765</v>
      </c>
      <c r="H26" s="74">
        <f t="shared" si="12"/>
        <v>2265</v>
      </c>
      <c r="I26" s="74">
        <f t="shared" si="12"/>
        <v>2765</v>
      </c>
      <c r="J26" s="74">
        <f t="shared" si="12"/>
        <v>3265</v>
      </c>
      <c r="K26" s="74">
        <f t="shared" si="12"/>
        <v>3765</v>
      </c>
      <c r="L26" s="74">
        <f t="shared" si="12"/>
        <v>4265</v>
      </c>
      <c r="M26" s="74">
        <f t="shared" si="12"/>
        <v>4765</v>
      </c>
      <c r="N26" s="74">
        <f t="shared" si="12"/>
        <v>5265</v>
      </c>
      <c r="O26" s="74">
        <f t="shared" si="12"/>
        <v>5765</v>
      </c>
      <c r="P26" s="74">
        <f t="shared" si="12"/>
        <v>6265</v>
      </c>
      <c r="Q26" s="74">
        <f t="shared" si="12"/>
        <v>6765</v>
      </c>
      <c r="R26" s="74">
        <f t="shared" si="12"/>
        <v>7265</v>
      </c>
      <c r="S26" s="74">
        <f t="shared" si="12"/>
        <v>7765</v>
      </c>
      <c r="T26" s="92">
        <f t="shared" si="12"/>
        <v>8265</v>
      </c>
      <c r="U26" s="74">
        <f t="shared" si="12"/>
        <v>8765</v>
      </c>
      <c r="V26" s="74">
        <f t="shared" si="12"/>
        <v>9265</v>
      </c>
      <c r="W26" s="74">
        <f t="shared" si="12"/>
        <v>9765</v>
      </c>
      <c r="X26" s="74">
        <f t="shared" si="12"/>
        <v>10265</v>
      </c>
      <c r="Y26" s="74">
        <f t="shared" si="12"/>
        <v>10765</v>
      </c>
      <c r="Z26" s="74">
        <f t="shared" si="12"/>
        <v>11265</v>
      </c>
      <c r="AA26" s="74">
        <f t="shared" si="12"/>
        <v>11765</v>
      </c>
      <c r="AB26" s="74">
        <f t="shared" si="12"/>
        <v>12265</v>
      </c>
      <c r="AC26" s="73">
        <f t="shared" si="12"/>
        <v>12765</v>
      </c>
      <c r="AD26" s="73">
        <f t="shared" si="12"/>
        <v>13265</v>
      </c>
    </row>
    <row r="27" spans="1:30" x14ac:dyDescent="0.35">
      <c r="A27" s="15" t="s">
        <v>67</v>
      </c>
      <c r="B27" t="s">
        <v>14</v>
      </c>
      <c r="C27" s="16" t="s">
        <v>18</v>
      </c>
      <c r="E27" s="74">
        <v>770</v>
      </c>
      <c r="F27" s="74">
        <f t="shared" si="12"/>
        <v>1270</v>
      </c>
      <c r="G27" s="74">
        <f t="shared" si="12"/>
        <v>1770</v>
      </c>
      <c r="H27" s="74">
        <f t="shared" si="12"/>
        <v>2270</v>
      </c>
      <c r="I27" s="74">
        <f t="shared" si="12"/>
        <v>2770</v>
      </c>
      <c r="J27" s="74">
        <f t="shared" si="12"/>
        <v>3270</v>
      </c>
      <c r="K27" s="74">
        <f t="shared" si="12"/>
        <v>3770</v>
      </c>
      <c r="L27" s="74">
        <f t="shared" si="12"/>
        <v>4270</v>
      </c>
      <c r="M27" s="74">
        <f t="shared" si="12"/>
        <v>4770</v>
      </c>
      <c r="N27" s="74">
        <f t="shared" si="12"/>
        <v>5270</v>
      </c>
      <c r="O27" s="74">
        <f t="shared" si="12"/>
        <v>5770</v>
      </c>
      <c r="P27" s="74">
        <f t="shared" si="12"/>
        <v>6270</v>
      </c>
      <c r="Q27" s="74">
        <f t="shared" si="12"/>
        <v>6770</v>
      </c>
      <c r="R27" s="74">
        <f t="shared" si="12"/>
        <v>7270</v>
      </c>
      <c r="S27" s="74">
        <f t="shared" si="12"/>
        <v>7770</v>
      </c>
      <c r="T27" s="92">
        <f t="shared" si="12"/>
        <v>8270</v>
      </c>
      <c r="U27" s="74">
        <f t="shared" si="12"/>
        <v>8770</v>
      </c>
      <c r="V27" s="74">
        <f t="shared" si="12"/>
        <v>9270</v>
      </c>
      <c r="W27" s="74">
        <f t="shared" si="12"/>
        <v>9770</v>
      </c>
      <c r="X27" s="74">
        <f t="shared" si="12"/>
        <v>10270</v>
      </c>
      <c r="Y27" s="74">
        <f t="shared" si="12"/>
        <v>10770</v>
      </c>
      <c r="Z27" s="74">
        <f t="shared" si="12"/>
        <v>11270</v>
      </c>
      <c r="AA27" s="74">
        <f t="shared" si="12"/>
        <v>11770</v>
      </c>
      <c r="AB27" s="74">
        <f t="shared" si="12"/>
        <v>12270</v>
      </c>
      <c r="AC27" s="73">
        <f t="shared" si="12"/>
        <v>12770</v>
      </c>
      <c r="AD27" s="73">
        <f t="shared" si="12"/>
        <v>13270</v>
      </c>
    </row>
    <row r="28" spans="1:30" x14ac:dyDescent="0.35">
      <c r="A28" s="15" t="s">
        <v>68</v>
      </c>
      <c r="B28" t="s">
        <v>14</v>
      </c>
      <c r="C28" s="16" t="s">
        <v>18</v>
      </c>
      <c r="E28" s="74">
        <v>775</v>
      </c>
      <c r="F28" s="74">
        <f t="shared" si="12"/>
        <v>1275</v>
      </c>
      <c r="G28" s="74">
        <f t="shared" si="12"/>
        <v>1775</v>
      </c>
      <c r="H28" s="74">
        <f t="shared" si="12"/>
        <v>2275</v>
      </c>
      <c r="I28" s="74">
        <f t="shared" si="12"/>
        <v>2775</v>
      </c>
      <c r="J28" s="74">
        <f t="shared" si="12"/>
        <v>3275</v>
      </c>
      <c r="K28" s="74">
        <f t="shared" si="12"/>
        <v>3775</v>
      </c>
      <c r="L28" s="74">
        <f t="shared" si="12"/>
        <v>4275</v>
      </c>
      <c r="M28" s="74">
        <f t="shared" si="12"/>
        <v>4775</v>
      </c>
      <c r="N28" s="74">
        <f t="shared" si="12"/>
        <v>5275</v>
      </c>
      <c r="O28" s="74">
        <f t="shared" si="12"/>
        <v>5775</v>
      </c>
      <c r="P28" s="74">
        <f t="shared" si="12"/>
        <v>6275</v>
      </c>
      <c r="Q28" s="74">
        <f t="shared" si="12"/>
        <v>6775</v>
      </c>
      <c r="R28" s="74">
        <f t="shared" si="12"/>
        <v>7275</v>
      </c>
      <c r="S28" s="74">
        <f t="shared" si="12"/>
        <v>7775</v>
      </c>
      <c r="T28" s="92">
        <f t="shared" si="12"/>
        <v>8275</v>
      </c>
      <c r="U28" s="74">
        <f t="shared" si="12"/>
        <v>8775</v>
      </c>
      <c r="V28" s="74">
        <f t="shared" si="12"/>
        <v>9275</v>
      </c>
      <c r="W28" s="74">
        <f t="shared" si="12"/>
        <v>9775</v>
      </c>
      <c r="X28" s="74">
        <f t="shared" si="12"/>
        <v>10275</v>
      </c>
      <c r="Y28" s="74">
        <f t="shared" si="12"/>
        <v>10775</v>
      </c>
      <c r="Z28" s="74">
        <f t="shared" si="12"/>
        <v>11275</v>
      </c>
      <c r="AA28" s="74">
        <f t="shared" si="12"/>
        <v>11775</v>
      </c>
      <c r="AB28" s="74">
        <f t="shared" si="12"/>
        <v>12275</v>
      </c>
      <c r="AC28" s="73">
        <f t="shared" si="12"/>
        <v>12775</v>
      </c>
      <c r="AD28" s="73">
        <f t="shared" si="12"/>
        <v>13275</v>
      </c>
    </row>
    <row r="29" spans="1:30" x14ac:dyDescent="0.35">
      <c r="A29" s="15" t="s">
        <v>69</v>
      </c>
      <c r="B29" t="s">
        <v>14</v>
      </c>
      <c r="C29" s="16" t="s">
        <v>18</v>
      </c>
      <c r="E29" s="74">
        <v>780</v>
      </c>
      <c r="F29" s="74">
        <f t="shared" si="12"/>
        <v>1280</v>
      </c>
      <c r="G29" s="74">
        <f t="shared" si="12"/>
        <v>1780</v>
      </c>
      <c r="H29" s="74">
        <f t="shared" si="12"/>
        <v>2280</v>
      </c>
      <c r="I29" s="74">
        <f t="shared" si="12"/>
        <v>2780</v>
      </c>
      <c r="J29" s="74">
        <f t="shared" si="12"/>
        <v>3280</v>
      </c>
      <c r="K29" s="74">
        <f t="shared" si="12"/>
        <v>3780</v>
      </c>
      <c r="L29" s="74">
        <f t="shared" si="12"/>
        <v>4280</v>
      </c>
      <c r="M29" s="74">
        <f t="shared" si="12"/>
        <v>4780</v>
      </c>
      <c r="N29" s="74">
        <f t="shared" si="12"/>
        <v>5280</v>
      </c>
      <c r="O29" s="74">
        <f t="shared" si="12"/>
        <v>5780</v>
      </c>
      <c r="P29" s="74">
        <f t="shared" si="12"/>
        <v>6280</v>
      </c>
      <c r="Q29" s="74">
        <f t="shared" si="12"/>
        <v>6780</v>
      </c>
      <c r="R29" s="74">
        <f t="shared" si="12"/>
        <v>7280</v>
      </c>
      <c r="S29" s="74">
        <f t="shared" si="12"/>
        <v>7780</v>
      </c>
      <c r="T29" s="92">
        <f t="shared" si="12"/>
        <v>8280</v>
      </c>
      <c r="U29" s="74">
        <f t="shared" si="12"/>
        <v>8780</v>
      </c>
      <c r="V29" s="74">
        <f t="shared" si="12"/>
        <v>9280</v>
      </c>
      <c r="W29" s="74">
        <f t="shared" si="12"/>
        <v>9780</v>
      </c>
      <c r="X29" s="74">
        <f t="shared" si="12"/>
        <v>10280</v>
      </c>
      <c r="Y29" s="74">
        <f t="shared" si="12"/>
        <v>10780</v>
      </c>
      <c r="Z29" s="74">
        <f t="shared" si="12"/>
        <v>11280</v>
      </c>
      <c r="AA29" s="74">
        <f t="shared" si="12"/>
        <v>11780</v>
      </c>
      <c r="AB29" s="74">
        <f t="shared" si="12"/>
        <v>12280</v>
      </c>
      <c r="AC29" s="73">
        <f t="shared" si="12"/>
        <v>12780</v>
      </c>
      <c r="AD29" s="73">
        <f t="shared" si="12"/>
        <v>13280</v>
      </c>
    </row>
    <row r="30" spans="1:30" x14ac:dyDescent="0.35">
      <c r="A30" s="15" t="s">
        <v>70</v>
      </c>
      <c r="B30" t="s">
        <v>14</v>
      </c>
      <c r="C30" s="16" t="s">
        <v>18</v>
      </c>
      <c r="E30" s="74">
        <v>785</v>
      </c>
      <c r="F30" s="74">
        <f t="shared" si="12"/>
        <v>1285</v>
      </c>
      <c r="G30" s="74">
        <f t="shared" si="12"/>
        <v>1785</v>
      </c>
      <c r="H30" s="74">
        <f t="shared" si="12"/>
        <v>2285</v>
      </c>
      <c r="I30" s="74">
        <f t="shared" si="12"/>
        <v>2785</v>
      </c>
      <c r="J30" s="74">
        <f t="shared" si="12"/>
        <v>3285</v>
      </c>
      <c r="K30" s="74">
        <f t="shared" ref="K30:AD30" si="13">SUM(J30, 500)</f>
        <v>3785</v>
      </c>
      <c r="L30" s="74">
        <f t="shared" si="13"/>
        <v>4285</v>
      </c>
      <c r="M30" s="74">
        <f t="shared" si="13"/>
        <v>4785</v>
      </c>
      <c r="N30" s="74">
        <f t="shared" si="13"/>
        <v>5285</v>
      </c>
      <c r="O30" s="74">
        <f t="shared" si="13"/>
        <v>5785</v>
      </c>
      <c r="P30" s="74">
        <f t="shared" si="13"/>
        <v>6285</v>
      </c>
      <c r="Q30" s="74">
        <f t="shared" si="13"/>
        <v>6785</v>
      </c>
      <c r="R30" s="74">
        <f t="shared" si="13"/>
        <v>7285</v>
      </c>
      <c r="S30" s="74">
        <f t="shared" si="13"/>
        <v>7785</v>
      </c>
      <c r="T30" s="92">
        <f t="shared" si="13"/>
        <v>8285</v>
      </c>
      <c r="U30" s="74">
        <f t="shared" si="13"/>
        <v>8785</v>
      </c>
      <c r="V30" s="74">
        <f t="shared" si="13"/>
        <v>9285</v>
      </c>
      <c r="W30" s="74">
        <f t="shared" si="13"/>
        <v>9785</v>
      </c>
      <c r="X30" s="74">
        <f t="shared" si="13"/>
        <v>10285</v>
      </c>
      <c r="Y30" s="74">
        <f t="shared" si="13"/>
        <v>10785</v>
      </c>
      <c r="Z30" s="74">
        <f t="shared" si="13"/>
        <v>11285</v>
      </c>
      <c r="AA30" s="74">
        <f t="shared" si="13"/>
        <v>11785</v>
      </c>
      <c r="AB30" s="74">
        <f t="shared" si="13"/>
        <v>12285</v>
      </c>
      <c r="AC30" s="73">
        <f t="shared" si="13"/>
        <v>12785</v>
      </c>
      <c r="AD30" s="73">
        <f t="shared" si="13"/>
        <v>13285</v>
      </c>
    </row>
    <row r="31" spans="1:30" x14ac:dyDescent="0.35">
      <c r="A31" s="26" t="s">
        <v>9</v>
      </c>
      <c r="B31" s="27" t="s">
        <v>16</v>
      </c>
      <c r="C31" s="2" t="s">
        <v>19</v>
      </c>
      <c r="D31" s="2" t="s">
        <v>48</v>
      </c>
      <c r="E31" s="91">
        <v>5</v>
      </c>
      <c r="F31" s="91">
        <f>SUM(E31,3)</f>
        <v>8</v>
      </c>
      <c r="G31" s="91">
        <f t="shared" ref="G31:AD37" si="14">SUM(F31,3)</f>
        <v>11</v>
      </c>
      <c r="H31" s="91">
        <f t="shared" si="14"/>
        <v>14</v>
      </c>
      <c r="I31" s="91">
        <f t="shared" si="14"/>
        <v>17</v>
      </c>
      <c r="J31" s="91">
        <f t="shared" si="14"/>
        <v>20</v>
      </c>
      <c r="K31" s="91">
        <f t="shared" si="14"/>
        <v>23</v>
      </c>
      <c r="L31" s="91">
        <f t="shared" si="14"/>
        <v>26</v>
      </c>
      <c r="M31" s="91">
        <f t="shared" si="14"/>
        <v>29</v>
      </c>
      <c r="N31" s="91">
        <f t="shared" si="14"/>
        <v>32</v>
      </c>
      <c r="O31" s="91">
        <f t="shared" si="14"/>
        <v>35</v>
      </c>
      <c r="P31" s="91">
        <f t="shared" si="14"/>
        <v>38</v>
      </c>
      <c r="Q31" s="91">
        <f t="shared" si="14"/>
        <v>41</v>
      </c>
      <c r="R31" s="91">
        <f t="shared" si="14"/>
        <v>44</v>
      </c>
      <c r="S31" s="91">
        <f t="shared" si="14"/>
        <v>47</v>
      </c>
      <c r="T31" s="93">
        <f t="shared" si="14"/>
        <v>50</v>
      </c>
      <c r="U31" s="91">
        <f t="shared" si="14"/>
        <v>53</v>
      </c>
      <c r="V31" s="91">
        <f t="shared" si="14"/>
        <v>56</v>
      </c>
      <c r="W31" s="91">
        <f t="shared" si="14"/>
        <v>59</v>
      </c>
      <c r="X31" s="91">
        <f t="shared" si="14"/>
        <v>62</v>
      </c>
      <c r="Y31" s="91">
        <f t="shared" si="14"/>
        <v>65</v>
      </c>
      <c r="Z31" s="91">
        <f t="shared" si="14"/>
        <v>68</v>
      </c>
      <c r="AA31" s="91">
        <f t="shared" si="14"/>
        <v>71</v>
      </c>
      <c r="AB31" s="91">
        <f t="shared" si="14"/>
        <v>74</v>
      </c>
      <c r="AC31" s="91">
        <f t="shared" si="14"/>
        <v>77</v>
      </c>
      <c r="AD31" s="91">
        <f t="shared" si="14"/>
        <v>80</v>
      </c>
    </row>
    <row r="32" spans="1:30" x14ac:dyDescent="0.35">
      <c r="A32" s="5" t="s">
        <v>8</v>
      </c>
      <c r="B32" t="s">
        <v>16</v>
      </c>
      <c r="C32" s="1" t="s">
        <v>19</v>
      </c>
      <c r="D32" s="1" t="s">
        <v>48</v>
      </c>
      <c r="E32" s="90">
        <v>5.01</v>
      </c>
      <c r="F32" s="90">
        <f t="shared" ref="F32:U37" si="15">SUM(E32,3)</f>
        <v>8.01</v>
      </c>
      <c r="G32" s="90">
        <f t="shared" si="15"/>
        <v>11.01</v>
      </c>
      <c r="H32" s="90">
        <f t="shared" si="15"/>
        <v>14.01</v>
      </c>
      <c r="I32" s="90">
        <f t="shared" si="15"/>
        <v>17.009999999999998</v>
      </c>
      <c r="J32" s="90">
        <f t="shared" si="15"/>
        <v>20.009999999999998</v>
      </c>
      <c r="K32" s="90">
        <f t="shared" si="15"/>
        <v>23.009999999999998</v>
      </c>
      <c r="L32" s="90">
        <f t="shared" si="15"/>
        <v>26.009999999999998</v>
      </c>
      <c r="M32" s="90">
        <f t="shared" si="15"/>
        <v>29.009999999999998</v>
      </c>
      <c r="N32" s="90">
        <f t="shared" si="15"/>
        <v>32.01</v>
      </c>
      <c r="O32" s="90">
        <f t="shared" si="15"/>
        <v>35.01</v>
      </c>
      <c r="P32" s="90">
        <f t="shared" si="15"/>
        <v>38.01</v>
      </c>
      <c r="Q32" s="90">
        <f t="shared" si="15"/>
        <v>41.01</v>
      </c>
      <c r="R32" s="90">
        <f t="shared" si="15"/>
        <v>44.01</v>
      </c>
      <c r="S32" s="90">
        <f t="shared" si="15"/>
        <v>47.01</v>
      </c>
      <c r="T32" s="94">
        <f t="shared" si="15"/>
        <v>50.01</v>
      </c>
      <c r="U32" s="90">
        <f t="shared" si="15"/>
        <v>53.01</v>
      </c>
      <c r="V32" s="90">
        <f t="shared" si="14"/>
        <v>56.01</v>
      </c>
      <c r="W32" s="90">
        <f t="shared" si="14"/>
        <v>59.01</v>
      </c>
      <c r="X32" s="90">
        <f t="shared" si="14"/>
        <v>62.01</v>
      </c>
      <c r="Y32" s="90">
        <f t="shared" si="14"/>
        <v>65.009999999999991</v>
      </c>
      <c r="Z32" s="90">
        <f t="shared" si="14"/>
        <v>68.009999999999991</v>
      </c>
      <c r="AA32" s="90">
        <f t="shared" si="14"/>
        <v>71.009999999999991</v>
      </c>
      <c r="AB32" s="90">
        <f t="shared" si="14"/>
        <v>74.009999999999991</v>
      </c>
      <c r="AC32" s="90">
        <f t="shared" si="14"/>
        <v>77.009999999999991</v>
      </c>
      <c r="AD32" s="90">
        <f t="shared" si="14"/>
        <v>80.009999999999991</v>
      </c>
    </row>
    <row r="33" spans="1:30" x14ac:dyDescent="0.35">
      <c r="A33" s="5" t="s">
        <v>96</v>
      </c>
      <c r="B33" t="s">
        <v>16</v>
      </c>
      <c r="C33" s="1" t="s">
        <v>19</v>
      </c>
      <c r="D33" s="1" t="s">
        <v>48</v>
      </c>
      <c r="E33" s="90">
        <v>5.0199999999999996</v>
      </c>
      <c r="F33" s="90">
        <f t="shared" si="15"/>
        <v>8.02</v>
      </c>
      <c r="G33" s="90">
        <f t="shared" si="14"/>
        <v>11.02</v>
      </c>
      <c r="H33" s="90">
        <f t="shared" si="14"/>
        <v>14.02</v>
      </c>
      <c r="I33" s="90">
        <f t="shared" si="14"/>
        <v>17.02</v>
      </c>
      <c r="J33" s="90">
        <f t="shared" si="14"/>
        <v>20.02</v>
      </c>
      <c r="K33" s="90">
        <f t="shared" si="14"/>
        <v>23.02</v>
      </c>
      <c r="L33" s="90">
        <f t="shared" si="14"/>
        <v>26.02</v>
      </c>
      <c r="M33" s="90">
        <f t="shared" si="14"/>
        <v>29.02</v>
      </c>
      <c r="N33" s="90">
        <f t="shared" si="14"/>
        <v>32.019999999999996</v>
      </c>
      <c r="O33" s="90">
        <f t="shared" si="14"/>
        <v>35.019999999999996</v>
      </c>
      <c r="P33" s="90">
        <f t="shared" si="14"/>
        <v>38.019999999999996</v>
      </c>
      <c r="Q33" s="90">
        <f t="shared" si="14"/>
        <v>41.019999999999996</v>
      </c>
      <c r="R33" s="90">
        <f t="shared" si="14"/>
        <v>44.019999999999996</v>
      </c>
      <c r="S33" s="90">
        <f t="shared" si="14"/>
        <v>47.019999999999996</v>
      </c>
      <c r="T33" s="94">
        <f t="shared" si="14"/>
        <v>50.019999999999996</v>
      </c>
      <c r="U33" s="90">
        <f t="shared" si="14"/>
        <v>53.019999999999996</v>
      </c>
      <c r="V33" s="90">
        <f t="shared" si="14"/>
        <v>56.019999999999996</v>
      </c>
      <c r="W33" s="90">
        <f t="shared" si="14"/>
        <v>59.019999999999996</v>
      </c>
      <c r="X33" s="90">
        <f t="shared" si="14"/>
        <v>62.019999999999996</v>
      </c>
      <c r="Y33" s="90">
        <f t="shared" si="14"/>
        <v>65.02</v>
      </c>
      <c r="Z33" s="90">
        <f t="shared" si="14"/>
        <v>68.02</v>
      </c>
      <c r="AA33" s="90">
        <f t="shared" si="14"/>
        <v>71.02</v>
      </c>
      <c r="AB33" s="90">
        <f t="shared" si="14"/>
        <v>74.02</v>
      </c>
      <c r="AC33" s="90">
        <f t="shared" si="14"/>
        <v>77.02</v>
      </c>
      <c r="AD33" s="90">
        <f t="shared" si="14"/>
        <v>80.02</v>
      </c>
    </row>
    <row r="34" spans="1:30" x14ac:dyDescent="0.35">
      <c r="A34" s="5" t="s">
        <v>117</v>
      </c>
      <c r="B34" t="s">
        <v>16</v>
      </c>
      <c r="C34" s="1" t="s">
        <v>19</v>
      </c>
      <c r="D34" s="1" t="s">
        <v>48</v>
      </c>
      <c r="E34" s="90">
        <v>5.03</v>
      </c>
      <c r="F34" s="90">
        <f t="shared" si="15"/>
        <v>8.0300000000000011</v>
      </c>
      <c r="G34" s="90">
        <f t="shared" si="14"/>
        <v>11.030000000000001</v>
      </c>
      <c r="H34" s="90">
        <f t="shared" si="14"/>
        <v>14.030000000000001</v>
      </c>
      <c r="I34" s="90">
        <f t="shared" si="14"/>
        <v>17.03</v>
      </c>
      <c r="J34" s="90">
        <f t="shared" si="14"/>
        <v>20.03</v>
      </c>
      <c r="K34" s="90">
        <f t="shared" si="14"/>
        <v>23.03</v>
      </c>
      <c r="L34" s="90">
        <f t="shared" si="14"/>
        <v>26.03</v>
      </c>
      <c r="M34" s="90">
        <f t="shared" si="14"/>
        <v>29.03</v>
      </c>
      <c r="N34" s="90">
        <f t="shared" si="14"/>
        <v>32.03</v>
      </c>
      <c r="O34" s="90">
        <f t="shared" si="14"/>
        <v>35.03</v>
      </c>
      <c r="P34" s="90">
        <f t="shared" si="14"/>
        <v>38.03</v>
      </c>
      <c r="Q34" s="90">
        <f t="shared" si="14"/>
        <v>41.03</v>
      </c>
      <c r="R34" s="90">
        <f t="shared" si="14"/>
        <v>44.03</v>
      </c>
      <c r="S34" s="90">
        <f t="shared" si="14"/>
        <v>47.03</v>
      </c>
      <c r="T34" s="94">
        <f t="shared" si="14"/>
        <v>50.03</v>
      </c>
      <c r="U34" s="90">
        <f t="shared" si="14"/>
        <v>53.03</v>
      </c>
      <c r="V34" s="90">
        <f t="shared" si="14"/>
        <v>56.03</v>
      </c>
      <c r="W34" s="90">
        <f t="shared" si="14"/>
        <v>59.03</v>
      </c>
      <c r="X34" s="90">
        <f t="shared" si="14"/>
        <v>62.03</v>
      </c>
      <c r="Y34" s="90">
        <f t="shared" si="14"/>
        <v>65.03</v>
      </c>
      <c r="Z34" s="90">
        <f t="shared" si="14"/>
        <v>68.03</v>
      </c>
      <c r="AA34" s="90">
        <f t="shared" si="14"/>
        <v>71.03</v>
      </c>
      <c r="AB34" s="90">
        <f t="shared" si="14"/>
        <v>74.03</v>
      </c>
      <c r="AC34" s="90">
        <f t="shared" si="14"/>
        <v>77.03</v>
      </c>
      <c r="AD34" s="90">
        <f t="shared" si="14"/>
        <v>80.03</v>
      </c>
    </row>
    <row r="35" spans="1:30" x14ac:dyDescent="0.35">
      <c r="A35" s="68" t="s">
        <v>118</v>
      </c>
      <c r="B35" s="69" t="s">
        <v>16</v>
      </c>
      <c r="C35" s="70" t="s">
        <v>19</v>
      </c>
      <c r="D35" s="70" t="s">
        <v>47</v>
      </c>
      <c r="E35" s="58">
        <v>7</v>
      </c>
      <c r="F35" s="58">
        <f t="shared" si="15"/>
        <v>10</v>
      </c>
      <c r="G35" s="58">
        <f t="shared" si="14"/>
        <v>13</v>
      </c>
      <c r="H35" s="58">
        <f t="shared" si="14"/>
        <v>16</v>
      </c>
      <c r="I35" s="58">
        <f t="shared" si="14"/>
        <v>19</v>
      </c>
      <c r="J35" s="58">
        <f t="shared" si="14"/>
        <v>22</v>
      </c>
      <c r="K35" s="58">
        <f t="shared" si="14"/>
        <v>25</v>
      </c>
      <c r="L35" s="58">
        <f t="shared" si="14"/>
        <v>28</v>
      </c>
      <c r="M35" s="58">
        <f t="shared" si="14"/>
        <v>31</v>
      </c>
      <c r="N35" s="58">
        <f t="shared" si="14"/>
        <v>34</v>
      </c>
      <c r="O35" s="58">
        <f t="shared" si="14"/>
        <v>37</v>
      </c>
      <c r="P35" s="58">
        <f t="shared" si="14"/>
        <v>40</v>
      </c>
      <c r="Q35" s="58">
        <f t="shared" si="14"/>
        <v>43</v>
      </c>
      <c r="R35" s="58">
        <f t="shared" si="14"/>
        <v>46</v>
      </c>
      <c r="S35" s="58">
        <f t="shared" si="14"/>
        <v>49</v>
      </c>
      <c r="T35" s="58">
        <f t="shared" si="14"/>
        <v>52</v>
      </c>
      <c r="U35" s="58">
        <f t="shared" si="14"/>
        <v>55</v>
      </c>
      <c r="V35" s="58">
        <f t="shared" si="14"/>
        <v>58</v>
      </c>
      <c r="W35" s="58">
        <f t="shared" si="14"/>
        <v>61</v>
      </c>
      <c r="X35" s="58">
        <f t="shared" si="14"/>
        <v>64</v>
      </c>
      <c r="Y35" s="58">
        <f t="shared" si="14"/>
        <v>67</v>
      </c>
      <c r="Z35" s="58">
        <f t="shared" si="14"/>
        <v>70</v>
      </c>
      <c r="AA35" s="58">
        <f t="shared" si="14"/>
        <v>73</v>
      </c>
      <c r="AB35" s="58">
        <f t="shared" si="14"/>
        <v>76</v>
      </c>
      <c r="AC35" s="58">
        <f t="shared" si="14"/>
        <v>79</v>
      </c>
      <c r="AD35" s="58">
        <f t="shared" si="14"/>
        <v>82</v>
      </c>
    </row>
    <row r="36" spans="1:30" x14ac:dyDescent="0.35">
      <c r="A36" s="5" t="s">
        <v>97</v>
      </c>
      <c r="B36" t="s">
        <v>16</v>
      </c>
      <c r="C36" s="4" t="s">
        <v>19</v>
      </c>
      <c r="D36" s="1" t="s">
        <v>48</v>
      </c>
      <c r="E36" s="90">
        <v>5.05</v>
      </c>
      <c r="F36" s="90">
        <f t="shared" si="15"/>
        <v>8.0500000000000007</v>
      </c>
      <c r="G36" s="90">
        <f t="shared" si="14"/>
        <v>11.05</v>
      </c>
      <c r="H36" s="90">
        <f t="shared" si="14"/>
        <v>14.05</v>
      </c>
      <c r="I36" s="90">
        <f t="shared" si="14"/>
        <v>17.05</v>
      </c>
      <c r="J36" s="90">
        <f t="shared" si="14"/>
        <v>20.05</v>
      </c>
      <c r="K36" s="90">
        <f t="shared" si="14"/>
        <v>23.05</v>
      </c>
      <c r="L36" s="90">
        <f t="shared" si="14"/>
        <v>26.05</v>
      </c>
      <c r="M36" s="90">
        <f t="shared" si="14"/>
        <v>29.05</v>
      </c>
      <c r="N36" s="90">
        <f t="shared" si="14"/>
        <v>32.049999999999997</v>
      </c>
      <c r="O36" s="90">
        <f t="shared" si="14"/>
        <v>35.049999999999997</v>
      </c>
      <c r="P36" s="90">
        <f t="shared" si="14"/>
        <v>38.049999999999997</v>
      </c>
      <c r="Q36" s="90">
        <f t="shared" si="14"/>
        <v>41.05</v>
      </c>
      <c r="R36" s="90">
        <f t="shared" si="14"/>
        <v>44.05</v>
      </c>
      <c r="S36" s="90">
        <f t="shared" si="14"/>
        <v>47.05</v>
      </c>
      <c r="T36" s="94">
        <f t="shared" si="14"/>
        <v>50.05</v>
      </c>
      <c r="U36" s="90">
        <f t="shared" si="14"/>
        <v>53.05</v>
      </c>
      <c r="V36" s="90">
        <f t="shared" si="14"/>
        <v>56.05</v>
      </c>
      <c r="W36" s="90">
        <f t="shared" si="14"/>
        <v>59.05</v>
      </c>
      <c r="X36" s="90">
        <f t="shared" si="14"/>
        <v>62.05</v>
      </c>
      <c r="Y36" s="90">
        <f t="shared" si="14"/>
        <v>65.05</v>
      </c>
      <c r="Z36" s="90">
        <f t="shared" si="14"/>
        <v>68.05</v>
      </c>
      <c r="AA36" s="90">
        <f t="shared" si="14"/>
        <v>71.05</v>
      </c>
      <c r="AB36" s="90">
        <f t="shared" si="14"/>
        <v>74.05</v>
      </c>
      <c r="AC36" s="90">
        <f t="shared" si="14"/>
        <v>77.05</v>
      </c>
      <c r="AD36" s="90">
        <f t="shared" si="14"/>
        <v>80.05</v>
      </c>
    </row>
    <row r="37" spans="1:30" x14ac:dyDescent="0.35">
      <c r="A37" s="6" t="s">
        <v>119</v>
      </c>
      <c r="B37" s="7" t="s">
        <v>16</v>
      </c>
      <c r="C37" s="9" t="s">
        <v>19</v>
      </c>
      <c r="D37" s="1" t="s">
        <v>48</v>
      </c>
      <c r="E37" s="90">
        <v>5.0599999999999996</v>
      </c>
      <c r="F37" s="90">
        <f t="shared" si="15"/>
        <v>8.0599999999999987</v>
      </c>
      <c r="G37" s="90">
        <f t="shared" si="14"/>
        <v>11.059999999999999</v>
      </c>
      <c r="H37" s="90">
        <f t="shared" si="14"/>
        <v>14.059999999999999</v>
      </c>
      <c r="I37" s="90">
        <f t="shared" si="14"/>
        <v>17.059999999999999</v>
      </c>
      <c r="J37" s="90">
        <f t="shared" si="14"/>
        <v>20.059999999999999</v>
      </c>
      <c r="K37" s="90">
        <f t="shared" si="14"/>
        <v>23.06</v>
      </c>
      <c r="L37" s="90">
        <f t="shared" si="14"/>
        <v>26.06</v>
      </c>
      <c r="M37" s="90">
        <f t="shared" si="14"/>
        <v>29.06</v>
      </c>
      <c r="N37" s="90">
        <f t="shared" si="14"/>
        <v>32.06</v>
      </c>
      <c r="O37" s="90">
        <f t="shared" si="14"/>
        <v>35.06</v>
      </c>
      <c r="P37" s="90">
        <f t="shared" si="14"/>
        <v>38.06</v>
      </c>
      <c r="Q37" s="90">
        <f t="shared" si="14"/>
        <v>41.06</v>
      </c>
      <c r="R37" s="90">
        <f t="shared" si="14"/>
        <v>44.06</v>
      </c>
      <c r="S37" s="90">
        <f t="shared" si="14"/>
        <v>47.06</v>
      </c>
      <c r="T37" s="94">
        <f t="shared" si="14"/>
        <v>50.06</v>
      </c>
      <c r="U37" s="90">
        <f t="shared" si="14"/>
        <v>53.06</v>
      </c>
      <c r="V37" s="90">
        <f t="shared" si="14"/>
        <v>56.06</v>
      </c>
      <c r="W37" s="90">
        <f t="shared" si="14"/>
        <v>59.06</v>
      </c>
      <c r="X37" s="90">
        <f t="shared" si="14"/>
        <v>62.06</v>
      </c>
      <c r="Y37" s="90">
        <f t="shared" si="14"/>
        <v>65.06</v>
      </c>
      <c r="Z37" s="90">
        <f t="shared" si="14"/>
        <v>68.06</v>
      </c>
      <c r="AA37" s="90">
        <f t="shared" si="14"/>
        <v>71.06</v>
      </c>
      <c r="AB37" s="90">
        <f t="shared" si="14"/>
        <v>74.06</v>
      </c>
      <c r="AC37" s="90">
        <f t="shared" si="14"/>
        <v>77.06</v>
      </c>
      <c r="AD37" s="90">
        <f t="shared" si="14"/>
        <v>80.06</v>
      </c>
    </row>
    <row r="38" spans="1:30" x14ac:dyDescent="0.35">
      <c r="A38" s="26" t="s">
        <v>93</v>
      </c>
      <c r="B38" s="27" t="s">
        <v>16</v>
      </c>
      <c r="C38" s="3" t="s">
        <v>19</v>
      </c>
      <c r="D38" s="1" t="s">
        <v>48</v>
      </c>
      <c r="E38" s="90">
        <v>6</v>
      </c>
      <c r="F38" s="90">
        <f>SUM(E38,3)</f>
        <v>9</v>
      </c>
      <c r="G38" s="90">
        <f t="shared" ref="G38:AD43" si="16">SUM(F38,3)</f>
        <v>12</v>
      </c>
      <c r="H38" s="90">
        <f t="shared" si="16"/>
        <v>15</v>
      </c>
      <c r="I38" s="90">
        <f t="shared" si="16"/>
        <v>18</v>
      </c>
      <c r="J38" s="90">
        <f t="shared" si="16"/>
        <v>21</v>
      </c>
      <c r="K38" s="90">
        <f t="shared" si="16"/>
        <v>24</v>
      </c>
      <c r="L38" s="90">
        <f t="shared" si="16"/>
        <v>27</v>
      </c>
      <c r="M38" s="90">
        <f t="shared" si="16"/>
        <v>30</v>
      </c>
      <c r="N38" s="90">
        <f t="shared" si="16"/>
        <v>33</v>
      </c>
      <c r="O38" s="90">
        <f t="shared" si="16"/>
        <v>36</v>
      </c>
      <c r="P38" s="90">
        <f t="shared" si="16"/>
        <v>39</v>
      </c>
      <c r="Q38" s="90">
        <f t="shared" si="16"/>
        <v>42</v>
      </c>
      <c r="R38" s="90">
        <f t="shared" si="16"/>
        <v>45</v>
      </c>
      <c r="S38" s="90">
        <f t="shared" si="16"/>
        <v>48</v>
      </c>
      <c r="T38" s="94">
        <f t="shared" si="16"/>
        <v>51</v>
      </c>
      <c r="U38" s="90">
        <f t="shared" si="16"/>
        <v>54</v>
      </c>
      <c r="V38" s="90">
        <f t="shared" si="16"/>
        <v>57</v>
      </c>
      <c r="W38" s="90">
        <f t="shared" si="16"/>
        <v>60</v>
      </c>
      <c r="X38" s="90">
        <f t="shared" si="16"/>
        <v>63</v>
      </c>
      <c r="Y38" s="90">
        <f t="shared" si="16"/>
        <v>66</v>
      </c>
      <c r="Z38" s="90">
        <f t="shared" si="16"/>
        <v>69</v>
      </c>
      <c r="AA38" s="90">
        <f t="shared" si="16"/>
        <v>72</v>
      </c>
      <c r="AB38" s="90">
        <f t="shared" si="16"/>
        <v>75</v>
      </c>
      <c r="AC38" s="90">
        <f t="shared" si="16"/>
        <v>78</v>
      </c>
      <c r="AD38" s="90">
        <f t="shared" si="16"/>
        <v>81</v>
      </c>
    </row>
    <row r="39" spans="1:30" x14ac:dyDescent="0.35">
      <c r="A39" s="5" t="s">
        <v>58</v>
      </c>
      <c r="B39" t="s">
        <v>16</v>
      </c>
      <c r="C39" s="4" t="s">
        <v>19</v>
      </c>
      <c r="D39" s="1" t="s">
        <v>48</v>
      </c>
      <c r="E39" s="90">
        <v>6.01</v>
      </c>
      <c r="F39" s="90">
        <f t="shared" ref="F39:U43" si="17">SUM(E39,3)</f>
        <v>9.01</v>
      </c>
      <c r="G39" s="90">
        <f t="shared" si="17"/>
        <v>12.01</v>
      </c>
      <c r="H39" s="90">
        <f t="shared" si="17"/>
        <v>15.01</v>
      </c>
      <c r="I39" s="90">
        <f t="shared" si="17"/>
        <v>18.009999999999998</v>
      </c>
      <c r="J39" s="90">
        <f t="shared" si="17"/>
        <v>21.009999999999998</v>
      </c>
      <c r="K39" s="90">
        <f t="shared" si="17"/>
        <v>24.009999999999998</v>
      </c>
      <c r="L39" s="90">
        <f t="shared" si="17"/>
        <v>27.009999999999998</v>
      </c>
      <c r="M39" s="90">
        <f t="shared" si="17"/>
        <v>30.009999999999998</v>
      </c>
      <c r="N39" s="90">
        <f t="shared" si="17"/>
        <v>33.01</v>
      </c>
      <c r="O39" s="90">
        <f t="shared" si="17"/>
        <v>36.01</v>
      </c>
      <c r="P39" s="90">
        <f t="shared" si="17"/>
        <v>39.01</v>
      </c>
      <c r="Q39" s="90">
        <f t="shared" si="17"/>
        <v>42.01</v>
      </c>
      <c r="R39" s="90">
        <f t="shared" si="17"/>
        <v>45.01</v>
      </c>
      <c r="S39" s="90">
        <f t="shared" si="17"/>
        <v>48.01</v>
      </c>
      <c r="T39" s="94">
        <f t="shared" si="17"/>
        <v>51.01</v>
      </c>
      <c r="U39" s="90">
        <f t="shared" si="17"/>
        <v>54.01</v>
      </c>
      <c r="V39" s="90">
        <f t="shared" si="16"/>
        <v>57.01</v>
      </c>
      <c r="W39" s="90">
        <f t="shared" si="16"/>
        <v>60.01</v>
      </c>
      <c r="X39" s="90">
        <f t="shared" si="16"/>
        <v>63.01</v>
      </c>
      <c r="Y39" s="90">
        <f t="shared" si="16"/>
        <v>66.009999999999991</v>
      </c>
      <c r="Z39" s="90">
        <f t="shared" si="16"/>
        <v>69.009999999999991</v>
      </c>
      <c r="AA39" s="90">
        <f t="shared" si="16"/>
        <v>72.009999999999991</v>
      </c>
      <c r="AB39" s="90">
        <f t="shared" si="16"/>
        <v>75.009999999999991</v>
      </c>
      <c r="AC39" s="90">
        <f t="shared" si="16"/>
        <v>78.009999999999991</v>
      </c>
      <c r="AD39" s="90">
        <f t="shared" si="16"/>
        <v>81.009999999999991</v>
      </c>
    </row>
    <row r="40" spans="1:30" x14ac:dyDescent="0.35">
      <c r="A40" s="5" t="s">
        <v>59</v>
      </c>
      <c r="B40" t="s">
        <v>16</v>
      </c>
      <c r="C40" s="4" t="s">
        <v>19</v>
      </c>
      <c r="D40" s="1" t="s">
        <v>48</v>
      </c>
      <c r="E40" s="90">
        <v>6.02</v>
      </c>
      <c r="F40" s="90">
        <f t="shared" si="17"/>
        <v>9.02</v>
      </c>
      <c r="G40" s="90">
        <f t="shared" si="16"/>
        <v>12.02</v>
      </c>
      <c r="H40" s="90">
        <f t="shared" si="16"/>
        <v>15.02</v>
      </c>
      <c r="I40" s="90">
        <f t="shared" si="16"/>
        <v>18.02</v>
      </c>
      <c r="J40" s="90">
        <f t="shared" si="16"/>
        <v>21.02</v>
      </c>
      <c r="K40" s="90">
        <f t="shared" si="16"/>
        <v>24.02</v>
      </c>
      <c r="L40" s="90">
        <f t="shared" si="16"/>
        <v>27.02</v>
      </c>
      <c r="M40" s="90">
        <f t="shared" si="16"/>
        <v>30.02</v>
      </c>
      <c r="N40" s="90">
        <f t="shared" si="16"/>
        <v>33.019999999999996</v>
      </c>
      <c r="O40" s="90">
        <f t="shared" si="16"/>
        <v>36.019999999999996</v>
      </c>
      <c r="P40" s="90">
        <f t="shared" si="16"/>
        <v>39.019999999999996</v>
      </c>
      <c r="Q40" s="90">
        <f t="shared" si="16"/>
        <v>42.019999999999996</v>
      </c>
      <c r="R40" s="90">
        <f t="shared" si="16"/>
        <v>45.019999999999996</v>
      </c>
      <c r="S40" s="90">
        <f t="shared" si="16"/>
        <v>48.019999999999996</v>
      </c>
      <c r="T40" s="94">
        <f t="shared" si="16"/>
        <v>51.019999999999996</v>
      </c>
      <c r="U40" s="90">
        <f t="shared" si="16"/>
        <v>54.019999999999996</v>
      </c>
      <c r="V40" s="90">
        <f t="shared" si="16"/>
        <v>57.019999999999996</v>
      </c>
      <c r="W40" s="90">
        <f t="shared" si="16"/>
        <v>60.019999999999996</v>
      </c>
      <c r="X40" s="90">
        <f t="shared" si="16"/>
        <v>63.019999999999996</v>
      </c>
      <c r="Y40" s="90">
        <f t="shared" si="16"/>
        <v>66.02</v>
      </c>
      <c r="Z40" s="90">
        <f t="shared" si="16"/>
        <v>69.02</v>
      </c>
      <c r="AA40" s="90">
        <f t="shared" si="16"/>
        <v>72.02</v>
      </c>
      <c r="AB40" s="90">
        <f t="shared" si="16"/>
        <v>75.02</v>
      </c>
      <c r="AC40" s="90">
        <f t="shared" si="16"/>
        <v>78.02</v>
      </c>
      <c r="AD40" s="90">
        <f t="shared" si="16"/>
        <v>81.02</v>
      </c>
    </row>
    <row r="41" spans="1:30" x14ac:dyDescent="0.35">
      <c r="A41" s="5" t="s">
        <v>60</v>
      </c>
      <c r="B41" t="s">
        <v>95</v>
      </c>
      <c r="C41" s="4" t="s">
        <v>19</v>
      </c>
      <c r="D41" s="1" t="s">
        <v>48</v>
      </c>
      <c r="E41" s="90">
        <v>6.03</v>
      </c>
      <c r="F41" s="90">
        <f t="shared" si="17"/>
        <v>9.0300000000000011</v>
      </c>
      <c r="G41" s="90">
        <f t="shared" si="16"/>
        <v>12.030000000000001</v>
      </c>
      <c r="H41" s="90">
        <f t="shared" si="16"/>
        <v>15.030000000000001</v>
      </c>
      <c r="I41" s="90">
        <f t="shared" si="16"/>
        <v>18.03</v>
      </c>
      <c r="J41" s="90">
        <f t="shared" si="16"/>
        <v>21.03</v>
      </c>
      <c r="K41" s="90">
        <f t="shared" si="16"/>
        <v>24.03</v>
      </c>
      <c r="L41" s="90">
        <f t="shared" si="16"/>
        <v>27.03</v>
      </c>
      <c r="M41" s="90">
        <f t="shared" si="16"/>
        <v>30.03</v>
      </c>
      <c r="N41" s="90">
        <f t="shared" si="16"/>
        <v>33.03</v>
      </c>
      <c r="O41" s="90">
        <f t="shared" si="16"/>
        <v>36.03</v>
      </c>
      <c r="P41" s="90">
        <f t="shared" si="16"/>
        <v>39.03</v>
      </c>
      <c r="Q41" s="90">
        <f t="shared" si="16"/>
        <v>42.03</v>
      </c>
      <c r="R41" s="90">
        <f t="shared" si="16"/>
        <v>45.03</v>
      </c>
      <c r="S41" s="90">
        <f t="shared" si="16"/>
        <v>48.03</v>
      </c>
      <c r="T41" s="94">
        <f t="shared" si="16"/>
        <v>51.03</v>
      </c>
      <c r="U41" s="90">
        <f t="shared" si="16"/>
        <v>54.03</v>
      </c>
      <c r="V41" s="90">
        <f t="shared" si="16"/>
        <v>57.03</v>
      </c>
      <c r="W41" s="90">
        <f t="shared" si="16"/>
        <v>60.03</v>
      </c>
      <c r="X41" s="90">
        <f t="shared" si="16"/>
        <v>63.03</v>
      </c>
      <c r="Y41" s="90">
        <f t="shared" si="16"/>
        <v>66.03</v>
      </c>
      <c r="Z41" s="90">
        <f t="shared" si="16"/>
        <v>69.03</v>
      </c>
      <c r="AA41" s="90">
        <f t="shared" si="16"/>
        <v>72.03</v>
      </c>
      <c r="AB41" s="90">
        <f t="shared" si="16"/>
        <v>75.03</v>
      </c>
      <c r="AC41" s="90">
        <f t="shared" si="16"/>
        <v>78.03</v>
      </c>
      <c r="AD41" s="90">
        <f t="shared" si="16"/>
        <v>81.03</v>
      </c>
    </row>
    <row r="42" spans="1:30" x14ac:dyDescent="0.35">
      <c r="A42" s="5" t="s">
        <v>61</v>
      </c>
      <c r="B42" t="s">
        <v>16</v>
      </c>
      <c r="C42" s="4" t="s">
        <v>19</v>
      </c>
      <c r="D42" s="1" t="s">
        <v>48</v>
      </c>
      <c r="E42" s="90">
        <v>6.04</v>
      </c>
      <c r="F42" s="90">
        <f t="shared" si="17"/>
        <v>9.0399999999999991</v>
      </c>
      <c r="G42" s="90">
        <f t="shared" si="16"/>
        <v>12.04</v>
      </c>
      <c r="H42" s="90">
        <f t="shared" si="16"/>
        <v>15.04</v>
      </c>
      <c r="I42" s="90">
        <f t="shared" si="16"/>
        <v>18.04</v>
      </c>
      <c r="J42" s="90">
        <f t="shared" si="16"/>
        <v>21.04</v>
      </c>
      <c r="K42" s="90">
        <f t="shared" si="16"/>
        <v>24.04</v>
      </c>
      <c r="L42" s="90">
        <f t="shared" si="16"/>
        <v>27.04</v>
      </c>
      <c r="M42" s="90">
        <f t="shared" si="16"/>
        <v>30.04</v>
      </c>
      <c r="N42" s="90">
        <f t="shared" si="16"/>
        <v>33.04</v>
      </c>
      <c r="O42" s="90">
        <f t="shared" si="16"/>
        <v>36.04</v>
      </c>
      <c r="P42" s="90">
        <f t="shared" si="16"/>
        <v>39.04</v>
      </c>
      <c r="Q42" s="90">
        <f t="shared" si="16"/>
        <v>42.04</v>
      </c>
      <c r="R42" s="90">
        <f t="shared" si="16"/>
        <v>45.04</v>
      </c>
      <c r="S42" s="90">
        <f t="shared" si="16"/>
        <v>48.04</v>
      </c>
      <c r="T42" s="94">
        <f t="shared" si="16"/>
        <v>51.04</v>
      </c>
      <c r="U42" s="90">
        <f t="shared" si="16"/>
        <v>54.04</v>
      </c>
      <c r="V42" s="90">
        <f t="shared" si="16"/>
        <v>57.04</v>
      </c>
      <c r="W42" s="90">
        <f t="shared" si="16"/>
        <v>60.04</v>
      </c>
      <c r="X42" s="90">
        <f t="shared" si="16"/>
        <v>63.04</v>
      </c>
      <c r="Y42" s="90">
        <f t="shared" si="16"/>
        <v>66.039999999999992</v>
      </c>
      <c r="Z42" s="90">
        <f t="shared" si="16"/>
        <v>69.039999999999992</v>
      </c>
      <c r="AA42" s="90">
        <f t="shared" si="16"/>
        <v>72.039999999999992</v>
      </c>
      <c r="AB42" s="90">
        <f t="shared" si="16"/>
        <v>75.039999999999992</v>
      </c>
      <c r="AC42" s="90">
        <f t="shared" si="16"/>
        <v>78.039999999999992</v>
      </c>
      <c r="AD42" s="90">
        <f t="shared" si="16"/>
        <v>81.039999999999992</v>
      </c>
    </row>
    <row r="43" spans="1:30" x14ac:dyDescent="0.35">
      <c r="A43" s="6" t="s">
        <v>92</v>
      </c>
      <c r="B43" s="7" t="s">
        <v>16</v>
      </c>
      <c r="C43" s="9" t="s">
        <v>19</v>
      </c>
      <c r="D43" s="1" t="s">
        <v>48</v>
      </c>
      <c r="E43" s="90">
        <v>6.05</v>
      </c>
      <c r="F43" s="90">
        <f t="shared" si="17"/>
        <v>9.0500000000000007</v>
      </c>
      <c r="G43" s="90">
        <f t="shared" si="16"/>
        <v>12.05</v>
      </c>
      <c r="H43" s="90">
        <f t="shared" si="16"/>
        <v>15.05</v>
      </c>
      <c r="I43" s="90">
        <f t="shared" si="16"/>
        <v>18.05</v>
      </c>
      <c r="J43" s="90">
        <f t="shared" si="16"/>
        <v>21.05</v>
      </c>
      <c r="K43" s="90">
        <f t="shared" si="16"/>
        <v>24.05</v>
      </c>
      <c r="L43" s="90">
        <f t="shared" si="16"/>
        <v>27.05</v>
      </c>
      <c r="M43" s="90">
        <f t="shared" si="16"/>
        <v>30.05</v>
      </c>
      <c r="N43" s="90">
        <f t="shared" si="16"/>
        <v>33.049999999999997</v>
      </c>
      <c r="O43" s="90">
        <f t="shared" si="16"/>
        <v>36.049999999999997</v>
      </c>
      <c r="P43" s="90">
        <f t="shared" si="16"/>
        <v>39.049999999999997</v>
      </c>
      <c r="Q43" s="90">
        <f t="shared" si="16"/>
        <v>42.05</v>
      </c>
      <c r="R43" s="90">
        <f t="shared" si="16"/>
        <v>45.05</v>
      </c>
      <c r="S43" s="90">
        <f t="shared" si="16"/>
        <v>48.05</v>
      </c>
      <c r="T43" s="94">
        <f t="shared" si="16"/>
        <v>51.05</v>
      </c>
      <c r="U43" s="90">
        <f t="shared" si="16"/>
        <v>54.05</v>
      </c>
      <c r="V43" s="90">
        <f t="shared" si="16"/>
        <v>57.05</v>
      </c>
      <c r="W43" s="90">
        <f t="shared" si="16"/>
        <v>60.05</v>
      </c>
      <c r="X43" s="90">
        <f t="shared" si="16"/>
        <v>63.05</v>
      </c>
      <c r="Y43" s="90">
        <f t="shared" si="16"/>
        <v>66.05</v>
      </c>
      <c r="Z43" s="90">
        <f t="shared" si="16"/>
        <v>69.05</v>
      </c>
      <c r="AA43" s="90">
        <f t="shared" si="16"/>
        <v>72.05</v>
      </c>
      <c r="AB43" s="90">
        <f t="shared" si="16"/>
        <v>75.05</v>
      </c>
      <c r="AC43" s="90">
        <f t="shared" si="16"/>
        <v>78.05</v>
      </c>
      <c r="AD43" s="90">
        <f t="shared" si="16"/>
        <v>81.05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BD40-9D77-4237-9F54-D8C44070C0CD}">
  <sheetPr codeName="Sheet2"/>
  <dimension ref="A2:L117"/>
  <sheetViews>
    <sheetView tabSelected="1" topLeftCell="A19" workbookViewId="0">
      <selection activeCell="G26" sqref="G26"/>
    </sheetView>
  </sheetViews>
  <sheetFormatPr defaultColWidth="12.6328125" defaultRowHeight="14.5" x14ac:dyDescent="0.35"/>
  <cols>
    <col min="1" max="1" width="20.6328125" style="29" bestFit="1" customWidth="1"/>
    <col min="2" max="7" width="12.6328125" style="29"/>
    <col min="8" max="8" width="18.81640625" style="29" bestFit="1" customWidth="1"/>
    <col min="9" max="9" width="12.6328125" style="29"/>
    <col min="10" max="11" width="12.6328125" style="28"/>
    <col min="12" max="16384" width="12.6328125" style="29"/>
  </cols>
  <sheetData>
    <row r="2" spans="1:12" ht="15" thickBot="1" x14ac:dyDescent="0.4"/>
    <row r="3" spans="1:12" ht="15" thickBot="1" x14ac:dyDescent="0.4">
      <c r="E3" s="30" t="s">
        <v>121</v>
      </c>
      <c r="F3" s="28"/>
      <c r="G3" s="28"/>
      <c r="K3" s="28" t="s">
        <v>50</v>
      </c>
      <c r="L3" s="31" t="s">
        <v>121</v>
      </c>
    </row>
    <row r="4" spans="1:12" ht="15" thickBot="1" x14ac:dyDescent="0.4">
      <c r="A4" s="32" t="s">
        <v>0</v>
      </c>
      <c r="B4" s="33" t="s">
        <v>12</v>
      </c>
      <c r="C4" s="34" t="s">
        <v>17</v>
      </c>
      <c r="D4" s="33" t="s">
        <v>46</v>
      </c>
      <c r="E4" s="31" t="s">
        <v>120</v>
      </c>
      <c r="F4" s="28"/>
      <c r="G4" s="28"/>
      <c r="H4" s="32" t="s">
        <v>0</v>
      </c>
      <c r="I4" s="33" t="s">
        <v>12</v>
      </c>
      <c r="J4" s="34" t="s">
        <v>17</v>
      </c>
      <c r="K4" s="33" t="s">
        <v>120</v>
      </c>
      <c r="L4" s="35" t="s">
        <v>120</v>
      </c>
    </row>
    <row r="5" spans="1:12" x14ac:dyDescent="0.35">
      <c r="A5" s="59" t="s">
        <v>1</v>
      </c>
      <c r="B5" s="60" t="s">
        <v>13</v>
      </c>
      <c r="C5" s="61" t="s">
        <v>18</v>
      </c>
      <c r="D5" s="42" t="s">
        <v>50</v>
      </c>
      <c r="E5" s="44">
        <v>0</v>
      </c>
      <c r="F5" s="28"/>
      <c r="G5" s="28"/>
      <c r="H5" s="36" t="s">
        <v>85</v>
      </c>
      <c r="I5" s="37" t="s">
        <v>13</v>
      </c>
      <c r="J5" s="38" t="s">
        <v>18</v>
      </c>
      <c r="K5" s="57">
        <v>0</v>
      </c>
      <c r="L5" s="56">
        <v>1000</v>
      </c>
    </row>
    <row r="6" spans="1:12" x14ac:dyDescent="0.35">
      <c r="A6" s="41" t="s">
        <v>2</v>
      </c>
      <c r="B6" s="42" t="s">
        <v>13</v>
      </c>
      <c r="C6" s="43" t="s">
        <v>18</v>
      </c>
      <c r="D6" s="42" t="s">
        <v>50</v>
      </c>
      <c r="E6" s="44">
        <v>10</v>
      </c>
      <c r="F6" s="28"/>
      <c r="G6" s="28"/>
      <c r="H6" s="29" t="s">
        <v>177</v>
      </c>
      <c r="I6" s="29" t="s">
        <v>13</v>
      </c>
      <c r="J6" s="28" t="s">
        <v>18</v>
      </c>
      <c r="K6" s="28">
        <v>10</v>
      </c>
    </row>
    <row r="7" spans="1:12" x14ac:dyDescent="0.35">
      <c r="A7" s="41" t="s">
        <v>11</v>
      </c>
      <c r="B7" s="42" t="s">
        <v>13</v>
      </c>
      <c r="C7" s="43" t="s">
        <v>18</v>
      </c>
      <c r="D7" s="42" t="s">
        <v>50</v>
      </c>
      <c r="E7" s="44">
        <v>20</v>
      </c>
      <c r="F7" s="28"/>
      <c r="G7" s="28"/>
      <c r="H7" s="29" t="s">
        <v>178</v>
      </c>
      <c r="I7" s="29" t="s">
        <v>13</v>
      </c>
      <c r="J7" s="28" t="s">
        <v>18</v>
      </c>
      <c r="K7" s="28">
        <v>15</v>
      </c>
    </row>
    <row r="8" spans="1:12" x14ac:dyDescent="0.35">
      <c r="A8" s="83" t="s">
        <v>83</v>
      </c>
      <c r="B8" s="84" t="s">
        <v>14</v>
      </c>
      <c r="C8" s="85" t="s">
        <v>18</v>
      </c>
      <c r="D8" s="84" t="s">
        <v>50</v>
      </c>
      <c r="E8" s="86">
        <v>30</v>
      </c>
      <c r="F8" s="28"/>
      <c r="G8" s="28"/>
      <c r="H8" s="29" t="s">
        <v>179</v>
      </c>
      <c r="I8" s="29" t="s">
        <v>13</v>
      </c>
      <c r="J8" s="28" t="s">
        <v>18</v>
      </c>
      <c r="K8" s="28">
        <v>20</v>
      </c>
    </row>
    <row r="9" spans="1:12" x14ac:dyDescent="0.35">
      <c r="A9" s="39" t="s">
        <v>3</v>
      </c>
      <c r="B9" s="29" t="s">
        <v>13</v>
      </c>
      <c r="C9" s="40" t="s">
        <v>18</v>
      </c>
      <c r="E9" s="28">
        <v>40</v>
      </c>
      <c r="F9" s="28"/>
      <c r="G9" s="28"/>
      <c r="H9" s="29" t="s">
        <v>176</v>
      </c>
      <c r="I9" s="29" t="s">
        <v>14</v>
      </c>
      <c r="J9" s="28" t="s">
        <v>18</v>
      </c>
      <c r="K9" s="28">
        <v>25</v>
      </c>
    </row>
    <row r="10" spans="1:12" x14ac:dyDescent="0.35">
      <c r="A10" s="39" t="s">
        <v>110</v>
      </c>
      <c r="B10" s="29" t="s">
        <v>13</v>
      </c>
      <c r="C10" s="40" t="s">
        <v>18</v>
      </c>
      <c r="E10" s="28">
        <v>42</v>
      </c>
      <c r="F10" s="28"/>
      <c r="G10" s="28"/>
      <c r="H10" s="29" t="s">
        <v>6</v>
      </c>
      <c r="I10" s="29" t="s">
        <v>15</v>
      </c>
      <c r="J10" s="28" t="s">
        <v>18</v>
      </c>
      <c r="K10" s="28">
        <v>100</v>
      </c>
    </row>
    <row r="11" spans="1:12" x14ac:dyDescent="0.35">
      <c r="A11" s="39" t="s">
        <v>109</v>
      </c>
      <c r="B11" s="29" t="s">
        <v>14</v>
      </c>
      <c r="C11" s="40" t="s">
        <v>18</v>
      </c>
      <c r="E11" s="28">
        <v>44</v>
      </c>
      <c r="F11" s="28"/>
      <c r="G11" s="28"/>
      <c r="H11" s="29" t="s">
        <v>7</v>
      </c>
      <c r="I11" s="29" t="s">
        <v>15</v>
      </c>
      <c r="J11" s="28" t="s">
        <v>18</v>
      </c>
      <c r="K11" s="28">
        <v>200</v>
      </c>
    </row>
    <row r="12" spans="1:12" ht="15" thickBot="1" x14ac:dyDescent="0.4">
      <c r="A12" s="39" t="s">
        <v>111</v>
      </c>
      <c r="B12" s="29" t="s">
        <v>13</v>
      </c>
      <c r="C12" s="40" t="s">
        <v>18</v>
      </c>
      <c r="E12" s="28">
        <v>48</v>
      </c>
      <c r="F12" s="28"/>
      <c r="G12" s="28"/>
      <c r="H12" s="75" t="s">
        <v>106</v>
      </c>
      <c r="I12" s="76" t="s">
        <v>16</v>
      </c>
      <c r="J12" s="77" t="s">
        <v>19</v>
      </c>
      <c r="K12" s="78">
        <v>0</v>
      </c>
      <c r="L12" s="55">
        <v>5</v>
      </c>
    </row>
    <row r="13" spans="1:12" x14ac:dyDescent="0.35">
      <c r="A13" s="39" t="s">
        <v>174</v>
      </c>
      <c r="B13" s="29" t="s">
        <v>13</v>
      </c>
      <c r="C13" s="40" t="s">
        <v>18</v>
      </c>
      <c r="E13" s="28">
        <v>50</v>
      </c>
      <c r="F13" s="28"/>
      <c r="G13" s="28"/>
      <c r="H13" s="84" t="s">
        <v>126</v>
      </c>
      <c r="I13" s="84" t="s">
        <v>16</v>
      </c>
      <c r="J13" s="86" t="s">
        <v>19</v>
      </c>
      <c r="K13" s="89">
        <v>1</v>
      </c>
      <c r="L13" s="28"/>
    </row>
    <row r="14" spans="1:12" x14ac:dyDescent="0.35">
      <c r="A14" s="39"/>
      <c r="C14" s="40"/>
      <c r="E14" s="28"/>
      <c r="F14" s="28"/>
      <c r="G14" s="28"/>
      <c r="H14" s="29" t="s">
        <v>165</v>
      </c>
      <c r="I14" s="29" t="s">
        <v>16</v>
      </c>
      <c r="J14" s="28" t="s">
        <v>19</v>
      </c>
      <c r="K14" s="53">
        <v>3</v>
      </c>
      <c r="L14" s="28"/>
    </row>
    <row r="15" spans="1:12" x14ac:dyDescent="0.35">
      <c r="A15" s="45" t="s">
        <v>105</v>
      </c>
      <c r="B15" s="46" t="s">
        <v>14</v>
      </c>
      <c r="C15" s="47" t="s">
        <v>18</v>
      </c>
      <c r="E15" s="28">
        <v>70</v>
      </c>
      <c r="F15" s="28"/>
      <c r="G15" s="28"/>
      <c r="H15" s="29" t="s">
        <v>156</v>
      </c>
      <c r="J15" s="28" t="s">
        <v>157</v>
      </c>
      <c r="K15" s="28">
        <v>0</v>
      </c>
      <c r="L15" s="28"/>
    </row>
    <row r="16" spans="1:12" x14ac:dyDescent="0.35">
      <c r="A16" s="48" t="s">
        <v>104</v>
      </c>
      <c r="B16" s="29" t="s">
        <v>14</v>
      </c>
      <c r="C16" s="49" t="s">
        <v>18</v>
      </c>
      <c r="E16" s="28">
        <v>80</v>
      </c>
      <c r="F16" s="28"/>
      <c r="G16" s="28"/>
      <c r="H16" s="29" t="s">
        <v>158</v>
      </c>
      <c r="J16" s="28" t="s">
        <v>157</v>
      </c>
      <c r="K16" s="28">
        <v>1</v>
      </c>
      <c r="L16" s="28"/>
    </row>
    <row r="17" spans="1:12" x14ac:dyDescent="0.35">
      <c r="A17" s="48" t="s">
        <v>103</v>
      </c>
      <c r="B17" s="29" t="s">
        <v>14</v>
      </c>
      <c r="C17" s="49" t="s">
        <v>18</v>
      </c>
      <c r="E17" s="28">
        <v>90</v>
      </c>
      <c r="F17" s="28"/>
      <c r="G17" s="28"/>
      <c r="H17" s="29" t="s">
        <v>166</v>
      </c>
      <c r="J17" s="28" t="s">
        <v>157</v>
      </c>
      <c r="K17" s="28">
        <v>2</v>
      </c>
      <c r="L17" s="28"/>
    </row>
    <row r="18" spans="1:12" x14ac:dyDescent="0.35">
      <c r="A18" s="48"/>
      <c r="C18" s="49"/>
      <c r="E18" s="28"/>
      <c r="F18" s="28"/>
      <c r="G18" s="28"/>
      <c r="H18" s="29" t="s">
        <v>122</v>
      </c>
      <c r="I18" s="29" t="s">
        <v>13</v>
      </c>
      <c r="J18" s="28" t="s">
        <v>123</v>
      </c>
      <c r="K18" s="54">
        <v>0</v>
      </c>
      <c r="L18" s="28"/>
    </row>
    <row r="19" spans="1:12" x14ac:dyDescent="0.35">
      <c r="F19" s="28"/>
      <c r="G19" s="28"/>
      <c r="H19" s="29" t="s">
        <v>128</v>
      </c>
      <c r="I19" s="29" t="s">
        <v>13</v>
      </c>
      <c r="J19" s="28" t="s">
        <v>123</v>
      </c>
      <c r="K19" s="28">
        <v>220</v>
      </c>
      <c r="L19" s="28"/>
    </row>
    <row r="20" spans="1:12" x14ac:dyDescent="0.35">
      <c r="A20" s="83" t="s">
        <v>102</v>
      </c>
      <c r="B20" s="84" t="s">
        <v>13</v>
      </c>
      <c r="C20" s="85" t="s">
        <v>18</v>
      </c>
      <c r="D20" s="84"/>
      <c r="E20" s="86">
        <v>110</v>
      </c>
      <c r="F20" s="28"/>
      <c r="G20" s="28"/>
      <c r="H20" s="29" t="s">
        <v>129</v>
      </c>
      <c r="I20" s="29" t="s">
        <v>13</v>
      </c>
      <c r="J20" s="28" t="s">
        <v>123</v>
      </c>
      <c r="K20" s="28">
        <v>221</v>
      </c>
      <c r="L20" s="28"/>
    </row>
    <row r="21" spans="1:12" x14ac:dyDescent="0.35">
      <c r="A21" s="39" t="s">
        <v>171</v>
      </c>
      <c r="B21" s="29" t="s">
        <v>13</v>
      </c>
      <c r="C21" s="40" t="s">
        <v>18</v>
      </c>
      <c r="E21" s="28">
        <v>115</v>
      </c>
      <c r="F21" s="28"/>
      <c r="G21" s="28"/>
      <c r="H21" s="29" t="s">
        <v>130</v>
      </c>
      <c r="I21" s="29" t="s">
        <v>13</v>
      </c>
      <c r="J21" s="28" t="s">
        <v>123</v>
      </c>
      <c r="K21" s="28">
        <v>222</v>
      </c>
      <c r="L21" s="28"/>
    </row>
    <row r="22" spans="1:12" x14ac:dyDescent="0.35">
      <c r="A22" s="83" t="s">
        <v>101</v>
      </c>
      <c r="B22" s="84" t="s">
        <v>13</v>
      </c>
      <c r="C22" s="85" t="s">
        <v>18</v>
      </c>
      <c r="D22" s="84"/>
      <c r="E22" s="86">
        <v>120</v>
      </c>
      <c r="F22" s="28"/>
      <c r="G22" s="28"/>
      <c r="H22" s="29" t="s">
        <v>131</v>
      </c>
      <c r="I22" s="29" t="s">
        <v>13</v>
      </c>
      <c r="J22" s="28" t="s">
        <v>123</v>
      </c>
      <c r="K22" s="28">
        <v>223</v>
      </c>
      <c r="L22" s="28"/>
    </row>
    <row r="23" spans="1:12" x14ac:dyDescent="0.35">
      <c r="A23" s="39" t="s">
        <v>112</v>
      </c>
      <c r="B23" s="29" t="s">
        <v>13</v>
      </c>
      <c r="C23" s="40" t="s">
        <v>18</v>
      </c>
      <c r="E23" s="28">
        <v>125</v>
      </c>
      <c r="F23" s="28"/>
      <c r="G23" s="28"/>
      <c r="H23" s="29" t="s">
        <v>132</v>
      </c>
      <c r="I23" s="29" t="s">
        <v>13</v>
      </c>
      <c r="J23" s="28" t="s">
        <v>123</v>
      </c>
      <c r="K23" s="28">
        <v>224</v>
      </c>
      <c r="L23" s="28"/>
    </row>
    <row r="24" spans="1:12" x14ac:dyDescent="0.35">
      <c r="A24" s="39" t="s">
        <v>100</v>
      </c>
      <c r="B24" s="29" t="s">
        <v>13</v>
      </c>
      <c r="C24" s="40" t="s">
        <v>18</v>
      </c>
      <c r="E24" s="28">
        <v>130</v>
      </c>
      <c r="F24" s="28"/>
      <c r="G24" s="28"/>
      <c r="H24" s="29" t="s">
        <v>133</v>
      </c>
      <c r="I24" s="29" t="s">
        <v>13</v>
      </c>
      <c r="J24" s="28" t="s">
        <v>123</v>
      </c>
      <c r="K24" s="28">
        <v>225</v>
      </c>
      <c r="L24" s="28"/>
    </row>
    <row r="25" spans="1:12" x14ac:dyDescent="0.35">
      <c r="A25" s="39" t="s">
        <v>175</v>
      </c>
      <c r="B25" s="29" t="s">
        <v>13</v>
      </c>
      <c r="C25" s="40" t="s">
        <v>18</v>
      </c>
      <c r="E25" s="28">
        <v>140</v>
      </c>
      <c r="F25" s="28"/>
      <c r="G25" s="28"/>
      <c r="H25" s="29" t="s">
        <v>134</v>
      </c>
      <c r="I25" s="29" t="s">
        <v>13</v>
      </c>
      <c r="J25" s="28" t="s">
        <v>123</v>
      </c>
      <c r="K25" s="28">
        <v>226</v>
      </c>
      <c r="L25" s="28"/>
    </row>
    <row r="26" spans="1:12" x14ac:dyDescent="0.35">
      <c r="A26" s="39"/>
      <c r="C26" s="28"/>
      <c r="E26" s="28"/>
      <c r="F26" s="28"/>
      <c r="G26" s="28"/>
      <c r="H26" s="29" t="s">
        <v>135</v>
      </c>
      <c r="I26" s="29" t="s">
        <v>13</v>
      </c>
      <c r="J26" s="28" t="s">
        <v>123</v>
      </c>
      <c r="K26" s="28">
        <v>227</v>
      </c>
      <c r="L26" s="28"/>
    </row>
    <row r="27" spans="1:12" x14ac:dyDescent="0.35">
      <c r="A27" s="39"/>
      <c r="C27" s="28"/>
      <c r="E27" s="28"/>
      <c r="F27" s="28"/>
      <c r="G27" s="28"/>
      <c r="H27" s="29" t="s">
        <v>136</v>
      </c>
      <c r="I27" s="29" t="s">
        <v>13</v>
      </c>
      <c r="J27" s="28" t="s">
        <v>123</v>
      </c>
      <c r="K27" s="28">
        <v>228</v>
      </c>
      <c r="L27" s="28"/>
    </row>
    <row r="28" spans="1:12" x14ac:dyDescent="0.35">
      <c r="A28" s="39"/>
      <c r="C28" s="28"/>
      <c r="E28" s="28"/>
      <c r="F28" s="28"/>
      <c r="G28" s="28"/>
      <c r="H28" s="29" t="s">
        <v>137</v>
      </c>
      <c r="I28" s="29" t="s">
        <v>13</v>
      </c>
      <c r="J28" s="28" t="s">
        <v>123</v>
      </c>
      <c r="K28" s="28">
        <v>229</v>
      </c>
      <c r="L28" s="28"/>
    </row>
    <row r="29" spans="1:12" x14ac:dyDescent="0.35">
      <c r="A29" s="39"/>
      <c r="C29" s="28"/>
      <c r="E29" s="28"/>
      <c r="F29" s="28"/>
      <c r="G29" s="28"/>
      <c r="H29" s="29" t="s">
        <v>138</v>
      </c>
      <c r="I29" s="29" t="s">
        <v>13</v>
      </c>
      <c r="J29" s="28" t="s">
        <v>123</v>
      </c>
      <c r="K29" s="28">
        <v>230</v>
      </c>
      <c r="L29" s="28"/>
    </row>
    <row r="30" spans="1:12" x14ac:dyDescent="0.35">
      <c r="A30" s="39" t="s">
        <v>107</v>
      </c>
      <c r="B30" s="29" t="s">
        <v>13</v>
      </c>
      <c r="C30" s="28" t="s">
        <v>18</v>
      </c>
      <c r="E30" s="28">
        <v>190</v>
      </c>
      <c r="F30" s="28"/>
      <c r="G30" s="28"/>
      <c r="H30" s="29" t="s">
        <v>139</v>
      </c>
      <c r="I30" s="29" t="s">
        <v>13</v>
      </c>
      <c r="J30" s="28" t="s">
        <v>123</v>
      </c>
      <c r="K30" s="28">
        <v>231</v>
      </c>
      <c r="L30" s="28"/>
    </row>
    <row r="31" spans="1:12" x14ac:dyDescent="0.35">
      <c r="A31" s="83" t="s">
        <v>6</v>
      </c>
      <c r="B31" s="84" t="s">
        <v>15</v>
      </c>
      <c r="C31" s="85" t="s">
        <v>18</v>
      </c>
      <c r="D31" s="84" t="s">
        <v>50</v>
      </c>
      <c r="E31" s="86">
        <v>200</v>
      </c>
      <c r="F31" s="28"/>
      <c r="G31" s="28"/>
      <c r="H31" s="29" t="s">
        <v>140</v>
      </c>
      <c r="I31" s="29" t="s">
        <v>13</v>
      </c>
      <c r="J31" s="28" t="s">
        <v>123</v>
      </c>
      <c r="K31" s="28">
        <v>232</v>
      </c>
      <c r="L31" s="28"/>
    </row>
    <row r="32" spans="1:12" x14ac:dyDescent="0.35">
      <c r="A32" s="83" t="s">
        <v>7</v>
      </c>
      <c r="B32" s="84" t="s">
        <v>15</v>
      </c>
      <c r="C32" s="85" t="s">
        <v>18</v>
      </c>
      <c r="D32" s="84" t="s">
        <v>50</v>
      </c>
      <c r="E32" s="86">
        <v>300</v>
      </c>
      <c r="F32" s="28"/>
      <c r="G32" s="28"/>
      <c r="H32" s="29" t="s">
        <v>141</v>
      </c>
      <c r="I32" s="29" t="s">
        <v>13</v>
      </c>
      <c r="J32" s="28" t="s">
        <v>123</v>
      </c>
      <c r="K32" s="28">
        <v>233</v>
      </c>
      <c r="L32" s="28"/>
    </row>
    <row r="33" spans="1:12" x14ac:dyDescent="0.35">
      <c r="A33" s="39" t="s">
        <v>102</v>
      </c>
      <c r="B33" s="29" t="s">
        <v>15</v>
      </c>
      <c r="C33" s="28" t="s">
        <v>18</v>
      </c>
      <c r="D33" s="29" t="s">
        <v>115</v>
      </c>
      <c r="E33" s="28">
        <v>400</v>
      </c>
      <c r="F33" s="28"/>
      <c r="G33" s="28"/>
      <c r="H33" s="29" t="s">
        <v>142</v>
      </c>
      <c r="I33" s="29" t="s">
        <v>13</v>
      </c>
      <c r="J33" s="28" t="s">
        <v>123</v>
      </c>
      <c r="K33" s="28">
        <v>234</v>
      </c>
      <c r="L33" s="28"/>
    </row>
    <row r="34" spans="1:12" x14ac:dyDescent="0.35">
      <c r="A34" s="39" t="s">
        <v>79</v>
      </c>
      <c r="B34" s="29" t="s">
        <v>80</v>
      </c>
      <c r="C34" s="28" t="s">
        <v>18</v>
      </c>
      <c r="D34" s="29" t="s">
        <v>115</v>
      </c>
      <c r="E34" s="28">
        <v>500</v>
      </c>
      <c r="F34" s="28"/>
      <c r="G34" s="28"/>
      <c r="H34" s="29" t="s">
        <v>143</v>
      </c>
      <c r="I34" s="29" t="s">
        <v>13</v>
      </c>
      <c r="J34" s="28" t="s">
        <v>123</v>
      </c>
      <c r="K34" s="28">
        <v>235</v>
      </c>
      <c r="L34" s="28"/>
    </row>
    <row r="35" spans="1:12" x14ac:dyDescent="0.35">
      <c r="A35" s="45" t="s">
        <v>108</v>
      </c>
      <c r="B35" s="46" t="s">
        <v>14</v>
      </c>
      <c r="C35" s="62" t="s">
        <v>123</v>
      </c>
      <c r="D35" s="46"/>
      <c r="E35" s="47">
        <v>0</v>
      </c>
      <c r="F35" s="28"/>
      <c r="G35" s="28"/>
      <c r="H35" s="29" t="s">
        <v>144</v>
      </c>
      <c r="I35" s="29" t="s">
        <v>13</v>
      </c>
      <c r="J35" s="28" t="s">
        <v>123</v>
      </c>
      <c r="K35" s="28">
        <v>236</v>
      </c>
      <c r="L35" s="28"/>
    </row>
    <row r="36" spans="1:12" x14ac:dyDescent="0.35">
      <c r="A36" s="48" t="s">
        <v>148</v>
      </c>
      <c r="B36" s="29" t="s">
        <v>151</v>
      </c>
      <c r="C36" s="28" t="s">
        <v>123</v>
      </c>
      <c r="E36" s="49">
        <v>5</v>
      </c>
      <c r="F36" s="28"/>
      <c r="G36" s="28"/>
      <c r="H36" s="29" t="s">
        <v>145</v>
      </c>
      <c r="I36" s="29" t="s">
        <v>13</v>
      </c>
      <c r="J36" s="28" t="s">
        <v>123</v>
      </c>
      <c r="K36" s="28">
        <v>237</v>
      </c>
      <c r="L36" s="28"/>
    </row>
    <row r="37" spans="1:12" x14ac:dyDescent="0.35">
      <c r="A37" s="48" t="s">
        <v>149</v>
      </c>
      <c r="B37" s="29" t="s">
        <v>14</v>
      </c>
      <c r="C37" s="28" t="s">
        <v>123</v>
      </c>
      <c r="E37" s="49">
        <v>10</v>
      </c>
      <c r="F37" s="28"/>
      <c r="G37" s="28"/>
      <c r="H37" s="29" t="s">
        <v>146</v>
      </c>
      <c r="I37" s="29" t="s">
        <v>13</v>
      </c>
      <c r="J37" s="28" t="s">
        <v>123</v>
      </c>
      <c r="K37" s="28">
        <v>238</v>
      </c>
      <c r="L37" s="28"/>
    </row>
    <row r="38" spans="1:12" x14ac:dyDescent="0.35">
      <c r="A38" s="48" t="s">
        <v>150</v>
      </c>
      <c r="B38" s="29" t="s">
        <v>15</v>
      </c>
      <c r="C38" s="28" t="s">
        <v>123</v>
      </c>
      <c r="E38" s="49">
        <v>15</v>
      </c>
      <c r="F38" s="28"/>
      <c r="G38" s="28"/>
      <c r="H38" s="29" t="s">
        <v>147</v>
      </c>
      <c r="I38" s="29" t="s">
        <v>13</v>
      </c>
      <c r="J38" s="28" t="s">
        <v>123</v>
      </c>
      <c r="K38" s="28">
        <v>239</v>
      </c>
      <c r="L38" s="28"/>
    </row>
    <row r="39" spans="1:12" x14ac:dyDescent="0.35">
      <c r="A39" s="50" t="s">
        <v>153</v>
      </c>
      <c r="B39" s="51" t="s">
        <v>13</v>
      </c>
      <c r="C39" s="63" t="s">
        <v>123</v>
      </c>
      <c r="D39" s="51"/>
      <c r="E39" s="52">
        <v>20</v>
      </c>
      <c r="F39" s="28"/>
      <c r="G39" s="28"/>
      <c r="H39" s="29" t="s">
        <v>159</v>
      </c>
      <c r="I39" s="29" t="s">
        <v>13</v>
      </c>
      <c r="J39" s="28" t="s">
        <v>123</v>
      </c>
      <c r="K39" s="28">
        <v>240</v>
      </c>
      <c r="L39" s="28"/>
    </row>
    <row r="40" spans="1:12" x14ac:dyDescent="0.35">
      <c r="A40" s="87" t="s">
        <v>63</v>
      </c>
      <c r="B40" s="84" t="s">
        <v>14</v>
      </c>
      <c r="C40" s="88" t="s">
        <v>18</v>
      </c>
      <c r="D40" s="84"/>
      <c r="E40" s="86">
        <v>740</v>
      </c>
      <c r="F40" s="28"/>
      <c r="G40" s="28"/>
      <c r="H40" s="29" t="s">
        <v>160</v>
      </c>
      <c r="I40" s="29" t="s">
        <v>13</v>
      </c>
      <c r="J40" s="28" t="s">
        <v>123</v>
      </c>
      <c r="K40" s="28">
        <v>241</v>
      </c>
      <c r="L40" s="28"/>
    </row>
    <row r="41" spans="1:12" x14ac:dyDescent="0.35">
      <c r="A41" s="87" t="s">
        <v>64</v>
      </c>
      <c r="B41" s="84" t="s">
        <v>14</v>
      </c>
      <c r="C41" s="88" t="s">
        <v>18</v>
      </c>
      <c r="D41" s="84"/>
      <c r="E41" s="86">
        <v>745</v>
      </c>
      <c r="F41" s="28"/>
      <c r="G41" s="28"/>
      <c r="H41" s="29" t="s">
        <v>161</v>
      </c>
      <c r="I41" s="29" t="s">
        <v>13</v>
      </c>
      <c r="J41" s="28" t="s">
        <v>123</v>
      </c>
      <c r="K41" s="28">
        <v>242</v>
      </c>
      <c r="L41" s="28"/>
    </row>
    <row r="42" spans="1:12" x14ac:dyDescent="0.35">
      <c r="A42" s="87" t="s">
        <v>65</v>
      </c>
      <c r="B42" s="84" t="s">
        <v>14</v>
      </c>
      <c r="C42" s="88" t="s">
        <v>18</v>
      </c>
      <c r="D42" s="84"/>
      <c r="E42" s="86">
        <v>750</v>
      </c>
      <c r="F42" s="28"/>
      <c r="G42" s="28"/>
      <c r="H42" s="29" t="s">
        <v>162</v>
      </c>
      <c r="I42" s="29" t="s">
        <v>13</v>
      </c>
      <c r="J42" s="28" t="s">
        <v>123</v>
      </c>
      <c r="K42" s="28">
        <v>243</v>
      </c>
      <c r="L42" s="28"/>
    </row>
    <row r="43" spans="1:12" x14ac:dyDescent="0.35">
      <c r="A43" s="87" t="s">
        <v>66</v>
      </c>
      <c r="B43" s="84" t="s">
        <v>14</v>
      </c>
      <c r="C43" s="88" t="s">
        <v>18</v>
      </c>
      <c r="D43" s="84"/>
      <c r="E43" s="86">
        <v>755</v>
      </c>
      <c r="F43" s="28"/>
      <c r="G43" s="28"/>
      <c r="H43" s="29" t="s">
        <v>163</v>
      </c>
      <c r="I43" s="29" t="s">
        <v>13</v>
      </c>
      <c r="J43" s="28" t="s">
        <v>123</v>
      </c>
      <c r="K43" s="28">
        <v>244</v>
      </c>
      <c r="L43" s="28"/>
    </row>
    <row r="44" spans="1:12" x14ac:dyDescent="0.35">
      <c r="A44" s="87" t="s">
        <v>67</v>
      </c>
      <c r="B44" s="84" t="s">
        <v>14</v>
      </c>
      <c r="C44" s="88" t="s">
        <v>18</v>
      </c>
      <c r="D44" s="84"/>
      <c r="E44" s="86">
        <v>760</v>
      </c>
      <c r="F44" s="28"/>
      <c r="G44" s="28"/>
      <c r="H44" s="29" t="s">
        <v>164</v>
      </c>
      <c r="I44" s="29" t="s">
        <v>13</v>
      </c>
      <c r="J44" s="28" t="s">
        <v>123</v>
      </c>
      <c r="K44" s="28">
        <v>245</v>
      </c>
      <c r="L44" s="28"/>
    </row>
    <row r="45" spans="1:12" x14ac:dyDescent="0.35">
      <c r="A45" s="87" t="s">
        <v>68</v>
      </c>
      <c r="B45" s="84" t="s">
        <v>14</v>
      </c>
      <c r="C45" s="88" t="s">
        <v>18</v>
      </c>
      <c r="D45" s="84"/>
      <c r="E45" s="86">
        <v>765</v>
      </c>
      <c r="F45" s="28"/>
      <c r="G45" s="28"/>
      <c r="L45" s="28"/>
    </row>
    <row r="46" spans="1:12" x14ac:dyDescent="0.35">
      <c r="A46" s="87" t="s">
        <v>69</v>
      </c>
      <c r="B46" s="84" t="s">
        <v>14</v>
      </c>
      <c r="C46" s="88" t="s">
        <v>18</v>
      </c>
      <c r="D46" s="84"/>
      <c r="E46" s="86">
        <v>770</v>
      </c>
      <c r="F46" s="28"/>
      <c r="G46" s="28"/>
      <c r="L46" s="28"/>
    </row>
    <row r="47" spans="1:12" x14ac:dyDescent="0.35">
      <c r="A47" s="87" t="s">
        <v>70</v>
      </c>
      <c r="B47" s="84" t="s">
        <v>14</v>
      </c>
      <c r="C47" s="88" t="s">
        <v>18</v>
      </c>
      <c r="D47" s="84"/>
      <c r="E47" s="86">
        <v>775</v>
      </c>
      <c r="F47" s="28"/>
      <c r="G47" s="28"/>
      <c r="L47" s="28"/>
    </row>
    <row r="48" spans="1:12" x14ac:dyDescent="0.35">
      <c r="A48" s="48"/>
      <c r="C48" s="49"/>
      <c r="E48" s="28"/>
      <c r="F48" s="28"/>
      <c r="G48" s="28"/>
      <c r="L48" s="28"/>
    </row>
    <row r="49" spans="1:12" x14ac:dyDescent="0.35">
      <c r="A49" s="48"/>
      <c r="C49" s="49"/>
      <c r="E49" s="28"/>
      <c r="F49" s="28"/>
      <c r="G49" s="28"/>
      <c r="L49" s="28"/>
    </row>
    <row r="50" spans="1:12" x14ac:dyDescent="0.35">
      <c r="A50" s="50"/>
      <c r="B50" s="51"/>
      <c r="C50" s="52"/>
      <c r="E50" s="28"/>
      <c r="F50" s="28"/>
      <c r="G50" s="28"/>
      <c r="L50" s="28"/>
    </row>
    <row r="51" spans="1:12" x14ac:dyDescent="0.35">
      <c r="A51" s="48" t="s">
        <v>71</v>
      </c>
      <c r="B51" s="29" t="s">
        <v>14</v>
      </c>
      <c r="C51" s="49" t="s">
        <v>18</v>
      </c>
      <c r="E51" s="28">
        <v>700</v>
      </c>
      <c r="F51" s="28"/>
      <c r="G51" s="28"/>
      <c r="L51" s="28"/>
    </row>
    <row r="52" spans="1:12" x14ac:dyDescent="0.35">
      <c r="A52" s="48" t="s">
        <v>72</v>
      </c>
      <c r="B52" s="29" t="s">
        <v>14</v>
      </c>
      <c r="C52" s="49" t="s">
        <v>18</v>
      </c>
      <c r="E52" s="28">
        <v>705</v>
      </c>
      <c r="F52" s="28"/>
      <c r="G52" s="28"/>
      <c r="L52" s="28"/>
    </row>
    <row r="53" spans="1:12" x14ac:dyDescent="0.35">
      <c r="A53" s="48" t="s">
        <v>73</v>
      </c>
      <c r="B53" s="29" t="s">
        <v>14</v>
      </c>
      <c r="C53" s="49" t="s">
        <v>18</v>
      </c>
      <c r="E53" s="28">
        <v>710</v>
      </c>
      <c r="F53" s="28"/>
      <c r="G53" s="28"/>
      <c r="L53" s="28"/>
    </row>
    <row r="54" spans="1:12" x14ac:dyDescent="0.35">
      <c r="A54" s="48" t="s">
        <v>74</v>
      </c>
      <c r="B54" s="29" t="s">
        <v>14</v>
      </c>
      <c r="C54" s="49" t="s">
        <v>18</v>
      </c>
      <c r="E54" s="28">
        <v>715</v>
      </c>
      <c r="F54" s="28"/>
      <c r="G54" s="28"/>
      <c r="L54" s="28"/>
    </row>
    <row r="55" spans="1:12" x14ac:dyDescent="0.35">
      <c r="A55" s="48" t="s">
        <v>75</v>
      </c>
      <c r="B55" s="29" t="s">
        <v>14</v>
      </c>
      <c r="C55" s="49" t="s">
        <v>18</v>
      </c>
      <c r="E55" s="28">
        <v>720</v>
      </c>
      <c r="F55" s="28"/>
      <c r="G55" s="28"/>
      <c r="L55" s="28"/>
    </row>
    <row r="56" spans="1:12" x14ac:dyDescent="0.35">
      <c r="A56" s="48" t="s">
        <v>76</v>
      </c>
      <c r="B56" s="29" t="s">
        <v>14</v>
      </c>
      <c r="C56" s="49" t="s">
        <v>18</v>
      </c>
      <c r="E56" s="28">
        <v>725</v>
      </c>
      <c r="F56" s="28"/>
      <c r="G56" s="28"/>
      <c r="L56" s="28"/>
    </row>
    <row r="57" spans="1:12" x14ac:dyDescent="0.35">
      <c r="A57" s="48" t="s">
        <v>77</v>
      </c>
      <c r="B57" s="29" t="s">
        <v>14</v>
      </c>
      <c r="C57" s="49" t="s">
        <v>18</v>
      </c>
      <c r="E57" s="28">
        <v>730</v>
      </c>
      <c r="F57" s="28"/>
      <c r="G57" s="28"/>
      <c r="L57" s="28"/>
    </row>
    <row r="58" spans="1:12" x14ac:dyDescent="0.35">
      <c r="A58" s="48" t="s">
        <v>78</v>
      </c>
      <c r="B58" s="29" t="s">
        <v>14</v>
      </c>
      <c r="C58" s="49" t="s">
        <v>18</v>
      </c>
      <c r="E58" s="28">
        <v>735</v>
      </c>
      <c r="F58" s="28"/>
      <c r="G58" s="28"/>
      <c r="L58" s="28"/>
    </row>
    <row r="59" spans="1:12" x14ac:dyDescent="0.35">
      <c r="A59" s="48"/>
      <c r="C59" s="49"/>
      <c r="E59" s="28"/>
      <c r="F59" s="28"/>
      <c r="G59" s="28"/>
      <c r="L59" s="28"/>
    </row>
    <row r="60" spans="1:12" x14ac:dyDescent="0.35">
      <c r="A60" s="48"/>
      <c r="C60" s="49"/>
      <c r="E60" s="28"/>
      <c r="F60" s="28"/>
      <c r="G60" s="28"/>
      <c r="L60" s="28"/>
    </row>
    <row r="61" spans="1:12" x14ac:dyDescent="0.35">
      <c r="A61" s="48"/>
      <c r="C61" s="49"/>
      <c r="E61" s="28"/>
      <c r="F61" s="28"/>
      <c r="G61" s="28"/>
      <c r="L61" s="28"/>
    </row>
    <row r="62" spans="1:12" x14ac:dyDescent="0.35">
      <c r="A62" s="87" t="s">
        <v>85</v>
      </c>
      <c r="B62" s="84" t="s">
        <v>13</v>
      </c>
      <c r="C62" s="88" t="s">
        <v>18</v>
      </c>
      <c r="D62" s="84" t="s">
        <v>50</v>
      </c>
      <c r="E62" s="86">
        <v>1000</v>
      </c>
      <c r="F62" s="28"/>
      <c r="G62" s="28"/>
      <c r="L62" s="28"/>
    </row>
    <row r="63" spans="1:12" x14ac:dyDescent="0.35">
      <c r="A63" s="45" t="s">
        <v>99</v>
      </c>
      <c r="B63" s="46" t="s">
        <v>16</v>
      </c>
      <c r="C63" s="47" t="s">
        <v>19</v>
      </c>
      <c r="E63" s="53">
        <v>0</v>
      </c>
      <c r="F63" s="53"/>
      <c r="G63" s="53"/>
      <c r="L63" s="53"/>
    </row>
    <row r="64" spans="1:12" x14ac:dyDescent="0.35">
      <c r="A64" s="48" t="s">
        <v>98</v>
      </c>
      <c r="B64" s="29" t="s">
        <v>16</v>
      </c>
      <c r="C64" s="49" t="s">
        <v>19</v>
      </c>
      <c r="E64" s="53">
        <v>1</v>
      </c>
      <c r="F64" s="53"/>
      <c r="G64" s="53"/>
      <c r="L64" s="53"/>
    </row>
    <row r="65" spans="1:12" x14ac:dyDescent="0.35">
      <c r="A65" s="48" t="s">
        <v>96</v>
      </c>
      <c r="B65" s="29" t="s">
        <v>16</v>
      </c>
      <c r="C65" s="49" t="s">
        <v>19</v>
      </c>
      <c r="D65" s="29" t="s">
        <v>115</v>
      </c>
      <c r="E65" s="53">
        <v>2</v>
      </c>
      <c r="F65" s="53"/>
      <c r="G65" s="53"/>
      <c r="L65" s="53"/>
    </row>
    <row r="66" spans="1:12" x14ac:dyDescent="0.35">
      <c r="A66" s="48" t="s">
        <v>56</v>
      </c>
      <c r="B66" s="29" t="s">
        <v>16</v>
      </c>
      <c r="C66" s="49" t="s">
        <v>19</v>
      </c>
      <c r="E66" s="53">
        <v>3</v>
      </c>
      <c r="F66" s="53"/>
      <c r="G66" s="53"/>
      <c r="H66" s="53"/>
      <c r="I66" s="53"/>
      <c r="J66" s="53"/>
      <c r="K66" s="53"/>
      <c r="L66" s="53"/>
    </row>
    <row r="67" spans="1:12" x14ac:dyDescent="0.35">
      <c r="A67" s="48" t="s">
        <v>116</v>
      </c>
      <c r="B67" s="29" t="s">
        <v>16</v>
      </c>
      <c r="C67" s="49" t="s">
        <v>19</v>
      </c>
      <c r="E67" s="53">
        <v>4</v>
      </c>
      <c r="F67" s="53"/>
      <c r="G67" s="53"/>
      <c r="H67" s="53"/>
      <c r="I67" s="53"/>
      <c r="J67" s="53"/>
      <c r="K67" s="53"/>
      <c r="L67" s="53"/>
    </row>
    <row r="68" spans="1:12" x14ac:dyDescent="0.35">
      <c r="A68" s="87" t="s">
        <v>106</v>
      </c>
      <c r="B68" s="84" t="s">
        <v>16</v>
      </c>
      <c r="C68" s="88" t="s">
        <v>19</v>
      </c>
      <c r="D68" s="84" t="s">
        <v>50</v>
      </c>
      <c r="E68" s="89">
        <v>5</v>
      </c>
      <c r="F68" s="53"/>
      <c r="G68" s="53"/>
      <c r="H68" s="53"/>
      <c r="I68" s="53"/>
      <c r="J68" s="53"/>
      <c r="K68" s="53"/>
      <c r="L68" s="53"/>
    </row>
    <row r="69" spans="1:12" x14ac:dyDescent="0.35">
      <c r="A69" s="48" t="s">
        <v>97</v>
      </c>
      <c r="B69" s="29" t="s">
        <v>16</v>
      </c>
      <c r="C69" s="49" t="s">
        <v>19</v>
      </c>
      <c r="D69" s="29" t="s">
        <v>115</v>
      </c>
      <c r="E69" s="53">
        <v>6</v>
      </c>
      <c r="F69" s="53"/>
      <c r="G69" s="53"/>
      <c r="H69" s="53"/>
      <c r="I69" s="53"/>
      <c r="J69" s="53"/>
      <c r="K69" s="53"/>
      <c r="L69" s="53"/>
    </row>
    <row r="70" spans="1:12" x14ac:dyDescent="0.35">
      <c r="A70" s="50" t="s">
        <v>119</v>
      </c>
      <c r="B70" s="51" t="s">
        <v>16</v>
      </c>
      <c r="C70" s="52" t="s">
        <v>19</v>
      </c>
      <c r="D70" s="29" t="s">
        <v>115</v>
      </c>
      <c r="E70" s="53">
        <v>7</v>
      </c>
      <c r="F70" s="53"/>
      <c r="G70" s="53"/>
      <c r="H70" s="53"/>
      <c r="I70" s="53"/>
      <c r="J70" s="53"/>
      <c r="K70" s="53"/>
      <c r="L70" s="53"/>
    </row>
    <row r="71" spans="1:12" x14ac:dyDescent="0.35">
      <c r="A71" s="48" t="s">
        <v>152</v>
      </c>
      <c r="B71" s="29" t="s">
        <v>16</v>
      </c>
      <c r="C71" s="49" t="s">
        <v>19</v>
      </c>
      <c r="D71" s="29" t="s">
        <v>115</v>
      </c>
      <c r="E71" s="53">
        <v>8</v>
      </c>
      <c r="F71" s="53"/>
      <c r="G71" s="53"/>
      <c r="H71" s="53"/>
      <c r="I71" s="53"/>
      <c r="J71" s="53"/>
      <c r="K71" s="53"/>
      <c r="L71" s="53"/>
    </row>
    <row r="72" spans="1:12" x14ac:dyDescent="0.35">
      <c r="A72" s="48" t="s">
        <v>154</v>
      </c>
      <c r="B72" s="29" t="s">
        <v>16</v>
      </c>
      <c r="C72" s="49" t="s">
        <v>19</v>
      </c>
      <c r="D72" s="29" t="s">
        <v>115</v>
      </c>
      <c r="E72" s="53">
        <v>9</v>
      </c>
      <c r="F72" s="53"/>
      <c r="G72" s="53"/>
      <c r="H72" s="53"/>
      <c r="I72" s="53"/>
      <c r="J72" s="53"/>
      <c r="K72" s="53"/>
      <c r="L72" s="53"/>
    </row>
    <row r="73" spans="1:12" x14ac:dyDescent="0.35">
      <c r="A73" s="87" t="s">
        <v>155</v>
      </c>
      <c r="B73" s="84" t="s">
        <v>16</v>
      </c>
      <c r="C73" s="88" t="s">
        <v>19</v>
      </c>
      <c r="D73" s="84" t="s">
        <v>50</v>
      </c>
      <c r="E73" s="89">
        <v>10</v>
      </c>
      <c r="F73" s="53"/>
      <c r="G73" s="53"/>
      <c r="H73" s="53"/>
      <c r="I73" s="53"/>
      <c r="J73" s="53"/>
      <c r="K73" s="53"/>
      <c r="L73" s="53"/>
    </row>
    <row r="74" spans="1:12" x14ac:dyDescent="0.35">
      <c r="A74" s="87" t="s">
        <v>167</v>
      </c>
      <c r="B74" s="84" t="s">
        <v>16</v>
      </c>
      <c r="C74" s="88" t="s">
        <v>19</v>
      </c>
      <c r="D74" s="84"/>
      <c r="E74" s="89">
        <v>20</v>
      </c>
      <c r="F74" s="53"/>
      <c r="G74" s="53"/>
      <c r="H74" s="53"/>
      <c r="I74" s="53"/>
      <c r="J74" s="53"/>
      <c r="K74" s="53"/>
      <c r="L74" s="53"/>
    </row>
    <row r="75" spans="1:12" x14ac:dyDescent="0.35">
      <c r="A75" s="87" t="s">
        <v>168</v>
      </c>
      <c r="B75" s="84" t="s">
        <v>16</v>
      </c>
      <c r="C75" s="88" t="s">
        <v>19</v>
      </c>
      <c r="D75" s="84"/>
      <c r="E75" s="89">
        <v>20.010000000000002</v>
      </c>
      <c r="F75" s="53"/>
      <c r="G75" s="53"/>
      <c r="H75" s="53"/>
      <c r="I75" s="53"/>
      <c r="J75" s="53"/>
      <c r="K75" s="53"/>
      <c r="L75" s="53"/>
    </row>
    <row r="76" spans="1:12" x14ac:dyDescent="0.35">
      <c r="A76" s="87" t="s">
        <v>169</v>
      </c>
      <c r="B76" s="84" t="s">
        <v>16</v>
      </c>
      <c r="C76" s="88" t="s">
        <v>19</v>
      </c>
      <c r="D76" s="84"/>
      <c r="E76" s="89">
        <v>20.02</v>
      </c>
      <c r="F76" s="53"/>
      <c r="G76" s="53"/>
      <c r="H76" s="53"/>
      <c r="I76" s="53"/>
      <c r="J76" s="53"/>
      <c r="K76" s="53"/>
      <c r="L76" s="53"/>
    </row>
    <row r="77" spans="1:12" x14ac:dyDescent="0.35">
      <c r="A77" s="87" t="s">
        <v>170</v>
      </c>
      <c r="B77" s="84" t="s">
        <v>16</v>
      </c>
      <c r="C77" s="88" t="s">
        <v>19</v>
      </c>
      <c r="D77" s="84"/>
      <c r="E77" s="89">
        <v>20.03</v>
      </c>
      <c r="F77" s="53"/>
      <c r="G77" s="53"/>
      <c r="H77" s="53"/>
      <c r="I77" s="53"/>
      <c r="J77" s="53"/>
      <c r="K77" s="53"/>
      <c r="L77" s="53"/>
    </row>
    <row r="78" spans="1:12" x14ac:dyDescent="0.35">
      <c r="A78" s="87" t="s">
        <v>194</v>
      </c>
      <c r="B78" s="84" t="s">
        <v>16</v>
      </c>
      <c r="C78" s="88" t="s">
        <v>19</v>
      </c>
      <c r="D78" s="84"/>
      <c r="E78" s="89">
        <v>20.05</v>
      </c>
      <c r="F78" s="53"/>
      <c r="G78" s="53"/>
      <c r="H78" s="53"/>
      <c r="I78" s="53"/>
      <c r="J78" s="53"/>
      <c r="K78" s="53"/>
      <c r="L78" s="53"/>
    </row>
    <row r="79" spans="1:12" x14ac:dyDescent="0.35">
      <c r="A79" s="87" t="s">
        <v>195</v>
      </c>
      <c r="B79" s="84" t="s">
        <v>16</v>
      </c>
      <c r="C79" s="88" t="s">
        <v>19</v>
      </c>
      <c r="D79" s="84"/>
      <c r="E79" s="89">
        <v>20.059999999999999</v>
      </c>
      <c r="F79" s="53"/>
      <c r="G79" s="53"/>
      <c r="H79" s="53"/>
      <c r="I79" s="53"/>
      <c r="J79" s="53"/>
      <c r="K79" s="53"/>
      <c r="L79" s="53"/>
    </row>
    <row r="80" spans="1:12" x14ac:dyDescent="0.35">
      <c r="A80" s="48" t="s">
        <v>173</v>
      </c>
      <c r="B80" s="29" t="s">
        <v>16</v>
      </c>
      <c r="C80" s="49" t="s">
        <v>19</v>
      </c>
      <c r="D80" s="29" t="s">
        <v>115</v>
      </c>
      <c r="E80" s="53">
        <v>30</v>
      </c>
      <c r="F80" s="53"/>
      <c r="G80" s="53"/>
      <c r="H80" s="53"/>
      <c r="I80" s="53"/>
      <c r="J80" s="53"/>
      <c r="K80" s="53"/>
      <c r="L80" s="53"/>
    </row>
    <row r="81" spans="1:12" x14ac:dyDescent="0.35">
      <c r="A81" s="48"/>
      <c r="C81" s="49"/>
      <c r="E81" s="53"/>
      <c r="F81" s="53"/>
      <c r="G81" s="53"/>
      <c r="H81" s="53"/>
      <c r="I81" s="53"/>
      <c r="J81" s="53"/>
      <c r="K81" s="53"/>
      <c r="L81" s="53"/>
    </row>
    <row r="82" spans="1:12" x14ac:dyDescent="0.35">
      <c r="A82" s="48"/>
      <c r="C82" s="49"/>
      <c r="E82" s="53"/>
      <c r="F82" s="53"/>
      <c r="G82" s="53"/>
      <c r="H82" s="53"/>
      <c r="I82" s="53"/>
      <c r="J82" s="53"/>
      <c r="K82" s="53"/>
      <c r="L82" s="53"/>
    </row>
    <row r="83" spans="1:12" x14ac:dyDescent="0.35">
      <c r="A83" s="48"/>
      <c r="C83" s="49"/>
      <c r="E83" s="53"/>
      <c r="F83" s="53"/>
      <c r="G83" s="53"/>
      <c r="H83" s="53"/>
      <c r="I83" s="53"/>
      <c r="J83" s="53"/>
      <c r="K83" s="53"/>
      <c r="L83" s="53"/>
    </row>
    <row r="84" spans="1:12" x14ac:dyDescent="0.35">
      <c r="A84" s="48"/>
      <c r="C84" s="49"/>
      <c r="E84" s="53"/>
      <c r="F84" s="53"/>
      <c r="G84" s="53"/>
      <c r="H84" s="53"/>
      <c r="I84" s="53"/>
      <c r="J84" s="53"/>
      <c r="K84" s="53"/>
      <c r="L84" s="53"/>
    </row>
    <row r="85" spans="1:12" x14ac:dyDescent="0.35">
      <c r="A85" s="48"/>
      <c r="C85" s="49"/>
      <c r="E85" s="53"/>
      <c r="F85" s="53"/>
      <c r="G85" s="53"/>
      <c r="H85" s="53"/>
      <c r="I85" s="53"/>
      <c r="J85" s="53"/>
      <c r="K85" s="53"/>
      <c r="L85" s="53"/>
    </row>
    <row r="86" spans="1:12" x14ac:dyDescent="0.35">
      <c r="A86" s="48"/>
      <c r="C86" s="49"/>
      <c r="E86" s="53"/>
      <c r="F86" s="53"/>
      <c r="G86" s="53"/>
      <c r="H86" s="53"/>
      <c r="I86" s="53"/>
      <c r="J86" s="53"/>
      <c r="K86" s="53"/>
      <c r="L86" s="53"/>
    </row>
    <row r="87" spans="1:12" x14ac:dyDescent="0.35">
      <c r="A87" s="45" t="s">
        <v>93</v>
      </c>
      <c r="B87" s="46" t="s">
        <v>16</v>
      </c>
      <c r="C87" s="47" t="s">
        <v>19</v>
      </c>
      <c r="E87" s="53">
        <v>60</v>
      </c>
      <c r="F87" s="53"/>
      <c r="G87" s="53"/>
      <c r="H87" s="53"/>
      <c r="I87" s="53"/>
      <c r="J87" s="53"/>
      <c r="K87" s="53"/>
      <c r="L87" s="53"/>
    </row>
    <row r="88" spans="1:12" x14ac:dyDescent="0.35">
      <c r="A88" s="48" t="s">
        <v>58</v>
      </c>
      <c r="B88" s="29" t="s">
        <v>16</v>
      </c>
      <c r="C88" s="49" t="s">
        <v>19</v>
      </c>
      <c r="E88" s="53">
        <v>61</v>
      </c>
      <c r="F88" s="53"/>
      <c r="G88" s="53"/>
      <c r="H88" s="53"/>
      <c r="I88" s="53"/>
      <c r="J88" s="53"/>
      <c r="K88" s="53"/>
      <c r="L88" s="53"/>
    </row>
    <row r="89" spans="1:12" x14ac:dyDescent="0.35">
      <c r="A89" s="48" t="s">
        <v>59</v>
      </c>
      <c r="B89" s="29" t="s">
        <v>16</v>
      </c>
      <c r="C89" s="49" t="s">
        <v>19</v>
      </c>
      <c r="E89" s="53">
        <v>62</v>
      </c>
      <c r="F89" s="53"/>
      <c r="G89" s="53"/>
      <c r="H89" s="53"/>
      <c r="I89" s="53"/>
      <c r="J89" s="53"/>
      <c r="K89" s="53"/>
      <c r="L89" s="53"/>
    </row>
    <row r="90" spans="1:12" x14ac:dyDescent="0.35">
      <c r="A90" s="48" t="s">
        <v>94</v>
      </c>
      <c r="B90" s="29" t="s">
        <v>16</v>
      </c>
      <c r="C90" s="49" t="s">
        <v>19</v>
      </c>
      <c r="E90" s="53">
        <v>63</v>
      </c>
      <c r="F90" s="53"/>
      <c r="G90" s="53"/>
      <c r="H90" s="53"/>
      <c r="I90" s="53"/>
      <c r="J90" s="53"/>
      <c r="K90" s="53"/>
      <c r="L90" s="53"/>
    </row>
    <row r="91" spans="1:12" x14ac:dyDescent="0.35">
      <c r="A91" s="48" t="s">
        <v>60</v>
      </c>
      <c r="B91" s="29" t="s">
        <v>95</v>
      </c>
      <c r="C91" s="49" t="s">
        <v>19</v>
      </c>
      <c r="E91" s="53">
        <v>63.01</v>
      </c>
      <c r="F91" s="53"/>
      <c r="G91" s="53"/>
      <c r="H91" s="53"/>
      <c r="I91" s="53"/>
      <c r="J91" s="53"/>
      <c r="K91" s="53"/>
      <c r="L91" s="53"/>
    </row>
    <row r="92" spans="1:12" x14ac:dyDescent="0.35">
      <c r="A92" s="48" t="s">
        <v>61</v>
      </c>
      <c r="B92" s="29" t="s">
        <v>16</v>
      </c>
      <c r="C92" s="49" t="s">
        <v>19</v>
      </c>
      <c r="E92" s="53">
        <v>64</v>
      </c>
      <c r="F92" s="53"/>
      <c r="G92" s="53"/>
      <c r="H92" s="53"/>
      <c r="I92" s="53"/>
      <c r="J92" s="53"/>
      <c r="K92" s="53"/>
      <c r="L92" s="53"/>
    </row>
    <row r="93" spans="1:12" x14ac:dyDescent="0.35">
      <c r="A93" s="50" t="s">
        <v>92</v>
      </c>
      <c r="B93" s="51" t="s">
        <v>16</v>
      </c>
      <c r="C93" s="52" t="s">
        <v>19</v>
      </c>
      <c r="E93" s="53">
        <v>65</v>
      </c>
      <c r="F93" s="53"/>
      <c r="G93" s="53"/>
      <c r="H93" s="53"/>
      <c r="I93" s="53"/>
      <c r="J93" s="53"/>
      <c r="K93" s="53"/>
      <c r="L93" s="53"/>
    </row>
    <row r="94" spans="1:12" x14ac:dyDescent="0.35">
      <c r="C94" s="49"/>
      <c r="E94" s="53"/>
      <c r="F94" s="53"/>
      <c r="G94" s="53"/>
      <c r="H94" s="53"/>
      <c r="I94" s="53"/>
      <c r="J94" s="53"/>
      <c r="K94" s="53"/>
      <c r="L94" s="53"/>
    </row>
    <row r="95" spans="1:12" x14ac:dyDescent="0.35">
      <c r="A95" s="48"/>
      <c r="C95" s="49"/>
      <c r="E95" s="53"/>
      <c r="F95" s="53"/>
      <c r="G95" s="53"/>
      <c r="H95" s="53"/>
      <c r="I95" s="53"/>
      <c r="J95" s="53"/>
      <c r="K95" s="53"/>
      <c r="L95" s="53"/>
    </row>
    <row r="96" spans="1:12" x14ac:dyDescent="0.35">
      <c r="A96" s="50"/>
      <c r="B96" s="51"/>
      <c r="C96" s="52"/>
      <c r="E96" s="53"/>
      <c r="F96" s="53"/>
      <c r="G96" s="53"/>
      <c r="H96" s="53"/>
      <c r="I96" s="53"/>
      <c r="J96" s="53"/>
      <c r="K96" s="53"/>
      <c r="L96" s="53"/>
    </row>
    <row r="97" spans="1:12" x14ac:dyDescent="0.35">
      <c r="A97" s="45" t="s">
        <v>86</v>
      </c>
      <c r="B97" s="46" t="s">
        <v>16</v>
      </c>
      <c r="C97" s="47" t="s">
        <v>19</v>
      </c>
      <c r="E97" s="53">
        <v>70</v>
      </c>
      <c r="F97" s="53"/>
      <c r="G97" s="53"/>
      <c r="H97" s="53"/>
      <c r="I97" s="53"/>
      <c r="J97" s="53"/>
      <c r="K97" s="53"/>
      <c r="L97" s="53"/>
    </row>
    <row r="98" spans="1:12" x14ac:dyDescent="0.35">
      <c r="A98" s="48" t="s">
        <v>87</v>
      </c>
      <c r="B98" s="29" t="s">
        <v>16</v>
      </c>
      <c r="C98" s="49" t="s">
        <v>19</v>
      </c>
      <c r="E98" s="53">
        <v>71</v>
      </c>
      <c r="F98" s="53"/>
      <c r="G98" s="53"/>
      <c r="H98" s="53"/>
      <c r="I98" s="53"/>
      <c r="J98" s="53"/>
      <c r="K98" s="53"/>
      <c r="L98" s="53"/>
    </row>
    <row r="99" spans="1:12" x14ac:dyDescent="0.35">
      <c r="A99" s="48" t="s">
        <v>88</v>
      </c>
      <c r="B99" s="29" t="s">
        <v>16</v>
      </c>
      <c r="C99" s="49" t="s">
        <v>19</v>
      </c>
      <c r="E99" s="53">
        <v>72</v>
      </c>
      <c r="F99" s="53"/>
      <c r="G99" s="53"/>
      <c r="H99" s="53"/>
      <c r="I99" s="53"/>
      <c r="J99" s="53"/>
      <c r="K99" s="53"/>
      <c r="L99" s="53"/>
    </row>
    <row r="100" spans="1:12" x14ac:dyDescent="0.35">
      <c r="A100" s="48" t="s">
        <v>89</v>
      </c>
      <c r="B100" s="29" t="s">
        <v>16</v>
      </c>
      <c r="C100" s="49" t="s">
        <v>19</v>
      </c>
      <c r="E100" s="53">
        <v>73</v>
      </c>
      <c r="F100" s="53"/>
      <c r="G100" s="53"/>
      <c r="H100" s="53"/>
      <c r="I100" s="53"/>
      <c r="J100" s="53"/>
      <c r="K100" s="53"/>
      <c r="L100" s="53"/>
    </row>
    <row r="101" spans="1:12" x14ac:dyDescent="0.35">
      <c r="A101" s="48" t="s">
        <v>90</v>
      </c>
      <c r="B101" s="29" t="s">
        <v>16</v>
      </c>
      <c r="C101" s="49" t="s">
        <v>19</v>
      </c>
      <c r="E101" s="53">
        <v>74</v>
      </c>
      <c r="F101" s="53"/>
      <c r="G101" s="53"/>
      <c r="H101" s="53"/>
      <c r="I101" s="53"/>
      <c r="J101" s="53"/>
      <c r="K101" s="53"/>
      <c r="L101" s="53"/>
    </row>
    <row r="102" spans="1:12" x14ac:dyDescent="0.35">
      <c r="A102" s="48" t="s">
        <v>91</v>
      </c>
      <c r="B102" s="29" t="s">
        <v>16</v>
      </c>
      <c r="C102" s="49" t="s">
        <v>19</v>
      </c>
      <c r="E102" s="53">
        <v>75</v>
      </c>
      <c r="F102" s="53"/>
      <c r="G102" s="53"/>
      <c r="H102" s="53"/>
      <c r="I102" s="53"/>
      <c r="J102" s="53"/>
      <c r="K102" s="53"/>
      <c r="L102" s="53"/>
    </row>
    <row r="103" spans="1:12" x14ac:dyDescent="0.35">
      <c r="A103" s="48" t="s">
        <v>113</v>
      </c>
      <c r="B103" s="29" t="s">
        <v>16</v>
      </c>
      <c r="C103" s="49" t="s">
        <v>19</v>
      </c>
      <c r="E103" s="53">
        <v>76</v>
      </c>
      <c r="F103" s="53"/>
      <c r="G103" s="53"/>
      <c r="H103" s="53"/>
      <c r="I103" s="53"/>
      <c r="J103" s="53"/>
      <c r="K103" s="53"/>
      <c r="L103" s="53"/>
    </row>
    <row r="104" spans="1:12" x14ac:dyDescent="0.35">
      <c r="A104" s="50" t="s">
        <v>114</v>
      </c>
      <c r="B104" s="51" t="s">
        <v>95</v>
      </c>
      <c r="C104" s="52" t="s">
        <v>19</v>
      </c>
      <c r="E104" s="53">
        <v>77</v>
      </c>
      <c r="F104" s="53"/>
      <c r="G104" s="53"/>
      <c r="H104" s="53"/>
      <c r="I104" s="53"/>
      <c r="J104" s="53"/>
      <c r="K104" s="53"/>
      <c r="L104" s="53"/>
    </row>
    <row r="105" spans="1:12" x14ac:dyDescent="0.35">
      <c r="A105" s="48"/>
      <c r="C105" s="49"/>
      <c r="E105" s="53"/>
      <c r="F105" s="53"/>
      <c r="G105" s="53"/>
      <c r="H105" s="53"/>
      <c r="I105" s="53"/>
      <c r="J105" s="53"/>
      <c r="K105" s="53"/>
      <c r="L105" s="53"/>
    </row>
    <row r="106" spans="1:12" x14ac:dyDescent="0.35">
      <c r="A106" s="50"/>
      <c r="B106" s="51"/>
      <c r="C106" s="52"/>
      <c r="E106" s="53"/>
      <c r="F106" s="53"/>
      <c r="G106" s="53"/>
      <c r="H106" s="53"/>
      <c r="I106" s="53"/>
      <c r="J106" s="53"/>
      <c r="K106" s="53"/>
      <c r="L106" s="53"/>
    </row>
    <row r="107" spans="1:12" x14ac:dyDescent="0.35">
      <c r="A107" s="45" t="s">
        <v>53</v>
      </c>
      <c r="B107" s="46" t="s">
        <v>16</v>
      </c>
      <c r="C107" s="47" t="s">
        <v>51</v>
      </c>
      <c r="E107" s="53">
        <v>0</v>
      </c>
      <c r="F107" s="53"/>
      <c r="G107" s="53"/>
      <c r="H107" s="53"/>
      <c r="I107" s="53"/>
      <c r="J107" s="53"/>
      <c r="K107" s="53"/>
      <c r="L107" s="53"/>
    </row>
    <row r="108" spans="1:12" x14ac:dyDescent="0.35">
      <c r="A108" s="48" t="s">
        <v>54</v>
      </c>
      <c r="B108" s="29" t="s">
        <v>16</v>
      </c>
      <c r="C108" s="49" t="s">
        <v>51</v>
      </c>
      <c r="E108" s="53">
        <v>0.01</v>
      </c>
      <c r="F108" s="53"/>
      <c r="G108" s="53"/>
      <c r="H108" s="53"/>
      <c r="I108" s="53"/>
      <c r="J108" s="53"/>
      <c r="K108" s="53"/>
      <c r="L108" s="53"/>
    </row>
    <row r="109" spans="1:12" x14ac:dyDescent="0.35">
      <c r="A109" s="48" t="s">
        <v>55</v>
      </c>
      <c r="B109" s="29" t="s">
        <v>16</v>
      </c>
      <c r="C109" s="49" t="s">
        <v>51</v>
      </c>
      <c r="E109" s="53">
        <v>0.02</v>
      </c>
      <c r="F109" s="53"/>
      <c r="G109" s="53"/>
      <c r="H109" s="53"/>
      <c r="I109" s="53"/>
      <c r="J109" s="53"/>
      <c r="K109" s="53"/>
      <c r="L109" s="53"/>
    </row>
    <row r="110" spans="1:12" x14ac:dyDescent="0.35">
      <c r="A110" s="48" t="s">
        <v>56</v>
      </c>
      <c r="B110" s="29" t="s">
        <v>16</v>
      </c>
      <c r="C110" s="49" t="s">
        <v>51</v>
      </c>
      <c r="E110" s="53">
        <v>0.03</v>
      </c>
      <c r="F110" s="53"/>
      <c r="G110" s="53"/>
      <c r="H110" s="53"/>
      <c r="I110" s="53"/>
      <c r="J110" s="53"/>
      <c r="K110" s="53"/>
      <c r="L110" s="53"/>
    </row>
    <row r="111" spans="1:12" x14ac:dyDescent="0.35">
      <c r="A111" s="48" t="s">
        <v>57</v>
      </c>
      <c r="B111" s="29" t="s">
        <v>16</v>
      </c>
      <c r="C111" s="49" t="s">
        <v>51</v>
      </c>
      <c r="E111" s="53">
        <v>0.04</v>
      </c>
      <c r="F111" s="53"/>
      <c r="G111" s="53"/>
      <c r="H111" s="53"/>
      <c r="I111" s="53"/>
      <c r="J111" s="53"/>
      <c r="K111" s="53"/>
      <c r="L111" s="53"/>
    </row>
    <row r="112" spans="1:12" x14ac:dyDescent="0.35">
      <c r="A112" s="48" t="s">
        <v>58</v>
      </c>
      <c r="B112" s="29" t="s">
        <v>16</v>
      </c>
      <c r="C112" s="49" t="s">
        <v>51</v>
      </c>
      <c r="E112" s="53">
        <v>0.05</v>
      </c>
      <c r="F112" s="53"/>
      <c r="G112" s="53"/>
      <c r="H112" s="53"/>
      <c r="I112" s="53"/>
      <c r="J112" s="53"/>
      <c r="K112" s="53"/>
      <c r="L112" s="53"/>
    </row>
    <row r="113" spans="1:12" x14ac:dyDescent="0.35">
      <c r="A113" s="48" t="s">
        <v>59</v>
      </c>
      <c r="B113" s="29" t="s">
        <v>16</v>
      </c>
      <c r="C113" s="49" t="s">
        <v>51</v>
      </c>
      <c r="E113" s="53">
        <v>0.06</v>
      </c>
      <c r="F113" s="53"/>
      <c r="G113" s="53"/>
      <c r="H113" s="53"/>
      <c r="I113" s="53"/>
      <c r="J113" s="53"/>
      <c r="K113" s="53"/>
      <c r="L113" s="53"/>
    </row>
    <row r="114" spans="1:12" x14ac:dyDescent="0.35">
      <c r="A114" s="48" t="s">
        <v>60</v>
      </c>
      <c r="B114" s="29" t="s">
        <v>16</v>
      </c>
      <c r="C114" s="49" t="s">
        <v>51</v>
      </c>
      <c r="E114" s="53">
        <v>7.0000000000000007E-2</v>
      </c>
      <c r="F114" s="53"/>
      <c r="G114" s="53"/>
      <c r="H114" s="53"/>
      <c r="I114" s="53"/>
      <c r="J114" s="53"/>
      <c r="K114" s="53"/>
      <c r="L114" s="53"/>
    </row>
    <row r="115" spans="1:12" x14ac:dyDescent="0.35">
      <c r="A115" s="48" t="s">
        <v>61</v>
      </c>
      <c r="B115" s="29" t="s">
        <v>16</v>
      </c>
      <c r="C115" s="49" t="s">
        <v>51</v>
      </c>
      <c r="E115" s="53">
        <v>0.08</v>
      </c>
      <c r="F115" s="53"/>
      <c r="G115" s="53"/>
      <c r="H115" s="53"/>
      <c r="I115" s="53"/>
      <c r="J115" s="53"/>
      <c r="K115" s="53"/>
      <c r="L115" s="53"/>
    </row>
    <row r="116" spans="1:12" x14ac:dyDescent="0.35">
      <c r="A116" s="50" t="s">
        <v>62</v>
      </c>
      <c r="B116" s="51" t="s">
        <v>16</v>
      </c>
      <c r="C116" s="52" t="s">
        <v>52</v>
      </c>
      <c r="E116" s="53">
        <v>100</v>
      </c>
      <c r="F116" s="53"/>
      <c r="G116" s="53"/>
      <c r="H116" s="53"/>
      <c r="I116" s="53"/>
      <c r="J116" s="53"/>
      <c r="K116" s="53"/>
      <c r="L116" s="53"/>
    </row>
    <row r="117" spans="1:12" x14ac:dyDescent="0.35">
      <c r="A117" s="48"/>
      <c r="C117" s="49"/>
      <c r="E117" s="5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86F6-45B2-49D6-8407-B609D64E4874}">
  <sheetPr>
    <pageSetUpPr fitToPage="1"/>
  </sheetPr>
  <dimension ref="B4:F15"/>
  <sheetViews>
    <sheetView zoomScale="80" zoomScaleNormal="80" workbookViewId="0">
      <selection activeCell="Q15" sqref="Q15"/>
    </sheetView>
  </sheetViews>
  <sheetFormatPr defaultRowHeight="14.5" x14ac:dyDescent="0.35"/>
  <cols>
    <col min="2" max="2" width="20.6328125" bestFit="1" customWidth="1"/>
    <col min="3" max="3" width="13.26953125" customWidth="1"/>
    <col min="4" max="4" width="13.90625" customWidth="1"/>
  </cols>
  <sheetData>
    <row r="4" spans="2:6" x14ac:dyDescent="0.35">
      <c r="F4" t="s">
        <v>192</v>
      </c>
    </row>
    <row r="5" spans="2:6" x14ac:dyDescent="0.35">
      <c r="B5" s="96" t="s">
        <v>182</v>
      </c>
      <c r="C5" s="96" t="s">
        <v>180</v>
      </c>
      <c r="D5" s="95" t="s">
        <v>181</v>
      </c>
    </row>
    <row r="6" spans="2:6" x14ac:dyDescent="0.35">
      <c r="B6" s="97" t="s">
        <v>183</v>
      </c>
      <c r="C6" s="99" t="s">
        <v>51</v>
      </c>
      <c r="D6" s="53">
        <v>0</v>
      </c>
    </row>
    <row r="7" spans="2:6" x14ac:dyDescent="0.35">
      <c r="B7" s="97" t="s">
        <v>184</v>
      </c>
      <c r="C7" s="99" t="s">
        <v>51</v>
      </c>
      <c r="D7" s="53">
        <v>0.01</v>
      </c>
    </row>
    <row r="8" spans="2:6" x14ac:dyDescent="0.35">
      <c r="B8" s="97" t="s">
        <v>185</v>
      </c>
      <c r="C8" s="99" t="s">
        <v>51</v>
      </c>
      <c r="D8" s="53">
        <v>0.02</v>
      </c>
    </row>
    <row r="9" spans="2:6" x14ac:dyDescent="0.35">
      <c r="B9" s="97" t="s">
        <v>3</v>
      </c>
      <c r="C9" s="99" t="s">
        <v>51</v>
      </c>
      <c r="D9" s="53">
        <v>0.03</v>
      </c>
    </row>
    <row r="10" spans="2:6" x14ac:dyDescent="0.35">
      <c r="B10" s="97" t="s">
        <v>186</v>
      </c>
      <c r="C10" s="99" t="s">
        <v>51</v>
      </c>
      <c r="D10" s="53">
        <v>0.04</v>
      </c>
    </row>
    <row r="11" spans="2:6" x14ac:dyDescent="0.35">
      <c r="B11" s="97" t="s">
        <v>187</v>
      </c>
      <c r="C11" s="99" t="s">
        <v>51</v>
      </c>
      <c r="D11" s="53">
        <v>0.05</v>
      </c>
      <c r="F11" t="s">
        <v>193</v>
      </c>
    </row>
    <row r="12" spans="2:6" x14ac:dyDescent="0.35">
      <c r="B12" s="97" t="s">
        <v>188</v>
      </c>
      <c r="C12" s="99" t="s">
        <v>51</v>
      </c>
      <c r="D12" s="53">
        <v>0.06</v>
      </c>
    </row>
    <row r="13" spans="2:6" x14ac:dyDescent="0.35">
      <c r="B13" s="97" t="s">
        <v>189</v>
      </c>
      <c r="C13" s="99" t="s">
        <v>51</v>
      </c>
      <c r="D13" s="53">
        <v>7.0000000000000007E-2</v>
      </c>
    </row>
    <row r="14" spans="2:6" x14ac:dyDescent="0.35">
      <c r="B14" s="97" t="s">
        <v>190</v>
      </c>
      <c r="C14" s="99" t="s">
        <v>51</v>
      </c>
      <c r="D14" s="53">
        <v>0.08</v>
      </c>
    </row>
    <row r="15" spans="2:6" x14ac:dyDescent="0.35">
      <c r="B15" s="98" t="s">
        <v>191</v>
      </c>
      <c r="C15" s="100" t="s">
        <v>52</v>
      </c>
      <c r="D15" s="53">
        <v>100</v>
      </c>
    </row>
  </sheetData>
  <pageMargins left="0.7" right="0.7" top="0.75" bottom="0.75" header="0.3" footer="0.3"/>
  <pageSetup paperSize="9" scale="83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CJ2M_ADDRESS</vt:lpstr>
      <vt:lpstr>CP2E_ADDRESS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SUHAIMI</dc:creator>
  <cp:lastModifiedBy>Syafiq SUHAIMI</cp:lastModifiedBy>
  <cp:lastPrinted>2025-11-20T06:56:12Z</cp:lastPrinted>
  <dcterms:created xsi:type="dcterms:W3CDTF">2025-07-23T06:07:38Z</dcterms:created>
  <dcterms:modified xsi:type="dcterms:W3CDTF">2026-01-20T03:13:24Z</dcterms:modified>
</cp:coreProperties>
</file>