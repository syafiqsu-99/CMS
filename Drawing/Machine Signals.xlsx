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Drawing\"/>
    </mc:Choice>
  </mc:AlternateContent>
  <xr:revisionPtr revIDLastSave="0" documentId="13_ncr:1_{72B2A829-D34C-4668-AF9B-10E4622BF3E9}" xr6:coauthVersionLast="47" xr6:coauthVersionMax="47" xr10:uidLastSave="{00000000-0000-0000-0000-000000000000}"/>
  <bookViews>
    <workbookView xWindow="-11640" yWindow="-4425" windowWidth="11760" windowHeight="20130" xr2:uid="{93EC3023-B36F-4DC3-BF70-D43D2407BDAA}"/>
  </bookViews>
  <sheets>
    <sheet name="Signal" sheetId="1" r:id="rId1"/>
    <sheet name="Cables" sheetId="2" r:id="rId2"/>
    <sheet name="Inventory" sheetId="3" r:id="rId3"/>
  </sheets>
  <definedNames>
    <definedName name="valHighlight">IFERROR(IF(#REF!="Yes", TRUE, FALSE),FALSE)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3" l="1"/>
  <c r="F33" i="3"/>
  <c r="F32" i="3"/>
  <c r="F31" i="3"/>
  <c r="F30" i="3"/>
  <c r="F29" i="3"/>
  <c r="F27" i="3"/>
  <c r="F26" i="3"/>
  <c r="F25" i="3"/>
  <c r="F6" i="3"/>
  <c r="F12" i="3"/>
  <c r="F13" i="3"/>
  <c r="F11" i="3"/>
  <c r="F10" i="3"/>
  <c r="F23" i="3"/>
  <c r="F22" i="3"/>
  <c r="F35" i="3"/>
  <c r="F21" i="3"/>
  <c r="F5" i="3"/>
  <c r="F7" i="3"/>
  <c r="F19" i="3"/>
  <c r="F8" i="3"/>
  <c r="F9" i="3"/>
  <c r="F20" i="3"/>
  <c r="F4" i="3"/>
  <c r="F14" i="3"/>
  <c r="F15" i="3"/>
  <c r="F16" i="3"/>
  <c r="F17" i="3"/>
  <c r="F18" i="3"/>
  <c r="F24" i="3"/>
  <c r="F28" i="3"/>
  <c r="F43" i="2" l="1"/>
</calcChain>
</file>

<file path=xl/sharedStrings.xml><?xml version="1.0" encoding="utf-8"?>
<sst xmlns="http://schemas.openxmlformats.org/spreadsheetml/2006/main" count="548" uniqueCount="113">
  <si>
    <t>KM25</t>
  </si>
  <si>
    <t>POWER SUPPLY</t>
  </si>
  <si>
    <t>24V DC</t>
  </si>
  <si>
    <t>AUTO</t>
  </si>
  <si>
    <t>SHOT COUNTER</t>
  </si>
  <si>
    <t>DRY CYCLE</t>
  </si>
  <si>
    <t>BARREL HEATER</t>
  </si>
  <si>
    <t>HYDRAULIC MOTOR</t>
  </si>
  <si>
    <t>220V AC</t>
  </si>
  <si>
    <t>CHILLER</t>
  </si>
  <si>
    <t>MATERIAL</t>
  </si>
  <si>
    <t>-</t>
  </si>
  <si>
    <t>ABS-S04PA-CN</t>
  </si>
  <si>
    <t>DEHUMIDIFIER</t>
  </si>
  <si>
    <t>Description</t>
  </si>
  <si>
    <t>From</t>
  </si>
  <si>
    <t>To</t>
  </si>
  <si>
    <t>No</t>
  </si>
  <si>
    <t>Horizontal</t>
  </si>
  <si>
    <t>Main Panel</t>
  </si>
  <si>
    <t>A23</t>
  </si>
  <si>
    <t>H2</t>
  </si>
  <si>
    <t>KM26</t>
  </si>
  <si>
    <t>Vertical Up</t>
  </si>
  <si>
    <t>Vertical Down</t>
  </si>
  <si>
    <t>Side u&amp;d</t>
  </si>
  <si>
    <t>Length (m)</t>
  </si>
  <si>
    <t>Y1</t>
  </si>
  <si>
    <t>SM5</t>
  </si>
  <si>
    <t>H1</t>
  </si>
  <si>
    <t>B2</t>
  </si>
  <si>
    <t>KM16</t>
  </si>
  <si>
    <t>KM17</t>
  </si>
  <si>
    <t>Total</t>
  </si>
  <si>
    <t>Unit</t>
  </si>
  <si>
    <t>MOXA EDS-2005-ELP</t>
  </si>
  <si>
    <t>OMRON CJ1W</t>
  </si>
  <si>
    <t>OMRON CJ2M-CPU33</t>
  </si>
  <si>
    <t>OMRON CJ1W-PA202</t>
  </si>
  <si>
    <t>OMRON S8VK-S12024</t>
  </si>
  <si>
    <t>M - Meter</t>
  </si>
  <si>
    <t>ALUMINIUM DIN RAIL</t>
  </si>
  <si>
    <t>SALZER 33MM X 45MM WIRING DUCT</t>
  </si>
  <si>
    <t>CKC NHT-P</t>
  </si>
  <si>
    <t>CKC NHT-10 TERMINAL BLOCK</t>
  </si>
  <si>
    <t>OMRON CP2E-N30DR-A</t>
  </si>
  <si>
    <t>AUTONICS ABS-S04PA-CN RELAY</t>
  </si>
  <si>
    <t>SCHNEIDER RXM2LB2P7 230VAC RELAY</t>
  </si>
  <si>
    <t>SCHNEIDER EZ9F56106 6A 1P 6KA MCB</t>
  </si>
  <si>
    <t>UOM</t>
  </si>
  <si>
    <t>Asset Decription</t>
  </si>
  <si>
    <t>RFI CAT 6 CABLE</t>
  </si>
  <si>
    <t>Total Price (RM)</t>
  </si>
  <si>
    <t>Unit Price (RM)</t>
  </si>
  <si>
    <t>Quantity</t>
  </si>
  <si>
    <t>SCHNEIDER RXM2LB2FD 110VAC RELAY</t>
  </si>
  <si>
    <t>SCHNEIDER RXZE1M2C RELAY BASE</t>
  </si>
  <si>
    <t>CVS CR405020 METAL BOX</t>
  </si>
  <si>
    <t>DB9 FEMALE CONNECTOR</t>
  </si>
  <si>
    <t>OMRON CP1W OPTION BOARD CP1W-CIF11</t>
  </si>
  <si>
    <t>MEANWELL 24VDC POWER SUPPLY</t>
  </si>
  <si>
    <t>AMP RJ45 PLUG MODULAR</t>
  </si>
  <si>
    <t>110V AC</t>
  </si>
  <si>
    <t>2pole 110VAC</t>
  </si>
  <si>
    <t>Y53</t>
  </si>
  <si>
    <t>Y0</t>
  </si>
  <si>
    <t>Y24</t>
  </si>
  <si>
    <t>Y33</t>
  </si>
  <si>
    <t>H1/H2</t>
  </si>
  <si>
    <t>T055</t>
  </si>
  <si>
    <t>24V AC</t>
  </si>
  <si>
    <t>R0</t>
  </si>
  <si>
    <t>2pole 24VDC</t>
  </si>
  <si>
    <t>B3</t>
  </si>
  <si>
    <t>220V DC</t>
  </si>
  <si>
    <t>B-</t>
  </si>
  <si>
    <t>L / DC 24V</t>
  </si>
  <si>
    <t>N / DC 0V</t>
  </si>
  <si>
    <t>P1</t>
  </si>
  <si>
    <t>SOURCE</t>
  </si>
  <si>
    <t>CONTROL</t>
  </si>
  <si>
    <t>MACHINE</t>
  </si>
  <si>
    <t>RELAY</t>
  </si>
  <si>
    <t>+</t>
  </si>
  <si>
    <t>X07</t>
  </si>
  <si>
    <t>X08</t>
  </si>
  <si>
    <t>2pole 24VAC</t>
  </si>
  <si>
    <t>Sharing</t>
  </si>
  <si>
    <t xml:space="preserve">0.5MM X 3 CORE PVC CABLE </t>
  </si>
  <si>
    <t xml:space="preserve">0.5MM X 5 CORE PVC CABLE </t>
  </si>
  <si>
    <t xml:space="preserve">0.5MM X 10 CORE PVC CABLE </t>
  </si>
  <si>
    <t xml:space="preserve">0.75MM X 3 CORE PVC CABLE </t>
  </si>
  <si>
    <t>0.75MM SINGLE CORE BLACK CABLE</t>
  </si>
  <si>
    <t>0.75MM SINGLE CORE BLUE CABLE</t>
  </si>
  <si>
    <t>0.75MM SINGLE CORE WHITE CABLE</t>
  </si>
  <si>
    <t>0.75MM SINGLE CORE RED CABLE</t>
  </si>
  <si>
    <t>0.75MM SINGLE CORE GREEN CABLE</t>
  </si>
  <si>
    <t>1.5MM SINGLE CORE RED CABLE</t>
  </si>
  <si>
    <t>25MM FLEXIBLE CONDUIT</t>
  </si>
  <si>
    <t>Y32</t>
  </si>
  <si>
    <t>Y8</t>
  </si>
  <si>
    <t>PW2</t>
  </si>
  <si>
    <t>Y4</t>
  </si>
  <si>
    <t>Y30</t>
  </si>
  <si>
    <t>Y5</t>
  </si>
  <si>
    <t>2pole 220VDC</t>
  </si>
  <si>
    <t>2pole 220VAC</t>
  </si>
  <si>
    <t>C+</t>
  </si>
  <si>
    <t>C-</t>
  </si>
  <si>
    <t>A+</t>
  </si>
  <si>
    <t>X06</t>
  </si>
  <si>
    <t>220 VAC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</si>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</sst>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4">
    <dxf>
      <numFmt numFmtId="0" formatCode="General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6991A786-656B-4F04-AFB7-09201643BD3C}">
      <tableStyleElement type="wholeTable" dxfId="3"/>
      <tableStyleElement type="headerRow" dxfId="2"/>
      <tableStyleElement type="secondRowStripe" dxfId="1"/>
    </tableStyle>
    <tableStyle name="Invisible" pivot="0" table="0" count="0" xr9:uid="{3A2D63EF-5E5A-4202-9BE8-F945C7883D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E8886-4237-44EB-990A-FF6ABA8A4D0E}" name="Table1" displayName="Table1" ref="B2:F43" totalsRowCount="1">
  <autoFilter ref="B2:F42" xr:uid="{AF2E8886-4237-44EB-990A-FF6ABA8A4D0E}"/>
  <tableColumns count="5">
    <tableColumn id="1" xr3:uid="{26A1CAF1-CE68-4A71-8FCE-68CC5688BB0C}" name="No" totalsRowLabel="Total"/>
    <tableColumn id="2" xr3:uid="{0D2888D3-DF6D-4B7B-B0C2-6825D728CBD3}" name="Description"/>
    <tableColumn id="3" xr3:uid="{6B94C8E0-4D1C-46E7-9916-482A773A557F}" name="From"/>
    <tableColumn id="4" xr3:uid="{5AA8A5F4-94ED-42D5-9CC3-6098F0C9D70D}" name="To"/>
    <tableColumn id="5" xr3:uid="{A2FD185C-3978-4CA7-9AB0-77FF5DE24D84}" name="Length (m)" totalsRowFunction="su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F3FB84-866A-4824-9899-95BF80681B33}" name="Table13" displayName="Table13" ref="A3:F35" totalsRowShown="0">
  <autoFilter ref="A3:F35" xr:uid="{53DE72CA-8E83-49E2-9229-374C90FEFE2E}"/>
  <sortState xmlns:xlrd2="http://schemas.microsoft.com/office/spreadsheetml/2017/richdata2" ref="A4:F23">
    <sortCondition ref="B3:B23"/>
  </sortState>
  <tableColumns count="6">
    <tableColumn id="1" xr3:uid="{A0BC6092-3553-4098-8D35-827221E12479}" name="No"/>
    <tableColumn id="2" xr3:uid="{A65AF9EC-0070-44A9-992B-234A3B2DEED7}" name="Asset Decription"/>
    <tableColumn id="3" xr3:uid="{14ED4A66-2054-4F57-A938-4C9959BA4C35}" name="Quantity"/>
    <tableColumn id="4" xr3:uid="{6761A0DD-D560-4A23-B4B7-751F068B28AF}" name="UOM"/>
    <tableColumn id="5" xr3:uid="{57B14D15-9127-43CC-BFDD-05C061467E1B}" name="Unit Price (RM)"/>
    <tableColumn id="6" xr3:uid="{71C002C5-54FD-431A-AD48-EA6539B7638B}" name="Total Price (RM)" dataDxfId="0">
      <calculatedColumnFormula>SUM(Table13[[#This Row],[Quantity]],Table13[[#This Row],[Unit Price (RM)]])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245C-016E-4318-8A36-87C02F2525AA}">
  <dimension ref="A3:W32"/>
  <sheetViews>
    <sheetView tabSelected="1" topLeftCell="O1" workbookViewId="0">
      <selection activeCell="U31" sqref="U31"/>
    </sheetView>
  </sheetViews>
  <sheetFormatPr defaultRowHeight="14.5" x14ac:dyDescent="0.35"/>
  <cols>
    <col min="2" max="2" width="17" customWidth="1"/>
    <col min="4" max="4" width="9.26953125" bestFit="1" customWidth="1"/>
    <col min="10" max="10" width="17.54296875" bestFit="1" customWidth="1"/>
    <col min="18" max="18" width="17.54296875" bestFit="1" customWidth="1"/>
    <col min="21" max="21" width="17.6328125" customWidth="1"/>
  </cols>
  <sheetData>
    <row r="3" spans="1:23" ht="30" customHeight="1" x14ac:dyDescent="0.35">
      <c r="A3" t="s">
        <v>81</v>
      </c>
      <c r="B3" t="s">
        <v>80</v>
      </c>
      <c r="C3" t="s">
        <v>79</v>
      </c>
      <c r="D3" t="s">
        <v>76</v>
      </c>
      <c r="E3" t="s">
        <v>77</v>
      </c>
      <c r="F3" t="s">
        <v>82</v>
      </c>
      <c r="I3" t="s">
        <v>81</v>
      </c>
      <c r="J3" t="s">
        <v>80</v>
      </c>
      <c r="K3" t="s">
        <v>79</v>
      </c>
      <c r="L3" t="s">
        <v>76</v>
      </c>
      <c r="M3" t="s">
        <v>77</v>
      </c>
      <c r="N3" t="s">
        <v>82</v>
      </c>
      <c r="Q3" t="s">
        <v>81</v>
      </c>
      <c r="R3" t="s">
        <v>80</v>
      </c>
      <c r="S3" t="s">
        <v>79</v>
      </c>
      <c r="T3" t="s">
        <v>76</v>
      </c>
      <c r="U3" t="s">
        <v>77</v>
      </c>
      <c r="V3" t="s">
        <v>82</v>
      </c>
    </row>
    <row r="4" spans="1:23" x14ac:dyDescent="0.35">
      <c r="A4" s="1" t="s">
        <v>0</v>
      </c>
      <c r="B4" s="1" t="s">
        <v>1</v>
      </c>
      <c r="C4" s="1" t="s">
        <v>2</v>
      </c>
      <c r="D4" s="2" t="s">
        <v>107</v>
      </c>
      <c r="E4" s="2" t="s">
        <v>108</v>
      </c>
      <c r="F4" s="1" t="s">
        <v>12</v>
      </c>
      <c r="G4" s="1"/>
      <c r="I4" s="1" t="s">
        <v>22</v>
      </c>
      <c r="J4" s="1" t="s">
        <v>1</v>
      </c>
      <c r="K4" s="1" t="s">
        <v>2</v>
      </c>
      <c r="L4" s="2" t="s">
        <v>107</v>
      </c>
      <c r="M4" s="2" t="s">
        <v>108</v>
      </c>
      <c r="N4" s="1" t="s">
        <v>12</v>
      </c>
      <c r="O4" s="1"/>
      <c r="Q4" s="1" t="s">
        <v>27</v>
      </c>
      <c r="R4" s="1" t="s">
        <v>1</v>
      </c>
      <c r="S4" s="1" t="s">
        <v>2</v>
      </c>
      <c r="T4" s="2" t="s">
        <v>78</v>
      </c>
      <c r="U4" s="2" t="s">
        <v>101</v>
      </c>
      <c r="V4" s="1" t="s">
        <v>12</v>
      </c>
      <c r="W4" s="1"/>
    </row>
    <row r="5" spans="1:23" x14ac:dyDescent="0.35">
      <c r="A5" s="1"/>
      <c r="B5" s="1" t="s">
        <v>3</v>
      </c>
      <c r="C5" s="1" t="s">
        <v>2</v>
      </c>
      <c r="D5" s="2" t="s">
        <v>78</v>
      </c>
      <c r="E5" s="2">
        <v>99</v>
      </c>
      <c r="F5" s="1" t="s">
        <v>12</v>
      </c>
      <c r="G5" s="1"/>
      <c r="I5" s="1"/>
      <c r="J5" s="1" t="s">
        <v>3</v>
      </c>
      <c r="K5" s="1" t="s">
        <v>2</v>
      </c>
      <c r="L5" s="2" t="s">
        <v>109</v>
      </c>
      <c r="M5" s="2" t="s">
        <v>104</v>
      </c>
      <c r="N5" s="1" t="s">
        <v>12</v>
      </c>
      <c r="O5" s="1"/>
      <c r="Q5" s="1"/>
      <c r="R5" s="1" t="s">
        <v>3</v>
      </c>
      <c r="S5" s="1" t="s">
        <v>2</v>
      </c>
      <c r="T5" s="2" t="s">
        <v>78</v>
      </c>
      <c r="U5" s="2" t="s">
        <v>102</v>
      </c>
      <c r="V5" s="1" t="s">
        <v>12</v>
      </c>
      <c r="W5" s="1"/>
    </row>
    <row r="6" spans="1:23" x14ac:dyDescent="0.35">
      <c r="A6" s="1"/>
      <c r="B6" s="1" t="s">
        <v>5</v>
      </c>
      <c r="C6" s="1" t="s">
        <v>2</v>
      </c>
      <c r="D6" s="2" t="s">
        <v>78</v>
      </c>
      <c r="E6" s="2">
        <v>98</v>
      </c>
      <c r="F6" s="1" t="s">
        <v>12</v>
      </c>
      <c r="G6" s="1"/>
      <c r="I6" s="1"/>
      <c r="J6" s="1" t="s">
        <v>5</v>
      </c>
      <c r="K6" s="1" t="s">
        <v>2</v>
      </c>
      <c r="L6" s="2" t="s">
        <v>107</v>
      </c>
      <c r="M6" s="2" t="s">
        <v>65</v>
      </c>
      <c r="N6" s="1" t="s">
        <v>12</v>
      </c>
      <c r="O6" s="1"/>
      <c r="Q6" s="1"/>
      <c r="R6" s="1" t="s">
        <v>5</v>
      </c>
      <c r="S6" s="1" t="s">
        <v>2</v>
      </c>
      <c r="T6" s="2" t="s">
        <v>78</v>
      </c>
      <c r="U6" s="2" t="s">
        <v>100</v>
      </c>
      <c r="V6" s="1" t="s">
        <v>12</v>
      </c>
      <c r="W6" s="1"/>
    </row>
    <row r="7" spans="1:23" x14ac:dyDescent="0.35">
      <c r="A7" s="1"/>
      <c r="B7" s="1" t="s">
        <v>4</v>
      </c>
      <c r="C7" s="1" t="s">
        <v>2</v>
      </c>
      <c r="D7" s="2" t="s">
        <v>107</v>
      </c>
      <c r="E7" s="2">
        <v>8</v>
      </c>
      <c r="F7" s="1" t="s">
        <v>12</v>
      </c>
      <c r="G7" s="1"/>
      <c r="I7" s="1"/>
      <c r="J7" s="1" t="s">
        <v>4</v>
      </c>
      <c r="K7" s="1" t="s">
        <v>2</v>
      </c>
      <c r="L7" s="2" t="s">
        <v>107</v>
      </c>
      <c r="M7" s="2" t="s">
        <v>66</v>
      </c>
      <c r="N7" s="1" t="s">
        <v>12</v>
      </c>
      <c r="O7" s="1"/>
      <c r="Q7" s="1"/>
      <c r="R7" s="1" t="s">
        <v>4</v>
      </c>
      <c r="S7" s="1" t="s">
        <v>2</v>
      </c>
      <c r="T7" s="2" t="s">
        <v>78</v>
      </c>
      <c r="U7" s="2" t="s">
        <v>104</v>
      </c>
      <c r="V7" s="1" t="s">
        <v>12</v>
      </c>
      <c r="W7" s="1"/>
    </row>
    <row r="8" spans="1:23" x14ac:dyDescent="0.35">
      <c r="A8" s="1"/>
      <c r="B8" s="1" t="s">
        <v>6</v>
      </c>
      <c r="C8" s="1" t="s">
        <v>2</v>
      </c>
      <c r="D8" s="2" t="s">
        <v>78</v>
      </c>
      <c r="E8" s="2">
        <v>165</v>
      </c>
      <c r="F8" s="1" t="s">
        <v>72</v>
      </c>
      <c r="G8" s="1"/>
      <c r="I8" s="1"/>
      <c r="J8" s="1" t="s">
        <v>6</v>
      </c>
      <c r="K8" s="1" t="s">
        <v>2</v>
      </c>
      <c r="L8" s="2" t="s">
        <v>109</v>
      </c>
      <c r="M8" s="2" t="s">
        <v>64</v>
      </c>
      <c r="N8" s="1" t="s">
        <v>72</v>
      </c>
      <c r="O8" s="1"/>
      <c r="Q8" s="1"/>
      <c r="R8" s="1" t="s">
        <v>6</v>
      </c>
      <c r="S8" s="1" t="s">
        <v>2</v>
      </c>
      <c r="T8" s="2" t="s">
        <v>78</v>
      </c>
      <c r="U8" s="2" t="s">
        <v>103</v>
      </c>
      <c r="V8" s="1" t="s">
        <v>72</v>
      </c>
      <c r="W8" s="1"/>
    </row>
    <row r="9" spans="1:23" x14ac:dyDescent="0.35">
      <c r="A9" s="1"/>
      <c r="B9" s="1" t="s">
        <v>7</v>
      </c>
      <c r="C9" s="1" t="s">
        <v>8</v>
      </c>
      <c r="D9" s="2">
        <v>0</v>
      </c>
      <c r="E9" s="2">
        <v>53</v>
      </c>
      <c r="F9" s="1" t="s">
        <v>106</v>
      </c>
      <c r="G9" s="1"/>
      <c r="I9" s="1"/>
      <c r="J9" s="1" t="s">
        <v>7</v>
      </c>
      <c r="K9" s="1" t="s">
        <v>2</v>
      </c>
      <c r="L9" s="2" t="s">
        <v>109</v>
      </c>
      <c r="M9" s="2" t="s">
        <v>67</v>
      </c>
      <c r="N9" s="1" t="s">
        <v>72</v>
      </c>
      <c r="O9" s="1"/>
      <c r="Q9" s="1"/>
      <c r="R9" s="1" t="s">
        <v>7</v>
      </c>
      <c r="S9" s="1" t="s">
        <v>8</v>
      </c>
      <c r="T9" s="2" t="s">
        <v>78</v>
      </c>
      <c r="U9" s="2" t="s">
        <v>99</v>
      </c>
      <c r="V9" s="1" t="s">
        <v>106</v>
      </c>
      <c r="W9" s="1"/>
    </row>
    <row r="10" spans="1:23" x14ac:dyDescent="0.35">
      <c r="A10" s="1"/>
      <c r="B10" s="1" t="s">
        <v>13</v>
      </c>
      <c r="C10" s="1" t="s">
        <v>11</v>
      </c>
      <c r="D10" s="2" t="s">
        <v>83</v>
      </c>
      <c r="E10" s="2" t="s">
        <v>110</v>
      </c>
      <c r="F10" s="1"/>
      <c r="G10" s="1"/>
      <c r="I10" s="1"/>
      <c r="J10" s="1" t="s">
        <v>13</v>
      </c>
      <c r="K10" s="1" t="s">
        <v>11</v>
      </c>
      <c r="L10" s="2" t="s">
        <v>83</v>
      </c>
      <c r="M10" s="2" t="s">
        <v>110</v>
      </c>
      <c r="N10" s="1"/>
      <c r="O10" s="1"/>
      <c r="Q10" s="1"/>
      <c r="R10" s="1" t="s">
        <v>13</v>
      </c>
      <c r="S10" s="1" t="s">
        <v>2</v>
      </c>
      <c r="T10" s="2" t="s">
        <v>83</v>
      </c>
      <c r="U10" s="2" t="s">
        <v>110</v>
      </c>
      <c r="V10" s="1" t="s">
        <v>87</v>
      </c>
      <c r="W10" s="1"/>
    </row>
    <row r="11" spans="1:23" x14ac:dyDescent="0.35">
      <c r="A11" s="1"/>
      <c r="B11" s="1" t="s">
        <v>9</v>
      </c>
      <c r="C11" s="1" t="s">
        <v>11</v>
      </c>
      <c r="D11" s="2" t="s">
        <v>83</v>
      </c>
      <c r="E11" s="2" t="s">
        <v>84</v>
      </c>
      <c r="F11" s="1"/>
      <c r="G11" s="1"/>
      <c r="I11" s="1"/>
      <c r="J11" s="1" t="s">
        <v>9</v>
      </c>
      <c r="K11" s="1" t="s">
        <v>11</v>
      </c>
      <c r="L11" s="2" t="s">
        <v>83</v>
      </c>
      <c r="M11" s="2" t="s">
        <v>84</v>
      </c>
      <c r="N11" s="1"/>
      <c r="O11" s="1"/>
      <c r="Q11" s="1"/>
      <c r="R11" s="1" t="s">
        <v>9</v>
      </c>
      <c r="S11" s="1" t="s">
        <v>2</v>
      </c>
      <c r="T11" s="2" t="s">
        <v>83</v>
      </c>
      <c r="U11" s="2" t="s">
        <v>84</v>
      </c>
      <c r="V11" s="1" t="s">
        <v>72</v>
      </c>
      <c r="W11" s="1"/>
    </row>
    <row r="12" spans="1:23" x14ac:dyDescent="0.35">
      <c r="A12" s="1"/>
      <c r="B12" s="1" t="s">
        <v>10</v>
      </c>
      <c r="C12" s="1" t="s">
        <v>11</v>
      </c>
      <c r="D12" s="2" t="s">
        <v>83</v>
      </c>
      <c r="E12" s="2" t="s">
        <v>85</v>
      </c>
      <c r="F12" s="1"/>
      <c r="G12" s="1"/>
      <c r="I12" s="1"/>
      <c r="J12" s="1" t="s">
        <v>10</v>
      </c>
      <c r="K12" s="1" t="s">
        <v>2</v>
      </c>
      <c r="L12" s="2" t="s">
        <v>83</v>
      </c>
      <c r="M12" s="2" t="s">
        <v>85</v>
      </c>
      <c r="N12" s="1" t="s">
        <v>72</v>
      </c>
      <c r="O12" s="1"/>
      <c r="Q12" s="1"/>
      <c r="R12" s="1" t="s">
        <v>10</v>
      </c>
      <c r="S12" s="1" t="s">
        <v>74</v>
      </c>
      <c r="T12" s="2" t="s">
        <v>83</v>
      </c>
      <c r="U12" s="2" t="s">
        <v>85</v>
      </c>
      <c r="V12" s="1" t="s">
        <v>105</v>
      </c>
      <c r="W12" s="1"/>
    </row>
    <row r="13" spans="1:23" x14ac:dyDescent="0.35">
      <c r="D13" s="3"/>
      <c r="E13" s="3"/>
      <c r="L13" s="3"/>
      <c r="M13" s="3"/>
      <c r="T13" s="3"/>
      <c r="U13" s="3"/>
    </row>
    <row r="14" spans="1:23" x14ac:dyDescent="0.35">
      <c r="A14" s="1" t="s">
        <v>20</v>
      </c>
      <c r="B14" s="1" t="s">
        <v>1</v>
      </c>
      <c r="C14" s="1" t="s">
        <v>62</v>
      </c>
      <c r="D14" s="2" t="s">
        <v>112</v>
      </c>
      <c r="E14" s="2">
        <v>273</v>
      </c>
      <c r="F14" s="1" t="s">
        <v>63</v>
      </c>
      <c r="G14" s="1"/>
      <c r="I14" s="1" t="s">
        <v>68</v>
      </c>
      <c r="J14" s="1" t="s">
        <v>1</v>
      </c>
      <c r="K14" s="1" t="s">
        <v>2</v>
      </c>
      <c r="L14" s="2" t="s">
        <v>78</v>
      </c>
      <c r="M14" s="2" t="s">
        <v>75</v>
      </c>
      <c r="N14" s="1" t="s">
        <v>12</v>
      </c>
      <c r="O14" s="1"/>
      <c r="Q14" s="1" t="s">
        <v>73</v>
      </c>
      <c r="R14" s="1" t="s">
        <v>1</v>
      </c>
      <c r="S14" s="1" t="s">
        <v>2</v>
      </c>
      <c r="T14" s="2" t="s">
        <v>78</v>
      </c>
      <c r="U14" s="2" t="s">
        <v>75</v>
      </c>
      <c r="V14" s="1" t="s">
        <v>12</v>
      </c>
      <c r="W14" s="1"/>
    </row>
    <row r="15" spans="1:23" x14ac:dyDescent="0.35">
      <c r="A15" s="1"/>
      <c r="B15" s="1" t="s">
        <v>3</v>
      </c>
      <c r="C15" s="1" t="s">
        <v>2</v>
      </c>
      <c r="D15" s="2" t="s">
        <v>78</v>
      </c>
      <c r="E15" s="2">
        <v>2</v>
      </c>
      <c r="F15" s="1" t="s">
        <v>12</v>
      </c>
      <c r="G15" s="1"/>
      <c r="I15" s="1"/>
      <c r="J15" s="1" t="s">
        <v>3</v>
      </c>
      <c r="K15" s="1" t="s">
        <v>2</v>
      </c>
      <c r="L15" s="2" t="s">
        <v>78</v>
      </c>
      <c r="M15" s="2">
        <v>9</v>
      </c>
      <c r="N15" s="1" t="s">
        <v>12</v>
      </c>
      <c r="O15" s="1"/>
      <c r="Q15" s="1"/>
      <c r="R15" s="1" t="s">
        <v>3</v>
      </c>
      <c r="S15" s="1" t="s">
        <v>2</v>
      </c>
      <c r="T15" s="2" t="s">
        <v>78</v>
      </c>
      <c r="U15" s="2">
        <v>26</v>
      </c>
      <c r="V15" s="1" t="s">
        <v>12</v>
      </c>
      <c r="W15" s="1"/>
    </row>
    <row r="16" spans="1:23" x14ac:dyDescent="0.35">
      <c r="A16" s="1"/>
      <c r="B16" s="1" t="s">
        <v>5</v>
      </c>
      <c r="C16" s="1" t="s">
        <v>2</v>
      </c>
      <c r="D16" s="2" t="s">
        <v>78</v>
      </c>
      <c r="E16" s="2">
        <v>112</v>
      </c>
      <c r="F16" s="1" t="s">
        <v>12</v>
      </c>
      <c r="G16" s="1"/>
      <c r="I16" s="1"/>
      <c r="J16" s="1" t="s">
        <v>5</v>
      </c>
      <c r="K16" s="1" t="s">
        <v>2</v>
      </c>
      <c r="L16" s="2" t="s">
        <v>78</v>
      </c>
      <c r="M16" s="2">
        <v>10</v>
      </c>
      <c r="N16" s="1" t="s">
        <v>12</v>
      </c>
      <c r="O16" s="1"/>
      <c r="Q16" s="1"/>
      <c r="R16" s="1" t="s">
        <v>5</v>
      </c>
      <c r="S16" s="1" t="s">
        <v>2</v>
      </c>
      <c r="T16" s="2" t="s">
        <v>78</v>
      </c>
      <c r="U16" s="2">
        <v>17</v>
      </c>
      <c r="V16" s="1" t="s">
        <v>12</v>
      </c>
      <c r="W16" s="1"/>
    </row>
    <row r="17" spans="1:23" x14ac:dyDescent="0.35">
      <c r="A17" s="1"/>
      <c r="B17" s="1" t="s">
        <v>4</v>
      </c>
      <c r="C17" s="1" t="s">
        <v>2</v>
      </c>
      <c r="D17" s="2" t="s">
        <v>78</v>
      </c>
      <c r="E17" s="2">
        <v>94</v>
      </c>
      <c r="F17" s="1" t="s">
        <v>12</v>
      </c>
      <c r="G17" s="1"/>
      <c r="I17" s="1"/>
      <c r="J17" s="1" t="s">
        <v>4</v>
      </c>
      <c r="K17" s="1" t="s">
        <v>2</v>
      </c>
      <c r="L17" s="2" t="s">
        <v>78</v>
      </c>
      <c r="M17" s="2">
        <v>4</v>
      </c>
      <c r="N17" s="1" t="s">
        <v>12</v>
      </c>
      <c r="O17" s="1"/>
      <c r="Q17" s="1"/>
      <c r="R17" s="1" t="s">
        <v>4</v>
      </c>
      <c r="S17" s="1" t="s">
        <v>2</v>
      </c>
      <c r="T17" s="2" t="s">
        <v>78</v>
      </c>
      <c r="U17" s="2">
        <v>21</v>
      </c>
      <c r="V17" s="1" t="s">
        <v>12</v>
      </c>
      <c r="W17" s="1"/>
    </row>
    <row r="18" spans="1:23" x14ac:dyDescent="0.35">
      <c r="A18" s="1"/>
      <c r="B18" s="1" t="s">
        <v>6</v>
      </c>
      <c r="C18" s="1" t="s">
        <v>2</v>
      </c>
      <c r="D18" s="2" t="s">
        <v>78</v>
      </c>
      <c r="E18" s="2">
        <v>501</v>
      </c>
      <c r="F18" s="1" t="s">
        <v>12</v>
      </c>
      <c r="G18" s="1"/>
      <c r="I18" s="1"/>
      <c r="J18" s="1" t="s">
        <v>6</v>
      </c>
      <c r="K18" s="1" t="s">
        <v>2</v>
      </c>
      <c r="L18" s="2" t="s">
        <v>78</v>
      </c>
      <c r="M18" s="2" t="s">
        <v>69</v>
      </c>
      <c r="N18" s="1" t="s">
        <v>72</v>
      </c>
      <c r="O18" s="1"/>
      <c r="Q18" s="1"/>
      <c r="R18" s="1" t="s">
        <v>6</v>
      </c>
      <c r="S18" s="1" t="s">
        <v>2</v>
      </c>
      <c r="T18" s="2" t="s">
        <v>78</v>
      </c>
      <c r="U18" s="2">
        <v>30</v>
      </c>
      <c r="V18" s="1" t="s">
        <v>72</v>
      </c>
      <c r="W18" s="1"/>
    </row>
    <row r="19" spans="1:23" x14ac:dyDescent="0.35">
      <c r="A19" s="1"/>
      <c r="B19" s="1" t="s">
        <v>7</v>
      </c>
      <c r="C19" s="1" t="s">
        <v>62</v>
      </c>
      <c r="D19" s="2" t="s">
        <v>112</v>
      </c>
      <c r="E19" s="2">
        <v>212</v>
      </c>
      <c r="F19" s="1" t="s">
        <v>63</v>
      </c>
      <c r="G19" s="1"/>
      <c r="I19" s="1"/>
      <c r="J19" s="1" t="s">
        <v>7</v>
      </c>
      <c r="K19" s="1" t="s">
        <v>2</v>
      </c>
      <c r="L19" s="2" t="s">
        <v>78</v>
      </c>
      <c r="M19" s="2" t="s">
        <v>71</v>
      </c>
      <c r="N19" s="1" t="s">
        <v>72</v>
      </c>
      <c r="O19" s="1"/>
      <c r="Q19" s="1"/>
      <c r="R19" s="1" t="s">
        <v>7</v>
      </c>
      <c r="S19" s="1" t="s">
        <v>2</v>
      </c>
      <c r="T19" s="2" t="s">
        <v>78</v>
      </c>
      <c r="U19" s="2">
        <v>14</v>
      </c>
      <c r="V19" s="1" t="s">
        <v>72</v>
      </c>
      <c r="W19" s="1"/>
    </row>
    <row r="20" spans="1:23" x14ac:dyDescent="0.35">
      <c r="A20" s="1"/>
      <c r="B20" s="1" t="s">
        <v>13</v>
      </c>
      <c r="C20" s="1" t="s">
        <v>2</v>
      </c>
      <c r="D20" s="2" t="s">
        <v>83</v>
      </c>
      <c r="E20" s="2" t="s">
        <v>110</v>
      </c>
      <c r="F20" s="1" t="s">
        <v>72</v>
      </c>
      <c r="G20" s="1"/>
      <c r="I20" s="1"/>
      <c r="J20" s="1" t="s">
        <v>13</v>
      </c>
      <c r="K20" s="1" t="s">
        <v>2</v>
      </c>
      <c r="L20" s="2" t="s">
        <v>83</v>
      </c>
      <c r="M20" s="2" t="s">
        <v>110</v>
      </c>
      <c r="N20" s="1" t="s">
        <v>72</v>
      </c>
      <c r="O20" s="1"/>
      <c r="Q20" s="1"/>
      <c r="R20" s="1" t="s">
        <v>13</v>
      </c>
      <c r="S20" s="1" t="s">
        <v>11</v>
      </c>
      <c r="T20" s="2" t="s">
        <v>83</v>
      </c>
      <c r="U20" s="2" t="s">
        <v>110</v>
      </c>
      <c r="V20" s="1"/>
      <c r="W20" s="1"/>
    </row>
    <row r="21" spans="1:23" x14ac:dyDescent="0.35">
      <c r="A21" s="1"/>
      <c r="B21" s="1" t="s">
        <v>9</v>
      </c>
      <c r="C21" s="1" t="s">
        <v>2</v>
      </c>
      <c r="D21" s="2" t="s">
        <v>83</v>
      </c>
      <c r="E21" s="2" t="s">
        <v>84</v>
      </c>
      <c r="F21" s="1" t="s">
        <v>72</v>
      </c>
      <c r="G21" s="1"/>
      <c r="I21" s="1"/>
      <c r="J21" s="1" t="s">
        <v>9</v>
      </c>
      <c r="K21" s="1" t="s">
        <v>70</v>
      </c>
      <c r="L21" s="2" t="s">
        <v>83</v>
      </c>
      <c r="M21" s="2" t="s">
        <v>84</v>
      </c>
      <c r="N21" s="1" t="s">
        <v>86</v>
      </c>
      <c r="O21" s="1"/>
      <c r="Q21" s="1"/>
      <c r="R21" s="1" t="s">
        <v>9</v>
      </c>
      <c r="S21" s="1" t="s">
        <v>2</v>
      </c>
      <c r="T21" s="2" t="s">
        <v>83</v>
      </c>
      <c r="U21" s="2" t="s">
        <v>84</v>
      </c>
      <c r="V21" s="1" t="s">
        <v>72</v>
      </c>
      <c r="W21" s="1"/>
    </row>
    <row r="22" spans="1:23" x14ac:dyDescent="0.35">
      <c r="A22" s="1"/>
      <c r="B22" s="1" t="s">
        <v>10</v>
      </c>
      <c r="C22" s="1" t="s">
        <v>2</v>
      </c>
      <c r="D22" s="2" t="s">
        <v>83</v>
      </c>
      <c r="E22" s="2" t="s">
        <v>85</v>
      </c>
      <c r="F22" s="1" t="s">
        <v>72</v>
      </c>
      <c r="G22" s="1"/>
      <c r="I22" s="1"/>
      <c r="J22" s="1" t="s">
        <v>10</v>
      </c>
      <c r="K22" s="1" t="s">
        <v>70</v>
      </c>
      <c r="L22" s="2" t="s">
        <v>83</v>
      </c>
      <c r="M22" s="2" t="s">
        <v>85</v>
      </c>
      <c r="N22" s="1" t="s">
        <v>86</v>
      </c>
      <c r="O22" s="1"/>
      <c r="Q22" s="1"/>
      <c r="R22" s="1" t="s">
        <v>10</v>
      </c>
      <c r="S22" s="1" t="s">
        <v>2</v>
      </c>
      <c r="T22" s="2" t="s">
        <v>83</v>
      </c>
      <c r="U22" s="2" t="s">
        <v>85</v>
      </c>
      <c r="V22" s="1" t="s">
        <v>72</v>
      </c>
      <c r="W22" s="1"/>
    </row>
    <row r="24" spans="1:23" x14ac:dyDescent="0.35">
      <c r="A24" s="1" t="s">
        <v>32</v>
      </c>
      <c r="B24" s="1" t="s">
        <v>1</v>
      </c>
      <c r="C24" s="1" t="s">
        <v>2</v>
      </c>
      <c r="D24" s="2" t="s">
        <v>107</v>
      </c>
      <c r="E24" s="2" t="s">
        <v>108</v>
      </c>
      <c r="F24" s="1" t="s">
        <v>12</v>
      </c>
      <c r="G24" s="1"/>
      <c r="I24" s="1" t="s">
        <v>31</v>
      </c>
      <c r="J24" s="1" t="s">
        <v>1</v>
      </c>
      <c r="K24" s="1" t="s">
        <v>2</v>
      </c>
      <c r="L24" s="2" t="s">
        <v>107</v>
      </c>
      <c r="M24" s="2" t="s">
        <v>108</v>
      </c>
      <c r="N24" s="1" t="s">
        <v>12</v>
      </c>
      <c r="O24" s="1"/>
      <c r="Q24" t="s">
        <v>28</v>
      </c>
      <c r="R24" t="s">
        <v>1</v>
      </c>
    </row>
    <row r="25" spans="1:23" x14ac:dyDescent="0.35">
      <c r="A25" s="1"/>
      <c r="B25" s="1" t="s">
        <v>3</v>
      </c>
      <c r="C25" s="1" t="s">
        <v>2</v>
      </c>
      <c r="D25" s="2" t="s">
        <v>83</v>
      </c>
      <c r="E25" s="2">
        <v>55</v>
      </c>
      <c r="F25" s="1" t="s">
        <v>12</v>
      </c>
      <c r="G25" s="1"/>
      <c r="I25" s="1"/>
      <c r="J25" s="1" t="s">
        <v>3</v>
      </c>
      <c r="K25" s="1" t="s">
        <v>2</v>
      </c>
      <c r="L25" s="2" t="s">
        <v>83</v>
      </c>
      <c r="M25" s="2">
        <v>85</v>
      </c>
      <c r="N25" s="1" t="s">
        <v>12</v>
      </c>
      <c r="O25" s="1"/>
      <c r="R25" t="s">
        <v>3</v>
      </c>
    </row>
    <row r="26" spans="1:23" x14ac:dyDescent="0.35">
      <c r="A26" s="1"/>
      <c r="B26" s="1" t="s">
        <v>5</v>
      </c>
      <c r="C26" s="1" t="s">
        <v>2</v>
      </c>
      <c r="D26" s="2" t="s">
        <v>83</v>
      </c>
      <c r="E26" s="2">
        <v>33</v>
      </c>
      <c r="F26" s="1" t="s">
        <v>12</v>
      </c>
      <c r="G26" s="1"/>
      <c r="I26" s="1"/>
      <c r="J26" s="1" t="s">
        <v>5</v>
      </c>
      <c r="K26" s="1" t="s">
        <v>2</v>
      </c>
      <c r="L26" s="2" t="s">
        <v>83</v>
      </c>
      <c r="M26" s="2">
        <v>36</v>
      </c>
      <c r="N26" s="1" t="s">
        <v>12</v>
      </c>
      <c r="O26" s="1"/>
      <c r="R26" t="s">
        <v>5</v>
      </c>
    </row>
    <row r="27" spans="1:23" x14ac:dyDescent="0.35">
      <c r="A27" s="1"/>
      <c r="B27" s="1" t="s">
        <v>4</v>
      </c>
      <c r="C27" s="1" t="s">
        <v>2</v>
      </c>
      <c r="D27" s="2" t="s">
        <v>107</v>
      </c>
      <c r="E27" s="2"/>
      <c r="F27" s="1" t="s">
        <v>12</v>
      </c>
      <c r="G27" s="1"/>
      <c r="I27" s="1"/>
      <c r="J27" s="1" t="s">
        <v>4</v>
      </c>
      <c r="K27" s="1" t="s">
        <v>2</v>
      </c>
      <c r="L27" s="2" t="s">
        <v>107</v>
      </c>
      <c r="M27" s="2">
        <v>8</v>
      </c>
      <c r="N27" s="1" t="s">
        <v>12</v>
      </c>
      <c r="O27" s="1"/>
      <c r="R27" t="s">
        <v>4</v>
      </c>
    </row>
    <row r="28" spans="1:23" x14ac:dyDescent="0.35">
      <c r="A28" s="1"/>
      <c r="B28" s="1" t="s">
        <v>6</v>
      </c>
      <c r="C28" s="1" t="s">
        <v>111</v>
      </c>
      <c r="D28" s="2" t="s">
        <v>112</v>
      </c>
      <c r="E28" s="2">
        <v>23</v>
      </c>
      <c r="F28" s="1" t="s">
        <v>106</v>
      </c>
      <c r="G28" s="1"/>
      <c r="I28" s="1"/>
      <c r="J28" s="1" t="s">
        <v>6</v>
      </c>
      <c r="K28" s="1" t="s">
        <v>8</v>
      </c>
      <c r="L28" s="2"/>
      <c r="M28" s="2">
        <v>23</v>
      </c>
      <c r="N28" s="1" t="s">
        <v>106</v>
      </c>
      <c r="O28" s="1"/>
      <c r="R28" t="s">
        <v>6</v>
      </c>
    </row>
    <row r="29" spans="1:23" x14ac:dyDescent="0.35">
      <c r="A29" s="1"/>
      <c r="B29" s="1" t="s">
        <v>7</v>
      </c>
      <c r="C29" s="1" t="s">
        <v>111</v>
      </c>
      <c r="D29" s="2" t="s">
        <v>112</v>
      </c>
      <c r="E29" s="2">
        <v>53</v>
      </c>
      <c r="F29" s="1" t="s">
        <v>106</v>
      </c>
      <c r="G29" s="1"/>
      <c r="I29" s="1"/>
      <c r="J29" s="1" t="s">
        <v>7</v>
      </c>
      <c r="K29" s="1" t="s">
        <v>8</v>
      </c>
      <c r="L29" s="2"/>
      <c r="M29" s="2">
        <v>53</v>
      </c>
      <c r="N29" s="1" t="s">
        <v>106</v>
      </c>
      <c r="O29" s="1"/>
      <c r="R29" t="s">
        <v>7</v>
      </c>
    </row>
    <row r="30" spans="1:23" x14ac:dyDescent="0.35">
      <c r="A30" s="1"/>
      <c r="B30" s="1" t="s">
        <v>13</v>
      </c>
      <c r="C30" s="1" t="s">
        <v>11</v>
      </c>
      <c r="D30" s="2" t="s">
        <v>83</v>
      </c>
      <c r="E30" s="2" t="s">
        <v>110</v>
      </c>
      <c r="F30" s="1"/>
      <c r="G30" s="1"/>
      <c r="I30" s="1"/>
      <c r="J30" s="1" t="s">
        <v>13</v>
      </c>
      <c r="K30" s="1" t="s">
        <v>11</v>
      </c>
      <c r="L30" s="2" t="s">
        <v>83</v>
      </c>
      <c r="M30" s="2" t="s">
        <v>110</v>
      </c>
      <c r="N30" s="1"/>
      <c r="O30" s="1"/>
      <c r="R30" t="s">
        <v>13</v>
      </c>
    </row>
    <row r="31" spans="1:23" x14ac:dyDescent="0.35">
      <c r="A31" s="1"/>
      <c r="B31" s="1" t="s">
        <v>9</v>
      </c>
      <c r="C31" s="1" t="s">
        <v>11</v>
      </c>
      <c r="D31" s="2" t="s">
        <v>83</v>
      </c>
      <c r="E31" s="2" t="s">
        <v>84</v>
      </c>
      <c r="F31" s="1"/>
      <c r="G31" s="1"/>
      <c r="I31" s="1"/>
      <c r="J31" s="1" t="s">
        <v>9</v>
      </c>
      <c r="K31" s="1" t="s">
        <v>11</v>
      </c>
      <c r="L31" s="2" t="s">
        <v>83</v>
      </c>
      <c r="M31" s="2" t="s">
        <v>84</v>
      </c>
      <c r="N31" s="1"/>
      <c r="O31" s="1"/>
      <c r="R31" t="s">
        <v>9</v>
      </c>
    </row>
    <row r="32" spans="1:23" x14ac:dyDescent="0.35">
      <c r="A32" s="1"/>
      <c r="B32" s="1" t="s">
        <v>10</v>
      </c>
      <c r="C32" s="1" t="s">
        <v>11</v>
      </c>
      <c r="D32" s="2" t="s">
        <v>83</v>
      </c>
      <c r="E32" s="2" t="s">
        <v>85</v>
      </c>
      <c r="F32" s="1"/>
      <c r="G32" s="1"/>
      <c r="I32" s="1"/>
      <c r="J32" s="1" t="s">
        <v>10</v>
      </c>
      <c r="K32" s="1" t="s">
        <v>11</v>
      </c>
      <c r="L32" s="2" t="s">
        <v>83</v>
      </c>
      <c r="M32" s="2" t="s">
        <v>85</v>
      </c>
      <c r="N32" s="1"/>
      <c r="O32" s="1"/>
      <c r="R3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80EE-0ECC-444A-A026-DCB602189BEE}">
  <dimension ref="B2:F43"/>
  <sheetViews>
    <sheetView workbookViewId="0">
      <selection activeCell="F43" sqref="F43"/>
    </sheetView>
  </sheetViews>
  <sheetFormatPr defaultRowHeight="14.5" x14ac:dyDescent="0.35"/>
  <cols>
    <col min="3" max="3" width="21" customWidth="1"/>
    <col min="4" max="4" width="14.81640625" customWidth="1"/>
    <col min="5" max="5" width="16.36328125" customWidth="1"/>
    <col min="6" max="6" width="11.81640625" customWidth="1"/>
  </cols>
  <sheetData>
    <row r="2" spans="2:6" x14ac:dyDescent="0.35">
      <c r="B2" t="s">
        <v>17</v>
      </c>
      <c r="C2" t="s">
        <v>14</v>
      </c>
      <c r="D2" t="s">
        <v>15</v>
      </c>
      <c r="E2" t="s">
        <v>16</v>
      </c>
      <c r="F2" t="s">
        <v>26</v>
      </c>
    </row>
    <row r="3" spans="2:6" x14ac:dyDescent="0.35">
      <c r="B3">
        <v>1</v>
      </c>
      <c r="C3" t="s">
        <v>18</v>
      </c>
      <c r="D3" t="s">
        <v>19</v>
      </c>
      <c r="E3" t="s">
        <v>20</v>
      </c>
      <c r="F3">
        <v>24</v>
      </c>
    </row>
    <row r="4" spans="2:6" x14ac:dyDescent="0.35">
      <c r="B4">
        <v>2</v>
      </c>
      <c r="C4" t="s">
        <v>23</v>
      </c>
      <c r="D4" t="s">
        <v>19</v>
      </c>
      <c r="E4" t="s">
        <v>20</v>
      </c>
      <c r="F4">
        <v>4.0999999999999996</v>
      </c>
    </row>
    <row r="5" spans="2:6" x14ac:dyDescent="0.35">
      <c r="B5">
        <v>3</v>
      </c>
      <c r="C5" t="s">
        <v>24</v>
      </c>
      <c r="D5" t="s">
        <v>19</v>
      </c>
      <c r="E5" t="s">
        <v>20</v>
      </c>
      <c r="F5">
        <v>2.2999999999999998</v>
      </c>
    </row>
    <row r="6" spans="2:6" x14ac:dyDescent="0.35">
      <c r="B6">
        <v>4</v>
      </c>
      <c r="C6" t="s">
        <v>25</v>
      </c>
      <c r="D6" t="s">
        <v>19</v>
      </c>
      <c r="E6" t="s">
        <v>20</v>
      </c>
      <c r="F6">
        <v>1.4</v>
      </c>
    </row>
    <row r="7" spans="2:6" x14ac:dyDescent="0.35">
      <c r="B7">
        <v>5</v>
      </c>
      <c r="C7" t="s">
        <v>18</v>
      </c>
      <c r="D7" t="s">
        <v>20</v>
      </c>
      <c r="E7" t="s">
        <v>21</v>
      </c>
      <c r="F7">
        <v>3.6</v>
      </c>
    </row>
    <row r="8" spans="2:6" x14ac:dyDescent="0.35">
      <c r="B8">
        <v>6</v>
      </c>
      <c r="C8" t="s">
        <v>23</v>
      </c>
      <c r="D8" t="s">
        <v>20</v>
      </c>
      <c r="E8" t="s">
        <v>21</v>
      </c>
      <c r="F8">
        <v>3.1</v>
      </c>
    </row>
    <row r="9" spans="2:6" x14ac:dyDescent="0.35">
      <c r="B9">
        <v>7</v>
      </c>
      <c r="C9" t="s">
        <v>24</v>
      </c>
      <c r="D9" t="s">
        <v>20</v>
      </c>
      <c r="E9" t="s">
        <v>21</v>
      </c>
      <c r="F9">
        <v>3.1</v>
      </c>
    </row>
    <row r="10" spans="2:6" x14ac:dyDescent="0.35">
      <c r="B10">
        <v>8</v>
      </c>
      <c r="C10" t="s">
        <v>25</v>
      </c>
      <c r="D10" t="s">
        <v>20</v>
      </c>
      <c r="E10" t="s">
        <v>21</v>
      </c>
      <c r="F10">
        <v>1.4</v>
      </c>
    </row>
    <row r="11" spans="2:6" x14ac:dyDescent="0.35">
      <c r="B11">
        <v>9</v>
      </c>
      <c r="C11" t="s">
        <v>18</v>
      </c>
      <c r="D11" t="s">
        <v>21</v>
      </c>
      <c r="E11" t="s">
        <v>22</v>
      </c>
      <c r="F11">
        <v>3.6</v>
      </c>
    </row>
    <row r="12" spans="2:6" x14ac:dyDescent="0.35">
      <c r="B12">
        <v>10</v>
      </c>
      <c r="C12" t="s">
        <v>23</v>
      </c>
      <c r="D12" t="s">
        <v>21</v>
      </c>
      <c r="E12" t="s">
        <v>22</v>
      </c>
      <c r="F12">
        <v>3.1</v>
      </c>
    </row>
    <row r="13" spans="2:6" x14ac:dyDescent="0.35">
      <c r="B13">
        <v>11</v>
      </c>
      <c r="C13" t="s">
        <v>24</v>
      </c>
      <c r="D13" t="s">
        <v>21</v>
      </c>
      <c r="E13" t="s">
        <v>22</v>
      </c>
      <c r="F13">
        <v>3.1</v>
      </c>
    </row>
    <row r="14" spans="2:6" x14ac:dyDescent="0.35">
      <c r="B14">
        <v>12</v>
      </c>
      <c r="C14" t="s">
        <v>25</v>
      </c>
      <c r="D14" t="s">
        <v>21</v>
      </c>
      <c r="E14" t="s">
        <v>22</v>
      </c>
      <c r="F14">
        <v>1.4</v>
      </c>
    </row>
    <row r="15" spans="2:6" x14ac:dyDescent="0.35">
      <c r="B15">
        <v>13</v>
      </c>
      <c r="C15" t="s">
        <v>18</v>
      </c>
      <c r="D15" t="s">
        <v>22</v>
      </c>
      <c r="E15" t="s">
        <v>27</v>
      </c>
      <c r="F15">
        <v>3.6</v>
      </c>
    </row>
    <row r="16" spans="2:6" x14ac:dyDescent="0.35">
      <c r="B16">
        <v>14</v>
      </c>
      <c r="C16" t="s">
        <v>23</v>
      </c>
      <c r="D16" t="s">
        <v>22</v>
      </c>
      <c r="E16" t="s">
        <v>27</v>
      </c>
      <c r="F16">
        <v>3.1</v>
      </c>
    </row>
    <row r="17" spans="2:6" x14ac:dyDescent="0.35">
      <c r="B17">
        <v>15</v>
      </c>
      <c r="C17" t="s">
        <v>24</v>
      </c>
      <c r="D17" t="s">
        <v>22</v>
      </c>
      <c r="E17" t="s">
        <v>27</v>
      </c>
      <c r="F17">
        <v>3.1</v>
      </c>
    </row>
    <row r="18" spans="2:6" x14ac:dyDescent="0.35">
      <c r="B18">
        <v>16</v>
      </c>
      <c r="C18" t="s">
        <v>25</v>
      </c>
      <c r="D18" t="s">
        <v>22</v>
      </c>
      <c r="E18" t="s">
        <v>27</v>
      </c>
      <c r="F18">
        <v>1.4</v>
      </c>
    </row>
    <row r="19" spans="2:6" x14ac:dyDescent="0.35">
      <c r="B19">
        <v>17</v>
      </c>
      <c r="C19" t="s">
        <v>18</v>
      </c>
      <c r="D19" t="s">
        <v>27</v>
      </c>
      <c r="E19" t="s">
        <v>28</v>
      </c>
      <c r="F19">
        <v>3.6</v>
      </c>
    </row>
    <row r="20" spans="2:6" x14ac:dyDescent="0.35">
      <c r="B20">
        <v>18</v>
      </c>
      <c r="C20" t="s">
        <v>23</v>
      </c>
      <c r="D20" t="s">
        <v>27</v>
      </c>
      <c r="E20" t="s">
        <v>28</v>
      </c>
      <c r="F20">
        <v>3.1</v>
      </c>
    </row>
    <row r="21" spans="2:6" x14ac:dyDescent="0.35">
      <c r="B21">
        <v>19</v>
      </c>
      <c r="C21" t="s">
        <v>24</v>
      </c>
      <c r="D21" t="s">
        <v>27</v>
      </c>
      <c r="E21" t="s">
        <v>28</v>
      </c>
      <c r="F21">
        <v>3.1</v>
      </c>
    </row>
    <row r="22" spans="2:6" x14ac:dyDescent="0.35">
      <c r="B22">
        <v>20</v>
      </c>
      <c r="C22" t="s">
        <v>25</v>
      </c>
      <c r="D22" t="s">
        <v>27</v>
      </c>
      <c r="E22" t="s">
        <v>28</v>
      </c>
      <c r="F22">
        <v>1.4</v>
      </c>
    </row>
    <row r="23" spans="2:6" x14ac:dyDescent="0.35">
      <c r="B23">
        <v>21</v>
      </c>
      <c r="C23" t="s">
        <v>18</v>
      </c>
      <c r="D23" t="s">
        <v>28</v>
      </c>
      <c r="E23" t="s">
        <v>29</v>
      </c>
      <c r="F23">
        <v>3.6</v>
      </c>
    </row>
    <row r="24" spans="2:6" x14ac:dyDescent="0.35">
      <c r="B24">
        <v>22</v>
      </c>
      <c r="C24" t="s">
        <v>23</v>
      </c>
      <c r="D24" t="s">
        <v>28</v>
      </c>
      <c r="E24" t="s">
        <v>29</v>
      </c>
      <c r="F24">
        <v>3.1</v>
      </c>
    </row>
    <row r="25" spans="2:6" x14ac:dyDescent="0.35">
      <c r="B25">
        <v>23</v>
      </c>
      <c r="C25" t="s">
        <v>24</v>
      </c>
      <c r="D25" t="s">
        <v>28</v>
      </c>
      <c r="E25" t="s">
        <v>29</v>
      </c>
      <c r="F25">
        <v>3.1</v>
      </c>
    </row>
    <row r="26" spans="2:6" x14ac:dyDescent="0.35">
      <c r="B26">
        <v>24</v>
      </c>
      <c r="C26" t="s">
        <v>25</v>
      </c>
      <c r="D26" t="s">
        <v>28</v>
      </c>
      <c r="E26" t="s">
        <v>29</v>
      </c>
      <c r="F26">
        <v>1.4</v>
      </c>
    </row>
    <row r="27" spans="2:6" x14ac:dyDescent="0.35">
      <c r="B27">
        <v>25</v>
      </c>
      <c r="C27" t="s">
        <v>18</v>
      </c>
      <c r="D27" t="s">
        <v>29</v>
      </c>
      <c r="E27" t="s">
        <v>30</v>
      </c>
      <c r="F27">
        <v>3.6</v>
      </c>
    </row>
    <row r="28" spans="2:6" x14ac:dyDescent="0.35">
      <c r="B28">
        <v>26</v>
      </c>
      <c r="C28" t="s">
        <v>23</v>
      </c>
      <c r="D28" t="s">
        <v>29</v>
      </c>
      <c r="E28" t="s">
        <v>30</v>
      </c>
      <c r="F28">
        <v>3.1</v>
      </c>
    </row>
    <row r="29" spans="2:6" x14ac:dyDescent="0.35">
      <c r="B29">
        <v>27</v>
      </c>
      <c r="C29" t="s">
        <v>24</v>
      </c>
      <c r="D29" t="s">
        <v>29</v>
      </c>
      <c r="E29" t="s">
        <v>30</v>
      </c>
      <c r="F29">
        <v>3.1</v>
      </c>
    </row>
    <row r="30" spans="2:6" x14ac:dyDescent="0.35">
      <c r="B30">
        <v>28</v>
      </c>
      <c r="C30" t="s">
        <v>25</v>
      </c>
      <c r="D30" t="s">
        <v>29</v>
      </c>
      <c r="E30" t="s">
        <v>30</v>
      </c>
      <c r="F30">
        <v>1.4</v>
      </c>
    </row>
    <row r="31" spans="2:6" x14ac:dyDescent="0.35">
      <c r="B31">
        <v>29</v>
      </c>
      <c r="C31" t="s">
        <v>18</v>
      </c>
      <c r="D31" t="s">
        <v>30</v>
      </c>
      <c r="E31" t="s">
        <v>0</v>
      </c>
      <c r="F31">
        <v>20</v>
      </c>
    </row>
    <row r="32" spans="2:6" x14ac:dyDescent="0.35">
      <c r="B32">
        <v>30</v>
      </c>
      <c r="C32" t="s">
        <v>23</v>
      </c>
      <c r="D32" t="s">
        <v>30</v>
      </c>
      <c r="E32" t="s">
        <v>0</v>
      </c>
      <c r="F32">
        <v>3.1</v>
      </c>
    </row>
    <row r="33" spans="2:6" x14ac:dyDescent="0.35">
      <c r="B33">
        <v>31</v>
      </c>
      <c r="C33" t="s">
        <v>24</v>
      </c>
      <c r="D33" t="s">
        <v>30</v>
      </c>
      <c r="E33" t="s">
        <v>0</v>
      </c>
      <c r="F33">
        <v>3.1</v>
      </c>
    </row>
    <row r="34" spans="2:6" x14ac:dyDescent="0.35">
      <c r="B34">
        <v>32</v>
      </c>
      <c r="C34" t="s">
        <v>25</v>
      </c>
      <c r="D34" t="s">
        <v>30</v>
      </c>
      <c r="E34" t="s">
        <v>0</v>
      </c>
      <c r="F34">
        <v>1.4</v>
      </c>
    </row>
    <row r="35" spans="2:6" x14ac:dyDescent="0.35">
      <c r="B35">
        <v>33</v>
      </c>
      <c r="C35" t="s">
        <v>18</v>
      </c>
      <c r="D35" t="s">
        <v>0</v>
      </c>
      <c r="E35" t="s">
        <v>31</v>
      </c>
      <c r="F35">
        <v>3.6</v>
      </c>
    </row>
    <row r="36" spans="2:6" x14ac:dyDescent="0.35">
      <c r="B36">
        <v>34</v>
      </c>
      <c r="C36" t="s">
        <v>23</v>
      </c>
      <c r="D36" t="s">
        <v>0</v>
      </c>
      <c r="E36" t="s">
        <v>31</v>
      </c>
      <c r="F36">
        <v>3.1</v>
      </c>
    </row>
    <row r="37" spans="2:6" x14ac:dyDescent="0.35">
      <c r="B37">
        <v>35</v>
      </c>
      <c r="C37" t="s">
        <v>24</v>
      </c>
      <c r="D37" t="s">
        <v>0</v>
      </c>
      <c r="E37" t="s">
        <v>31</v>
      </c>
      <c r="F37">
        <v>3.1</v>
      </c>
    </row>
    <row r="38" spans="2:6" x14ac:dyDescent="0.35">
      <c r="B38">
        <v>36</v>
      </c>
      <c r="C38" t="s">
        <v>25</v>
      </c>
      <c r="D38" t="s">
        <v>0</v>
      </c>
      <c r="E38" t="s">
        <v>31</v>
      </c>
      <c r="F38">
        <v>1.4</v>
      </c>
    </row>
    <row r="39" spans="2:6" x14ac:dyDescent="0.35">
      <c r="B39">
        <v>37</v>
      </c>
      <c r="C39" t="s">
        <v>18</v>
      </c>
      <c r="D39" t="s">
        <v>31</v>
      </c>
      <c r="E39" t="s">
        <v>32</v>
      </c>
      <c r="F39">
        <v>3.6</v>
      </c>
    </row>
    <row r="40" spans="2:6" x14ac:dyDescent="0.35">
      <c r="B40">
        <v>38</v>
      </c>
      <c r="C40" t="s">
        <v>23</v>
      </c>
      <c r="D40" t="s">
        <v>31</v>
      </c>
      <c r="E40" t="s">
        <v>32</v>
      </c>
      <c r="F40">
        <v>3.1</v>
      </c>
    </row>
    <row r="41" spans="2:6" x14ac:dyDescent="0.35">
      <c r="B41">
        <v>39</v>
      </c>
      <c r="C41" t="s">
        <v>24</v>
      </c>
      <c r="D41" t="s">
        <v>31</v>
      </c>
      <c r="E41" t="s">
        <v>32</v>
      </c>
      <c r="F41">
        <v>3.1</v>
      </c>
    </row>
    <row r="42" spans="2:6" x14ac:dyDescent="0.35">
      <c r="B42">
        <v>40</v>
      </c>
      <c r="C42" t="s">
        <v>25</v>
      </c>
      <c r="D42" t="s">
        <v>31</v>
      </c>
      <c r="E42" t="s">
        <v>32</v>
      </c>
      <c r="F42">
        <v>1.4</v>
      </c>
    </row>
    <row r="43" spans="2:6" x14ac:dyDescent="0.35">
      <c r="B43" t="s">
        <v>33</v>
      </c>
      <c r="F43">
        <f>SUBTOTAL(109,Table1[Length (m)])</f>
        <v>148.99999999999994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CBA0-5490-414E-9F92-D7F771E3730B}">
  <dimension ref="A3:F35"/>
  <sheetViews>
    <sheetView topLeftCell="A13" workbookViewId="0">
      <selection activeCell="B5" sqref="B5"/>
    </sheetView>
  </sheetViews>
  <sheetFormatPr defaultRowHeight="14.5" x14ac:dyDescent="0.35"/>
  <cols>
    <col min="1" max="1" width="5.7265625" bestFit="1" customWidth="1"/>
    <col min="2" max="2" width="38.90625" bestFit="1" customWidth="1"/>
    <col min="3" max="3" width="10.453125" bestFit="1" customWidth="1"/>
    <col min="5" max="5" width="11.1796875" bestFit="1" customWidth="1"/>
    <col min="6" max="6" width="16.54296875" bestFit="1" customWidth="1"/>
  </cols>
  <sheetData>
    <row r="3" spans="1:6" x14ac:dyDescent="0.35">
      <c r="A3" t="s">
        <v>17</v>
      </c>
      <c r="B3" t="s">
        <v>50</v>
      </c>
      <c r="C3" t="s">
        <v>54</v>
      </c>
      <c r="D3" t="s">
        <v>49</v>
      </c>
      <c r="E3" t="s">
        <v>53</v>
      </c>
      <c r="F3" t="s">
        <v>52</v>
      </c>
    </row>
    <row r="4" spans="1:6" x14ac:dyDescent="0.35">
      <c r="A4">
        <v>1</v>
      </c>
      <c r="B4" t="s">
        <v>41</v>
      </c>
      <c r="C4">
        <v>1</v>
      </c>
      <c r="D4" t="s">
        <v>40</v>
      </c>
      <c r="F4">
        <f>SUM(Table13[[#This Row],[Quantity]],Table13[[#This Row],[Unit Price (RM)]])</f>
        <v>1</v>
      </c>
    </row>
    <row r="5" spans="1:6" x14ac:dyDescent="0.35">
      <c r="A5">
        <v>2</v>
      </c>
      <c r="B5" t="s">
        <v>47</v>
      </c>
      <c r="C5">
        <v>1</v>
      </c>
      <c r="D5" t="s">
        <v>34</v>
      </c>
      <c r="F5">
        <f>SUM(Table13[[#This Row],[Quantity]],Table13[[#This Row],[Unit Price (RM)]])</f>
        <v>1</v>
      </c>
    </row>
    <row r="6" spans="1:6" x14ac:dyDescent="0.35">
      <c r="A6">
        <v>3</v>
      </c>
      <c r="B6" t="s">
        <v>61</v>
      </c>
      <c r="C6">
        <v>2</v>
      </c>
      <c r="D6" t="s">
        <v>34</v>
      </c>
      <c r="F6">
        <f>SUM(Table13[[#This Row],[Quantity]],Table13[[#This Row],[Unit Price (RM)]])</f>
        <v>2</v>
      </c>
    </row>
    <row r="7" spans="1:6" x14ac:dyDescent="0.35">
      <c r="A7">
        <v>4</v>
      </c>
      <c r="B7" t="s">
        <v>46</v>
      </c>
      <c r="C7">
        <v>1</v>
      </c>
      <c r="D7" t="s">
        <v>34</v>
      </c>
      <c r="F7">
        <f>SUM(Table13[[#This Row],[Quantity]],Table13[[#This Row],[Unit Price (RM)]])</f>
        <v>1</v>
      </c>
    </row>
    <row r="8" spans="1:6" x14ac:dyDescent="0.35">
      <c r="A8">
        <v>5</v>
      </c>
      <c r="B8" t="s">
        <v>44</v>
      </c>
      <c r="C8">
        <v>50</v>
      </c>
      <c r="D8" t="s">
        <v>34</v>
      </c>
      <c r="F8">
        <f>SUM(Table13[[#This Row],[Quantity]],Table13[[#This Row],[Unit Price (RM)]])</f>
        <v>50</v>
      </c>
    </row>
    <row r="9" spans="1:6" x14ac:dyDescent="0.35">
      <c r="A9">
        <v>6</v>
      </c>
      <c r="B9" t="s">
        <v>43</v>
      </c>
      <c r="C9">
        <v>8</v>
      </c>
      <c r="D9" t="s">
        <v>34</v>
      </c>
      <c r="F9">
        <f>SUM(Table13[[#This Row],[Quantity]],Table13[[#This Row],[Unit Price (RM)]])</f>
        <v>8</v>
      </c>
    </row>
    <row r="10" spans="1:6" x14ac:dyDescent="0.35">
      <c r="A10">
        <v>7</v>
      </c>
      <c r="B10" t="s">
        <v>57</v>
      </c>
      <c r="C10">
        <v>1</v>
      </c>
      <c r="D10" t="s">
        <v>34</v>
      </c>
      <c r="F10">
        <f>SUM(Table13[[#This Row],[Quantity]],Table13[[#This Row],[Unit Price (RM)]])</f>
        <v>1</v>
      </c>
    </row>
    <row r="11" spans="1:6" x14ac:dyDescent="0.35">
      <c r="A11">
        <v>8</v>
      </c>
      <c r="B11" t="s">
        <v>58</v>
      </c>
      <c r="C11">
        <v>1</v>
      </c>
      <c r="D11" t="s">
        <v>34</v>
      </c>
      <c r="F11">
        <f>SUM(Table13[[#This Row],[Quantity]],Table13[[#This Row],[Unit Price (RM)]])</f>
        <v>1</v>
      </c>
    </row>
    <row r="12" spans="1:6" x14ac:dyDescent="0.35">
      <c r="A12">
        <v>9</v>
      </c>
      <c r="B12" t="s">
        <v>60</v>
      </c>
      <c r="C12">
        <v>1</v>
      </c>
      <c r="D12" t="s">
        <v>34</v>
      </c>
      <c r="F12">
        <f>SUM(Table13[[#This Row],[Quantity]],Table13[[#This Row],[Unit Price (RM)]])</f>
        <v>1</v>
      </c>
    </row>
    <row r="13" spans="1:6" x14ac:dyDescent="0.35">
      <c r="A13">
        <v>10</v>
      </c>
      <c r="B13" t="s">
        <v>59</v>
      </c>
      <c r="C13">
        <v>1</v>
      </c>
      <c r="D13" t="s">
        <v>34</v>
      </c>
      <c r="F13">
        <f>SUM(Table13[[#This Row],[Quantity]],Table13[[#This Row],[Unit Price (RM)]])</f>
        <v>1</v>
      </c>
    </row>
    <row r="14" spans="1:6" x14ac:dyDescent="0.35">
      <c r="A14">
        <v>11</v>
      </c>
      <c r="B14" t="s">
        <v>39</v>
      </c>
      <c r="C14">
        <v>1</v>
      </c>
      <c r="D14" t="s">
        <v>34</v>
      </c>
      <c r="F14">
        <f>SUM(Table13[[#This Row],[Quantity]],Table13[[#This Row],[Unit Price (RM)]])</f>
        <v>1</v>
      </c>
    </row>
    <row r="15" spans="1:6" x14ac:dyDescent="0.35">
      <c r="A15">
        <v>12</v>
      </c>
      <c r="B15" t="s">
        <v>38</v>
      </c>
      <c r="C15">
        <v>1</v>
      </c>
      <c r="D15" t="s">
        <v>34</v>
      </c>
      <c r="F15">
        <f>SUM(Table13[[#This Row],[Quantity]],Table13[[#This Row],[Unit Price (RM)]])</f>
        <v>1</v>
      </c>
    </row>
    <row r="16" spans="1:6" x14ac:dyDescent="0.35">
      <c r="A16">
        <v>13</v>
      </c>
      <c r="B16" t="s">
        <v>37</v>
      </c>
      <c r="C16">
        <v>1</v>
      </c>
      <c r="D16" t="s">
        <v>34</v>
      </c>
      <c r="F16">
        <f>SUM(Table13[[#This Row],[Quantity]],Table13[[#This Row],[Unit Price (RM)]])</f>
        <v>1</v>
      </c>
    </row>
    <row r="17" spans="1:6" x14ac:dyDescent="0.35">
      <c r="A17">
        <v>14</v>
      </c>
      <c r="B17" t="s">
        <v>36</v>
      </c>
      <c r="C17">
        <v>1</v>
      </c>
      <c r="D17" t="s">
        <v>34</v>
      </c>
      <c r="F17">
        <f>SUM(Table13[[#This Row],[Quantity]],Table13[[#This Row],[Unit Price (RM)]])</f>
        <v>1</v>
      </c>
    </row>
    <row r="18" spans="1:6" x14ac:dyDescent="0.35">
      <c r="A18">
        <v>15</v>
      </c>
      <c r="B18" t="s">
        <v>35</v>
      </c>
      <c r="C18">
        <v>1</v>
      </c>
      <c r="D18" t="s">
        <v>34</v>
      </c>
      <c r="F18">
        <f>SUM(Table13[[#This Row],[Quantity]],Table13[[#This Row],[Unit Price (RM)]])</f>
        <v>1</v>
      </c>
    </row>
    <row r="19" spans="1:6" x14ac:dyDescent="0.35">
      <c r="A19">
        <v>19</v>
      </c>
      <c r="B19" t="s">
        <v>45</v>
      </c>
      <c r="C19">
        <v>1</v>
      </c>
      <c r="D19" t="s">
        <v>34</v>
      </c>
      <c r="F19">
        <f>SUM(Table13[[#This Row],[Quantity]],Table13[[#This Row],[Unit Price (RM)]])</f>
        <v>1</v>
      </c>
    </row>
    <row r="20" spans="1:6" x14ac:dyDescent="0.35">
      <c r="A20">
        <v>20</v>
      </c>
      <c r="B20" t="s">
        <v>42</v>
      </c>
      <c r="C20">
        <v>1.5</v>
      </c>
      <c r="D20" t="s">
        <v>40</v>
      </c>
      <c r="F20">
        <f>SUM(Table13[[#This Row],[Quantity]],Table13[[#This Row],[Unit Price (RM)]])</f>
        <v>1.5</v>
      </c>
    </row>
    <row r="21" spans="1:6" x14ac:dyDescent="0.35">
      <c r="A21">
        <v>21</v>
      </c>
      <c r="B21" t="s">
        <v>48</v>
      </c>
      <c r="C21">
        <v>3</v>
      </c>
      <c r="D21" t="s">
        <v>34</v>
      </c>
      <c r="F21">
        <f>SUM(Table13[[#This Row],[Quantity]],Table13[[#This Row],[Unit Price (RM)]])</f>
        <v>3</v>
      </c>
    </row>
    <row r="22" spans="1:6" x14ac:dyDescent="0.35">
      <c r="A22">
        <v>22</v>
      </c>
      <c r="B22" t="s">
        <v>55</v>
      </c>
      <c r="C22">
        <v>2</v>
      </c>
      <c r="D22" t="s">
        <v>34</v>
      </c>
      <c r="F22">
        <f>SUM(Table13[[#This Row],[Quantity]],Table13[[#This Row],[Unit Price (RM)]])</f>
        <v>2</v>
      </c>
    </row>
    <row r="23" spans="1:6" x14ac:dyDescent="0.35">
      <c r="A23">
        <v>23</v>
      </c>
      <c r="B23" t="s">
        <v>56</v>
      </c>
      <c r="C23">
        <v>2</v>
      </c>
      <c r="D23" t="s">
        <v>34</v>
      </c>
      <c r="F23">
        <f>SUM(Table13[[#This Row],[Quantity]],Table13[[#This Row],[Unit Price (RM)]])</f>
        <v>2</v>
      </c>
    </row>
    <row r="24" spans="1:6" x14ac:dyDescent="0.35">
      <c r="A24">
        <v>1</v>
      </c>
      <c r="B24" t="s">
        <v>91</v>
      </c>
      <c r="C24">
        <v>200</v>
      </c>
      <c r="D24" t="s">
        <v>40</v>
      </c>
      <c r="F24">
        <f>SUM(Table13[[#This Row],[Quantity]],Table13[[#This Row],[Unit Price (RM)]])</f>
        <v>200</v>
      </c>
    </row>
    <row r="25" spans="1:6" x14ac:dyDescent="0.35">
      <c r="A25">
        <v>2</v>
      </c>
      <c r="B25" t="s">
        <v>88</v>
      </c>
      <c r="C25">
        <v>150</v>
      </c>
      <c r="D25" t="s">
        <v>40</v>
      </c>
      <c r="F25">
        <f>SUM(Table13[[#This Row],[Quantity]],Table13[[#This Row],[Unit Price (RM)]])</f>
        <v>150</v>
      </c>
    </row>
    <row r="26" spans="1:6" x14ac:dyDescent="0.35">
      <c r="A26">
        <v>3</v>
      </c>
      <c r="B26" t="s">
        <v>89</v>
      </c>
      <c r="C26">
        <v>150</v>
      </c>
      <c r="D26" t="s">
        <v>40</v>
      </c>
      <c r="F26">
        <f>SUM(Table13[[#This Row],[Quantity]],Table13[[#This Row],[Unit Price (RM)]])</f>
        <v>150</v>
      </c>
    </row>
    <row r="27" spans="1:6" x14ac:dyDescent="0.35">
      <c r="A27">
        <v>4</v>
      </c>
      <c r="B27" t="s">
        <v>90</v>
      </c>
      <c r="C27">
        <v>100</v>
      </c>
      <c r="D27" t="s">
        <v>40</v>
      </c>
      <c r="F27">
        <f>SUM(Table13[[#This Row],[Quantity]],Table13[[#This Row],[Unit Price (RM)]])</f>
        <v>100</v>
      </c>
    </row>
    <row r="28" spans="1:6" x14ac:dyDescent="0.35">
      <c r="A28">
        <v>5</v>
      </c>
      <c r="B28" t="s">
        <v>51</v>
      </c>
      <c r="C28">
        <v>200</v>
      </c>
      <c r="D28" t="s">
        <v>40</v>
      </c>
      <c r="E28">
        <v>5.87</v>
      </c>
      <c r="F28">
        <f>SUM(Table13[[#This Row],[Quantity]],Table13[[#This Row],[Unit Price (RM)]])</f>
        <v>205.87</v>
      </c>
    </row>
    <row r="29" spans="1:6" x14ac:dyDescent="0.35">
      <c r="A29">
        <v>6</v>
      </c>
      <c r="B29" t="s">
        <v>92</v>
      </c>
      <c r="C29">
        <v>100</v>
      </c>
      <c r="D29" t="s">
        <v>40</v>
      </c>
      <c r="F29">
        <f>SUM(Table13[[#This Row],[Quantity]],Table13[[#This Row],[Unit Price (RM)]])</f>
        <v>100</v>
      </c>
    </row>
    <row r="30" spans="1:6" x14ac:dyDescent="0.35">
      <c r="A30">
        <v>7</v>
      </c>
      <c r="B30" t="s">
        <v>93</v>
      </c>
      <c r="C30">
        <v>100</v>
      </c>
      <c r="D30" t="s">
        <v>40</v>
      </c>
      <c r="F30">
        <f>SUM(Table13[[#This Row],[Quantity]],Table13[[#This Row],[Unit Price (RM)]])</f>
        <v>100</v>
      </c>
    </row>
    <row r="31" spans="1:6" x14ac:dyDescent="0.35">
      <c r="A31">
        <v>8</v>
      </c>
      <c r="B31" t="s">
        <v>94</v>
      </c>
      <c r="C31">
        <v>100</v>
      </c>
      <c r="D31" t="s">
        <v>40</v>
      </c>
      <c r="F31">
        <f>SUM(Table13[[#This Row],[Quantity]],Table13[[#This Row],[Unit Price (RM)]])</f>
        <v>100</v>
      </c>
    </row>
    <row r="32" spans="1:6" x14ac:dyDescent="0.35">
      <c r="A32">
        <v>9</v>
      </c>
      <c r="B32" t="s">
        <v>95</v>
      </c>
      <c r="C32">
        <v>100</v>
      </c>
      <c r="D32" t="s">
        <v>40</v>
      </c>
      <c r="F32">
        <f>SUM(Table13[[#This Row],[Quantity]],Table13[[#This Row],[Unit Price (RM)]])</f>
        <v>100</v>
      </c>
    </row>
    <row r="33" spans="1:6" x14ac:dyDescent="0.35">
      <c r="A33">
        <v>10</v>
      </c>
      <c r="B33" t="s">
        <v>96</v>
      </c>
      <c r="C33">
        <v>100</v>
      </c>
      <c r="D33" t="s">
        <v>40</v>
      </c>
      <c r="F33">
        <f>SUM(Table13[[#This Row],[Quantity]],Table13[[#This Row],[Unit Price (RM)]])</f>
        <v>100</v>
      </c>
    </row>
    <row r="34" spans="1:6" x14ac:dyDescent="0.35">
      <c r="A34">
        <v>11</v>
      </c>
      <c r="B34" t="s">
        <v>97</v>
      </c>
      <c r="C34">
        <v>100</v>
      </c>
      <c r="D34" t="s">
        <v>40</v>
      </c>
      <c r="F34">
        <f>SUM(Table13[[#This Row],[Quantity]],Table13[[#This Row],[Unit Price (RM)]])</f>
        <v>100</v>
      </c>
    </row>
    <row r="35" spans="1:6" x14ac:dyDescent="0.35">
      <c r="A35">
        <v>12</v>
      </c>
      <c r="B35" t="s">
        <v>98</v>
      </c>
      <c r="C35">
        <v>300</v>
      </c>
      <c r="D35" t="s">
        <v>40</v>
      </c>
      <c r="F35">
        <f>SUM(Table13[[#This Row],[Quantity]],Table13[[#This Row],[Unit Price (RM)]])</f>
        <v>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</vt:lpstr>
      <vt:lpstr>Cables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2025-12-03T02:59:10Z</dcterms:created>
  <dcterms:modified xsi:type="dcterms:W3CDTF">2026-02-04T01:28:52Z</dcterms:modified>
</cp:coreProperties>
</file>