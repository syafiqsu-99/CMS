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rinterSettings/printerSettings1.bin" ContentType="application/vnd.openxmlformats-officedocument.spreadsheetml.printerSettings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rinterSettings/printerSettings2.bin" ContentType="application/vnd.openxmlformats-officedocument.spreadsheetml.printerSettings"/>
  <Override PartName="/xl/pivotTables/pivotTable9.xml" ContentType="application/vnd.openxmlformats-officedocument.spreadsheetml.pivotTable+xml"/>
  <Override PartName="/xl/printerSettings/printerSettings3.bin" ContentType="application/vnd.openxmlformats-officedocument.spreadsheetml.printerSettings"/>
  <Override PartName="/xl/pivotTables/pivotTable10.xml" ContentType="application/vnd.openxmlformats-officedocument.spreadsheetml.pivotTable+xml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ISAIFAA_NAZLI\Desktop\old  files\Desktop\SB Finance\KPI Sungai Buloh\Stock turnover\"/>
    </mc:Choice>
  </mc:AlternateContent>
  <xr:revisionPtr revIDLastSave="0" documentId="13_ncr:1_{EC84D68D-2D11-40B1-AEDD-86F4403BA9AB}" xr6:coauthVersionLast="47" xr6:coauthVersionMax="47" xr10:uidLastSave="{00000000-0000-0000-0000-000000000000}"/>
  <bookViews>
    <workbookView xWindow="-110" yWindow="-110" windowWidth="19420" windowHeight="10420" tabRatio="869" firstSheet="1" activeTab="1" xr2:uid="{00000000-000D-0000-FFFF-FFFF00000000}"/>
  </bookViews>
  <sheets>
    <sheet name="_com.sap.ip.bi.xl.hiddensheet" sheetId="4" state="veryHidden" r:id="rId1"/>
    <sheet name="SUMMARY2" sheetId="8" r:id="rId2"/>
    <sheet name="Ageing Sum" sheetId="15" r:id="rId3"/>
    <sheet name=" Comparisons _working " sheetId="10" state="hidden" r:id="rId4"/>
    <sheet name="working pv" sheetId="12" state="hidden" r:id="rId5"/>
    <sheet name=" Comparisons w Prior mth" sheetId="11" state="hidden" r:id="rId6"/>
    <sheet name="summary" sheetId="6" r:id="rId7"/>
    <sheet name="details" sheetId="1" r:id="rId8"/>
    <sheet name="712 MC.5 2024.08" sheetId="3" state="hidden" r:id="rId9"/>
    <sheet name="MC.5" sheetId="14" r:id="rId10"/>
    <sheet name="REF" sheetId="9" r:id="rId11"/>
  </sheets>
  <externalReferences>
    <externalReference r:id="rId12"/>
  </externalReferences>
  <definedNames>
    <definedName name="_DAT10">[1]May!$I$2:$I$4</definedName>
    <definedName name="_DAT2" localSheetId="5">[1]May!#REF!</definedName>
    <definedName name="_DAT2">[1]May!#REF!</definedName>
    <definedName name="_DAT8">[1]May!$G$2:$G$4</definedName>
    <definedName name="_DAT9">[1]May!$H$2:$H$4</definedName>
    <definedName name="_f1" localSheetId="7" hidden="1">details!$A$5:$AD$397</definedName>
    <definedName name="_xlnm._FilterDatabase" localSheetId="7" hidden="1">details!$A$5:$AI$422</definedName>
    <definedName name="_xlnm._FilterDatabase" localSheetId="9" hidden="1">MC.5!$A$3:$Q$974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 localSheetId="5">#REF!</definedName>
    <definedName name="DATA18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F_GRID_1" localSheetId="5">#REF!</definedName>
    <definedName name="DF_GRID_1">#REF!</definedName>
    <definedName name="SAPBEXhrIndnt" hidden="1">"Wide"</definedName>
    <definedName name="SAPBEXrevision" hidden="1">4</definedName>
    <definedName name="SAPBEXsysID" hidden="1">"B02"</definedName>
    <definedName name="SAPBEXwbID" hidden="1">"4GOTM5ZX9M1BKSS38637RQI4D"</definedName>
    <definedName name="SAPCrosstab1">details!$A$5:$AB$422</definedName>
    <definedName name="SAPsysID" hidden="1">"708C5W7SBKP804JT78WJ0JNKI"</definedName>
    <definedName name="SAPwbID" hidden="1">"ARS"</definedName>
    <definedName name="TEST0">#REF!</definedName>
    <definedName name="TEST1" localSheetId="5">#REF!</definedName>
    <definedName name="TEST1">#REF!</definedName>
    <definedName name="TEST2" localSheetId="5">#REF!</definedName>
    <definedName name="TEST2">#REF!</definedName>
    <definedName name="TESTHKEY" localSheetId="5">#REF!</definedName>
    <definedName name="TESTHKEY">#REF!</definedName>
    <definedName name="TESTKEYS">#REF!</definedName>
    <definedName name="TESTVKEY" localSheetId="5">#REF!</definedName>
    <definedName name="TESTVKEY">#REF!</definedName>
  </definedNames>
  <calcPr calcId="191029" concurrentManualCount="12"/>
  <pivotCaches>
    <pivotCache cacheId="0" r:id="rId13"/>
    <pivotCache cacheId="1" r:id="rId14"/>
    <pivotCache cacheId="3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33" i="1"/>
  <c r="AI334" i="1"/>
  <c r="AI335" i="1"/>
  <c r="AI338" i="1"/>
  <c r="AI341" i="1"/>
  <c r="AI342" i="1"/>
  <c r="AI348" i="1"/>
  <c r="AI349" i="1"/>
  <c r="AI356" i="1"/>
  <c r="AI357" i="1"/>
  <c r="AI358" i="1"/>
  <c r="AI363" i="1"/>
  <c r="AI368" i="1"/>
  <c r="AI371" i="1"/>
  <c r="AI373" i="1"/>
  <c r="AI376" i="1"/>
  <c r="AI378" i="1"/>
  <c r="AI380" i="1"/>
  <c r="AI382" i="1"/>
  <c r="AI386" i="1"/>
  <c r="AI387" i="1"/>
  <c r="AI389" i="1"/>
  <c r="AI391" i="1"/>
  <c r="AI392" i="1"/>
  <c r="AI393" i="1"/>
  <c r="AI395" i="1"/>
  <c r="AI397" i="1"/>
  <c r="AI398" i="1"/>
  <c r="AI399" i="1"/>
  <c r="AI400" i="1"/>
  <c r="AI401" i="1"/>
  <c r="AI402" i="1"/>
  <c r="AI403" i="1"/>
  <c r="AI404" i="1"/>
  <c r="AI409" i="1"/>
  <c r="AI410" i="1"/>
  <c r="AI411" i="1"/>
  <c r="AI413" i="1"/>
  <c r="AI414" i="1"/>
  <c r="AI415" i="1"/>
  <c r="AI416" i="1"/>
  <c r="AI417" i="1"/>
  <c r="AI418" i="1"/>
  <c r="AI421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8" i="1"/>
  <c r="AC387" i="1"/>
  <c r="AC386" i="1"/>
  <c r="AC385" i="1"/>
  <c r="AC384" i="1"/>
  <c r="AC383" i="1"/>
  <c r="AC382" i="1"/>
  <c r="AC381" i="1"/>
  <c r="AC379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X429" i="1"/>
  <c r="AF7" i="1"/>
  <c r="AD7" i="1"/>
  <c r="AC326" i="1"/>
  <c r="AC318" i="1"/>
  <c r="AC317" i="1"/>
  <c r="AC313" i="1"/>
  <c r="AC311" i="1"/>
  <c r="D8" i="15"/>
  <c r="E8" i="15"/>
  <c r="G8" i="15"/>
  <c r="H8" i="15"/>
  <c r="I8" i="15"/>
  <c r="J8" i="15"/>
  <c r="K8" i="15"/>
  <c r="L8" i="15"/>
  <c r="M8" i="15"/>
  <c r="N8" i="15"/>
  <c r="D13" i="15"/>
  <c r="E13" i="15"/>
  <c r="H13" i="15"/>
  <c r="I13" i="15"/>
  <c r="J13" i="15"/>
  <c r="K13" i="15"/>
  <c r="L13" i="15"/>
  <c r="M13" i="15"/>
  <c r="N13" i="15"/>
  <c r="AI7" i="1"/>
  <c r="AH7" i="1"/>
  <c r="C13" i="15"/>
  <c r="C8" i="15"/>
  <c r="A77" i="11"/>
  <c r="A68" i="11"/>
  <c r="J78" i="11"/>
  <c r="I78" i="11"/>
  <c r="H78" i="11"/>
  <c r="G78" i="11"/>
  <c r="F78" i="11"/>
  <c r="E78" i="11"/>
  <c r="D78" i="11"/>
  <c r="C78" i="11"/>
  <c r="J69" i="11"/>
  <c r="I69" i="11"/>
  <c r="H69" i="11"/>
  <c r="G69" i="11"/>
  <c r="F69" i="11"/>
  <c r="E69" i="11"/>
  <c r="D69" i="11"/>
  <c r="C69" i="11"/>
  <c r="A59" i="11"/>
  <c r="A55" i="11"/>
  <c r="A51" i="11"/>
  <c r="A47" i="11"/>
  <c r="J60" i="11"/>
  <c r="I60" i="11"/>
  <c r="H60" i="11"/>
  <c r="G60" i="11"/>
  <c r="F60" i="11"/>
  <c r="E60" i="11"/>
  <c r="D60" i="11"/>
  <c r="C60" i="11"/>
  <c r="J56" i="11"/>
  <c r="I56" i="11"/>
  <c r="H56" i="11"/>
  <c r="G56" i="11"/>
  <c r="F56" i="11"/>
  <c r="E56" i="11"/>
  <c r="D56" i="11"/>
  <c r="C56" i="11"/>
  <c r="J52" i="11"/>
  <c r="I52" i="11"/>
  <c r="H52" i="11"/>
  <c r="G52" i="11"/>
  <c r="F52" i="11"/>
  <c r="E52" i="11"/>
  <c r="D52" i="11"/>
  <c r="C52" i="11"/>
  <c r="J48" i="11"/>
  <c r="I48" i="11"/>
  <c r="H48" i="11"/>
  <c r="G48" i="11"/>
  <c r="F48" i="11"/>
  <c r="E48" i="11"/>
  <c r="D48" i="11"/>
  <c r="C48" i="11"/>
  <c r="A26" i="11"/>
  <c r="A17" i="11"/>
  <c r="J18" i="11"/>
  <c r="I18" i="11"/>
  <c r="H18" i="11"/>
  <c r="G18" i="11"/>
  <c r="F18" i="11"/>
  <c r="E18" i="11"/>
  <c r="D18" i="11"/>
  <c r="C18" i="11"/>
  <c r="J9" i="11"/>
  <c r="I9" i="11"/>
  <c r="H9" i="11"/>
  <c r="G9" i="11"/>
  <c r="F9" i="11"/>
  <c r="E9" i="11"/>
  <c r="D9" i="11"/>
  <c r="C9" i="11"/>
  <c r="A8" i="11"/>
  <c r="B22" i="10"/>
  <c r="B23" i="10"/>
  <c r="B24" i="10"/>
  <c r="B26" i="10"/>
  <c r="B27" i="10"/>
  <c r="B28" i="10"/>
  <c r="B29" i="10"/>
  <c r="B31" i="10"/>
  <c r="B32" i="10"/>
  <c r="B33" i="10"/>
  <c r="B5" i="10"/>
  <c r="B6" i="10"/>
  <c r="B7" i="10"/>
  <c r="B9" i="10"/>
  <c r="B10" i="10"/>
  <c r="B11" i="10"/>
  <c r="B12" i="10"/>
  <c r="B14" i="10"/>
  <c r="B15" i="10"/>
  <c r="B16" i="10"/>
  <c r="A38" i="11"/>
  <c r="A34" i="11"/>
  <c r="A30" i="11"/>
  <c r="J39" i="11"/>
  <c r="I39" i="11"/>
  <c r="H39" i="11"/>
  <c r="G39" i="11"/>
  <c r="F39" i="11"/>
  <c r="E39" i="11"/>
  <c r="D39" i="11"/>
  <c r="C39" i="11"/>
  <c r="J35" i="11"/>
  <c r="I35" i="11"/>
  <c r="H35" i="11"/>
  <c r="G35" i="11"/>
  <c r="F35" i="11"/>
  <c r="E35" i="11"/>
  <c r="D35" i="11"/>
  <c r="C35" i="11"/>
  <c r="J31" i="11"/>
  <c r="I31" i="11"/>
  <c r="H31" i="11"/>
  <c r="G31" i="11"/>
  <c r="F31" i="11"/>
  <c r="E31" i="11"/>
  <c r="D31" i="11"/>
  <c r="C31" i="11"/>
  <c r="J27" i="11"/>
  <c r="I27" i="11"/>
  <c r="H27" i="11"/>
  <c r="G27" i="11"/>
  <c r="F27" i="11"/>
  <c r="E27" i="11"/>
  <c r="D27" i="11"/>
  <c r="C27" i="11"/>
  <c r="F13" i="15"/>
  <c r="F8" i="15"/>
  <c r="AC269" i="1"/>
  <c r="AC150" i="1"/>
  <c r="AC264" i="1"/>
  <c r="AC263" i="1"/>
  <c r="AC132" i="1"/>
  <c r="AC389" i="1"/>
  <c r="AC380" i="1"/>
  <c r="AC378" i="1"/>
  <c r="AC291" i="1"/>
  <c r="AC288" i="1"/>
  <c r="AC286" i="1"/>
  <c r="AC285" i="1"/>
  <c r="AC283" i="1"/>
  <c r="AC282" i="1"/>
  <c r="AC281" i="1"/>
  <c r="AC280" i="1"/>
  <c r="AC279" i="1"/>
  <c r="AC278" i="1"/>
  <c r="AC277" i="1"/>
  <c r="AC276" i="1"/>
  <c r="AC275" i="1"/>
  <c r="AC274" i="1"/>
  <c r="AC272" i="1"/>
  <c r="AC267" i="1"/>
  <c r="AC266" i="1"/>
  <c r="AC265" i="1"/>
  <c r="AC261" i="1"/>
  <c r="AC260" i="1"/>
  <c r="AC259" i="1"/>
  <c r="AC257" i="1"/>
  <c r="AC256" i="1"/>
  <c r="AC255" i="1"/>
  <c r="AC254" i="1"/>
  <c r="AC252" i="1"/>
  <c r="AC251" i="1"/>
  <c r="AC250" i="1"/>
  <c r="AC248" i="1"/>
  <c r="AC247" i="1"/>
  <c r="AC244" i="1"/>
  <c r="AC243" i="1"/>
  <c r="AC242" i="1"/>
  <c r="AC241" i="1"/>
  <c r="AC240" i="1"/>
  <c r="AC239" i="1"/>
  <c r="AC238" i="1"/>
  <c r="AC237" i="1"/>
  <c r="AC236" i="1"/>
  <c r="AC234" i="1"/>
  <c r="AC233" i="1"/>
  <c r="AC232" i="1"/>
  <c r="AC230" i="1"/>
  <c r="AC229" i="1"/>
  <c r="AC228" i="1"/>
  <c r="AC226" i="1"/>
  <c r="AC225" i="1"/>
  <c r="AC224" i="1"/>
  <c r="AC223" i="1"/>
  <c r="AC222" i="1"/>
  <c r="AC221" i="1"/>
  <c r="AC220" i="1"/>
  <c r="AC219" i="1"/>
  <c r="AC218" i="1"/>
  <c r="AC216" i="1"/>
  <c r="AC215" i="1"/>
  <c r="AC214" i="1"/>
  <c r="AC213" i="1"/>
  <c r="AC212" i="1"/>
  <c r="AC211" i="1"/>
  <c r="AC210" i="1"/>
  <c r="AC209" i="1"/>
  <c r="AC208" i="1"/>
  <c r="AC205" i="1"/>
  <c r="AC204" i="1"/>
  <c r="AC203" i="1"/>
  <c r="AC200" i="1"/>
  <c r="AC199" i="1"/>
  <c r="AC198" i="1"/>
  <c r="AC196" i="1"/>
  <c r="AC193" i="1"/>
  <c r="AC192" i="1"/>
  <c r="AC191" i="1"/>
  <c r="AC189" i="1"/>
  <c r="AC188" i="1"/>
  <c r="AC187" i="1"/>
  <c r="AC186" i="1"/>
  <c r="AC185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67" i="1"/>
  <c r="AC163" i="1"/>
  <c r="AC162" i="1"/>
  <c r="AC161" i="1"/>
  <c r="AC159" i="1"/>
  <c r="AC158" i="1"/>
  <c r="AC157" i="1"/>
  <c r="AC156" i="1"/>
  <c r="AC154" i="1"/>
  <c r="AC153" i="1"/>
  <c r="AC152" i="1"/>
  <c r="AC151" i="1"/>
  <c r="AC149" i="1"/>
  <c r="AC148" i="1"/>
  <c r="AC147" i="1"/>
  <c r="AC146" i="1"/>
  <c r="AC145" i="1"/>
  <c r="AC144" i="1"/>
  <c r="AC143" i="1"/>
  <c r="AC142" i="1"/>
  <c r="AC141" i="1"/>
  <c r="AC140" i="1"/>
  <c r="AC139" i="1"/>
  <c r="AC137" i="1"/>
  <c r="AC136" i="1"/>
  <c r="AC135" i="1"/>
  <c r="AC134" i="1"/>
  <c r="AC133" i="1"/>
  <c r="AC131" i="1"/>
  <c r="AC130" i="1"/>
  <c r="AC129" i="1"/>
  <c r="AC128" i="1"/>
  <c r="AC127" i="1"/>
  <c r="AC125" i="1"/>
  <c r="AC124" i="1"/>
  <c r="AC123" i="1"/>
  <c r="AC122" i="1"/>
  <c r="AC121" i="1"/>
  <c r="AC120" i="1"/>
  <c r="AC119" i="1"/>
  <c r="AC118" i="1"/>
  <c r="AC116" i="1"/>
  <c r="AC117" i="1"/>
  <c r="AC160" i="1"/>
  <c r="AC249" i="1"/>
  <c r="AC258" i="1"/>
  <c r="AC306" i="1"/>
  <c r="AC126" i="1"/>
  <c r="AC190" i="1"/>
  <c r="AC290" i="1"/>
  <c r="AC138" i="1"/>
  <c r="AC165" i="1"/>
  <c r="AC170" i="1"/>
  <c r="AC184" i="1"/>
  <c r="AC197" i="1"/>
  <c r="AC201" i="1"/>
  <c r="AC207" i="1"/>
  <c r="AC227" i="1"/>
  <c r="AC246" i="1"/>
  <c r="AC268" i="1"/>
  <c r="AC270" i="1"/>
  <c r="AC271" i="1"/>
  <c r="AC273" i="1"/>
  <c r="AC287" i="1"/>
  <c r="AC289" i="1"/>
  <c r="AC292" i="1"/>
  <c r="AC293" i="1"/>
  <c r="AC297" i="1"/>
  <c r="AC298" i="1"/>
  <c r="AC309" i="1"/>
  <c r="AC155" i="1"/>
  <c r="AC164" i="1"/>
  <c r="AC166" i="1"/>
  <c r="AC168" i="1"/>
  <c r="AC169" i="1"/>
  <c r="AC183" i="1"/>
  <c r="AC194" i="1"/>
  <c r="AC202" i="1"/>
  <c r="AC206" i="1"/>
  <c r="AC217" i="1"/>
  <c r="AC231" i="1"/>
  <c r="AC235" i="1"/>
  <c r="AC245" i="1"/>
  <c r="AC253" i="1"/>
  <c r="AC262" i="1"/>
  <c r="AC284" i="1"/>
  <c r="AC195" i="1"/>
  <c r="AC7" i="1"/>
  <c r="AC114" i="1"/>
  <c r="AC106" i="1"/>
  <c r="AC104" i="1"/>
  <c r="AC102" i="1"/>
  <c r="AC99" i="1"/>
  <c r="AC94" i="1"/>
  <c r="AC92" i="1"/>
  <c r="AC90" i="1"/>
  <c r="AC88" i="1"/>
  <c r="AC86" i="1"/>
  <c r="AC84" i="1"/>
  <c r="AC82" i="1"/>
  <c r="AC80" i="1"/>
  <c r="AC79" i="1"/>
  <c r="AC77" i="1"/>
  <c r="AC75" i="1"/>
  <c r="AC73" i="1"/>
  <c r="AC71" i="1"/>
  <c r="AC69" i="1"/>
  <c r="AC66" i="1"/>
  <c r="AC63" i="1"/>
  <c r="AC60" i="1"/>
  <c r="AC58" i="1"/>
  <c r="AC55" i="1"/>
  <c r="AC52" i="1"/>
  <c r="AC47" i="1"/>
  <c r="AC45" i="1"/>
  <c r="AC43" i="1"/>
  <c r="AC41" i="1"/>
  <c r="AC39" i="1"/>
  <c r="AC37" i="1"/>
  <c r="AC33" i="1"/>
  <c r="AC30" i="1"/>
  <c r="AC28" i="1"/>
  <c r="AC26" i="1"/>
  <c r="AC24" i="1"/>
  <c r="AC22" i="1"/>
  <c r="AC20" i="1"/>
  <c r="AC16" i="1"/>
  <c r="AC14" i="1"/>
  <c r="AC11" i="1"/>
  <c r="AC17" i="1"/>
  <c r="AC31" i="1"/>
  <c r="AC35" i="1"/>
  <c r="AC115" i="1"/>
  <c r="AC12" i="1"/>
  <c r="AC49" i="1"/>
  <c r="AC96" i="1"/>
  <c r="AC48" i="1"/>
  <c r="AC54" i="1"/>
  <c r="AC67" i="1"/>
  <c r="AC110" i="1"/>
  <c r="AC10" i="1"/>
  <c r="AC8" i="1"/>
  <c r="AC294" i="1"/>
  <c r="AC296" i="1"/>
  <c r="AC295" i="1"/>
  <c r="AC325" i="1"/>
  <c r="AC324" i="1"/>
  <c r="AC323" i="1"/>
  <c r="AC322" i="1"/>
  <c r="AC321" i="1"/>
  <c r="AC320" i="1"/>
  <c r="AC319" i="1"/>
  <c r="AC316" i="1"/>
  <c r="AC315" i="1"/>
  <c r="AC314" i="1"/>
  <c r="AC312" i="1"/>
  <c r="AC310" i="1"/>
  <c r="AC308" i="1"/>
  <c r="AC307" i="1"/>
  <c r="AC305" i="1"/>
  <c r="AC304" i="1"/>
  <c r="AC303" i="1"/>
  <c r="AC302" i="1"/>
  <c r="AC301" i="1"/>
  <c r="AC300" i="1"/>
  <c r="AC299" i="1"/>
  <c r="AC113" i="1"/>
  <c r="AC111" i="1"/>
  <c r="AC109" i="1"/>
  <c r="AC108" i="1"/>
  <c r="AC107" i="1"/>
  <c r="AC105" i="1"/>
  <c r="AC103" i="1"/>
  <c r="AC101" i="1"/>
  <c r="AC95" i="1"/>
  <c r="AC93" i="1"/>
  <c r="AC91" i="1"/>
  <c r="AC89" i="1"/>
  <c r="AC87" i="1"/>
  <c r="AC85" i="1"/>
  <c r="AC83" i="1"/>
  <c r="AC81" i="1"/>
  <c r="AC78" i="1"/>
  <c r="AC76" i="1"/>
  <c r="AC74" i="1"/>
  <c r="AC72" i="1"/>
  <c r="AC70" i="1"/>
  <c r="AC68" i="1"/>
  <c r="AC64" i="1"/>
  <c r="AC62" i="1"/>
  <c r="AC61" i="1"/>
  <c r="AC59" i="1"/>
  <c r="AC57" i="1"/>
  <c r="AC53" i="1"/>
  <c r="AC51" i="1"/>
  <c r="AC50" i="1"/>
  <c r="AC46" i="1"/>
  <c r="AC44" i="1"/>
  <c r="AC42" i="1"/>
  <c r="AC40" i="1"/>
  <c r="AC38" i="1"/>
  <c r="AC36" i="1"/>
  <c r="AC34" i="1"/>
  <c r="AC32" i="1"/>
  <c r="AC29" i="1"/>
  <c r="AC27" i="1"/>
  <c r="AC25" i="1"/>
  <c r="AC23" i="1"/>
  <c r="AC21" i="1"/>
  <c r="AC18" i="1"/>
  <c r="AC15" i="1"/>
  <c r="AC13" i="1"/>
  <c r="AC9" i="1"/>
  <c r="AC97" i="1"/>
  <c r="AC19" i="1"/>
  <c r="AC56" i="1"/>
  <c r="AC98" i="1"/>
  <c r="AC100" i="1"/>
  <c r="AC112" i="1"/>
  <c r="AC65" i="1"/>
  <c r="AG52" i="1"/>
  <c r="AG44" i="1"/>
  <c r="AG43" i="1"/>
  <c r="AG42" i="1"/>
  <c r="AG41" i="1"/>
  <c r="AG421" i="1"/>
  <c r="AG420" i="1"/>
  <c r="AG419" i="1"/>
  <c r="AG418" i="1"/>
  <c r="AG417" i="1"/>
  <c r="AG416" i="1"/>
  <c r="AG414" i="1"/>
  <c r="AG413" i="1"/>
  <c r="AG412" i="1"/>
  <c r="AG411" i="1"/>
  <c r="AG410" i="1"/>
  <c r="AG409" i="1"/>
  <c r="AG408" i="1"/>
  <c r="AG407" i="1"/>
  <c r="AG406" i="1"/>
  <c r="AG405" i="1"/>
  <c r="AG404" i="1"/>
  <c r="AG403" i="1"/>
  <c r="AG402" i="1"/>
  <c r="AG401" i="1"/>
  <c r="AG400" i="1"/>
  <c r="AG399" i="1"/>
  <c r="AG398" i="1"/>
  <c r="AG397" i="1"/>
  <c r="AG396" i="1"/>
  <c r="AG395" i="1"/>
  <c r="AG394" i="1"/>
  <c r="AG393" i="1"/>
  <c r="AG392" i="1"/>
  <c r="AG391" i="1"/>
  <c r="AG390" i="1"/>
  <c r="AG389" i="1"/>
  <c r="AG388" i="1"/>
  <c r="AG387" i="1"/>
  <c r="AG386" i="1"/>
  <c r="AG385" i="1"/>
  <c r="AG384" i="1"/>
  <c r="AG383" i="1"/>
  <c r="AG382" i="1"/>
  <c r="AG381" i="1"/>
  <c r="AG380" i="1"/>
  <c r="AG379" i="1"/>
  <c r="AG378" i="1"/>
  <c r="AG377" i="1"/>
  <c r="AG376" i="1"/>
  <c r="AG375" i="1"/>
  <c r="AG374" i="1"/>
  <c r="AG373" i="1"/>
  <c r="AG372" i="1"/>
  <c r="AG370" i="1"/>
  <c r="AG369" i="1"/>
  <c r="AG368" i="1"/>
  <c r="AG367" i="1"/>
  <c r="AG366" i="1"/>
  <c r="AG365" i="1"/>
  <c r="AG364" i="1"/>
  <c r="AG363" i="1"/>
  <c r="AG362" i="1"/>
  <c r="AG361" i="1"/>
  <c r="AG360" i="1"/>
  <c r="AG359" i="1"/>
  <c r="AG357" i="1"/>
  <c r="AG356" i="1"/>
  <c r="AG355" i="1"/>
  <c r="AG354" i="1"/>
  <c r="AG353" i="1"/>
  <c r="AG352" i="1"/>
  <c r="AG351" i="1"/>
  <c r="AG350" i="1"/>
  <c r="AG349" i="1"/>
  <c r="AG348" i="1"/>
  <c r="AG347" i="1"/>
  <c r="AG346" i="1"/>
  <c r="AG345" i="1"/>
  <c r="AG344" i="1"/>
  <c r="AG343" i="1"/>
  <c r="AG342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5" i="1"/>
  <c r="AG324" i="1"/>
  <c r="AG323" i="1"/>
  <c r="AG322" i="1"/>
  <c r="AG321" i="1"/>
  <c r="AG320" i="1"/>
  <c r="AG319" i="1"/>
  <c r="AG316" i="1"/>
  <c r="AG315" i="1"/>
  <c r="AG312" i="1"/>
  <c r="AG310" i="1"/>
  <c r="AG307" i="1"/>
  <c r="AG306" i="1"/>
  <c r="AG304" i="1"/>
  <c r="AG303" i="1"/>
  <c r="AG302" i="1"/>
  <c r="AG291" i="1"/>
  <c r="AG286" i="1"/>
  <c r="AG283" i="1"/>
  <c r="AG282" i="1"/>
  <c r="AG281" i="1"/>
  <c r="AG280" i="1"/>
  <c r="AG279" i="1"/>
  <c r="AG278" i="1"/>
  <c r="AG277" i="1"/>
  <c r="AG276" i="1"/>
  <c r="AG275" i="1"/>
  <c r="AG274" i="1"/>
  <c r="AG267" i="1"/>
  <c r="AG266" i="1"/>
  <c r="AG265" i="1"/>
  <c r="AG261" i="1"/>
  <c r="AG259" i="1"/>
  <c r="AG255" i="1"/>
  <c r="AG252" i="1"/>
  <c r="AG250" i="1"/>
  <c r="AG248" i="1"/>
  <c r="AG247" i="1"/>
  <c r="AG244" i="1"/>
  <c r="AG243" i="1"/>
  <c r="AG242" i="1"/>
  <c r="AG241" i="1"/>
  <c r="AG240" i="1"/>
  <c r="AG236" i="1"/>
  <c r="AG234" i="1"/>
  <c r="AG233" i="1"/>
  <c r="AG232" i="1"/>
  <c r="AG231" i="1"/>
  <c r="AG230" i="1"/>
  <c r="AG229" i="1"/>
  <c r="AG228" i="1"/>
  <c r="AG226" i="1"/>
  <c r="AG225" i="1"/>
  <c r="AG223" i="1"/>
  <c r="AG222" i="1"/>
  <c r="AG221" i="1"/>
  <c r="AG220" i="1"/>
  <c r="AG219" i="1"/>
  <c r="AG211" i="1"/>
  <c r="AG210" i="1"/>
  <c r="AG204" i="1"/>
  <c r="AG189" i="1"/>
  <c r="AG186" i="1"/>
  <c r="AG185" i="1"/>
  <c r="AG182" i="1"/>
  <c r="AG181" i="1"/>
  <c r="AG180" i="1"/>
  <c r="AG179" i="1"/>
  <c r="AG178" i="1"/>
  <c r="AG177" i="1"/>
  <c r="AG176" i="1"/>
  <c r="AG175" i="1"/>
  <c r="AG174" i="1"/>
  <c r="AG171" i="1"/>
  <c r="AG167" i="1"/>
  <c r="AG161" i="1"/>
  <c r="AG153" i="1"/>
  <c r="AG152" i="1"/>
  <c r="AG151" i="1"/>
  <c r="AG148" i="1"/>
  <c r="AG145" i="1"/>
  <c r="AG143" i="1"/>
  <c r="AG141" i="1"/>
  <c r="AG138" i="1"/>
  <c r="AG137" i="1"/>
  <c r="AG125" i="1"/>
  <c r="AG115" i="1"/>
  <c r="AG112" i="1"/>
  <c r="AG92" i="1"/>
  <c r="AG91" i="1"/>
  <c r="AG89" i="1"/>
  <c r="AG88" i="1"/>
  <c r="AG87" i="1"/>
  <c r="AG86" i="1"/>
  <c r="AG84" i="1"/>
  <c r="AG83" i="1"/>
  <c r="AG74" i="1"/>
  <c r="AG72" i="1"/>
  <c r="AG71" i="1"/>
  <c r="AG58" i="1"/>
  <c r="AG11" i="1"/>
  <c r="AG415" i="1"/>
  <c r="AG371" i="1"/>
  <c r="AG358" i="1"/>
  <c r="AG318" i="1"/>
  <c r="AG317" i="1"/>
  <c r="AG314" i="1"/>
  <c r="AG313" i="1"/>
  <c r="AG311" i="1"/>
  <c r="AG309" i="1"/>
  <c r="AG308" i="1"/>
  <c r="AG305" i="1"/>
  <c r="AG301" i="1"/>
  <c r="AG300" i="1"/>
  <c r="AG299" i="1"/>
  <c r="AG298" i="1"/>
  <c r="AG297" i="1"/>
  <c r="AG296" i="1"/>
  <c r="AG295" i="1"/>
  <c r="AG294" i="1"/>
  <c r="AG293" i="1"/>
  <c r="AG292" i="1"/>
  <c r="AG290" i="1"/>
  <c r="AG289" i="1"/>
  <c r="AG288" i="1"/>
  <c r="AG287" i="1"/>
  <c r="AG285" i="1"/>
  <c r="AG284" i="1"/>
  <c r="AG273" i="1"/>
  <c r="AG272" i="1"/>
  <c r="AG271" i="1"/>
  <c r="AG270" i="1"/>
  <c r="AG269" i="1"/>
  <c r="AG268" i="1"/>
  <c r="AG264" i="1"/>
  <c r="AG263" i="1"/>
  <c r="AG262" i="1"/>
  <c r="AG260" i="1"/>
  <c r="AG258" i="1"/>
  <c r="AG257" i="1"/>
  <c r="AG256" i="1"/>
  <c r="AG254" i="1"/>
  <c r="AG253" i="1"/>
  <c r="AG251" i="1"/>
  <c r="AG249" i="1"/>
  <c r="AG246" i="1"/>
  <c r="AG245" i="1"/>
  <c r="AG239" i="1"/>
  <c r="AG238" i="1"/>
  <c r="AG237" i="1"/>
  <c r="AG235" i="1"/>
  <c r="AG227" i="1"/>
  <c r="AG224" i="1"/>
  <c r="AG218" i="1"/>
  <c r="AG217" i="1"/>
  <c r="AG216" i="1"/>
  <c r="AG215" i="1"/>
  <c r="AG214" i="1"/>
  <c r="AG213" i="1"/>
  <c r="AG212" i="1"/>
  <c r="AG209" i="1"/>
  <c r="AG208" i="1"/>
  <c r="AG207" i="1"/>
  <c r="AG206" i="1"/>
  <c r="AG205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8" i="1"/>
  <c r="AG187" i="1"/>
  <c r="AG184" i="1"/>
  <c r="AG183" i="1"/>
  <c r="AG173" i="1"/>
  <c r="AG172" i="1"/>
  <c r="AG170" i="1"/>
  <c r="AG169" i="1"/>
  <c r="AG168" i="1"/>
  <c r="AG166" i="1"/>
  <c r="AG165" i="1"/>
  <c r="AG164" i="1"/>
  <c r="AG163" i="1"/>
  <c r="AG162" i="1"/>
  <c r="AG160" i="1"/>
  <c r="AG159" i="1"/>
  <c r="AG158" i="1"/>
  <c r="AG157" i="1"/>
  <c r="AG156" i="1"/>
  <c r="AG155" i="1"/>
  <c r="AG154" i="1"/>
  <c r="AG150" i="1"/>
  <c r="AG149" i="1"/>
  <c r="AG147" i="1"/>
  <c r="AG146" i="1"/>
  <c r="AG144" i="1"/>
  <c r="AG142" i="1"/>
  <c r="AG140" i="1"/>
  <c r="AG139" i="1"/>
  <c r="AG136" i="1"/>
  <c r="AG135" i="1"/>
  <c r="AG134" i="1"/>
  <c r="AG133" i="1"/>
  <c r="AG132" i="1"/>
  <c r="AG131" i="1"/>
  <c r="AG130" i="1"/>
  <c r="AG129" i="1"/>
  <c r="AG128" i="1"/>
  <c r="AG127" i="1"/>
  <c r="AG126" i="1"/>
  <c r="AG124" i="1"/>
  <c r="AG123" i="1"/>
  <c r="AG122" i="1"/>
  <c r="AG121" i="1"/>
  <c r="AG120" i="1"/>
  <c r="AG119" i="1"/>
  <c r="AG118" i="1"/>
  <c r="AG117" i="1"/>
  <c r="AG116" i="1"/>
  <c r="AG114" i="1"/>
  <c r="AG113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0" i="1"/>
  <c r="AG85" i="1"/>
  <c r="AG82" i="1"/>
  <c r="AG81" i="1"/>
  <c r="AG80" i="1"/>
  <c r="AG79" i="1"/>
  <c r="AG78" i="1"/>
  <c r="AG77" i="1"/>
  <c r="AG76" i="1"/>
  <c r="AG75" i="1"/>
  <c r="AG73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7" i="1"/>
  <c r="AG56" i="1"/>
  <c r="AG55" i="1"/>
  <c r="AG54" i="1"/>
  <c r="AG53" i="1"/>
  <c r="AG51" i="1"/>
  <c r="AG50" i="1"/>
  <c r="AG49" i="1"/>
  <c r="AG48" i="1"/>
  <c r="AG47" i="1"/>
  <c r="AG46" i="1"/>
  <c r="AG45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0" i="1"/>
  <c r="AG9" i="1"/>
  <c r="AG8" i="1"/>
  <c r="AG7" i="1"/>
  <c r="G13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Fatin ZULKIFLI</author>
  </authors>
  <commentList>
    <comment ref="AC5" authorId="0" shapeId="0" xr:uid="{A09B94ED-947C-486B-B144-6E07CB03B599}">
      <text>
        <r>
          <rPr>
            <b/>
            <sz val="9"/>
            <color indexed="81"/>
            <rFont val="Tahoma"/>
            <family val="2"/>
          </rPr>
          <t>Fatin ZULKIFLI:</t>
        </r>
        <r>
          <rPr>
            <sz val="9"/>
            <color indexed="81"/>
            <rFont val="Tahoma"/>
            <family val="2"/>
          </rPr>
          <t xml:space="preserve">
If RAW material use material - =R54 (Example) because already in KG, for others should use formula convert to KG</t>
        </r>
      </text>
    </comment>
    <comment ref="AG6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Fatin ZULKIFLI:</t>
        </r>
        <r>
          <rPr>
            <sz val="9"/>
            <color indexed="81"/>
            <rFont val="Tahoma"/>
            <family val="2"/>
          </rPr>
          <t xml:space="preserve">
Pick amount from COS AE first, if n/a, then choose from COS AF
</t>
        </r>
      </text>
    </comment>
  </commentList>
</comments>
</file>

<file path=xl/sharedStrings.xml><?xml version="1.0" encoding="utf-8"?>
<sst xmlns="http://schemas.openxmlformats.org/spreadsheetml/2006/main" count="19666" uniqueCount="2824">
  <si>
    <t>Batch Quantity</t>
  </si>
  <si>
    <t>Age Bucket 01 - 03 m</t>
  </si>
  <si>
    <t>Age Bucket 04 - 06 m</t>
  </si>
  <si>
    <t>Age Bucket 07 - 12 m</t>
  </si>
  <si>
    <t>Age Bucket 13 - 24 m</t>
  </si>
  <si>
    <t>Age Bucket Abv 24 m</t>
  </si>
  <si>
    <t>Tot Stock value</t>
  </si>
  <si>
    <t>Total Provision</t>
  </si>
  <si>
    <t>Material</t>
  </si>
  <si>
    <t>Net weight</t>
  </si>
  <si>
    <t>11.300 G</t>
  </si>
  <si>
    <t>BB38-0060-R-R-CL</t>
  </si>
  <si>
    <t>12.500 G</t>
  </si>
  <si>
    <t>BB38-0090-R-R-CL</t>
  </si>
  <si>
    <t>20.000 G</t>
  </si>
  <si>
    <t>18.800 G</t>
  </si>
  <si>
    <t>BX38-0150-C-R-CL</t>
  </si>
  <si>
    <t>23.000 G</t>
  </si>
  <si>
    <t>24.000 G</t>
  </si>
  <si>
    <t>JJ63-0200-S-Q-CL</t>
  </si>
  <si>
    <t>JJ63-0200-R-R-CL</t>
  </si>
  <si>
    <t>36.000 G</t>
  </si>
  <si>
    <t>JJ63-0240-R-R-CL</t>
  </si>
  <si>
    <t>24.800 G</t>
  </si>
  <si>
    <t>33.000 G</t>
  </si>
  <si>
    <t>BC28-0300-PC-R-CL</t>
  </si>
  <si>
    <t>JJ63-0300-R-R-CL</t>
  </si>
  <si>
    <t>JJ63-0350-R-R-CL</t>
  </si>
  <si>
    <t>BC28-0355-A-Q-CL</t>
  </si>
  <si>
    <t>28.000 G</t>
  </si>
  <si>
    <t>JJ63-0400-EH-R-CL</t>
  </si>
  <si>
    <t>JJ63-0400-SH-S-CL</t>
  </si>
  <si>
    <t>31.000 G</t>
  </si>
  <si>
    <t>BCY28-0500-W-R-CL</t>
  </si>
  <si>
    <t>BC28-0500-WNHP-R-BR</t>
  </si>
  <si>
    <t>JJ63-0500-RH-R-CL</t>
  </si>
  <si>
    <t>44.000 G</t>
  </si>
  <si>
    <t>JJ63-0850-RH-R-CL</t>
  </si>
  <si>
    <t>JJ63-1000-E-R-CL</t>
  </si>
  <si>
    <t>BB38-0500-R-R-CL</t>
  </si>
  <si>
    <t>32.000 G</t>
  </si>
  <si>
    <t>BB38-0500-S-S-CL</t>
  </si>
  <si>
    <t>BB38-1000-HC-S-CL</t>
  </si>
  <si>
    <t>55.000 G</t>
  </si>
  <si>
    <t>BB38-1000-S-S-CL</t>
  </si>
  <si>
    <t>Z-HANDLE - RED</t>
  </si>
  <si>
    <t>Z-HANDLE - WHITE</t>
  </si>
  <si>
    <t>BB38-2000-K2-S-CL</t>
  </si>
  <si>
    <t>74.000 G</t>
  </si>
  <si>
    <t>C38-T/E-C/S-WHITE</t>
  </si>
  <si>
    <t>C63-T/E-R/S-WHITE</t>
  </si>
  <si>
    <t>C38-T/E-I/L-C/S-WHITE</t>
  </si>
  <si>
    <t>3.300 G</t>
  </si>
  <si>
    <t>C63-T/E-R/S-YELLOW</t>
  </si>
  <si>
    <t>C38-T/E-I/L-C/S-YELLOW</t>
  </si>
  <si>
    <t>C38-T/E-C/S-ORANGE</t>
  </si>
  <si>
    <t>C63-T/E-R/S-ORANGE</t>
  </si>
  <si>
    <t>C38-T/E-I/L-C/S-ORANGE</t>
  </si>
  <si>
    <t>C28-C/S-FLIP TOP RED</t>
  </si>
  <si>
    <t>C28-C/S-FLIP TOP BLACK</t>
  </si>
  <si>
    <t>C38-T/E-C/S-RED</t>
  </si>
  <si>
    <t>C63-T/E-R/S-RED</t>
  </si>
  <si>
    <t>C63-T/E-R/S-GOLD</t>
  </si>
  <si>
    <t>C63-T/E-R/S-BLUE</t>
  </si>
  <si>
    <t>C38-T/E-C/S-GREEN</t>
  </si>
  <si>
    <t>C63-T/E-R/S-GREEN</t>
  </si>
  <si>
    <t>13.200 G</t>
  </si>
  <si>
    <t>C63-D/C 7H BLACK</t>
  </si>
  <si>
    <t>0.000 G</t>
  </si>
  <si>
    <t>C63-T/E-R/S-BLACK</t>
  </si>
  <si>
    <t>C38-T/E-I/L-C/S-BLACK</t>
  </si>
  <si>
    <t>C63-T/E-R/S-BRONZE</t>
  </si>
  <si>
    <t>C28-EZY CAP YELLOW</t>
  </si>
  <si>
    <t>C63-BUNG CLEAR</t>
  </si>
  <si>
    <t>2.800 G</t>
  </si>
  <si>
    <t>C63-BUNG WHITE</t>
  </si>
  <si>
    <t>C63-BUNG GOLD</t>
  </si>
  <si>
    <t>M-INJ MASTER BATCH-YELLOW (EVO)-2204</t>
  </si>
  <si>
    <t>M-INJ MASTER BATCH-RED (EVO)-31381</t>
  </si>
  <si>
    <t>R-PP-PP COPO 2300K</t>
  </si>
  <si>
    <t>R-LLDPE LL6201</t>
  </si>
  <si>
    <t>R-PP-PP TITAN PRO SM398</t>
  </si>
  <si>
    <t>Z-37.5MM PE WAD (1.0MM)</t>
  </si>
  <si>
    <t>Z-61.5MM PE WAD (1.0MM)</t>
  </si>
  <si>
    <t>Z-62MM ACTIVATED SEAL WAD</t>
  </si>
  <si>
    <t>Z-61.3MM INDUCTION SEAL W/EAR</t>
  </si>
  <si>
    <t>Z-62MM PAPER WAD</t>
  </si>
  <si>
    <t>BX38-1000-RH-R-CL(GREEN) (ASEM)</t>
  </si>
  <si>
    <t>60.000 G</t>
  </si>
  <si>
    <t>BX38-1000-GH-R-CL(GREEN) (ASEM)</t>
  </si>
  <si>
    <t>47.800 G</t>
  </si>
  <si>
    <t>BX38-1500-H-R-CL-LW(GREEN) (ASEM)</t>
  </si>
  <si>
    <t>BX38-2000-RH-R-CL(GREEN) (ASEM)</t>
  </si>
  <si>
    <t>78.000 G</t>
  </si>
  <si>
    <t>C63-T/E-R/S-BROWN</t>
  </si>
  <si>
    <t>BC28-0265-A-Q-CL</t>
  </si>
  <si>
    <t>JJ63-0600-RH-R-CL</t>
  </si>
  <si>
    <t>JJ63-0250-R-R-CL</t>
  </si>
  <si>
    <t>JJ63-0350-EH-R-CL</t>
  </si>
  <si>
    <t>BX38-0100-C-R-CL</t>
  </si>
  <si>
    <t>BX38-0300-C-R-AM</t>
  </si>
  <si>
    <t>M-INJ MASTERBATCH BRONZE 3626A</t>
  </si>
  <si>
    <t>BX38-2000-GH-R-CL (GREEN) (ASEM)</t>
  </si>
  <si>
    <t>77.500 G</t>
  </si>
  <si>
    <t>30.000 G</t>
  </si>
  <si>
    <t>M-INJ REMAFIN RED PL103605-12</t>
  </si>
  <si>
    <t>C28-AF2 PLAIN BLACK 004 PLASTIC CAPS</t>
  </si>
  <si>
    <t>T-PLASTIC PALLET N4111SL-BLACK-(K)</t>
  </si>
  <si>
    <t>3.000 G</t>
  </si>
  <si>
    <t>C28-AF2 PLAIN WHITE PLASTIC CAPS</t>
  </si>
  <si>
    <t>BC28-0375-K-R-CL</t>
  </si>
  <si>
    <t>35.600 G</t>
  </si>
  <si>
    <t>29.000 G</t>
  </si>
  <si>
    <t>0.000 KG</t>
  </si>
  <si>
    <t>R-LDPE-LDPE LDF 265 YZ</t>
  </si>
  <si>
    <t>T-P.PALLET N41208SL-BLACK 1200X800MM</t>
  </si>
  <si>
    <t>BX38-0330-LJ-R-CL</t>
  </si>
  <si>
    <t>M-INJ REMAFIN WHITE 70C (PC) PE02449058</t>
  </si>
  <si>
    <t>M-INJ REMAFIN GOLD PE103916-15</t>
  </si>
  <si>
    <t>M-INJ REMAFIN BLUE PE109470-15</t>
  </si>
  <si>
    <t>15.000 G</t>
  </si>
  <si>
    <t>BX38-0330-Z-S-CL-HW</t>
  </si>
  <si>
    <t>BX38-0350-RJ-R-CL</t>
  </si>
  <si>
    <t>BX38-0350-Z-C-CL</t>
  </si>
  <si>
    <t>6.300 G</t>
  </si>
  <si>
    <t>BS0300-NA GBB0300 HDPE BTL (NATURAL)</t>
  </si>
  <si>
    <t>38.000 G</t>
  </si>
  <si>
    <t>19.000 G</t>
  </si>
  <si>
    <t>122.000 G</t>
  </si>
  <si>
    <t>AL3021-NA 3LTR LID (NATURAL)</t>
  </si>
  <si>
    <t>AT3021-WH 3LTR TUB (WHITE)</t>
  </si>
  <si>
    <t>M/B BLUE PE 81201-3P</t>
  </si>
  <si>
    <t>M/B BLUE PP/PE 82868-2P</t>
  </si>
  <si>
    <t>M/B BROWN PE 71216-3P</t>
  </si>
  <si>
    <t>M/B LIGHT BROWN PE 71217-3P</t>
  </si>
  <si>
    <t>M-PET RENOL BLACK NE113005-14</t>
  </si>
  <si>
    <t>AY0067-NA 60ML PLASTIC SCOOP</t>
  </si>
  <si>
    <t>FREIGHT COST/TRANSPORT COST</t>
  </si>
  <si>
    <t>M-INJ ORANGE MP30373-05</t>
  </si>
  <si>
    <t>M-INJ REMAFIN YELLOW M1013 (FP)</t>
  </si>
  <si>
    <t>AL0512-RD 36MM CAP (RED)</t>
  </si>
  <si>
    <t>M-INJ REMAFIN GOLD PEG3449048-ZN</t>
  </si>
  <si>
    <t>T-P.PALLET WN4-1210 GREEN 1200 X 1000MM</t>
  </si>
  <si>
    <t>Z-HANDLE - GREEN</t>
  </si>
  <si>
    <t>M-INJ REMAFIN BLUE PE53449272-ZN</t>
  </si>
  <si>
    <t>M/B GREEN PP 93375-3P</t>
  </si>
  <si>
    <t>M/B BLUE PP 84800-4P</t>
  </si>
  <si>
    <t>M-INJ REMAFIN GREEN-ML66243-05</t>
  </si>
  <si>
    <t>R-HDPE HD 5403AA</t>
  </si>
  <si>
    <t>R-HDPE MARLEX EHM 6007</t>
  </si>
  <si>
    <t>R-PP 6331</t>
  </si>
  <si>
    <t>R-PP PD855</t>
  </si>
  <si>
    <t>R-PP SM240</t>
  </si>
  <si>
    <t>R-TPE EMPILON 560</t>
  </si>
  <si>
    <t>Stk Val 01-03mo</t>
  </si>
  <si>
    <t>Stk Val 04-06mo</t>
  </si>
  <si>
    <t>Stk Val 07-12mo</t>
  </si>
  <si>
    <t>Stk Val 13-24mo</t>
  </si>
  <si>
    <t>Total weight (kg) in KIR report</t>
  </si>
  <si>
    <t>Grand Total</t>
  </si>
  <si>
    <t>Data Source Name</t>
  </si>
  <si>
    <t>Stock Turn Over Days</t>
  </si>
  <si>
    <t>Cal Yr/Mon for  Cost of Sls</t>
  </si>
  <si>
    <t>JJ63-0240-RS-R-CL</t>
  </si>
  <si>
    <t>ProdHier</t>
  </si>
  <si>
    <t>HANDLE,PUMP,SCOOP,IN</t>
  </si>
  <si>
    <t>RAW MAT - MB</t>
  </si>
  <si>
    <t>RAW MAT - PP</t>
  </si>
  <si>
    <t>RAW MAT - LDPE</t>
  </si>
  <si>
    <t>OTHER</t>
  </si>
  <si>
    <t>WAD,SEAL,INSERT</t>
  </si>
  <si>
    <t>LABEL</t>
  </si>
  <si>
    <t>PALLET</t>
  </si>
  <si>
    <t>BOTTLE-HDPE</t>
  </si>
  <si>
    <t>CONTAINER, TUB-PP</t>
  </si>
  <si>
    <t>BOTTLE-PP</t>
  </si>
  <si>
    <t>RAW MAT - HDPE</t>
  </si>
  <si>
    <t>RAW MAT - Others</t>
  </si>
  <si>
    <t>Amount W/O age</t>
  </si>
  <si>
    <t>Stocks w/o Age Quantity</t>
  </si>
  <si>
    <t>M/B GREEN PP 93576R-3P</t>
  </si>
  <si>
    <t>M-INJ REMAFIN BROWN PE83449141-ZN</t>
  </si>
  <si>
    <t>Stk Val 1Abv24mo</t>
  </si>
  <si>
    <t>Sum of Tot Stock value</t>
  </si>
  <si>
    <t>Sum of Total Provision</t>
  </si>
  <si>
    <t>Sum of Total weight (kg) in KIR report</t>
  </si>
  <si>
    <t>Values</t>
  </si>
  <si>
    <t>M-INJ REMAFIN RED PE33449267-ZN</t>
  </si>
  <si>
    <t>M/B BLACK MB 31388-1P</t>
  </si>
  <si>
    <t>BC28-0400-R-R-CL</t>
  </si>
  <si>
    <t>Z-37.5MM PAPER WAD</t>
  </si>
  <si>
    <t>JJ63-0400-SH-S-WH</t>
  </si>
  <si>
    <t>M-INJ ORANGE 139148-18 (PE23449148-ZT)</t>
  </si>
  <si>
    <t>Z-62MM PE WAD (0.55M)</t>
  </si>
  <si>
    <t>Z-36.6MM PE WAD (1MM)</t>
  </si>
  <si>
    <t>JX63-1000-E-R-CL</t>
  </si>
  <si>
    <t>C63-T/E-R/S-PINK</t>
  </si>
  <si>
    <t>Extract fr Col C</t>
  </si>
  <si>
    <t>JJ63-0400-RH-R-CL</t>
  </si>
  <si>
    <t>BC28-0150-A1-Q-CL</t>
  </si>
  <si>
    <t>M/B ORANGE PE 51604-2.7P</t>
  </si>
  <si>
    <t>M/B VIOLET PE 52062-3P</t>
  </si>
  <si>
    <t>M-PET MASTERBATCH -WHITE</t>
  </si>
  <si>
    <t>M/B BLUE PP 84036-3P</t>
  </si>
  <si>
    <t>45.600 G</t>
  </si>
  <si>
    <t>M/B WHITE 1070</t>
  </si>
  <si>
    <t>BC28-0200-SB-R-CL</t>
  </si>
  <si>
    <t>SAP</t>
  </si>
  <si>
    <t>PP SB-520Y RESIN</t>
  </si>
  <si>
    <t>M-INJ REMAFIN-GOLD PEG3449069-ZN</t>
  </si>
  <si>
    <t>Z-INDUCTION SEAL 37.0MM DIA</t>
  </si>
  <si>
    <t>3.500 G</t>
  </si>
  <si>
    <t>C28-C/S-FLIP TOP ORANGE 139148-18</t>
  </si>
  <si>
    <t>6.400 G</t>
  </si>
  <si>
    <t>OTHERS</t>
  </si>
  <si>
    <t>R-HDPE-HDPE 1010J</t>
  </si>
  <si>
    <t>C63-D/C 7H BLUE W ACT SEAL (ASEM)</t>
  </si>
  <si>
    <t>12.000 G</t>
  </si>
  <si>
    <t>PP PM655</t>
  </si>
  <si>
    <t>OTHERS(N/A)</t>
  </si>
  <si>
    <t>BC28-0130-R-R-AM</t>
  </si>
  <si>
    <t>R-PET-JADE BRAND PET RESIN CZ-302 IV0.80</t>
  </si>
  <si>
    <t>0.000 TON</t>
  </si>
  <si>
    <t>RAW MAT - PET</t>
  </si>
  <si>
    <t>M-PET RENOL RED NE113139-09</t>
  </si>
  <si>
    <t>JJ63-0550-S-Q-CL</t>
  </si>
  <si>
    <t>CAP(N/A)</t>
  </si>
  <si>
    <t>M-INJ REMAFIN BROWN PE83449140-ZN (C)</t>
  </si>
  <si>
    <t>BC28-1200-K-R-CL</t>
  </si>
  <si>
    <t>AL0478-BL 38MM FLIP CAP (BLUE)</t>
  </si>
  <si>
    <t>Z-62.2MM UNIGARD PEELABLE I/INNERSEAL</t>
  </si>
  <si>
    <t>JJ63-0700-HX-H-CL</t>
  </si>
  <si>
    <t>AL2012-BK 38MM CAP (BLACK) C/W SEAL ASEM</t>
  </si>
  <si>
    <t>AT1015-NA HARWANY PLASTIC BOX (NATURAL)</t>
  </si>
  <si>
    <t>87.000 G</t>
  </si>
  <si>
    <t>JJPM SG BULOH</t>
  </si>
  <si>
    <t/>
  </si>
  <si>
    <t>MYR</t>
  </si>
  <si>
    <t>BC28-0500-CSD-R-CL</t>
  </si>
  <si>
    <t>C38-T/E-I/L-C/S-GREEN</t>
  </si>
  <si>
    <t>BC28-0250-Z-S-CL</t>
  </si>
  <si>
    <t>BOTTLE-PE</t>
  </si>
  <si>
    <t>C28-EZY R/S CAP BLUE W PET IND SEAL-ASEM</t>
  </si>
  <si>
    <t>JG63-0175-R-R-AM</t>
  </si>
  <si>
    <t>C63-T/E-R/S-VIOLET 2.0</t>
  </si>
  <si>
    <t>SL-MAGGI CLSSC MRIDOR S/S MIX 400G-N 2.0</t>
  </si>
  <si>
    <t>SL-NIPPON PAINT-GOLD PAINT 250G</t>
  </si>
  <si>
    <t>BOTTLE-GENERAL</t>
  </si>
  <si>
    <t>JAR-GENERAL</t>
  </si>
  <si>
    <t>CAP-HDPE GENERAL</t>
  </si>
  <si>
    <t>CAP-PP</t>
  </si>
  <si>
    <t>CAP-LDPE</t>
  </si>
  <si>
    <t>BB38-0500-R-R-WH</t>
  </si>
  <si>
    <t>4.700 G</t>
  </si>
  <si>
    <t>SL-TELLY ROASTED SESAME MAYO 1 LITRE</t>
  </si>
  <si>
    <t>BC28-0060-M-R-WH-HW</t>
  </si>
  <si>
    <t>39.500 G</t>
  </si>
  <si>
    <t>EBK38-0500-K-Q-NA-PE(S0576)</t>
  </si>
  <si>
    <t>R-MARLEX HHM TR-144S</t>
  </si>
  <si>
    <t>7.300 G</t>
  </si>
  <si>
    <t>M/B DARK BEIGE PP 63624-4P</t>
  </si>
  <si>
    <t>LBL 2.0LTR LKT V/R DURIAN</t>
  </si>
  <si>
    <t>LBL 2.0LTR LKT V/R VANILLA</t>
  </si>
  <si>
    <t>LBL 2.0LTR LKT V/R YAM</t>
  </si>
  <si>
    <t>LBL 0.5LTR LKT V/R CHOCOLATE</t>
  </si>
  <si>
    <t>LBL 2.0LTR LKT V/R PECAN NUT</t>
  </si>
  <si>
    <t>LBL 2.0LTR LKT V/R PISTACHIO ALMOND</t>
  </si>
  <si>
    <t>LBL 2.0LTR LKT V/R SWEET CORN</t>
  </si>
  <si>
    <t>LBL 0.5LTR LKT V/R SWEET CORN</t>
  </si>
  <si>
    <t>JJ63-0190-E-Q-CL-LW</t>
  </si>
  <si>
    <t>34.500 G</t>
  </si>
  <si>
    <t>JJ63-0750-HX-H-CL-LW</t>
  </si>
  <si>
    <t>45.300 G</t>
  </si>
  <si>
    <t>3.750 G</t>
  </si>
  <si>
    <t>4.850 G</t>
  </si>
  <si>
    <t>3.700 G</t>
  </si>
  <si>
    <t>JJ63-0750-R-R-CL-LW</t>
  </si>
  <si>
    <t>23.500 G</t>
  </si>
  <si>
    <t>BX38-0250-RJ-R-CL-HW</t>
  </si>
  <si>
    <t>BC28-0280-HD-R-CL-HW</t>
  </si>
  <si>
    <t>3.600 G</t>
  </si>
  <si>
    <t>118.000 G</t>
  </si>
  <si>
    <t>LBL 2.0LTR LKT V/R MOCHA</t>
  </si>
  <si>
    <t>C38-T/E-I/L-C/S-YELLOW(24433374)NESTLE V</t>
  </si>
  <si>
    <t>AT0926-GR 1LTR I/C TUB (GREEN)</t>
  </si>
  <si>
    <t>C38-T/E-C/S-BLACK - V</t>
  </si>
  <si>
    <t>Z-37.5MM PE WAD (0.5MM)</t>
  </si>
  <si>
    <t>C63-D/C 6H D.GREEN</t>
  </si>
  <si>
    <t>RAW MATERIAL</t>
  </si>
  <si>
    <t>12.840 G</t>
  </si>
  <si>
    <t>C38-T/E-I/L-C/S-GOLD - V</t>
  </si>
  <si>
    <t>R-LDPE G812</t>
  </si>
  <si>
    <t>M-INJ REMAFIN RED PE33449375-ZN (PINK)</t>
  </si>
  <si>
    <t>9.900 G</t>
  </si>
  <si>
    <t>BC28-0375-K-R-Tinted Brown</t>
  </si>
  <si>
    <t>M-INJ REMAFIN BROWN PE83449238-ZN</t>
  </si>
  <si>
    <t>JJ63-0155-TH-R-CL</t>
  </si>
  <si>
    <t>JJ63-0500-M-R-AM</t>
  </si>
  <si>
    <t>BX38-1000-RH-R-CL-WHT-ASEM</t>
  </si>
  <si>
    <t>BX38-2000-RH-R-CL (WHITE) (ASEM)</t>
  </si>
  <si>
    <t>76.000 G</t>
  </si>
  <si>
    <t>LBL 2.0LTR LKT V/R FRUITCAKE &amp; RAISIN</t>
  </si>
  <si>
    <t>M-INJ AMPACET GREEN 1704021-K</t>
  </si>
  <si>
    <t>11.390 G</t>
  </si>
  <si>
    <t>C38-T/E-C/S-YELLOW - V</t>
  </si>
  <si>
    <t>18.350 G</t>
  </si>
  <si>
    <t>SL-JJ63 0475 ICE TEA PEACH MENGKU CONSIG</t>
  </si>
  <si>
    <t>LBL 1.0LTR LKT V/R CHO/CHIP</t>
  </si>
  <si>
    <t>M-PET M/BATCH- RENOL AMBER NE122289-13</t>
  </si>
  <si>
    <t>ST- ISCOOP CHOC CHIP 140MMx90MM</t>
  </si>
  <si>
    <t>ST-6LTR BUDS TUB 2.0</t>
  </si>
  <si>
    <t>12.300 G</t>
  </si>
  <si>
    <t>BW38-0280-LS-R-RED</t>
  </si>
  <si>
    <t>C28-C/S-FLIP TOP RED-T</t>
  </si>
  <si>
    <t>C28-C/S-FLIP TOP YELLOW-T</t>
  </si>
  <si>
    <t>C28-C/S-FLIP TOP YELLOW (V)</t>
  </si>
  <si>
    <t>BS0571-NA 500ML PP BTL (NATURAL)</t>
  </si>
  <si>
    <t>42.000 G</t>
  </si>
  <si>
    <t>LBL 0.5LTR LKT V/R VANILLA</t>
  </si>
  <si>
    <t>JK57-0350-R-CL-KEKO</t>
  </si>
  <si>
    <t>Z-38.2MM PE WAD (0.5MM)</t>
  </si>
  <si>
    <t>BC28-0090-D-APH-5180-3538-PP</t>
  </si>
  <si>
    <t>BC28-0060-M-R-AM-LW</t>
  </si>
  <si>
    <t>33.670 G</t>
  </si>
  <si>
    <t>C28-ALFA PLAIN WHITE PLASTIC CAPS</t>
  </si>
  <si>
    <t>BC28-0170-D-APH-5180-3539-PP</t>
  </si>
  <si>
    <t>32.820 G</t>
  </si>
  <si>
    <t>LBL 0.5LTR LKT V/R STRAWBERRY</t>
  </si>
  <si>
    <t>SL-KNORR CHICKEN POWDER MYSG 120G (BVI)</t>
  </si>
  <si>
    <t>SL-KNORR TOMYAM PASTE MYSG180G(BVI)</t>
  </si>
  <si>
    <t>Overall Result</t>
  </si>
  <si>
    <t>**</t>
  </si>
  <si>
    <t>40.600 G</t>
  </si>
  <si>
    <t>55.900 G</t>
  </si>
  <si>
    <t>LBL 1.0LTR LKT V/R MANGO</t>
  </si>
  <si>
    <t>R-FG HIRO rPET Resins–Natural IV 0.80</t>
  </si>
  <si>
    <t>BC28-0056-D-APH-5040-0756-PP</t>
  </si>
  <si>
    <t>JG63-0175-R-R-AM KNR CHICKEN MYSG (BVI)</t>
  </si>
  <si>
    <t>JG63-0175-R-R-AM KNR I.BILIS MYSG (BVI)</t>
  </si>
  <si>
    <t>JG63-0175-R-R-AM KNR TOMYAM MYSG (BVI)</t>
  </si>
  <si>
    <t>SL-KNORR IKAN BILIS POWDER MYSG120G(BVI)</t>
  </si>
  <si>
    <t>SL-KNORR CHICKEN POWDER NAMSG 120G (BVI)</t>
  </si>
  <si>
    <t>SL-KNORR I.BILIS NAMSG 120G (BVI)</t>
  </si>
  <si>
    <t>M-PET MB-AMBER HMM5TR693A (EVOCHEM)</t>
  </si>
  <si>
    <t>T-PLASTIC PALLET - OUJI</t>
  </si>
  <si>
    <t>JG63-0175-R-R-AM KNR CHICKEN NAMSG (BVI)</t>
  </si>
  <si>
    <t>JG63-0175-R-R-AM KNR I.BILIS NAMSG (BVI)</t>
  </si>
  <si>
    <t>M-PET MASTERBATCH-AMBER (EVOCHEM)</t>
  </si>
  <si>
    <t>86.500 G</t>
  </si>
  <si>
    <t>BX38-0250-SM-R-WH-ORI (ASEM)</t>
  </si>
  <si>
    <t>SL-STRAWBERRY YOGURT DRINK- EBB</t>
  </si>
  <si>
    <t>SL-MIX BERRY YOGURT DRINK- EBB</t>
  </si>
  <si>
    <t>SL-ORIGINAL YOGURT DRINK - EBB</t>
  </si>
  <si>
    <t>SL-MANGO YOGURT DRINK- EBB</t>
  </si>
  <si>
    <t>M-PET MASTERBATCH-BROWN(N) (EVOCHEM)</t>
  </si>
  <si>
    <t>BC28-0265-SCC-A-Q-CL</t>
  </si>
  <si>
    <t>AT0556-GR 500ML I/C TUB (GREEN)</t>
  </si>
  <si>
    <t>BX38-1000-HC-S-CL</t>
  </si>
  <si>
    <t>48.000 G</t>
  </si>
  <si>
    <t>BX38-0250-SM-R-WH</t>
  </si>
  <si>
    <t>BX38-0500-S-S-CL-LW</t>
  </si>
  <si>
    <t>Plant</t>
  </si>
  <si>
    <t>Material Group</t>
  </si>
  <si>
    <t>ValStckVal</t>
  </si>
  <si>
    <t>Val. stock</t>
  </si>
  <si>
    <t>LstReceipt</t>
  </si>
  <si>
    <t>Last GI</t>
  </si>
  <si>
    <t>Val.stk(I)</t>
  </si>
  <si>
    <t>Val.stk(R)</t>
  </si>
  <si>
    <t>CovValStkV</t>
  </si>
  <si>
    <t>ValStkTurn</t>
  </si>
  <si>
    <t>Tot.us.val</t>
  </si>
  <si>
    <t>ZUNI Universal Material Type</t>
  </si>
  <si>
    <t>EA</t>
  </si>
  <si>
    <t>KG</t>
  </si>
  <si>
    <t>FG        Finish/Trading Mat</t>
  </si>
  <si>
    <t>M</t>
  </si>
  <si>
    <t>RM        Raw Material</t>
  </si>
  <si>
    <t>712  JJPM-SG BULOH</t>
  </si>
  <si>
    <t>322380             BC28-0060-M-R-WH-LW</t>
  </si>
  <si>
    <t>PCE</t>
  </si>
  <si>
    <t>322382             BC28-0060-M-R-CL-LW</t>
  </si>
  <si>
    <t>322383             BB38-0060-R-R-CL</t>
  </si>
  <si>
    <t>322385             BX38-0075-R-R-CL</t>
  </si>
  <si>
    <t>322389             BB38-0090-R-R-CL</t>
  </si>
  <si>
    <t>322391             BX38-0100-BM-R-AM</t>
  </si>
  <si>
    <t>322394             BX38-0100-C-R-AM</t>
  </si>
  <si>
    <t>322400             BC28-0100-M-R-CL-HW</t>
  </si>
  <si>
    <t>322405             BX38-0150-C-R-CL</t>
  </si>
  <si>
    <t>322406             BC28-0150-M-R-CL</t>
  </si>
  <si>
    <t>322408             BB38-0165-RH-R-CL</t>
  </si>
  <si>
    <t>322409             JJ63-0190-E-Q-CL-LW</t>
  </si>
  <si>
    <t>322411             JJ63-0200-S-Q-CL</t>
  </si>
  <si>
    <t>322412             JJ63-0200-R-R-CL</t>
  </si>
  <si>
    <t>322419             JJ63-0240-R-R-CL</t>
  </si>
  <si>
    <t>322420             JJ63-0240-RS-R-CL</t>
  </si>
  <si>
    <t>322421             BC28-0250-M-R-CL LW</t>
  </si>
  <si>
    <t>322422             JJ63-0250-S-Q-CL-HW</t>
  </si>
  <si>
    <t>322424             JJ63-0270-E-Q-CL</t>
  </si>
  <si>
    <t>322427             BX38-0300-C-R-CL</t>
  </si>
  <si>
    <t>322428             BC28-0300-PC-R-CL</t>
  </si>
  <si>
    <t>322429             JJ63-0300-R-R-CL</t>
  </si>
  <si>
    <t>322431             JJ63-0310-R-R-CL</t>
  </si>
  <si>
    <t>322434             BC28-0350-GE-R-BL</t>
  </si>
  <si>
    <t>322435             JJ63-0350-NH-R-CL</t>
  </si>
  <si>
    <t>322436             JJ63-0350-R-R-CL</t>
  </si>
  <si>
    <t>322438             BC28-0355-A-Q-CL</t>
  </si>
  <si>
    <t>322442             JJ63-0400-EH-R-CL</t>
  </si>
  <si>
    <t>322444             JJ63-0400-RH-R-CL</t>
  </si>
  <si>
    <t>322445             JJ63-0400-SH-S-CL</t>
  </si>
  <si>
    <t>322446             BC28-0430-A-Q-CL</t>
  </si>
  <si>
    <t>322448             BCY28-0500-W-R-CL</t>
  </si>
  <si>
    <t>322451             BC28-0500-WNHP-R-BR</t>
  </si>
  <si>
    <t>322452             JJ63-0500-RH-R-CL</t>
  </si>
  <si>
    <t>322453             JJ63-0500-M-R-CL</t>
  </si>
  <si>
    <t>322454             JJ63-0500-S-Q-CL</t>
  </si>
  <si>
    <t>322459             BCY28-0500-TR-R-CL</t>
  </si>
  <si>
    <t>322464             JJ63-0600-HX-H-CL</t>
  </si>
  <si>
    <t>322471             JJ63-0750-HX-H-CL-LW</t>
  </si>
  <si>
    <t>322474             JJ63-0850-RH-R-CL</t>
  </si>
  <si>
    <t>322477             JJ63-1000-E-R-CL</t>
  </si>
  <si>
    <t>322485             BX38-0250-FM-R-CL</t>
  </si>
  <si>
    <t>322493             BC28-0280-HD-R-CL-LW</t>
  </si>
  <si>
    <t>322503             BC28-0500-CSD-R-CL</t>
  </si>
  <si>
    <t>322506             BB38-0500-R-R-CL</t>
  </si>
  <si>
    <t>322509             BB38-0500-S-S-CL</t>
  </si>
  <si>
    <t>322517             BB38-1000-HC-S-CL</t>
  </si>
  <si>
    <t>322521             BB38-1000-C-R-CL</t>
  </si>
  <si>
    <t>322525             BB38-1000-CN-R-CL</t>
  </si>
  <si>
    <t>322527             BB38-1000-S-S-CL</t>
  </si>
  <si>
    <t>322535             Z-HANDLE - YELLOW</t>
  </si>
  <si>
    <t>322537             Z-HANDLE - RED</t>
  </si>
  <si>
    <t>322540             Z-HANDLE - GREEN</t>
  </si>
  <si>
    <t>322542             Z-HANDLE - WHITE</t>
  </si>
  <si>
    <t>322550             BB38-2000-K2-S-CL</t>
  </si>
  <si>
    <t>322551             C38-T/E-C/S-WHITE</t>
  </si>
  <si>
    <t>322552             C63-T/E-R/S-WHITE</t>
  </si>
  <si>
    <t>322553             C38-T/E-I/L-R/S-WHITE</t>
  </si>
  <si>
    <t>322557             C63-T/E-R/S-WHITE WITH P.E WAD (ASEM) -V</t>
  </si>
  <si>
    <t>322558             C38-T/E-I/L-C/S-WHITE</t>
  </si>
  <si>
    <t>322561             C38-T/E-R/S-WHITE</t>
  </si>
  <si>
    <t>322564             C38-T/E-I/L-R/S-WHITE WITH P.E WAD (ASEM</t>
  </si>
  <si>
    <t>322567             C38-T/E-C/S-YELLOW - V</t>
  </si>
  <si>
    <t>322568             C63-T/E-R/S-YELLOW</t>
  </si>
  <si>
    <t>322570             C63-T/E-R/S-YELLOW WITH P.E WAD (ASEM)</t>
  </si>
  <si>
    <t>322571             C38-T/E-I/L-R/S-YELLOW – V</t>
  </si>
  <si>
    <t>322573             C38-T/E-I/L-C/S-YELLOW</t>
  </si>
  <si>
    <t>322574             C38-T/E-I/L-C/S-YELLOW(24433374)NESTLE V</t>
  </si>
  <si>
    <t>322580             C38-T/E-C/S-ORANGE</t>
  </si>
  <si>
    <t>322581             C63-T/E-R/S-ORANGE</t>
  </si>
  <si>
    <t>322583             C38-T/E-I/L-C/S-ORANGE</t>
  </si>
  <si>
    <t>322584             C38-T/E-R/S-ORANGE</t>
  </si>
  <si>
    <t>322593             C28-ALFA PLAIN WHITE PLASTIC CAPS</t>
  </si>
  <si>
    <t>322595             C28-C/S-FLIP TOP RED</t>
  </si>
  <si>
    <t>322597             C28-C/S-FLIP TOP YELLOW (V)</t>
  </si>
  <si>
    <t>322601             C28-C/S-FLIP TOP WHITE</t>
  </si>
  <si>
    <t>322602             C28-C/S-FLIP TOP D.GREEN</t>
  </si>
  <si>
    <t>322605             C28-C/S-FLIP TOP BLACK</t>
  </si>
  <si>
    <t>322611             C28-C/S-FLIP TOP ORANGE</t>
  </si>
  <si>
    <t>322612             C28-R/S-FLIP TOP D.GREEN</t>
  </si>
  <si>
    <t>322614             C38-T/E-C/S-RED</t>
  </si>
  <si>
    <t>322616             C38-T/E-R/S-RED</t>
  </si>
  <si>
    <t>322617             C63-T/E-R/S-RED</t>
  </si>
  <si>
    <t>322620             C38-T/E-I/L-C/S-RED</t>
  </si>
  <si>
    <t>322623             C110-HANDLE CAP PINK</t>
  </si>
  <si>
    <t>322632             C63-T/E-R/S-GOLD</t>
  </si>
  <si>
    <t>322635             C63-T/E-R/S-BLUE</t>
  </si>
  <si>
    <t>322639             C38-T/E-C/S-GREEN</t>
  </si>
  <si>
    <t>322640             C63-T/E-R/S-GREEN</t>
  </si>
  <si>
    <t>322643             C38-T/E-I/L-C/S-GREEN</t>
  </si>
  <si>
    <t>322644             C38-T/E-R/S-GREEN - V</t>
  </si>
  <si>
    <t>322646             C63-D/C 7H RED</t>
  </si>
  <si>
    <t>322647             C63-D/C 7H BLACK</t>
  </si>
  <si>
    <t>322649             C63-D/C 7H YELLOW</t>
  </si>
  <si>
    <t>322654             C63-D/C 7H RED MAGGI WITH UNI-GARD (ASEM</t>
  </si>
  <si>
    <t>322656             C63-D/C 3H RED</t>
  </si>
  <si>
    <t>322670             C38-T/E-R/S-BLACK</t>
  </si>
  <si>
    <t>322671             C38-T/E-C/S-BLACK - V</t>
  </si>
  <si>
    <t>322672             C63-T/E-R/S-BLACK</t>
  </si>
  <si>
    <t>322674             C63-T/E-R/S BLACK WITH P.E WAD (ASEM)</t>
  </si>
  <si>
    <t>322675             C38-T/E-I/L-R/S-BLACK</t>
  </si>
  <si>
    <t>322677             C38-T/E-I/L-C/S-BLACK</t>
  </si>
  <si>
    <t>322679             C63-T/E-R/S-BRONZE</t>
  </si>
  <si>
    <t>322685             C28-EZY CAP YELLOW</t>
  </si>
  <si>
    <t>322692             C38-FILTER CLEAR SMALL HOLE - V</t>
  </si>
  <si>
    <t>322694             C63-BUNG CLEAR</t>
  </si>
  <si>
    <t>322695             C63-BUNG WHITE</t>
  </si>
  <si>
    <t>322698             C63-BUNG GOLD</t>
  </si>
  <si>
    <t>322699             Z-28-EZY CAP COVER</t>
  </si>
  <si>
    <t>322720             M-INJ ORANGE MP30373-05</t>
  </si>
  <si>
    <t>322725             M-PET RENOL TR VIOLET NE41449007-ZN</t>
  </si>
  <si>
    <t>322732             M-PET RENOL BLUE 20897-35(MYA)</t>
  </si>
  <si>
    <t>322734             M-INJ REMAFIN YELLOW M1013 (FP)</t>
  </si>
  <si>
    <t>322762             M-INJ REMAFIN GREEN-ML66243-05</t>
  </si>
  <si>
    <t>322764             M-INJ MASTER BATCH-YELLOW (EVO)-2204</t>
  </si>
  <si>
    <t>322765             M-INJ MASTER BATCH-RED (EVO)-31381</t>
  </si>
  <si>
    <t>322779             M-PET MASTERBATCH-BROWN(N) (EVOCHEM)</t>
  </si>
  <si>
    <t>322780             M-PET MASTERBATCH-AMBER (EVOCHEM)</t>
  </si>
  <si>
    <t>322792             R-PP-PP COPO 2300K</t>
  </si>
  <si>
    <t>322795             R-LLDPE LL6201</t>
  </si>
  <si>
    <t>322799             R-PP-PP TITAN PRO SM398</t>
  </si>
  <si>
    <t>322851             Z-37.5MM PE WAD (1.0MM)</t>
  </si>
  <si>
    <t>322852             Z-62MM PE WAD (0.55M)</t>
  </si>
  <si>
    <t>322853             Z-61.5MM PE WAD (1.0MM)</t>
  </si>
  <si>
    <t>322855             Z-37.5MM PE WAD (0.5MM)</t>
  </si>
  <si>
    <t>322858             Z-38.2MM PE WAD (0.5MM)</t>
  </si>
  <si>
    <t>322859             Z-37.5MM ACTIVATED SEAL WAD</t>
  </si>
  <si>
    <t>322862             Z-62MM ACTIVATED SEAL WAD</t>
  </si>
  <si>
    <t>322863             Z-62.2MM UNIGARD PEELABLE I/INNERSEAL</t>
  </si>
  <si>
    <t>322864             Z-61.3MM INDUCTION SEAL W/EAR</t>
  </si>
  <si>
    <t>322983             ST-POWER MAX-STAINLESS STEEL CLEANER 400</t>
  </si>
  <si>
    <t>323017             Z-37.5MM PAPER WAD</t>
  </si>
  <si>
    <t>323019             Z-62MM PAPER WAD</t>
  </si>
  <si>
    <t>323037             BCY28-0400-T-R-WH</t>
  </si>
  <si>
    <t>323038             BCY28-0400-T-R-WH PWR MAX (ASEM)</t>
  </si>
  <si>
    <t>323039             JJ63-0475-FFN-R-CL</t>
  </si>
  <si>
    <t>323046             JJ63-0650-CB-R-CL</t>
  </si>
  <si>
    <t>323072             JJ63-0750-R-R-CL-LW</t>
  </si>
  <si>
    <t>323077             BB38-1000-H-R-CL(GREEN) (ASEM)</t>
  </si>
  <si>
    <t>323091             BX38-1000-RH-R-CL(GREEN) (ASEM)</t>
  </si>
  <si>
    <t>323092             BX38-1000-GH-R-CL(GREEN) (ASEM)</t>
  </si>
  <si>
    <t>323102             BX38-1500-H-R-CL-LW(GREEN) (ASEM)</t>
  </si>
  <si>
    <t>323107             BB38-2000-HR-R-CL(RED) (ASEM)</t>
  </si>
  <si>
    <t>323110             BB38-2000-H-R-CL(GREEN) (ASEM)</t>
  </si>
  <si>
    <t>323111             BB38-2000-H-R-CL(WHITE) (ASEM)</t>
  </si>
  <si>
    <t>323133             BX38-2000-RH-R-CL(GREEN) (ASEM)</t>
  </si>
  <si>
    <t>323509             C28-C/S-FLIP TOP GREEN</t>
  </si>
  <si>
    <t>324122             Z-CJ 28/410 WHITE DISPENSER PUMP</t>
  </si>
  <si>
    <t>324123             Z-CJ 33/410 WHITE DISPENSER PUMP</t>
  </si>
  <si>
    <t>324126             BS38-0250-RJ-R-CL</t>
  </si>
  <si>
    <t>324150             BX38-1000-RN-R-CL</t>
  </si>
  <si>
    <t>324156             C63-T/E-R/S-BROWN</t>
  </si>
  <si>
    <t>324163             BC28-0265-A-Q-CL</t>
  </si>
  <si>
    <t>324165             JJ63-0400-SH-S-WH</t>
  </si>
  <si>
    <t>324168             JJ63-0500-M-R-AM</t>
  </si>
  <si>
    <t>324170             JJ63-0750-SHX-S-CL</t>
  </si>
  <si>
    <t>324173             JJ63-0600-RH-R-CL</t>
  </si>
  <si>
    <t>324174             JJ63-0250-R-R-CL</t>
  </si>
  <si>
    <t>324175             JJ63-0660-S-S-CL</t>
  </si>
  <si>
    <t>324176             JJ63-0550-HX-H-CL</t>
  </si>
  <si>
    <t>324177             JJ63-0350-EH-R-CL</t>
  </si>
  <si>
    <t>324185             BD24-0150-C-R-CL (LOW NECK)</t>
  </si>
  <si>
    <t>324191             BCY28-0750-W-R-CL</t>
  </si>
  <si>
    <t>324192             BC28-0100-M-R-BR-HW</t>
  </si>
  <si>
    <t>324198             BX38-0100-C-R-CL</t>
  </si>
  <si>
    <t>324203             BX38-0300-C-R-AM</t>
  </si>
  <si>
    <t>324206             BX38-1000-HC-S-CL</t>
  </si>
  <si>
    <t>324207             BB38-0250-R-R-WH</t>
  </si>
  <si>
    <t>324212             BB38-0250-S-S-CL</t>
  </si>
  <si>
    <t>324215             BX38-0250-RJ-R-CL-LW</t>
  </si>
  <si>
    <t>324216             JW110-4100-R-R-AM</t>
  </si>
  <si>
    <t>324219             C63-D/C 7H GREEN</t>
  </si>
  <si>
    <t>324298             C63-D/C 7H RED W IND SEAL W/EAR (ASEM)</t>
  </si>
  <si>
    <t>324493             M-INJ MASTERBATCH BRONZE 3626A</t>
  </si>
  <si>
    <t>324523             FREIGHT COST/TRANSPORT COST</t>
  </si>
  <si>
    <t>JOB</t>
  </si>
  <si>
    <t>324638             BX38-2000-GH-R-CL (GREEN) (ASEM)</t>
  </si>
  <si>
    <t>324682             BB38-0500-R-R-WH</t>
  </si>
  <si>
    <t>324730             INSURANCE &amp; OTHERS</t>
  </si>
  <si>
    <t>328420             JX63-0531-RN-R-CL</t>
  </si>
  <si>
    <t>328482             BX38-0250-R-R-CL-LW</t>
  </si>
  <si>
    <t>328487             C63-D/C 6H BLACK W IND SEAL W/EAR (ASEM)</t>
  </si>
  <si>
    <t>329667             BB38-1000-R-R-WH-HW</t>
  </si>
  <si>
    <t>329970             BC28-0350-GE-R-AM</t>
  </si>
  <si>
    <t>330830             M-PET MASTERBATCH -WHITE</t>
  </si>
  <si>
    <t>330867             SL-FANCY FONDANT 285GM</t>
  </si>
  <si>
    <t>330920             JJ63-0200-R-R-CL FANCY FONDANT (ASEM)</t>
  </si>
  <si>
    <t>330922             C63-T/E-R/S-PINK</t>
  </si>
  <si>
    <t>331724             R-PET-JADE BRAND PET RESIN CZ-302 IV0.80</t>
  </si>
  <si>
    <t>332190             C38-T/E-R/S-BLACK WITH P.E WAD (V)</t>
  </si>
  <si>
    <t>333702             C90-T/E-I/L-R/S-A-BLUE</t>
  </si>
  <si>
    <t>333745             JN90-2480-R-R-CL</t>
  </si>
  <si>
    <t>334550             BC28-1000-S-S-COBALT BLUE</t>
  </si>
  <si>
    <t>335835             M-INJ REMAFIN RED PL103605-12</t>
  </si>
  <si>
    <t>337468             C28-AF2 PLAIN BLACK 004 PLASTIC CAPS</t>
  </si>
  <si>
    <t>337470             BC28-1000-K-R-CL</t>
  </si>
  <si>
    <t>340302             T-PLASTIC PALLET N4111SL-BLACK-(K)</t>
  </si>
  <si>
    <t>PK        Packing Material</t>
  </si>
  <si>
    <t>340460             BC28-0150-A3-Q-CL</t>
  </si>
  <si>
    <t>341134             C28-AF2 PLAIN GOLD 230 PLASTIC CAPS</t>
  </si>
  <si>
    <t>341157             C28-AF2 PLAIN WHITE PLASTIC CAPS</t>
  </si>
  <si>
    <t>345523             JJ63-0475-FFN-R-CL PEACH MENGKUDU (ASEM)</t>
  </si>
  <si>
    <t>345537             SL-JJ63 0475 ICE TEA PEACH MENGKU CONSIG</t>
  </si>
  <si>
    <t>347623             BC28-0375-K-R-CL</t>
  </si>
  <si>
    <t>359741             JJ63-0750-DH-H-CL</t>
  </si>
  <si>
    <t>359999             JJ63-0275-FB-R-CL</t>
  </si>
  <si>
    <t>361751             BC28-0750-K2-R-CL-HW</t>
  </si>
  <si>
    <t>365091             JX63-1000-E-R-CL</t>
  </si>
  <si>
    <t>365134             C63-D/C 7H BLUE W ACT SEAL (ASEM)</t>
  </si>
  <si>
    <t>369307             BW38-0500-LS-R-RED</t>
  </si>
  <si>
    <t>369308             BW38-0280-LS-R-RED</t>
  </si>
  <si>
    <t>369382             M-PET RENOL RED NE113139-09</t>
  </si>
  <si>
    <t>372120             BX38-0320-KR-R-CL</t>
  </si>
  <si>
    <t>372952             JJ63-0400-SH-S-AM (KIWI LOGO)</t>
  </si>
  <si>
    <t>374617             R-PET-RECRON PET RESIN 6868</t>
  </si>
  <si>
    <t>377477             Z-36.5MM INDUCTION SEAL W/EAR 5MM</t>
  </si>
  <si>
    <t>379402             R-LDPE-LDPE LDF 265 YZ</t>
  </si>
  <si>
    <t>380849             T-P.PALLET N41208SL-BLACK 1200X800MM</t>
  </si>
  <si>
    <t>380964             C32-2PIECE-WHITE-V</t>
  </si>
  <si>
    <t>384007             C28-EZY R/S CAP YELLOW</t>
  </si>
  <si>
    <t>386036             Z-26MM PP INDUCTION SEAL</t>
  </si>
  <si>
    <t>386731             C28-EZY R/S CAP YEL W PP IND SEAL (ASEM)</t>
  </si>
  <si>
    <t>387396             C28-EZY CAP GOLD</t>
  </si>
  <si>
    <t>387467             C63-D/C 6H D.GREEN</t>
  </si>
  <si>
    <t>388221             C38-EZY CAP-T.R &amp; B.YEL W PE WAD (ASEM</t>
  </si>
  <si>
    <t>393808             BC28-0500-WNHP-R-CL</t>
  </si>
  <si>
    <t>397405             BX38-0250-R-R-CL-HW</t>
  </si>
  <si>
    <t>397752             Z-61.9MM IHS 30/M PET 2PC INDUCTION SEAL</t>
  </si>
  <si>
    <t>399476             BD24-0150-C-R-CL (HIGH NECK)</t>
  </si>
  <si>
    <t>400860             BX38-0250-RJ-R-CL-HW</t>
  </si>
  <si>
    <t>401602             BC28-0280-HD-R-CL-HW</t>
  </si>
  <si>
    <t>402078             C28-R/S-FLIP TOP CLEAR</t>
  </si>
  <si>
    <t>402305             BX38-0500-S-S-CL-LW</t>
  </si>
  <si>
    <t>408094             BC28-0270-KPD-Q-CL</t>
  </si>
  <si>
    <t>409579             BC28-0750-GS-R-BR</t>
  </si>
  <si>
    <t>409670             M-PET GOLD  PBH PT 700047/4 AP MET</t>
  </si>
  <si>
    <t>409780             BX38-0330-LJ-R-CL</t>
  </si>
  <si>
    <t>410269             BX38-1000-RH-R-CL-WHT-ASEM</t>
  </si>
  <si>
    <t>410628             M-INJ REMAFIN GREEN PE109806-14</t>
  </si>
  <si>
    <t>410629             M-INJ REMAFIN WHITE 70C (PC) PE02449058</t>
  </si>
  <si>
    <t>410764             BX38-0330-R-CL-MTB</t>
  </si>
  <si>
    <t>411451             M-INJ REMAFIN GOLD PE103916-15</t>
  </si>
  <si>
    <t>411716             C38-T/E-I/L-C/S-GOLD - V</t>
  </si>
  <si>
    <t>412421             M-INJ REMAFIN BLUE PE109470-15</t>
  </si>
  <si>
    <t>414439             BC28-0150-A1-Q-CL</t>
  </si>
  <si>
    <t>416201             BC28-0200-M-R-BR</t>
  </si>
  <si>
    <t>416868             BC28-0250-M-R-BR LW</t>
  </si>
  <si>
    <t>423213             BC28-0265-SCC-A-Q-CL</t>
  </si>
  <si>
    <t>423215             BC28-0355-SCC-A-Q-CL</t>
  </si>
  <si>
    <t>425688             C63-D/C 7H ORANGE</t>
  </si>
  <si>
    <t>426555             BX38-0330-Z-S-CL-HW</t>
  </si>
  <si>
    <t>427379             BX38-0500-S1-S-CL</t>
  </si>
  <si>
    <t>429880             BC28-0330-CSD-R-CL-HW</t>
  </si>
  <si>
    <t>431387             JJ63-0750-OT-H-CL</t>
  </si>
  <si>
    <t>432203             BC28-0500-R-R-CL</t>
  </si>
  <si>
    <t>436445             BX38-0375-S-R-CL-HW</t>
  </si>
  <si>
    <t>437371             MOULD CHARGES</t>
  </si>
  <si>
    <t>437808             BX38-0850-GH-R-CL HW</t>
  </si>
  <si>
    <t>438507             BW38-0150-Z-Z-CL-CJA</t>
  </si>
  <si>
    <t>441778             BX38-2000-RH-R-CL (WHITE) (ASEM)</t>
  </si>
  <si>
    <t>441809             JJ63-0550-S-Q-CL</t>
  </si>
  <si>
    <t>441811             JJ63-0550-S-Q-CL ALMOND (ASEM)</t>
  </si>
  <si>
    <t>441812             JJ63-0550-S-Q-CL HAZELNUTS (ASEM)</t>
  </si>
  <si>
    <t>441813             JJ63-0550-S-Q-CL FRUIT&amp;NUTS (ASEM)</t>
  </si>
  <si>
    <t>441894             M-INJ REMAFIN RED PE33449267-ZN</t>
  </si>
  <si>
    <t>442034             BC28-0250-Z-S-CL</t>
  </si>
  <si>
    <t>442069             M-INJ REMAFIN BLUE PE53449272-ZN</t>
  </si>
  <si>
    <t>442311             SL-VOCHELLE ALMONDS 330G- ORANGE</t>
  </si>
  <si>
    <t>442322             SL-VOCHELLE HAZELNUTS 330G- GREEN</t>
  </si>
  <si>
    <t>442323             SL-VOCHELLE FRUITS &amp; NUTS 330G- PURPLE</t>
  </si>
  <si>
    <t>442642             JJ63-0700-HX-H-CL</t>
  </si>
  <si>
    <t>449365             BX38-0350-RJ-R-CL</t>
  </si>
  <si>
    <t>449792             M-INJ REMAFIN GOLD ML51033-05</t>
  </si>
  <si>
    <t>451191             BX38-0350-Z-C-CL</t>
  </si>
  <si>
    <t>453732             AL0316-WH 28MM NO LOGO CAP (WHITE)</t>
  </si>
  <si>
    <t>453747             AL0512-BL 36MM CAP (BLUE)</t>
  </si>
  <si>
    <t>453748             AL0512-DBE 36MM CAP (DARK BEIGE)</t>
  </si>
  <si>
    <t>453751             AL0512-OR 36MM CAP (ORANGE)</t>
  </si>
  <si>
    <t>453753             AL0512-RD 36MM CAP (RED)</t>
  </si>
  <si>
    <t>453754             AL0512-VL 36MM CAP (VIOLET)</t>
  </si>
  <si>
    <t>453756             AL0512-YL 36MM CAP (YELLOW)</t>
  </si>
  <si>
    <t>453758             AL0556-WH-L 500ML I/C LID (WHITE)</t>
  </si>
  <si>
    <t>453765             AL0597-WH 473ML/500ML I/C LID (WHITE)</t>
  </si>
  <si>
    <t>453776             AL1511-BL 1.2/1.5LTR I/C LID (BLUE)</t>
  </si>
  <si>
    <t>453788             AL1537-BK 1/1.5/2LTR I/C LID (BLACK)</t>
  </si>
  <si>
    <t>453792             AL1537-GR 1/1.5/2LTR I/C LID (GREEN)</t>
  </si>
  <si>
    <t>453796             AL2012-BK 38MM CAP (BLACK) C/W SEAL ASEM</t>
  </si>
  <si>
    <t>453797             AL2012-BK 38MM CAP (BLACK) W/O SEAL</t>
  </si>
  <si>
    <t>453798             AL2013-BL 2LTR I/C LID (BLUE)</t>
  </si>
  <si>
    <t>453803             AL4507-BL 38MM CAP (BLUE)</t>
  </si>
  <si>
    <t>453811             BS0300-NA GBB0300 HDPE BTL (NATURAL)</t>
  </si>
  <si>
    <t>453820             AT0215-NA 200ML PP CUP (NATURAL)</t>
  </si>
  <si>
    <t>453826             AT0473-WH 473ML I/C TUB (WHITE)</t>
  </si>
  <si>
    <t>453833             AT0556-GR 500ML I/C TUB (GREEN)</t>
  </si>
  <si>
    <t>453836             AT0597-WH 500ML I/C TUB (WHITE)</t>
  </si>
  <si>
    <t>453839             AT0926-BK 1LTR I/C TUB (BLACK)</t>
  </si>
  <si>
    <t>453840             AT0926-GR 1LTR I/C TUB (GREEN)</t>
  </si>
  <si>
    <t>453845             AT1255-YL 1.25LTR I/C TUB (YELLOW)</t>
  </si>
  <si>
    <t>453856             AT2012-BL 2LTR I/C TUB (BLUE)</t>
  </si>
  <si>
    <t>453858             AT2017-BK 2LTR I/C TUB (BLACK)</t>
  </si>
  <si>
    <t>453860             AT2017-GR 2LTR I/C TUB (GREEN)</t>
  </si>
  <si>
    <t>453865             AT6020-WH 6LTR/1.5GAL I/C TUB (WHITE)</t>
  </si>
  <si>
    <t>453895             BS0217-NA 200ML PE BTL (NATURAL)</t>
  </si>
  <si>
    <t>453901             BS0267-NA 250ML PP BTL (NATURAL)</t>
  </si>
  <si>
    <t>453903             BS0302-NA 300ML PP BTL (NATURAL)</t>
  </si>
  <si>
    <t>453915             BS0332-NA 300ML PP BTL LW (NATURAL)</t>
  </si>
  <si>
    <t>453916             BS0332-NA 300ML PP BTL HW (NATURAL)</t>
  </si>
  <si>
    <t>453920             BS0339-NA 300ML PP BTL (NATURAL)</t>
  </si>
  <si>
    <t>453926             BS0507-NA 500ML PP BTL (NATURAL)</t>
  </si>
  <si>
    <t>453928             BS0521-NA 500ML PP BTL (NATURAL)</t>
  </si>
  <si>
    <t>453929             BS0571-NA 500ML PP BTL (NATURAL)</t>
  </si>
  <si>
    <t>453931             EBK38-0500-K-Q-BR-PE(S0576)</t>
  </si>
  <si>
    <t>453932             EBK38-0500-K-Q-NA-PE(S0576)</t>
  </si>
  <si>
    <t>453933             EBK38-0500-K-Q-YL-PE(S0576)</t>
  </si>
  <si>
    <t>453935             BS0751-NA 750ML PP BTL (NATURAL)</t>
  </si>
  <si>
    <t>453936             BS0875-NA 750ML PP BTL (NATURAL)</t>
  </si>
  <si>
    <t>453944             BS1017-NA 1LTR HDPE BTL (NATURAL)</t>
  </si>
  <si>
    <t>453945             BS1017-WH 1LTR HDPE BTL (WHITE)</t>
  </si>
  <si>
    <t>453946             BS1019-NA 1LTR PP BTL (NATURAL)</t>
  </si>
  <si>
    <t>453950             EBK38-2000-K-S-NA-PE(S2016)</t>
  </si>
  <si>
    <t>453953             Z-INDUCTION SEAL 37.0MM DIA</t>
  </si>
  <si>
    <t>453976             AL6018-WH 6LTR I/C LID (WHITE)</t>
  </si>
  <si>
    <t>453990             AT6018-WH 6LTR BUDS I/C TUB (WHITE)</t>
  </si>
  <si>
    <t>453991             AL6020-WH 6LTR/1.5GAL I/C LID (WHITE)</t>
  </si>
  <si>
    <t>454115             LBL 6LTR BUDS TUB</t>
  </si>
  <si>
    <t>454164             AL1019-RD 38MM NOZZLE CAP (RED)</t>
  </si>
  <si>
    <t>454180             AL0473-GD 473ML I/C LID (GOLD)</t>
  </si>
  <si>
    <t>454185             AL0478-BR 38MM FLIP CAP (BROWN)</t>
  </si>
  <si>
    <t>454186             AL0478-YL 38MM FLIP CAP (YELLOW)</t>
  </si>
  <si>
    <t>454201             AL0473-WH 473ML I/C LID (WHITE)</t>
  </si>
  <si>
    <t>454213             AL3021-NA 3LTR LID (NATURAL)</t>
  </si>
  <si>
    <t>454214             AT3021-RD 3LTR TUB (RED)</t>
  </si>
  <si>
    <t>454215             AT3021-WH 3LTR TUB (WHITE)</t>
  </si>
  <si>
    <t>454217             BS0551-NA 520ML PP BTL (NATURAL)</t>
  </si>
  <si>
    <t>454225             AT4021-WH 4LTR REC I/C TUB (WHITE)</t>
  </si>
  <si>
    <t>454226             AL4021-WH 4LTR RECT I/C LID (WHITE)</t>
  </si>
  <si>
    <t>454228             BS0333-NA 300ML PP BTL (NATURAL)</t>
  </si>
  <si>
    <t>454254             AT1015-NA HARWANY PLASTIC BOX (NATURAL)</t>
  </si>
  <si>
    <t>454255             AL1015-GR HARWANY PLASTIC COVER (GREEN)</t>
  </si>
  <si>
    <t>454256             AL1015-BL HARWANY PLASTIC COVER (BLUE)</t>
  </si>
  <si>
    <t>454258             AL1015-RD HARWANY PLASTIC COVER (RED)</t>
  </si>
  <si>
    <t>454259             BS0336-WH 300ML PP BTL (WHITE)</t>
  </si>
  <si>
    <t>454612             R-HDPE HD 5403AA</t>
  </si>
  <si>
    <t>454613             R-HDPE MARLEX EHM 6007</t>
  </si>
  <si>
    <t>454614             R-LDPE G812</t>
  </si>
  <si>
    <t>454618             M/B BLACK MB 31388-1P</t>
  </si>
  <si>
    <t>454619             M/B BLUE PE 81201-3P</t>
  </si>
  <si>
    <t>454623             M/B BLUE PP/PE 82868-2P</t>
  </si>
  <si>
    <t>454625             M/B BROWN MB10-60017-PP20</t>
  </si>
  <si>
    <t>454626             M/B BROWN PE 71216-3P</t>
  </si>
  <si>
    <t>454630             M/B BROWN PP 7898R-1.5P</t>
  </si>
  <si>
    <t>454631             M/B DARK BEIGE PP 63624-4P</t>
  </si>
  <si>
    <t>454633             M/B GOLD PP 62625-2P</t>
  </si>
  <si>
    <t>454640             M/B LIGHT BROWN PE 71217-3P</t>
  </si>
  <si>
    <t>454641             M/B ORANGE PE 51604-2.7P</t>
  </si>
  <si>
    <t>454649             M/B RED PP 42529-2P</t>
  </si>
  <si>
    <t>454654             M/B VIOLET (MAGENTA) PE 42067-3P</t>
  </si>
  <si>
    <t>454657             M/B WHITE 1070</t>
  </si>
  <si>
    <t>454661             M/B YELLOW PP 60971-2P</t>
  </si>
  <si>
    <t>454663             M/B YELLOW PP 63249-2P</t>
  </si>
  <si>
    <t>454671             R-PP 6331</t>
  </si>
  <si>
    <t>454674             R-PP PD855</t>
  </si>
  <si>
    <t>454676             PP PM655</t>
  </si>
  <si>
    <t>454678             R-PP SM198</t>
  </si>
  <si>
    <t>454679             R-PP SM240</t>
  </si>
  <si>
    <t>454688             M/B PINK PP-3432-MB20</t>
  </si>
  <si>
    <t>454695             M/B RED PP 43873R-3P</t>
  </si>
  <si>
    <t>454696             M/B GOLD PP 63698-3P</t>
  </si>
  <si>
    <t>454698             M/B GREEN PP 93375-3P</t>
  </si>
  <si>
    <t>454699             M/B PINK PP 43910-3P</t>
  </si>
  <si>
    <t>454700             M/B BLUE PP 84036-3P</t>
  </si>
  <si>
    <t>454702             M/B BLUE PP 84048-4P</t>
  </si>
  <si>
    <t>457837             BX38-0330-Z-S-CL-LW</t>
  </si>
  <si>
    <t>459267             BS0310 NA 310ML PP BTL (NATURAL)</t>
  </si>
  <si>
    <t>459326             Z-36.6MM PE WAD (1MM)</t>
  </si>
  <si>
    <t>461195             BS0223-NA 200ML PP BTL (NATURAL)</t>
  </si>
  <si>
    <t>463143             M-PET RENOL BLACK NE113005-14</t>
  </si>
  <si>
    <t>463202             BC28-0200-SB-R-CL</t>
  </si>
  <si>
    <t>464690             BC28-0375-K-R-BLACK</t>
  </si>
  <si>
    <t>465196             R-HDPE-HDPE 1100J</t>
  </si>
  <si>
    <t>467961             R-PP 456J</t>
  </si>
  <si>
    <t>468168             SL-KERRA COCONUT SPREAD 350G (S&amp;P)</t>
  </si>
  <si>
    <t>468170             JJ63-0350-EH-R-CL ASEM S&amp;P IND ADDRESS</t>
  </si>
  <si>
    <t>470373             SL-KERRA COCONUT SPREAD 180G (S&amp;P)</t>
  </si>
  <si>
    <t>471353             C38-T/E-I/L-C/S-GREEN (C) - V</t>
  </si>
  <si>
    <t>471417             BC28-0090-D-5040-0054</t>
  </si>
  <si>
    <t>472132             C63-T/E-R/S-D.GREEN W IND SEAL (ASEM)</t>
  </si>
  <si>
    <t>473708             C28-EZY R/S CAP BLUE W PET IND SEAL-ASEM</t>
  </si>
  <si>
    <t>473712             Z-26MM PET INDUCTION SEAL</t>
  </si>
  <si>
    <t>474380             EBK38-0375-K-Q-BR-PP(S0376)</t>
  </si>
  <si>
    <t>474849             BC28-0750-K4-R-CL</t>
  </si>
  <si>
    <t>475923             M-INJ REMAFIN RED PE33449375-ZN (PINK)</t>
  </si>
  <si>
    <t>475924             M-INJ REMAFIN VIOLET PE43449095-ZN</t>
  </si>
  <si>
    <t>476105             BC28-0500-GS-R-AM</t>
  </si>
  <si>
    <t>476794             AY0067-NA 60ML PLASTIC SCOOP</t>
  </si>
  <si>
    <t>477632             R-HDPE MARLEX HHM 5502</t>
  </si>
  <si>
    <t>478170             M-INJ REMAFIN GOLD PEG3449048-ZN</t>
  </si>
  <si>
    <t>478933             C63-T/E-R/S-GOLD 9048 W ACT SEAL (ASEM)</t>
  </si>
  <si>
    <t>479882             R-TPE EMPILON 560</t>
  </si>
  <si>
    <t>480192             BS0102 100ML INK BTL (NATURAL)</t>
  </si>
  <si>
    <t>480195             AY0102 RUBBER INSERT (NATURAL) (V)</t>
  </si>
  <si>
    <t>480196             AL0102-CY CAP (CYAN)</t>
  </si>
  <si>
    <t>480198             AL0102-MG CAP (MAGENTA)</t>
  </si>
  <si>
    <t>480199             AL0102-YL CAP (YELLOW)</t>
  </si>
  <si>
    <t>480215             M/B BLUE PP 84800-4P</t>
  </si>
  <si>
    <t>481769             C38-T/E-I/L-C/S-YELLOW (C) - V</t>
  </si>
  <si>
    <t>483356             AL0102-LCY CAP (L.CYAN)</t>
  </si>
  <si>
    <t>483357             AL0102-LMG CAP (L.MAGENTA)</t>
  </si>
  <si>
    <t>485939             Z-31.2MM HALF MOON TAB SLE-PLEP-320F</t>
  </si>
  <si>
    <t>486135             AL0102-BK CAP (BLACK)</t>
  </si>
  <si>
    <t>486568             BC28-0170-D-5040-0066</t>
  </si>
  <si>
    <t>486895             AL1537-GR- 2LTR CHOC I/C LID (GREEN)</t>
  </si>
  <si>
    <t>486896             AL1537-GR- 2LTR STRAW I/C LID (GREEN)</t>
  </si>
  <si>
    <t>487444             EH32-650G-H-Q-CHOC-PE(S0680) AS</t>
  </si>
  <si>
    <t>487447             EH32-623G-H-Q-STR-PE(S0680) AS</t>
  </si>
  <si>
    <t>487451             BS0444-BR 15OZ CARAMEL HDPE BTL</t>
  </si>
  <si>
    <t>487472             C35-R/S-F.TOP D.CHOC W IND SEAL (ASEM)</t>
  </si>
  <si>
    <t>487473             C35-R/S-F.TOP STRAW W IND SEAL (ASEM)</t>
  </si>
  <si>
    <t>487474             C35-R/S-F.TOP CARAMEL W IND SEAL (ASEM)</t>
  </si>
  <si>
    <t>488889             M-INJ REMAFIN RED PE33449388-ZN</t>
  </si>
  <si>
    <t>488982             M-INJ REMAFIN BROWN PE84449139-ZN (DB)</t>
  </si>
  <si>
    <t>488984             M-INJ REMAFIN BROWN PE83449140-ZN (C)</t>
  </si>
  <si>
    <t>489199             LBL 2.0LTR LKT V/R CHOCOLATE</t>
  </si>
  <si>
    <t>489200             LBL 2.0LTR LKT V/R DURIAN</t>
  </si>
  <si>
    <t>489201             LBL 2.0LTR LKT V/R STRAWBERRY</t>
  </si>
  <si>
    <t>489210             LBL 1.0LTR LKT V/R CHO/CHIP</t>
  </si>
  <si>
    <t>489211             LBL 1.0LTR LKT V/R MANGO</t>
  </si>
  <si>
    <t>489212             LBL 2.0LTR LKT V/R VANILLA</t>
  </si>
  <si>
    <t>489213             LBL 2.0LTR LKT V/R YAM</t>
  </si>
  <si>
    <t>489242             LBL 0.5LTR LKT V/R CHOCOLATE</t>
  </si>
  <si>
    <t>489243             LBL 0.5LTR LKT V/R STRAWBERRY</t>
  </si>
  <si>
    <t>489244             LBL 0.5LTR LKT V/R VANILLA</t>
  </si>
  <si>
    <t>489245             LBL 0.5LTR LKT V/R YAM</t>
  </si>
  <si>
    <t>489247             AL1537-GR- 2LTR VANILLA I/C LID (GREEN)</t>
  </si>
  <si>
    <t>489249             LBL 2.0LTR LKT V/R FRUITCAKE &amp; RAISIN</t>
  </si>
  <si>
    <t>489250             LBL 2.0LTR LKT V/R PECAN NUT</t>
  </si>
  <si>
    <t>489251             LBL 2.0LTR LKT V/R PISTACHIO ALMOND</t>
  </si>
  <si>
    <t>489261             LBL 2.0LTR LKT V/R SWEET CORN</t>
  </si>
  <si>
    <t>489262             LBL 2.0LTR LKT V/R MANGO</t>
  </si>
  <si>
    <t>490787             AL1537-BK-2 LTR PECAN I/C LID (BLACK)</t>
  </si>
  <si>
    <t>490788             AL1537-BK-2 LTR PISTA I/C LID (BLACK)</t>
  </si>
  <si>
    <t>490789             AL1537-BK-1 LTR MANGO I/C LID (BLACK)</t>
  </si>
  <si>
    <t>490790             AL1537-BK-1 LTR CHO/CHIP I/C LID (BLACK)</t>
  </si>
  <si>
    <t>490791             AL1537-BK-2 LTR F/CAKE I/C LID (BLACK)</t>
  </si>
  <si>
    <t>491920             IML-24OZ ME STRW (F) 799-17354-000 OLD</t>
  </si>
  <si>
    <t>491921             IML-24OZ ME STRW (B) 799-17354-001 OLD</t>
  </si>
  <si>
    <t>492555             T-P.PALLET WN4-1210 GREEN 1200 X 1000MM</t>
  </si>
  <si>
    <t>493995             BC28-0170-D-5040-0530 NON-HP LOGO</t>
  </si>
  <si>
    <t>494015             IML- 24OZ AS CARAMEL (F) 743-17351-001</t>
  </si>
  <si>
    <t>494018             IML- 24OZ AS CHOC (B) 743-17350-000</t>
  </si>
  <si>
    <t>494020             IML- 24OZ AS STRW (B) 743-17352-000</t>
  </si>
  <si>
    <t>494371             BC28-0090-D-5040-0529 NON-HP LOGO</t>
  </si>
  <si>
    <t>502881             C63-T/E-R/S-BLACK W ACT SEAL (ASEM) - V</t>
  </si>
  <si>
    <t>502907             C28-AF2 PLAIN GOLD 9005 PLASTIC CAPS</t>
  </si>
  <si>
    <t>502963             BC28-0100-R-HV-R-AM</t>
  </si>
  <si>
    <t>503660             BS0215-WH 200ML PP BTL (WHITE)</t>
  </si>
  <si>
    <t>503816             AL1015-BR HARWANY PLASTIC COVER (BROWN)</t>
  </si>
  <si>
    <t>503940             AL0556-0500-I/C-S-WH-L CHOC (ASEM)</t>
  </si>
  <si>
    <t>503974             AL0556-0500-I/C-S-WH-L VANILLA (ASEM)</t>
  </si>
  <si>
    <t>503976             AL0556-WH-L 500ML I/C LID S.BERRY (ASEM)</t>
  </si>
  <si>
    <t>503980             AL0556-WH-L 500ML I/C LID YAM (ASEM)</t>
  </si>
  <si>
    <t>504130             C28-ZELVALVE CAP (YELLOW)</t>
  </si>
  <si>
    <t>504598             BAA28-0265-AA-SCC-CL</t>
  </si>
  <si>
    <t>504770             SL-KERRA COCONUT &amp; S/CARAMEL SPREAD 350G</t>
  </si>
  <si>
    <t>504840             BC28-0750-D-R-CL-NO LOGO</t>
  </si>
  <si>
    <t>505282             JJ63-0350-EH-R-CL ASEM SALTED CRMEL 350G</t>
  </si>
  <si>
    <t>505492             EH32-650G-H-Q-CHOC-PE(S0680) ME</t>
  </si>
  <si>
    <t>507127             M/B GREEN PP 93576R-3P</t>
  </si>
  <si>
    <t>507565             M-INJ REMAFIN BROWN PE83449141-ZN</t>
  </si>
  <si>
    <t>509852             AL0556-WH-L 500ML I/C LID DURIAN (ASEM)</t>
  </si>
  <si>
    <t>509876             AL0556-WH-L 500ML I/C LID S/CORN (ASEM)</t>
  </si>
  <si>
    <t>518888             LBL 0.5LTR LKT V/R SWEET CORN</t>
  </si>
  <si>
    <t>518889             LBL 0.5LTR LKT V/R DURIAN</t>
  </si>
  <si>
    <t>519060             Z-ONE PIECE ALUMINIUM INDUCTION LINER</t>
  </si>
  <si>
    <t>520138             IML- 24OZ AS OPPO CHOC (B)743-01767-003@</t>
  </si>
  <si>
    <t>520277             T-PLASTIC PALLET L1111-BLACK-K</t>
  </si>
  <si>
    <t>521997             BCX32-0750-W1-R-CL</t>
  </si>
  <si>
    <t>523009             EH32-650G-H-Q-CHOC-PE(S0680)</t>
  </si>
  <si>
    <t>523802             SL-KERRA 350G SALTED CARAMEL- FOK HING</t>
  </si>
  <si>
    <t>523813             BA32-0750-W-R-CL</t>
  </si>
  <si>
    <t>524214             ST- 750ML TESCO ORANGE DB</t>
  </si>
  <si>
    <t>524215             ST- 750ML TESCO MANGO DB</t>
  </si>
  <si>
    <t>524216             ST- 750ML TESCO TROPICAL DB</t>
  </si>
  <si>
    <t>524217             ST- 750ML TESCO KIWI DB</t>
  </si>
  <si>
    <t>524218             ST- 750ML TESCO RED FRUIT DB</t>
  </si>
  <si>
    <t>524250             BA32-0750-W-R-CL Tesco Orange (ASSEM)</t>
  </si>
  <si>
    <t>524251             BA32-0750-W-R-CL Tesco Mango (ASSEM)</t>
  </si>
  <si>
    <t>524295             BA32-0750-W-R-CL Tesco Kiwi (ASSEM)</t>
  </si>
  <si>
    <t>524918             AL4507-BL 38MM CAP (L.BLUE)</t>
  </si>
  <si>
    <t>529002             C28-EZY R/S CAP YLW WITH IND. SEAL-ASSEM</t>
  </si>
  <si>
    <t>529003             BC28-0200-R-R-CL</t>
  </si>
  <si>
    <t>529004             BC28-0400-R-R-CL</t>
  </si>
  <si>
    <t>529112             M-INJ MASTER BATCH WHITE 0468M</t>
  </si>
  <si>
    <t>531330             BC28-0500-GS2-R-GREEN</t>
  </si>
  <si>
    <t>531765             BS0350-WH 350ML PP BTL (WHITE) KEKO</t>
  </si>
  <si>
    <t>531944             EH32-623G-H-Q-CHOC-PE(S0680) JPN</t>
  </si>
  <si>
    <t>532246             IML-24OZ ME CHOC (B) 701-31228-020@</t>
  </si>
  <si>
    <t>532247             IML-24OZ ME CRML (B) 743-01518-005 NEW@</t>
  </si>
  <si>
    <t>532248             IML-24OZ ME STRW (F) 743-01519-005 NEW@</t>
  </si>
  <si>
    <t>532300             C28-C/S-FLIP TOP ORANGE 139148-18</t>
  </si>
  <si>
    <t>532948             M-INJ ORANGE 139148-18 (PE23449148-ZT)</t>
  </si>
  <si>
    <t>532972             AL1537-BK-2 LTR MOCCA I/C LID (BLACK)</t>
  </si>
  <si>
    <t>532976             BA32-1000-R1-R-CL</t>
  </si>
  <si>
    <t>532978             EH32-623G-H-Q-CRML-PE(S0680) JPN</t>
  </si>
  <si>
    <t>532979             EH32-623G-H-Q-CRML-PE(S0680) ME</t>
  </si>
  <si>
    <t>532980             EH32-623G-H-Q-STR-PE(S0680) ME</t>
  </si>
  <si>
    <t>532981             JG63-0175-R-R-AM</t>
  </si>
  <si>
    <t>533341             LBL 2.0LTR LKT V/R MOCHA</t>
  </si>
  <si>
    <t>540340             SL-TELLY ROASTED SESAME MAYO 1 LITRE</t>
  </si>
  <si>
    <t>540598             BA32-1000-R1-R-CL-R.SESAME MAYO (ASEM)</t>
  </si>
  <si>
    <t>540600             C63-D/C 7H RED-ACTIVATED SEAL (ASSEM)</t>
  </si>
  <si>
    <t>541381             BC28-1200-K-R-CL</t>
  </si>
  <si>
    <t>541707             PP SB-520Y RESIN</t>
  </si>
  <si>
    <t>542692             EBK38-0375-K-Q-B.YL-PE(S0376)</t>
  </si>
  <si>
    <t>542951             M-INJ REMAFIN YELLOW PE13449297-ZT/1</t>
  </si>
  <si>
    <t>543590             BC28-0130-R-R-AM</t>
  </si>
  <si>
    <t>543921             M-INJ REMAFIN GREEN PE113949-15</t>
  </si>
  <si>
    <t>544098             AL0512-BL 36MM CAP WITH IND.SEAL (BLUE)</t>
  </si>
  <si>
    <t>544866             SL-TANGO-ALMOND CHIPS 375G 2.0</t>
  </si>
  <si>
    <t>544867             SL-TANGO-MOCHA ALMOND CHIP 375G 2.0</t>
  </si>
  <si>
    <t>544897             JJ63-0750-R-R-CL-LW CK 2.0-ALMD (ASEM)</t>
  </si>
  <si>
    <t>544899             JJ63-0750-R-R-CL-LW CK 2.0 MOCHA (ASEM)</t>
  </si>
  <si>
    <t>545429             C63-T/E-R/S-VIOLET 2.0</t>
  </si>
  <si>
    <t>545476             M/B VIOLET PE 52062-3P</t>
  </si>
  <si>
    <t>546271             C56-Gold Screw Cap with Paper Wad</t>
  </si>
  <si>
    <t>547130             Z-52.5MM LAMINATION PAPER WAD (DONOTUSE)</t>
  </si>
  <si>
    <t>549292             C28-C/S-FLIP TOP NATURAL</t>
  </si>
  <si>
    <t>549740             SL-KERRA COCONUT SPREAD S. CRML 350G GF</t>
  </si>
  <si>
    <t>549772             SL-KERRA COCONUT SPREAD ORIGINAL 350G GF</t>
  </si>
  <si>
    <t>549785             SL-KERRA COCONUT SPREAD S. CRML 180G GF</t>
  </si>
  <si>
    <t>549786             SL-KERRA COCONUT SPREAD ORIGINAL 180G GF</t>
  </si>
  <si>
    <t>549787             SL-KNORR SEASONING POWDER I. BILIS 120G</t>
  </si>
  <si>
    <t>549788             SL-KNORR SEASONING I. BILIS 120G -NO MSG</t>
  </si>
  <si>
    <t>549789             SL-KNORR SEASONING POWDER CHICKEN 120G</t>
  </si>
  <si>
    <t>549790             SL-KNORR SEASONING CHICKEN 120G - NO MSG</t>
  </si>
  <si>
    <t>549791             SL-KNORR TOM YAM PASTE 180G</t>
  </si>
  <si>
    <t>549814             BC28-0060-M-R-WH-HW</t>
  </si>
  <si>
    <t>550076             BC28-0090-D-APH-5040-0735-PP-NON-LOGO</t>
  </si>
  <si>
    <t>550077             BC28-0170-D-APH-5040-0736-PP-NON-LOGO</t>
  </si>
  <si>
    <t>550381             M-INJ REMAFIN-GOLD PEG3449069-ZN</t>
  </si>
  <si>
    <t>551052             JJ63-0350-EH-R-CL ASEM S&amp;P Ind Addr. GF</t>
  </si>
  <si>
    <t>551056             JJ63-0350-EH-R-CL ASEM SALTED CARAMEL GF</t>
  </si>
  <si>
    <t>552181             BC28-0090-D-APH-5180-3538-PP</t>
  </si>
  <si>
    <t>552603             BS0367-NA 360ML PP BTL (NATURAL)</t>
  </si>
  <si>
    <t>552888             B-5LTR HDPE BTL (NATURAL) - T (ASEM)</t>
  </si>
  <si>
    <t>552986             EBK38-0375-K-Q-BL-PE(S0376)</t>
  </si>
  <si>
    <t>552997             M-INJ REMAFIN BLUE PE136922-10/1</t>
  </si>
  <si>
    <t>555355             BC28-0900-KK-OL-CL (DEL)</t>
  </si>
  <si>
    <t>555586             JJ63-0250-S-Q-CL-LW</t>
  </si>
  <si>
    <t>555589             AL0312-YL 28MM CAP (YELLOW)</t>
  </si>
  <si>
    <t>555876             JG63-0175-R-R-AM KNR PED T.YAM MYSG 180G</t>
  </si>
  <si>
    <t>555877             JG63-0175-R-R-AM KNR PED CHICKEN MYSG</t>
  </si>
  <si>
    <t>555878             JG63-0175-R-R-AM KNRPWD I.BILIS MYSG120G</t>
  </si>
  <si>
    <t>555879             JG63-0175-R-R-AM KNR PED CHIC NAMSG 120G</t>
  </si>
  <si>
    <t>555880             JG63-0175-R-R-AMKNR PWDI.BILIS NAMSG120G</t>
  </si>
  <si>
    <t>555979             BC28-0170-D-APH-5180-3539-PP</t>
  </si>
  <si>
    <t>556131             R-HDPE-HDPE 1010J</t>
  </si>
  <si>
    <t>556157             AL0921-BL 38MM CAP (L.BLUE) - S</t>
  </si>
  <si>
    <t>556647             M-PET M/BATCH- RENOL AMBER NE122289-13</t>
  </si>
  <si>
    <t>557133             ST- NESTLE CRUNCH NUTS (91mm X 145mm)</t>
  </si>
  <si>
    <t>557186             JJ63-0500-RH-R-CL MAGI MARIDOR 20 (ASEM)</t>
  </si>
  <si>
    <t>557187             BC28-0750-K4-R-CL-JAPAN</t>
  </si>
  <si>
    <t>557213             JN90-2480-R-R-CL CRUNCH 16G LABEL</t>
  </si>
  <si>
    <t>557654             ST- MILO NUGGETS (91MM X 145MM)</t>
  </si>
  <si>
    <t>557975             Z-INDUCTION SEAL 33.85MM RETORT</t>
  </si>
  <si>
    <t>558031             SL-CRLBRG 1664 BLANC 240ML SPCL EDITION</t>
  </si>
  <si>
    <t>558274             BC28-0500-D-APH-5040-0758-HDPE</t>
  </si>
  <si>
    <t>559066             SL-MAGGI CLSSC MRIDOR S/S MIX 400G-N 2.0</t>
  </si>
  <si>
    <t>561358             JJ63-0650-HX-H-CL</t>
  </si>
  <si>
    <t>561718             BW38-0350-SB-R-CL</t>
  </si>
  <si>
    <t>561720             AL0478-BL 38MM FLIP CAP (BLUE)</t>
  </si>
  <si>
    <t>563945             JJ63-0190-E-Q-CL-LW CRISPY (ASEM)</t>
  </si>
  <si>
    <t>563998             C38-T/E-I/L-C/S-ORANGE (C) - V</t>
  </si>
  <si>
    <t>564903             SL-CANISTER SPREAD 200G</t>
  </si>
  <si>
    <t>564905             C38-AL0478-R/S FTP BROWN W/ IND SEAL</t>
  </si>
  <si>
    <t>565760             SL-NIPPON PAINT-GOLD PAINT 250G</t>
  </si>
  <si>
    <t>565885             C56-Gold Screw Cap with Aluminium Wad</t>
  </si>
  <si>
    <t>566177             Z-52.5MM ALUMINIUM WAD LINER</t>
  </si>
  <si>
    <t>566327             R-HDPE MARLEX HHM 5202</t>
  </si>
  <si>
    <t>566328             R-MARLEX HHM TR-144S</t>
  </si>
  <si>
    <t>566823             AT0416-NA 400ml I/C TUB (NATURAL)</t>
  </si>
  <si>
    <t>566899             EH32-650G-H-Q-CHOC-PE(S0680) AS REV</t>
  </si>
  <si>
    <t>567111             EH32-650G-H-Q-CHOC-PE(S0680) REV</t>
  </si>
  <si>
    <t>567162             EH32-623G-H-Q-STR-PE(S0680) AS REV</t>
  </si>
  <si>
    <t>567312             JJ63-0240-R-R-CL GOLD PAINT (ASEM)</t>
  </si>
  <si>
    <t>567509             AL0416-BR 400ML I/C LID (BROWN)CHOC CHIP</t>
  </si>
  <si>
    <t>567511             ST- ISCOOP CHOC CHIP 145MMx192MM</t>
  </si>
  <si>
    <t>568368             AT0473-WH + AL0473-WH (ASEM)</t>
  </si>
  <si>
    <t>575315             Z-INDUCTION 28.85MM W TRI-TABS 8MM</t>
  </si>
  <si>
    <t>575317             BX38-2000-H-S-CL(YELLOW) (ASEM)</t>
  </si>
  <si>
    <t>575346             ETET-1000-S-S-WH-PE</t>
  </si>
  <si>
    <t>575348             BW38-0150-Z-CL-CJA-BLACK PEPPER (ASEM)</t>
  </si>
  <si>
    <t>575349             BW38-0150-Z-CL-CJA-WHITE PEPPER (ASEM)</t>
  </si>
  <si>
    <t>575351             BW38-0150-Z-CL-CJA-PAPRIKA (ASEM)</t>
  </si>
  <si>
    <t>576247             EBK38-0450-S-S-NA-PP</t>
  </si>
  <si>
    <t>576322             ST- CJA- BLACK PEPPER</t>
  </si>
  <si>
    <t>576323             ST- CJA- WHITE PEPPER</t>
  </si>
  <si>
    <t>576324             ST- CJA- CHILI FLAKES</t>
  </si>
  <si>
    <t>576325             ST- CJA- PAPRIKA</t>
  </si>
  <si>
    <t>576326             ST- CJA- CAYENNE</t>
  </si>
  <si>
    <t>576327             ST- CJA- ITALIAN</t>
  </si>
  <si>
    <t>576328             ST- CJA- THYME</t>
  </si>
  <si>
    <t>576329             ST- CJA- PARSLEY</t>
  </si>
  <si>
    <t>576330             ST- CJA- BASIL</t>
  </si>
  <si>
    <t>576331             ST- CJA- ROSEMARY</t>
  </si>
  <si>
    <t>576452             BW38-0150-Z-CL-CJA-CHILI FLAKES (ASEM)</t>
  </si>
  <si>
    <t>576453             BW38-0150-Z-CL-CJA-CAYENNE (ASEM)</t>
  </si>
  <si>
    <t>576454             BW38-0150-Z-CL-CJA-ITALIAN (ASEM)</t>
  </si>
  <si>
    <t>576455             BW38-0150-Z-CL-CJA-THYME (ASEM)</t>
  </si>
  <si>
    <t>576456             BW38-0150-Z-CL-CJA-PARSLEY (ASEM)</t>
  </si>
  <si>
    <t>576457             BW38-0150-Z-CL-CJA-BASIL (ASEM)</t>
  </si>
  <si>
    <t>576458             BW38-0150-Z-CL-CJA-ROSEMARY (ASEM)</t>
  </si>
  <si>
    <t>576559             JJ63-0500-M-R-CL-HW</t>
  </si>
  <si>
    <t>576582             C36-AL0512-PUNC-BEIGE C/W 3TAB IND SEAL</t>
  </si>
  <si>
    <t>576586             C36-AL0512-PUNC-BLUE C/W 3TAB IND SEAL</t>
  </si>
  <si>
    <t>577492             BC28-0375-K-R-Tinted Brown</t>
  </si>
  <si>
    <t>577726             C38-T/E-R/S-ORANGE-S</t>
  </si>
  <si>
    <t>578476             ECT28-0360-KF-S-NA-PP</t>
  </si>
  <si>
    <t>578505             C38-T/E-I/L-C/S-YELLOW(24433374)NESTLE-S</t>
  </si>
  <si>
    <t>578773             PPA – PROFLOW 19</t>
  </si>
  <si>
    <t>579114             R-FG HIRO rPET Resins–Natural IV 0.80</t>
  </si>
  <si>
    <t>579327             M-INJ REMAFIN BROWN PE83449238-ZN</t>
  </si>
  <si>
    <t>579471             JJ63-0155-TH-R-CL</t>
  </si>
  <si>
    <t>579613             BC28-0750-GS-R-BR H/W</t>
  </si>
  <si>
    <t>579651             C38-T/E-I/L-C/S-BLACK (C) - S</t>
  </si>
  <si>
    <t>579653             C38-T/E-I/L-C/S-GREEN (C) – S</t>
  </si>
  <si>
    <t>579654             C38-T/E-R/S-GREEN - S</t>
  </si>
  <si>
    <t>579681             C38-T/E-C/S-BLACK - S</t>
  </si>
  <si>
    <t>579877             C38-T/E-I/L-C/S-ORANGE (C) - S</t>
  </si>
  <si>
    <t>579878             C38-T/E-I/L-C/S-YELLOW (C) - S</t>
  </si>
  <si>
    <t>579879             C38-T/E-I/L-C/S-GOLD (C) - S</t>
  </si>
  <si>
    <t>580035             BC28-0500-CSD-R-AM</t>
  </si>
  <si>
    <t>580047             C38-T/E-I/L-C/S-WHITE (C) - S</t>
  </si>
  <si>
    <t>580324             BC28-0060-M-R-AM-LW</t>
  </si>
  <si>
    <t>580539             AL0512-DB36MM CAP W IND.SEAL(D.BEIGE)-S</t>
  </si>
  <si>
    <t>581013             C38-T/E-I/L-R/S-YELLOW – S</t>
  </si>
  <si>
    <t>581042             ST- ISCOOP CHOC CHIP 140MMx90MM</t>
  </si>
  <si>
    <t>581070             C63-T/E-R/S-BLACK W ACT SEAL (ASEM) – S</t>
  </si>
  <si>
    <t>581433             M-INJ AMPACET GREEN 1704021-K</t>
  </si>
  <si>
    <t>581956             ST-6LTR BUDS TUB 2.0</t>
  </si>
  <si>
    <t>584529             AT6018-WH 6LTR BUDS I/C TUB (WHITE) 2.0</t>
  </si>
  <si>
    <t>584554             BC28-0056-D-PET-LEB-605001</t>
  </si>
  <si>
    <t>584788             AT6000-WH 6.0CHR TUB (WHITE) - MG</t>
  </si>
  <si>
    <t>584789             AL6000-WH 6.0CHR LID (WHITE) - MG</t>
  </si>
  <si>
    <t>584790             C38-T/E-C/S-YELLOW –S</t>
  </si>
  <si>
    <t>584791             AL0921-BL 38MM CAP (L.BLUE) – V</t>
  </si>
  <si>
    <t>584802             BC28-0056-LEB-605001-BTL 56 LEBFILPCAP-T</t>
  </si>
  <si>
    <t>585888             C63-T/E-R/S-WHITE WITH P.E WAD (ASEM) -S</t>
  </si>
  <si>
    <t>585907             C38-T/E-C/S-RED-S</t>
  </si>
  <si>
    <t>586058             BB38-0060-R-R-WH</t>
  </si>
  <si>
    <t>586111             Z-38/400 WHITE DISPENSER PUMP (290MM)</t>
  </si>
  <si>
    <t>586276             BC28-0056-D-APH-5040-0756-PP</t>
  </si>
  <si>
    <t>587447             EBK38-2000-K-R-WH-PE-M&amp;G</t>
  </si>
  <si>
    <t>587779             C28-C/S-FLIP TOP RED-S</t>
  </si>
  <si>
    <t>588215             C28-C/S-FLIP TOP RED-T</t>
  </si>
  <si>
    <t>588241             AY0102 RUBBER INSERT (NATURAL) (S)</t>
  </si>
  <si>
    <t>588272             JK57-0350-R-CL-KEKO</t>
  </si>
  <si>
    <t>588555             C28-C/S-FLIP TOP YELLOW-T</t>
  </si>
  <si>
    <t>588556             C28-C/S-FLIP TOP BLACK-T</t>
  </si>
  <si>
    <t>588637             PF-JK57-24-82-KEKO</t>
  </si>
  <si>
    <t>589040             C28-C/S-FLIP TOP YELLOW (S)</t>
  </si>
  <si>
    <t>589412             BX38-0750-RJ-R-CL</t>
  </si>
  <si>
    <t>589431             PF-JO97-114-162-G.BL-SIZE3-OUJI</t>
  </si>
  <si>
    <t>589448             Z-SHOULDER-PLATE-G.BL-PP-OUJI</t>
  </si>
  <si>
    <t>589461             JO97-2200-R-G.BL-PET-SIZE3-OUJI</t>
  </si>
  <si>
    <t>589813             PF-JO97-114-162-WHITE-SIZE3-OUJI</t>
  </si>
  <si>
    <t>589814             Z-SHOULDER-PLATE-WHITE-PP-OUJI</t>
  </si>
  <si>
    <t>590133             BD24-0150-C-R-AM (HIGH NECK)</t>
  </si>
  <si>
    <t>590337             JJ63-0350-R-R-AM</t>
  </si>
  <si>
    <t>590665             JO97-2200-R-WHITE-PET-SIZE3-OUJI</t>
  </si>
  <si>
    <t>591261             JJ63-0550-S-Q-CL ALMOND D22 (ASEM)</t>
  </si>
  <si>
    <t>591262             JJ63-0550-S-Q-CL HAZEL D22 (ASEM)</t>
  </si>
  <si>
    <t>591264             JJ63-0550-S-Q-CL F&amp;NUT D22 (ASEM)</t>
  </si>
  <si>
    <t>591265             JG63-0175-R-R-AM KNR CHICKEN MYSG (BVI)</t>
  </si>
  <si>
    <t>591266             JG63-0175-R-R-AM KNR I.BILIS MYSG (BVI)</t>
  </si>
  <si>
    <t>591268             JG63-0175-R-R-AM KNR TOMYAM MYSG (BVI)</t>
  </si>
  <si>
    <t>591269             JG63-0175-R-R-AM KNR CHICKEN NAMSG (BVI)</t>
  </si>
  <si>
    <t>591270             JG63-0175-R-R-AM KNR I.BILIS NAMSG (BVI)</t>
  </si>
  <si>
    <t>591364             PC-VC CANISTER JAR ALM D22</t>
  </si>
  <si>
    <t>591365             PC-VC CANISTER JAR HAZEL D22</t>
  </si>
  <si>
    <t>591367             PC-VC CANISTER JAR F&amp;NUT D22</t>
  </si>
  <si>
    <t>591368             SL-KNORR CHICKEN POWDER MYSG 120G (BVI)</t>
  </si>
  <si>
    <t>591369             SL-KNORR IKAN BILIS POWDER MYSG120G(BVI)</t>
  </si>
  <si>
    <t>591370             SL-KNORR TOMYAM PASTE MYSG180G(BVI)</t>
  </si>
  <si>
    <t>592113             SL-TANGO-ALMOND CHIPS 375G 2.0 (A)</t>
  </si>
  <si>
    <t>592128             JJ63-0750-R-R-CL-LW CK 2.0A-ALMD (ASEM)</t>
  </si>
  <si>
    <t>592668             SL-KNORR CHICKEN POWDER NAMSG 120G (BVI)</t>
  </si>
  <si>
    <t>592669             SL-KNORR I.BILIS NAMSG 120G (BVI)</t>
  </si>
  <si>
    <t>592951             M-PET MB-AMBER HMM5TR693A (EVOCHEM)</t>
  </si>
  <si>
    <t>593390             RENOL GREEN NE61449063-ZN</t>
  </si>
  <si>
    <t>593537             BX38-1000-RN-R-CL-rPET</t>
  </si>
  <si>
    <t>593722             T-PLASTIC PALLET - OUJI</t>
  </si>
  <si>
    <t>593730             EBK38-2200-K-S-NA-PE(S2200)</t>
  </si>
  <si>
    <t>594052             AL0215-GD 200ML PP COVER (GOLD) - V</t>
  </si>
  <si>
    <t>594367             C28-AF2 PLAIN WHITE PLASTIC CAPS(ASEM)-S</t>
  </si>
  <si>
    <t>594832             J097-1700-R-G.BL-SIZE 1-OUJI</t>
  </si>
  <si>
    <t>594833             J097-1700-R-WHITE-SIZE1-OUJI</t>
  </si>
  <si>
    <t>594855             PF-JO97-96-98-G.BL-SIZE1-OUJI</t>
  </si>
  <si>
    <t>594856             PF-JO97-96-98-WHITE-PET-SIZE1-OUJI</t>
  </si>
  <si>
    <t>596313             BC28-0100-SK2-Q-CL-LW</t>
  </si>
  <si>
    <t>596407             C28-EZY CAP WHITE</t>
  </si>
  <si>
    <t>596442             Z-7L-2 WH PAIL &amp; COVER W/O SPOUT</t>
  </si>
  <si>
    <t>596735             C28-AF2 PLAIN WHITE PLASTIC CAPS(ASEM)-V</t>
  </si>
  <si>
    <t>597017             C63-T/E-R/S-YELLOW WTH PPR WAD (ASEM) –V</t>
  </si>
  <si>
    <t>597024             BC28-0130-R-R-CL</t>
  </si>
  <si>
    <t>597206             GENERAL BOTTLE TESTING</t>
  </si>
  <si>
    <t>597267             C1810 1-PC RED CAP, BPL Type</t>
  </si>
  <si>
    <t>597322             JJ63-0750-R-R-CL-LW CK 2.0C-MOCHA (ASEM)</t>
  </si>
  <si>
    <t>597323             SL-TANGO MOCHA CHIP 2.0 (C)</t>
  </si>
  <si>
    <t>597507             BX38-0250-SM-R-WH</t>
  </si>
  <si>
    <t>597508             BX38-0250-SM-R-WH-ORI (ASEM)</t>
  </si>
  <si>
    <t>597509             JJ63-0310-R-R-WH</t>
  </si>
  <si>
    <t>597510             JJ63-0310-R-R-WH (ASEM)</t>
  </si>
  <si>
    <t>597674             BX38-0250-SM-R-WH-MANGO (ASEM)</t>
  </si>
  <si>
    <t>597675             BX38-0250-SM-R-WH-MIX BERRY (ASEM)</t>
  </si>
  <si>
    <t>597676             BX38-0250-SM-R-WH-STW.BERRY (ASEM)</t>
  </si>
  <si>
    <t>597677             C35-R/S-F.TOP D.CHOC WITH PP SEAL (ASEM)</t>
  </si>
  <si>
    <t>597797             SL-YOGURT SPREAD- EBB</t>
  </si>
  <si>
    <t>597801             SL-STRAWBERRY YOGURT DRINK- EBB</t>
  </si>
  <si>
    <t>597802             SL-MIX BERRY YOGURT DRINK- EBB</t>
  </si>
  <si>
    <t>597803             SL-ORIGINAL YOGURT DRINK - EBB</t>
  </si>
  <si>
    <t>597804             SL-MANGO YOGURT DRINK- EBB</t>
  </si>
  <si>
    <t>598630             C63-T/E-R/S-BR-IND.SEAL-W/EAR (ASEM)-S</t>
  </si>
  <si>
    <t>598631             C63-T/E-R/S-OR-IND.SEAL-W/EAR (ASEM)-S</t>
  </si>
  <si>
    <t>599672             BX38-0175-R-AM</t>
  </si>
  <si>
    <t>599779             C38-T/E-I/L-R/S-WHITE-W/PE WAD+IND.S-V</t>
  </si>
  <si>
    <t>600646             BC28-0500-GS2-R-AM</t>
  </si>
  <si>
    <t>601608             BA32-0640-R2-R-CL</t>
  </si>
  <si>
    <t>601939             BC28-0250-M-R-AM-LW</t>
  </si>
  <si>
    <t>vlookup fr AO sale</t>
  </si>
  <si>
    <t>vlookup fr MC.5</t>
  </si>
  <si>
    <t>COS fr AO Sales</t>
  </si>
  <si>
    <t>COS fr MC.5</t>
  </si>
  <si>
    <t>Avg COS, MC.5</t>
  </si>
  <si>
    <t>Total Stock value</t>
  </si>
  <si>
    <t xml:space="preserve"> Avg COS, MC.5</t>
  </si>
  <si>
    <t xml:space="preserve"> T/O Days</t>
  </si>
  <si>
    <t xml:space="preserve"> Total Provision</t>
  </si>
  <si>
    <t xml:space="preserve"> % Prov/Stock</t>
  </si>
  <si>
    <t xml:space="preserve"> Amount W/O age</t>
  </si>
  <si>
    <t xml:space="preserve"> % W/O age</t>
  </si>
  <si>
    <t xml:space="preserve"> Stk Val 01-03mo</t>
  </si>
  <si>
    <t xml:space="preserve"> % 1-3mths</t>
  </si>
  <si>
    <t xml:space="preserve"> Stk Val 04-06mo</t>
  </si>
  <si>
    <t xml:space="preserve"> % 4-6mths</t>
  </si>
  <si>
    <t xml:space="preserve"> Stk Val 07-12mo</t>
  </si>
  <si>
    <t xml:space="preserve"> %7-12mth</t>
  </si>
  <si>
    <t xml:space="preserve"> Stk Val 13-24mo</t>
  </si>
  <si>
    <t xml:space="preserve"> %13-24mth</t>
  </si>
  <si>
    <t xml:space="preserve"> Stk Val 1Abv24mo</t>
  </si>
  <si>
    <t xml:space="preserve"> %abv 24mth</t>
  </si>
  <si>
    <t>Bottle, Container, Tub (PP,HDPE,PE)</t>
  </si>
  <si>
    <t>Bottle, Jar (PET),General</t>
  </si>
  <si>
    <t>Cap, Cup, Cover, Lid</t>
  </si>
  <si>
    <t>Handle, Pump, Scoop, Holder, Stick</t>
  </si>
  <si>
    <t>Freight, Transport, Insurance</t>
  </si>
  <si>
    <t>Insert</t>
  </si>
  <si>
    <t>Mould, Scrap charges, Label</t>
  </si>
  <si>
    <t>Raw Material</t>
  </si>
  <si>
    <t>REF1</t>
  </si>
  <si>
    <t>R-HDPE HD 5403AA NP</t>
  </si>
  <si>
    <t>442310             BC28-0750-GS-R-CL</t>
  </si>
  <si>
    <t>558028             BC28-0170-D-APH-5180-3539-PP-T</t>
  </si>
  <si>
    <t>604327             PF-BX38-0056-0130-CL-PET</t>
  </si>
  <si>
    <t>604532             R-HDPE HD 5403AA NP</t>
  </si>
  <si>
    <t>MONTH</t>
  </si>
  <si>
    <t>Sum of Total Stock value</t>
  </si>
  <si>
    <t>Sum of  Stk Val 01-03mo</t>
  </si>
  <si>
    <t>Sum of  Stk Val 04-06mo</t>
  </si>
  <si>
    <t>Sum of  Stk Val 07-12mo</t>
  </si>
  <si>
    <t>Sum of  Stk Val 13-24mo</t>
  </si>
  <si>
    <t>Sum of  Stk Val 1Abv24mo</t>
  </si>
  <si>
    <t>Sum of  T/O Days</t>
  </si>
  <si>
    <t>Sum of  Total Provision</t>
  </si>
  <si>
    <t xml:space="preserve">Prod Hier </t>
  </si>
  <si>
    <t>FG</t>
  </si>
  <si>
    <t>NS</t>
  </si>
  <si>
    <t>PK</t>
  </si>
  <si>
    <t>RM</t>
  </si>
  <si>
    <t>SF</t>
  </si>
  <si>
    <t>SALES ORDER STOCK</t>
  </si>
  <si>
    <t>MOULDED FOAM</t>
  </si>
  <si>
    <t>IPD</t>
  </si>
  <si>
    <t>BOTTLE</t>
  </si>
  <si>
    <t>PH summary</t>
  </si>
  <si>
    <t>Month</t>
  </si>
  <si>
    <t>Sum of  Avg COS, MC.5</t>
  </si>
  <si>
    <t>Sum of  % Prov/Stock</t>
  </si>
  <si>
    <t xml:space="preserve">Increase/Decrease </t>
  </si>
  <si>
    <t>BB38-2000-HR-R-CL(RED) (ASEM)</t>
  </si>
  <si>
    <t>LBL 2.0LTR LKT V/R CHOCOLATE</t>
  </si>
  <si>
    <t>BC28-0750-D-R1-CL-NO LOGO</t>
  </si>
  <si>
    <t>34.800 G</t>
  </si>
  <si>
    <t>539101             BC28-0750-D-R1-CL-NO LOGO</t>
  </si>
  <si>
    <t>602720             JJ63-0320-S-Q-AM</t>
  </si>
  <si>
    <t>603551             BX38-0200-R-CLR-DM</t>
  </si>
  <si>
    <t>605461             EBK38-0375-K-Q-NA-PP (S0376)</t>
  </si>
  <si>
    <t>LBL 2.0LTR LKT V/R STRAWBERRY</t>
  </si>
  <si>
    <t>BC28-0090-D-APH-5040-0735-PP-NON-LOGO</t>
  </si>
  <si>
    <t>BC28-0170-D-APH-5040-0736-PP-NON-LOGO</t>
  </si>
  <si>
    <t>103.000 G</t>
  </si>
  <si>
    <t>Z-27.5MM 1P IHS-PET.CLR SEMI R PULL TAG</t>
  </si>
  <si>
    <t>532249             IML-24OZ ME STRW (F) 743-01519-009</t>
  </si>
  <si>
    <t>604852             ST- 200ML PEACH NECTARINE (DAIRYMAS)</t>
  </si>
  <si>
    <t>604853             ST- 200ML GOLDEN KIWI+S.BERRY (DAIRYMAS)</t>
  </si>
  <si>
    <t>604854             ST- 200ML BOYSENBERRY + APPLE (DAIRYMAS)</t>
  </si>
  <si>
    <t>605162             R-HDPE GH6100(R75)(r10)NC001</t>
  </si>
  <si>
    <t>606138             Z-27.5MM 1P IHS-PET.CLR SEMI R PULL TAG</t>
  </si>
  <si>
    <t>606768             BA32-1000-R2-R-CL-KKM</t>
  </si>
  <si>
    <t>C63-D/C 7H RED</t>
  </si>
  <si>
    <t>C38-T/E-I/L-C/S-L.GOLD - V</t>
  </si>
  <si>
    <t>AL1537-GR- 2LTR STRAW I/C LID (GREEN)</t>
  </si>
  <si>
    <t>M-INJ REMAFIN GOLD PE116574-14 ZN (GOLD)</t>
  </si>
  <si>
    <t>Z-SL1-PLE-240F, 30.1mm with 3 tabs</t>
  </si>
  <si>
    <t>SL-TANGO ALMOND CHIPS 2.0 (C)</t>
  </si>
  <si>
    <t>Z-B300-WH PAIL&amp;COVER W/O SPOUT W/INNER</t>
  </si>
  <si>
    <t>Material Type</t>
  </si>
  <si>
    <t>408095             BC28-0360-KPD-Q-CL</t>
  </si>
  <si>
    <t>449174             C38-T/E-I/L-C/S-L.GOLD - V</t>
  </si>
  <si>
    <t>453888             BS0155-NA 150ML PE BTL (NATURAL)</t>
  </si>
  <si>
    <t>604839             BX38-0200-R-CLR-DM-PCH+NECT (ASEM)</t>
  </si>
  <si>
    <t>604840             BX38-0200-R-CLR-DM-GKIWI+SBRW (ASEM)</t>
  </si>
  <si>
    <t>604841             BX38-0200-R-CLR-DM- BSNBRY+APL (ASEM)</t>
  </si>
  <si>
    <t>604981             M-INJ REMAFIN GOLD PE116574-14 ZN (GOLD)</t>
  </si>
  <si>
    <t>606759             Z-SL1-PLE-240F, 30.1mm with 3 tabs</t>
  </si>
  <si>
    <t>606853             SL-TANGO ALMOND CHIPS 2.0 (C)</t>
  </si>
  <si>
    <t>606902             JJ63-0750-R-R-CL-LW CK 2.0C-ALMD (ASEM)</t>
  </si>
  <si>
    <t>607139             Z-B300-WH PAIL&amp;COVER W/O SPOUT W/INNER</t>
  </si>
  <si>
    <t>607365             JJ63-0310-R-R-CL-HW</t>
  </si>
  <si>
    <t>607366             C38-T/E-I/L-C/S-L.GOLD-S</t>
  </si>
  <si>
    <t>607481             R-HDPE MARLEX HXM 50100</t>
  </si>
  <si>
    <t>BS0217-NA 200ML PE BTL (NATURAL)</t>
  </si>
  <si>
    <t>20.600 G</t>
  </si>
  <si>
    <t>BW38-0350-SB-R-CL</t>
  </si>
  <si>
    <t>558276             BC28-0170-D-APH-HDPE</t>
  </si>
  <si>
    <t>607508             AL0512-BK 36MM CAP (BLACK)</t>
  </si>
  <si>
    <t>JJ63-0813-FC-R-CL</t>
  </si>
  <si>
    <t>BX38-0250-SM-R-WH-MANGO (ASEM)</t>
  </si>
  <si>
    <t>BX38-0250-SM-R-WH-MIX BERRY (ASEM)</t>
  </si>
  <si>
    <t>BX38-0250-SM-R-WH-STW.BERRY (ASEM)</t>
  </si>
  <si>
    <t>SL-VOCHELLE ALMOND MSI</t>
  </si>
  <si>
    <t>SL-VOCHELLE HAZEL MSI</t>
  </si>
  <si>
    <t>324228             C28-AF2 PLAIN RED 9441 PLASTIC CAPS</t>
  </si>
  <si>
    <t>371002             JJ63-0813-FC-R-CL</t>
  </si>
  <si>
    <t>598257             C63-T/E-R/SBRIND.SEALW/EAR (ASEM)V (DEL)</t>
  </si>
  <si>
    <t>605451             AL0478-RED 38MM FLIP CAP (RED) - S</t>
  </si>
  <si>
    <t>607338             BC28-0200-R-R-CL-HW</t>
  </si>
  <si>
    <t>609312             JJ63-0550-S-Q-CL ALMOND MSI (ASEM)</t>
  </si>
  <si>
    <t>609313             JJ63-0550-S-Q-CL HAZEL MSI (ASEM)</t>
  </si>
  <si>
    <t>609318             R-LLDPE LL6101</t>
  </si>
  <si>
    <t>609623             SL-VOCHELLE ALMOND MSI</t>
  </si>
  <si>
    <t>609624             SL-VOCHELLE HAZEL MSI</t>
  </si>
  <si>
    <t>594053             Z-27.5MM IND(1P IHS-PET CLR C 162019)</t>
  </si>
  <si>
    <t>610600             CC10370128BG ANTI SCRATCHES</t>
  </si>
  <si>
    <t>611513             Z-B500-WH PAIL&amp;COVER W/O SPOUT W/INNER</t>
  </si>
  <si>
    <t>BS1017-NA 1LTR HDPE BTL (NATURAL)</t>
  </si>
  <si>
    <t>Z-26MM PET INDUCTION SEAL</t>
  </si>
  <si>
    <t>Z-ONE PIECE ALUMINIUM INDUCTION LINER</t>
  </si>
  <si>
    <t>CC10370128BG ANTI SCRATCHES</t>
  </si>
  <si>
    <t>BX38-0850-GH-R-CL HW</t>
  </si>
  <si>
    <t>C28-AF2 PLAIN WHITE PLASTIC CAPS(ASEM)-V</t>
  </si>
  <si>
    <t>BA32-1000-R2-R-CL-KKM</t>
  </si>
  <si>
    <t>R-LLDPE LL6101</t>
  </si>
  <si>
    <t>Z-50.0MM PE LINER RING (3.0MM)</t>
  </si>
  <si>
    <t>SL-MAGGI CLSSC MRIDOR S/S MIX 400G-N 3.0</t>
  </si>
  <si>
    <t>C38-EZY CAP GREEN W PE WAD (ASEM)</t>
  </si>
  <si>
    <t>Z-B500-WH PAIL&amp;COVER W/O SPOUT W/INNER</t>
  </si>
  <si>
    <t>CONTAINER, TUB</t>
  </si>
  <si>
    <t>322492             BX38-0250-SM-R-CL</t>
  </si>
  <si>
    <t>558275             BC28-0500-D-APH-5040-0789-rPP</t>
  </si>
  <si>
    <t>606762             M-INJ REMAFIN BROWN PE84449257-ZN (DB)</t>
  </si>
  <si>
    <t>609634             Z-50.0MM PE LINER RING (3.0MM)</t>
  </si>
  <si>
    <t>610124             AL0478-RED 38MM FLIP CAP (RED) - V</t>
  </si>
  <si>
    <t>610392             SL-MAGGI CLSSC MRIDOR S/S MIX 400G-N 3.0</t>
  </si>
  <si>
    <t>611204             C38-EZY CAP GREEN W PE WAD (ASEM)</t>
  </si>
  <si>
    <t>M-PET RENOL BLUE 20897-35(MYA)</t>
  </si>
  <si>
    <t>BS0155-NA 150ML PE BTL (NATURAL)</t>
  </si>
  <si>
    <t>PF-JK57-24-82-KEKO</t>
  </si>
  <si>
    <t>24.600 G</t>
  </si>
  <si>
    <t>M-INJ REMAFIN BROWN PE84449257-ZN (DB)</t>
  </si>
  <si>
    <t>SL-VOCHELLE F&amp;NUT MSI</t>
  </si>
  <si>
    <t>EF54-5000-S-NA-FMC</t>
  </si>
  <si>
    <t>320.000 G</t>
  </si>
  <si>
    <t>CONTAINER, TUB-HPDE</t>
  </si>
  <si>
    <t>SL-KEFIR M.KISAH</t>
  </si>
  <si>
    <t>SL-KEFIR W.BERRIES</t>
  </si>
  <si>
    <t>SL-KEFIR MANGGA PIC</t>
  </si>
  <si>
    <t>M-INJ REMAFIN GOLD ML51033-05 FDA/1</t>
  </si>
  <si>
    <t>Z-28.85MM (3 TABS) - HDPE</t>
  </si>
  <si>
    <t>606135             JJ63-0500-RH-R-CL MAGI MARIDOR 3.0(ASEM)</t>
  </si>
  <si>
    <t>609314             JJ63-0550-S-Q-CL F&amp;NUT MSI (ASEM)</t>
  </si>
  <si>
    <t>609625             SL-VOCHELLE F&amp;NUT MSI</t>
  </si>
  <si>
    <t>611846             EF54-5000-S-NA-FMC</t>
  </si>
  <si>
    <t>612060             BS0155-NA-KEFIR-M.KISAH</t>
  </si>
  <si>
    <t>612132             BS0155-NA-KEFIR-W.BERRIES</t>
  </si>
  <si>
    <t>612135             BS0155-NA-KEFIR-MANGGA PIC</t>
  </si>
  <si>
    <t>612137             AL0512-BK 36MM CAP (BLACK) W/ IND SEAL</t>
  </si>
  <si>
    <t>612139             SL-KEFIR M.KISAH</t>
  </si>
  <si>
    <t>612140             SL-KEFIR W.BERRIES</t>
  </si>
  <si>
    <t>612152             SL-KEFIR MANGGA PIC</t>
  </si>
  <si>
    <t>612513             M-INJ REMAFIN GOLD ML51033-05 FDA/1</t>
  </si>
  <si>
    <t>613192             Z-28.85MM (3 TABS) - HDPE</t>
  </si>
  <si>
    <t>C38-T/E-I/L-C/S-RED</t>
  </si>
  <si>
    <t>BC28-0150-A3-Q-CL</t>
  </si>
  <si>
    <t>AL1015-BL HARWANY PLASTIC COVER (BLUE)</t>
  </si>
  <si>
    <t>LBL 0.5LTR LKT V/R YAM</t>
  </si>
  <si>
    <t>LBL 0.5LTR LKT V/R DURIAN</t>
  </si>
  <si>
    <t>C63-D/C 7H RED-ACTIVATED SEAL (ASSEM)</t>
  </si>
  <si>
    <t>605737             C35-R/S-F.TOP G.PNCK-743-02456-006 ASEM</t>
  </si>
  <si>
    <t>606524             C35-R/S-F.TOP CHOC-743-02420-007-2.0ASEM</t>
  </si>
  <si>
    <t>606528             C35-R/S-F.TOP CRM-743-01516-007-2.0ASEM</t>
  </si>
  <si>
    <t>606531             C35-R/S-F.TOP STRW-743-01517-010-2.0ASEM</t>
  </si>
  <si>
    <t>611847             CF54-0050-R-YL with PE LINER RING (ASEM)</t>
  </si>
  <si>
    <t>611862             M/B YELLOW 1323 PE</t>
  </si>
  <si>
    <t>613436             SL-CANISTER SPREAD 200G (2.0)</t>
  </si>
  <si>
    <t>613594             JJ63-0190-E-Q-CL-LW CRISPY (ASEM) V2</t>
  </si>
  <si>
    <t>BC28-0170-D-APH-5040-0786-rPP (SAMPLE)</t>
  </si>
  <si>
    <t>CF54-0050-R-YL with PE LINER RING (ASEM)</t>
  </si>
  <si>
    <t>16.100 G</t>
  </si>
  <si>
    <t>M/B YELLOW 1323 PE</t>
  </si>
  <si>
    <t>453940             BS1013-NA 1LTR PP BTL (NATURAL)</t>
  </si>
  <si>
    <t>459351             AL4507-BK 38MM CAP (BLACK)</t>
  </si>
  <si>
    <t>485964             IML-24OZ ME CHOC (F) 701-31228-008</t>
  </si>
  <si>
    <t>491085             IML-24OZ ME CRML (F) 799-17353-000</t>
  </si>
  <si>
    <t>494019             IML-24OZ AS CHOC (F) 743-17350-001</t>
  </si>
  <si>
    <t>494021             IML-24OZ AS STRW (F) 743-17352-001</t>
  </si>
  <si>
    <t>520137             IML-24OZ AS OPPO CHOC (F)743-01767-002@</t>
  </si>
  <si>
    <t>531171             IML-24OZ JP CRML (B) 743-01768-005@</t>
  </si>
  <si>
    <t>531173             IML-24OZ JP CRML (F) 743-01768-004@</t>
  </si>
  <si>
    <t>532945             IML-24OZ JP CHOC (F) 701-31278-003@</t>
  </si>
  <si>
    <t>532946             IML-24OZ JP CHOC (B) 701-31278-004@</t>
  </si>
  <si>
    <t>558104             BC28-0090-D-APH-5040-0785-rPP (SAMPLE)</t>
  </si>
  <si>
    <t>558106             BC28-0170-D-APH-5040-0786-rPP (SAMPLE)</t>
  </si>
  <si>
    <t>606766             M-INJ REMAFIN RED PE33449738-ZN</t>
  </si>
  <si>
    <t>614058             C32-2PIECE-T.GR &amp; B.WH</t>
  </si>
  <si>
    <t>616343             C28-EZY R/S CAP YEL W PET IND SEAL(ASEM)</t>
  </si>
  <si>
    <t>BS0336-WH 300ML PP BTL (WHITE)</t>
  </si>
  <si>
    <t>JJ63-0240-R-R-CL GOLD PAINT (ASEM)</t>
  </si>
  <si>
    <t>EBK38-2012-K-S-WHITE-HDPE-DVG</t>
  </si>
  <si>
    <t>EBK38-1017-K-S-WHITE-HDPE</t>
  </si>
  <si>
    <t>EBK38-2017-K-S-WHITE-HDPE</t>
  </si>
  <si>
    <t>BC28-0500-GS2-R-AM</t>
  </si>
  <si>
    <t>M-INJ REMAFIN RED PE33449738-ZN</t>
  </si>
  <si>
    <t>T-PLASTIC PALLET N41311SL2 BK (FMC)</t>
  </si>
  <si>
    <t>SL-CANISTER SPREAD 200G (3.0)</t>
  </si>
  <si>
    <t>EBK38-2017-K-S-BEIGE-HDPE</t>
  </si>
  <si>
    <t>M/B BEIGE PE 63803R-4.5P</t>
  </si>
  <si>
    <t>4.200 G</t>
  </si>
  <si>
    <t>322576             C38-T/E-R/S-YELLOW</t>
  </si>
  <si>
    <t>573943             EBK38-2012-K-S-WHITE-HDPE-DVG</t>
  </si>
  <si>
    <t>580564             EBK38-1017-K-S-WHITE-HDPE</t>
  </si>
  <si>
    <t>580580             EBK38-2017-K-S-WHITE-HDPE</t>
  </si>
  <si>
    <t>611851             T-PLASTIC PALLET N41311SL2 BK (FMC)</t>
  </si>
  <si>
    <t>616191             JJ63-0190-E-Q-CL-LW CRISPY (ASEM) V3</t>
  </si>
  <si>
    <t>616219             SL-CANISTER SPREAD 200G (3.0)</t>
  </si>
  <si>
    <t>617192             EBK38-2017-K-S-BEIGE-HDPE</t>
  </si>
  <si>
    <t>617299             M/B BEIGE PE 63803R-4.5P</t>
  </si>
  <si>
    <t>617309             AL0921-PK 38MM CAP (PINK)-S</t>
  </si>
  <si>
    <t>M-INJ REMAFIN BROWN PE82449258-ZN (C)</t>
  </si>
  <si>
    <t>551700              BC28-0056-D-APH-5040-0788-rPP (SAMPLE)</t>
  </si>
  <si>
    <t>606765             M-INJ REMAFIN BROWN PE82449258-ZN (C)</t>
  </si>
  <si>
    <t>616635             SL-NIPPON PAINT-ANTILEAK WF 250G</t>
  </si>
  <si>
    <t>618217             BX38-2000-HR-R-CL(GREEN)(ASEM)</t>
  </si>
  <si>
    <t>JJ63-0250-S-Q-CL-HW</t>
  </si>
  <si>
    <t>34.000 G</t>
  </si>
  <si>
    <t>39.100 G</t>
  </si>
  <si>
    <t>EBK38-0500-K-Q-YL-PE(S0576)</t>
  </si>
  <si>
    <t>MB WHITE PE02449097 (MYC2) PE</t>
  </si>
  <si>
    <t>JJ63-0750-R-R-CL-LW CK 3.0C-ALMD (ASEM)</t>
  </si>
  <si>
    <t>SL-TANGO ALMOND CHIPS 3.0 (C)</t>
  </si>
  <si>
    <t>AL0921-PK 38MM CAP (PINK) - V</t>
  </si>
  <si>
    <t>Z-26.3MM PP INDUCTION SEAL</t>
  </si>
  <si>
    <t>C28-EZY R/S CAP YEL W NPP IND SEAL(ASEM)</t>
  </si>
  <si>
    <t>453730             AL0316-RD 28MM NO LOGO CAP (RED)</t>
  </si>
  <si>
    <t>568498             MB WHITE PE02449097 (MYC2) PE</t>
  </si>
  <si>
    <t>613955             R-PP CK91905(R50) NC022</t>
  </si>
  <si>
    <t>614279             SL-TANGO ALMOND CHIPS 2.0 (C) NEW</t>
  </si>
  <si>
    <t>616879             JJ63-0750-R-R-CL-LW CK 3.0C-ALMD (ASEM)</t>
  </si>
  <si>
    <t>616981             SL-TANGO ALMOND CHIPS 3.0 (C)</t>
  </si>
  <si>
    <t>617268             AL0921-PK 38MM CAP (PINK) - V</t>
  </si>
  <si>
    <t>618480             Z-26.3MM PP INDUCTION SEAL</t>
  </si>
  <si>
    <t>618580             EBK38-2000-K-R-WH-PE-R2-M&amp;G</t>
  </si>
  <si>
    <t>618683             ST-POWER MAX-STAINLESS STEEL CLEANER 2.0</t>
  </si>
  <si>
    <t>619095             C28-EZY R/S CAP YEL W NPP IND SEAL(ASEM)</t>
  </si>
  <si>
    <t>619711             BCY28-0400-T-R-WH PWR MAX 2.0 (ASEM)</t>
  </si>
  <si>
    <t>Jul'24</t>
  </si>
  <si>
    <t>601041000B90000000</t>
  </si>
  <si>
    <t>Others</t>
  </si>
  <si>
    <t>601041000J90000000</t>
  </si>
  <si>
    <t>601061000C90000000</t>
  </si>
  <si>
    <t>601051000C90000000</t>
  </si>
  <si>
    <t>601061000C40000000</t>
  </si>
  <si>
    <t>Food &amp; Beverage</t>
  </si>
  <si>
    <t>60200</t>
  </si>
  <si>
    <t>Additives</t>
  </si>
  <si>
    <t>60106V0000</t>
  </si>
  <si>
    <t>Virgin grade</t>
  </si>
  <si>
    <t>60105V0000</t>
  </si>
  <si>
    <t>65400S0001</t>
  </si>
  <si>
    <t>LABEL, IML, STICKER,</t>
  </si>
  <si>
    <t>BC28-0060-M-R-CL-HW</t>
  </si>
  <si>
    <t>60104V0000</t>
  </si>
  <si>
    <t>601041000B40000000</t>
  </si>
  <si>
    <t>65000L0000</t>
  </si>
  <si>
    <t>Logistic &amp; Other Sup</t>
  </si>
  <si>
    <t>6T800</t>
  </si>
  <si>
    <t>Mould</t>
  </si>
  <si>
    <t>601051000B50000000</t>
  </si>
  <si>
    <t>Pharma / Medical</t>
  </si>
  <si>
    <t>601061000J40000000</t>
  </si>
  <si>
    <t>601051000B90000000</t>
  </si>
  <si>
    <t>601061000B90000000</t>
  </si>
  <si>
    <t>601051000B40000000</t>
  </si>
  <si>
    <t>601051000C40000000</t>
  </si>
  <si>
    <t>Electrical &amp; Electro</t>
  </si>
  <si>
    <t>601061000B10000000</t>
  </si>
  <si>
    <t>601041000J40000000</t>
  </si>
  <si>
    <t>60104R0001</t>
  </si>
  <si>
    <t>Recycled</t>
  </si>
  <si>
    <t>601041000P40000000</t>
  </si>
  <si>
    <t>Home / Personal Care</t>
  </si>
  <si>
    <t>60105100JC50000000</t>
  </si>
  <si>
    <t>BB38-0250-S-S-CL</t>
  </si>
  <si>
    <t>INSURANCE &amp; OTHERS</t>
  </si>
  <si>
    <t>M/B YELLOW PP 60971-2P</t>
  </si>
  <si>
    <t>JJ63-0336-K-R-CL-HW</t>
  </si>
  <si>
    <t>BC28-0200-R-R-CL-HW</t>
  </si>
  <si>
    <t>JJ63-0240-RS-R-CL-HW-HIGH DOME</t>
  </si>
  <si>
    <t>BBX38-0150-R-AM</t>
  </si>
  <si>
    <t>BCY28-0400-T-R-WH PWR MAX 2.0 (ASEM)</t>
  </si>
  <si>
    <t>601041000B60000000</t>
  </si>
  <si>
    <t>C38-T/E-I/L-C/S-WHITE (E) - V</t>
  </si>
  <si>
    <t>3.870 G</t>
  </si>
  <si>
    <t>601051000C50000000</t>
  </si>
  <si>
    <t>PH LEVEL 1</t>
  </si>
  <si>
    <t>(blank)</t>
  </si>
  <si>
    <t>PE</t>
  </si>
  <si>
    <t>PET</t>
  </si>
  <si>
    <t>PP</t>
  </si>
  <si>
    <t>Secondary/ Component</t>
  </si>
  <si>
    <t>Supplies</t>
  </si>
  <si>
    <t>Bottle</t>
  </si>
  <si>
    <t>Closure/Lid/ Handle</t>
  </si>
  <si>
    <t>Jerrycan</t>
  </si>
  <si>
    <t>Jar /Container/Tub</t>
  </si>
  <si>
    <t xml:space="preserve">Preform </t>
  </si>
  <si>
    <t>LABEL, IML, STICKER, SEALED ETC</t>
  </si>
  <si>
    <t>Logistic &amp; Other Supplies</t>
  </si>
  <si>
    <t>PH LEVEL 2</t>
  </si>
  <si>
    <t>325511             BC28-0060-M-R-CL-HW</t>
  </si>
  <si>
    <t>379514             BA32-1000-R-R-CL</t>
  </si>
  <si>
    <t>606767             JJ63-0336-K-R-CL-HW</t>
  </si>
  <si>
    <t>611060             JJ63-0240-RS-R-CL-HW-HIGH DOME</t>
  </si>
  <si>
    <t>611949             BBX38-0150-R-AM</t>
  </si>
  <si>
    <t>620173             C38-T/E-I/L-C/S-WHITE (E) - V</t>
  </si>
  <si>
    <t>Aug'24</t>
  </si>
  <si>
    <t>PH Level1</t>
  </si>
  <si>
    <t>PH Level2</t>
  </si>
  <si>
    <t>601041000B</t>
  </si>
  <si>
    <t>601041000J</t>
  </si>
  <si>
    <t>601061000C</t>
  </si>
  <si>
    <t>601051000C</t>
  </si>
  <si>
    <t>#</t>
  </si>
  <si>
    <t>601051000B</t>
  </si>
  <si>
    <t>601061000J</t>
  </si>
  <si>
    <t>601061000B</t>
  </si>
  <si>
    <t>601041000P</t>
  </si>
  <si>
    <t>60105100JC</t>
  </si>
  <si>
    <t>PH Level3</t>
  </si>
  <si>
    <t>Stock Movement for AUG 2024</t>
  </si>
  <si>
    <t>Cost in LC</t>
  </si>
  <si>
    <t>Avg Cost of sales</t>
  </si>
  <si>
    <t>Stock Turn Over days</t>
  </si>
  <si>
    <t>Net W</t>
  </si>
  <si>
    <t>PH LV1</t>
  </si>
  <si>
    <t>PH LV2</t>
  </si>
  <si>
    <t>FG Total</t>
  </si>
  <si>
    <t>RM Total</t>
  </si>
  <si>
    <t>C63-D/C 7H Orange W ACT SEAL (ASEM)</t>
  </si>
  <si>
    <t>BC28-0750-K4-R-CL (55g)</t>
  </si>
  <si>
    <t>BC28-0750-K4-R-CL-JAPAN (55g)</t>
  </si>
  <si>
    <t>JJ63-0400-SH-S-CL-rPET</t>
  </si>
  <si>
    <t>T-0226-BR-HERS-PP</t>
  </si>
  <si>
    <t>R-PP SM840</t>
  </si>
  <si>
    <t>06.12.2021</t>
  </si>
  <si>
    <t>21.12.2023</t>
  </si>
  <si>
    <t>18.07.2024</t>
  </si>
  <si>
    <t>25.09.2024</t>
  </si>
  <si>
    <t>12.09.2024</t>
  </si>
  <si>
    <t>27.08.2024</t>
  </si>
  <si>
    <t>28.08.2024</t>
  </si>
  <si>
    <t>27.09.2024</t>
  </si>
  <si>
    <t>10.05.2024</t>
  </si>
  <si>
    <t>22.03.2024</t>
  </si>
  <si>
    <t>24.09.2024</t>
  </si>
  <si>
    <t>30.09.2024</t>
  </si>
  <si>
    <t>12.08.2024</t>
  </si>
  <si>
    <t>09.09.2024</t>
  </si>
  <si>
    <t>01.01.2021</t>
  </si>
  <si>
    <t>29.08.2024</t>
  </si>
  <si>
    <t>04.12.2023</t>
  </si>
  <si>
    <t>20.12.2022</t>
  </si>
  <si>
    <t>26.09.2024</t>
  </si>
  <si>
    <t>11.03.2024</t>
  </si>
  <si>
    <t>02.09.2024</t>
  </si>
  <si>
    <t>14.03.2024</t>
  </si>
  <si>
    <t>06.05.2024</t>
  </si>
  <si>
    <t>25.04.2024</t>
  </si>
  <si>
    <t>29.11.2022</t>
  </si>
  <si>
    <t>30.08.2024</t>
  </si>
  <si>
    <t>18.04.2024</t>
  </si>
  <si>
    <t>17.11.2022</t>
  </si>
  <si>
    <t>20.08.2024</t>
  </si>
  <si>
    <t>16.05.2024</t>
  </si>
  <si>
    <t>23.04.2024</t>
  </si>
  <si>
    <t>28.06.2024</t>
  </si>
  <si>
    <t>15.03.2023</t>
  </si>
  <si>
    <t>29.07.2024</t>
  </si>
  <si>
    <t>19.08.2024</t>
  </si>
  <si>
    <t>14.12.2023</t>
  </si>
  <si>
    <t>14.10.2021</t>
  </si>
  <si>
    <t>16.11.2023</t>
  </si>
  <si>
    <t>17.07.2023</t>
  </si>
  <si>
    <t>21.09.2021</t>
  </si>
  <si>
    <t>18.09.2024</t>
  </si>
  <si>
    <t>21.06.2024</t>
  </si>
  <si>
    <t>15.07.2024</t>
  </si>
  <si>
    <t>03.04.2024</t>
  </si>
  <si>
    <t>15.04.2024</t>
  </si>
  <si>
    <t>23.08.2024</t>
  </si>
  <si>
    <t>12.07.2024</t>
  </si>
  <si>
    <t>29.09.2023</t>
  </si>
  <si>
    <t>27.02.2023</t>
  </si>
  <si>
    <t>08.09.2021</t>
  </si>
  <si>
    <t>24.04.2024</t>
  </si>
  <si>
    <t>03.11.2021</t>
  </si>
  <si>
    <t>06.09.2021</t>
  </si>
  <si>
    <t>26.02.2024</t>
  </si>
  <si>
    <t>24.05.2023</t>
  </si>
  <si>
    <t>25.07.2022</t>
  </si>
  <si>
    <t>22.12.2021</t>
  </si>
  <si>
    <t>08.06.2022</t>
  </si>
  <si>
    <t>19.05.2022</t>
  </si>
  <si>
    <t>31.10.2023</t>
  </si>
  <si>
    <t>28.02.2023</t>
  </si>
  <si>
    <t>06.03.2023</t>
  </si>
  <si>
    <t>18.01.2022</t>
  </si>
  <si>
    <t>14.01.2022</t>
  </si>
  <si>
    <t>25.01.2022</t>
  </si>
  <si>
    <t>01.09.2022</t>
  </si>
  <si>
    <t>13.05.2024</t>
  </si>
  <si>
    <t>Material Description</t>
  </si>
  <si>
    <t>BX38-0250-SM-R-CL</t>
  </si>
  <si>
    <t>BS0521-NA 500ML PP BTL (NATURAL)</t>
  </si>
  <si>
    <t>AL1537-GR- 2LTR CHOC I/C LID (GREEN)</t>
  </si>
  <si>
    <t>AL1537-GR- 2LTR VANILLA I/C LID (GREEN)</t>
  </si>
  <si>
    <t>JJ63-0310-R-R-WH (ASEM)</t>
  </si>
  <si>
    <t>C35-R/S-F.TOP CHOC-743-02420-007-2.0ASEM</t>
  </si>
  <si>
    <t>C35-R/S-F.TOP CRM-743-01516-007-2.0ASEM</t>
  </si>
  <si>
    <t>COS - either column "AE" or "AF"</t>
  </si>
  <si>
    <t>PH Level 1 Description</t>
  </si>
  <si>
    <t>601051000J</t>
  </si>
  <si>
    <t>60104R0000</t>
  </si>
  <si>
    <t>Internal Regrind</t>
  </si>
  <si>
    <t>60105R0000</t>
  </si>
  <si>
    <t>60105R0001</t>
  </si>
  <si>
    <t>60106R0000</t>
  </si>
  <si>
    <t>60106R0001</t>
  </si>
  <si>
    <t>PH Level 2 Description</t>
  </si>
  <si>
    <t>BX38-1000-RN-R-CL-rPET 0.2</t>
  </si>
  <si>
    <t>JJ63-0200-R-R-CL 2.0 F.FONDANT (ASEM)</t>
  </si>
  <si>
    <t>SL-FANCY FONDANT 285GM 2.0</t>
  </si>
  <si>
    <t>BX38-1000-RN-R-CL-rPET 1.0</t>
  </si>
  <si>
    <t>03.10.2024</t>
  </si>
  <si>
    <t>09.10.2024</t>
  </si>
  <si>
    <t>23.10.2024</t>
  </si>
  <si>
    <t>29.10.2024</t>
  </si>
  <si>
    <t>BC28-0280-HD-R-CL-LW</t>
  </si>
  <si>
    <t>C110-HANDLE CAP PINK</t>
  </si>
  <si>
    <t>48.260 G</t>
  </si>
  <si>
    <t>JW110-4100-R-R-AM</t>
  </si>
  <si>
    <t>150.150 G</t>
  </si>
  <si>
    <t>Z-38/400 WHITE DISPENSER PUMP (305MM)</t>
  </si>
  <si>
    <t>JJ63-0550-S-Q-CL ALMOND D24 (ASEM)</t>
  </si>
  <si>
    <t>JJ63-0550-S-Q-CL HAZEL D24 (ASEM)</t>
  </si>
  <si>
    <t>JJ63-0550-S-Q-CL F&amp;NUT D24 (ASEM)</t>
  </si>
  <si>
    <t>SL-VOCHELLE ALMOND D24 MSI</t>
  </si>
  <si>
    <t>SL-VOCHELLE HAZEL D24 MSI</t>
  </si>
  <si>
    <t>SL-VOCHELLE F&amp;NUT D24 MSI</t>
  </si>
  <si>
    <t>MB WHITE PE03449242-ZN</t>
  </si>
  <si>
    <t>26.11.2024</t>
  </si>
  <si>
    <t>27.11.2024</t>
  </si>
  <si>
    <t>28.11.2024</t>
  </si>
  <si>
    <t>23.11.2024</t>
  </si>
  <si>
    <t>18.11.2024</t>
  </si>
  <si>
    <t>11.11.2024</t>
  </si>
  <si>
    <t>12.01.2023</t>
  </si>
  <si>
    <t>30.11.2021</t>
  </si>
  <si>
    <t>05.11.2024</t>
  </si>
  <si>
    <t>23.11.2021</t>
  </si>
  <si>
    <t>03.05.2021</t>
  </si>
  <si>
    <t>21.07.2022</t>
  </si>
  <si>
    <t>28.09.2022</t>
  </si>
  <si>
    <t>JJ63-0270-E-Q-CL</t>
  </si>
  <si>
    <t>BCY28-0500-TR-R-CL</t>
  </si>
  <si>
    <t>BA32-1000-R1-R-CL</t>
  </si>
  <si>
    <t>BC28-0500-D-APH-5040-0758-rHDPE</t>
  </si>
  <si>
    <t>EBK38-2012-K-S-CREAM-HDPE-DVG</t>
  </si>
  <si>
    <t>JJ63-0350-EH-R-CL CRISPY ORI (ASEM)</t>
  </si>
  <si>
    <t>JJ63-0350-EH-R-CL HAZELNUT (ASEM)</t>
  </si>
  <si>
    <t>JJ63-0350-EH-R-CL SALT CML (ASEM)</t>
  </si>
  <si>
    <t>SL-CANISTER SPREAD 200G (4.0)</t>
  </si>
  <si>
    <t>SL-CANISTER SPREAD 200G HAZELNUT</t>
  </si>
  <si>
    <t>SL-CANISTER SPREAD 200G SALT/CRML</t>
  </si>
  <si>
    <t>SL-CANISTER SPREAD 350G ORI</t>
  </si>
  <si>
    <t>SL-CANISTER SPREAD 350G HAZELNUT</t>
  </si>
  <si>
    <t>SL-CANISTER SPREAD 350G SALT CRML</t>
  </si>
  <si>
    <t>R-HDPE GH6100(R75)(r10)NC001</t>
  </si>
  <si>
    <t>R-LDPE-PETLIN LD C150Y</t>
  </si>
  <si>
    <t>23.12.2024</t>
  </si>
  <si>
    <t>26.12.2024</t>
  </si>
  <si>
    <t>05.12.2024</t>
  </si>
  <si>
    <t>25.10.2022</t>
  </si>
  <si>
    <t>17.06.2021</t>
  </si>
  <si>
    <t>28.12.2022</t>
  </si>
  <si>
    <t>BC28-0355-SCC-A-Q-CL</t>
  </si>
  <si>
    <t>AL0556-WH-L 500ML I/C LID (WHITE)</t>
  </si>
  <si>
    <t>AL1015-GR HARWANY PLASTIC COVER (GREEN)</t>
  </si>
  <si>
    <t>JJ63-0190-E-Q-CL-LW HAZELNUT (ASEM)</t>
  </si>
  <si>
    <t>JJ63-0190-E-Q-CL-LW SALT CML (ASEM)</t>
  </si>
  <si>
    <t>C28-R/S-FLIP TOP GOLD (ASEM)</t>
  </si>
  <si>
    <t>28.12.2021</t>
  </si>
  <si>
    <t>03.08.2023</t>
  </si>
  <si>
    <t>25.07.2024</t>
  </si>
  <si>
    <t>12.12.2023</t>
  </si>
  <si>
    <t>05.01.2022</t>
  </si>
  <si>
    <t>20.01.2022</t>
  </si>
  <si>
    <t>28.01.2022</t>
  </si>
  <si>
    <t>11.02.2022</t>
  </si>
  <si>
    <t>17.01.2025</t>
  </si>
  <si>
    <t>07.10.2022</t>
  </si>
  <si>
    <t>07.01.2025</t>
  </si>
  <si>
    <t>06.01.2025</t>
  </si>
  <si>
    <t>23.02.2023</t>
  </si>
  <si>
    <t>13.10.2022</t>
  </si>
  <si>
    <t>08.12.2021</t>
  </si>
  <si>
    <t>14.12.2021</t>
  </si>
  <si>
    <t>11.01.2025</t>
  </si>
  <si>
    <t>24.03.2022</t>
  </si>
  <si>
    <t>30.03.2022</t>
  </si>
  <si>
    <t>08.01.2025</t>
  </si>
  <si>
    <t>15.01.2025</t>
  </si>
  <si>
    <t>01.03.2022</t>
  </si>
  <si>
    <t>29.03.2022</t>
  </si>
  <si>
    <t>19.11.2021</t>
  </si>
  <si>
    <t>22.11.2021</t>
  </si>
  <si>
    <t>27.11.2023</t>
  </si>
  <si>
    <t>17.05.2023</t>
  </si>
  <si>
    <t>18.05.2023</t>
  </si>
  <si>
    <t>27.10.2021</t>
  </si>
  <si>
    <t>26.01.2024</t>
  </si>
  <si>
    <t>23.05.2024</t>
  </si>
  <si>
    <t>05.06.2024</t>
  </si>
  <si>
    <t>13.07.2022</t>
  </si>
  <si>
    <t>05.08.2022</t>
  </si>
  <si>
    <t>18.08.2022</t>
  </si>
  <si>
    <t>27.12.2022</t>
  </si>
  <si>
    <t>01.11.2022</t>
  </si>
  <si>
    <t>16.11.2022</t>
  </si>
  <si>
    <t>02.03.2024</t>
  </si>
  <si>
    <t>26.02.2021</t>
  </si>
  <si>
    <t>08.03.2021</t>
  </si>
  <si>
    <t>01.04.2021</t>
  </si>
  <si>
    <t>02.04.2021</t>
  </si>
  <si>
    <t>28.01.2025</t>
  </si>
  <si>
    <t>07.09.2021</t>
  </si>
  <si>
    <t>14.01.2025</t>
  </si>
  <si>
    <t>27.09.2023</t>
  </si>
  <si>
    <t>03.01.2025</t>
  </si>
  <si>
    <t>13.01.2025</t>
  </si>
  <si>
    <t>18.07.2023</t>
  </si>
  <si>
    <t>29.09.2021</t>
  </si>
  <si>
    <t>02.11.2021</t>
  </si>
  <si>
    <t>31.07.2024</t>
  </si>
  <si>
    <t>10.03.2023</t>
  </si>
  <si>
    <t>24.11.2021</t>
  </si>
  <si>
    <t>25.11.2021</t>
  </si>
  <si>
    <t>29.11.2021</t>
  </si>
  <si>
    <t>08.01.2024</t>
  </si>
  <si>
    <t>10.01.2024</t>
  </si>
  <si>
    <t>25.02.2021</t>
  </si>
  <si>
    <t>11.04.2023</t>
  </si>
  <si>
    <t>29.09.2022</t>
  </si>
  <si>
    <t>18.12.2023</t>
  </si>
  <si>
    <t>10.09.2021</t>
  </si>
  <si>
    <t>15.09.2021</t>
  </si>
  <si>
    <t>02.02.2023</t>
  </si>
  <si>
    <t>03.02.2023</t>
  </si>
  <si>
    <t>11.01.2023</t>
  </si>
  <si>
    <t>06.10.2022</t>
  </si>
  <si>
    <t>20.04.2022</t>
  </si>
  <si>
    <t>19.02.2024</t>
  </si>
  <si>
    <t>18.03.2024</t>
  </si>
  <si>
    <t>01.11.2023</t>
  </si>
  <si>
    <t>26.12.2022</t>
  </si>
  <si>
    <t>03.02.2021</t>
  </si>
  <si>
    <t>15.11.2021</t>
  </si>
  <si>
    <t>02.12.2021</t>
  </si>
  <si>
    <t>18.01.2023</t>
  </si>
  <si>
    <t>10.11.2023</t>
  </si>
  <si>
    <t>21.12.2022</t>
  </si>
  <si>
    <t>30.03.2023</t>
  </si>
  <si>
    <t>19.04.2024</t>
  </si>
  <si>
    <t>09.11.2023</t>
  </si>
  <si>
    <t>03.10.2023</t>
  </si>
  <si>
    <t>22.06.2023</t>
  </si>
  <si>
    <t>11.06.2021</t>
  </si>
  <si>
    <t>18.06.2021</t>
  </si>
  <si>
    <t>12.07.2022</t>
  </si>
  <si>
    <t>23.12.2022</t>
  </si>
  <si>
    <t>24.05.2022</t>
  </si>
  <si>
    <t>21.03.2024</t>
  </si>
  <si>
    <t>01.04.2024</t>
  </si>
  <si>
    <t>21.06.2023</t>
  </si>
  <si>
    <t>26.06.2023</t>
  </si>
  <si>
    <t>11.04.2022</t>
  </si>
  <si>
    <t>31.05.2022</t>
  </si>
  <si>
    <t>01.06.2022</t>
  </si>
  <si>
    <t>07.04.2022</t>
  </si>
  <si>
    <t>05.02.2024</t>
  </si>
  <si>
    <t>28.03.2024</t>
  </si>
  <si>
    <t>04.04.2024</t>
  </si>
  <si>
    <t>24.07.2024</t>
  </si>
  <si>
    <t>23.09.2021</t>
  </si>
  <si>
    <t>18.10.2021</t>
  </si>
  <si>
    <t>20.10.2021</t>
  </si>
  <si>
    <t>19.07.2021</t>
  </si>
  <si>
    <t>21.07.2021</t>
  </si>
  <si>
    <t>28.10.2022</t>
  </si>
  <si>
    <t>13.02.2024</t>
  </si>
  <si>
    <t>20.09.2021</t>
  </si>
  <si>
    <t>29.06.2021</t>
  </si>
  <si>
    <t>05.03.2021</t>
  </si>
  <si>
    <t>11.10.2022</t>
  </si>
  <si>
    <t>13.01.2022</t>
  </si>
  <si>
    <t>18.10.2022</t>
  </si>
  <si>
    <t>02.05.2024</t>
  </si>
  <si>
    <t>22.09.2021</t>
  </si>
  <si>
    <t>24.09.2021</t>
  </si>
  <si>
    <t>22.12.2022</t>
  </si>
  <si>
    <t>14.07.2023</t>
  </si>
  <si>
    <t>26.09.2022</t>
  </si>
  <si>
    <t>17.10.2022</t>
  </si>
  <si>
    <t>01.02.2021</t>
  </si>
  <si>
    <t>19.05.2021</t>
  </si>
  <si>
    <t>20.05.2021</t>
  </si>
  <si>
    <t>06.06.2023</t>
  </si>
  <si>
    <t>07.06.2023</t>
  </si>
  <si>
    <t>08.08.2022</t>
  </si>
  <si>
    <t>26.08.2022</t>
  </si>
  <si>
    <t>22.08.2022</t>
  </si>
  <si>
    <t>09.09.2021</t>
  </si>
  <si>
    <t>30.09.2021</t>
  </si>
  <si>
    <t>10.03.2022</t>
  </si>
  <si>
    <t>08.04.2022</t>
  </si>
  <si>
    <t>19.10.2021</t>
  </si>
  <si>
    <t>17.02.2022</t>
  </si>
  <si>
    <t>26.04.2022</t>
  </si>
  <si>
    <t>16.08.2022</t>
  </si>
  <si>
    <t>20.10.2023</t>
  </si>
  <si>
    <t>23.06.2022</t>
  </si>
  <si>
    <t>06.07.2022</t>
  </si>
  <si>
    <t>14.07.2022</t>
  </si>
  <si>
    <t>03.04.2021</t>
  </si>
  <si>
    <t>01.10.2021</t>
  </si>
  <si>
    <t>10.01.2022</t>
  </si>
  <si>
    <t>26.01.2022</t>
  </si>
  <si>
    <t>23.02.2022</t>
  </si>
  <si>
    <t>25.02.2022</t>
  </si>
  <si>
    <t>09.05.2024</t>
  </si>
  <si>
    <t>09.06.2021</t>
  </si>
  <si>
    <t>10.06.2021</t>
  </si>
  <si>
    <t>02.12.2022</t>
  </si>
  <si>
    <t>06.06.2022</t>
  </si>
  <si>
    <t>08.07.2022</t>
  </si>
  <si>
    <t>15.06.2022</t>
  </si>
  <si>
    <t>20.06.2022</t>
  </si>
  <si>
    <t>08.01.2021</t>
  </si>
  <si>
    <t>20.08.2021</t>
  </si>
  <si>
    <t>29.12.2021</t>
  </si>
  <si>
    <t>29.06.2022</t>
  </si>
  <si>
    <t>29.10.2022</t>
  </si>
  <si>
    <t>24.02.2021</t>
  </si>
  <si>
    <t>05.07.2024</t>
  </si>
  <si>
    <t>26.03.2021</t>
  </si>
  <si>
    <t>05.07.2022</t>
  </si>
  <si>
    <t>17.01.2024</t>
  </si>
  <si>
    <t>26.03.2024</t>
  </si>
  <si>
    <t>23.01.2024</t>
  </si>
  <si>
    <t>04.10.2021</t>
  </si>
  <si>
    <t>15.08.2022</t>
  </si>
  <si>
    <t>09.08.2022</t>
  </si>
  <si>
    <t>16.04.2024</t>
  </si>
  <si>
    <t>27.05.2021</t>
  </si>
  <si>
    <t>01.02.2024</t>
  </si>
  <si>
    <t>28.07.2022</t>
  </si>
  <si>
    <t>01.12.2023</t>
  </si>
  <si>
    <t>11.11.2022</t>
  </si>
  <si>
    <t>13.12.2022</t>
  </si>
  <si>
    <t>30.12.2022</t>
  </si>
  <si>
    <t>12.12.2022</t>
  </si>
  <si>
    <t>02.03.2021</t>
  </si>
  <si>
    <t>16.04.2021</t>
  </si>
  <si>
    <t>25.03.2021</t>
  </si>
  <si>
    <t>29.03.2021</t>
  </si>
  <si>
    <t>30.03.2021</t>
  </si>
  <si>
    <t>08.09.2022</t>
  </si>
  <si>
    <t>09.09.2022</t>
  </si>
  <si>
    <t>04.10.2023</t>
  </si>
  <si>
    <t>31.03.2024</t>
  </si>
  <si>
    <t>29.01.2024</t>
  </si>
  <si>
    <t>08.07.2021</t>
  </si>
  <si>
    <t>24.11.2022</t>
  </si>
  <si>
    <t>10.11.2022</t>
  </si>
  <si>
    <t>23.09.2022</t>
  </si>
  <si>
    <t>20.09.2022</t>
  </si>
  <si>
    <t>27.01.2021</t>
  </si>
  <si>
    <t>27.04.2022</t>
  </si>
  <si>
    <t>11.03.2021</t>
  </si>
  <si>
    <t>15.03.2021</t>
  </si>
  <si>
    <t>27.03.2024</t>
  </si>
  <si>
    <t>11.05.2022</t>
  </si>
  <si>
    <t>14.05.2022</t>
  </si>
  <si>
    <t>17.05.2022</t>
  </si>
  <si>
    <t>12.11.2021</t>
  </si>
  <si>
    <t>16.11.2021</t>
  </si>
  <si>
    <t>07.09.2023</t>
  </si>
  <si>
    <t>30.01.2021</t>
  </si>
  <si>
    <t>14.09.2021</t>
  </si>
  <si>
    <t>16.12.2021</t>
  </si>
  <si>
    <t>23.08.2022</t>
  </si>
  <si>
    <t>09.04.2021</t>
  </si>
  <si>
    <t>22.02.2021</t>
  </si>
  <si>
    <t>26.04.2021</t>
  </si>
  <si>
    <t>10.05.2021</t>
  </si>
  <si>
    <t>22.02.2023</t>
  </si>
  <si>
    <t>01.03.2023</t>
  </si>
  <si>
    <t>08.12.2022</t>
  </si>
  <si>
    <t>21.04.2021</t>
  </si>
  <si>
    <t>17.03.2021</t>
  </si>
  <si>
    <t>28.10.2021</t>
  </si>
  <si>
    <t>11.05.2021</t>
  </si>
  <si>
    <t>08.06.2021</t>
  </si>
  <si>
    <t>02.06.2021</t>
  </si>
  <si>
    <t>15.06.2021</t>
  </si>
  <si>
    <t>14.07.2021</t>
  </si>
  <si>
    <t>15.12.2021</t>
  </si>
  <si>
    <t>21.12.2021</t>
  </si>
  <si>
    <t>17.08.2021</t>
  </si>
  <si>
    <t>10.02.2022</t>
  </si>
  <si>
    <t>30.08.2021</t>
  </si>
  <si>
    <t>01.09.2021</t>
  </si>
  <si>
    <t>13.10.2021</t>
  </si>
  <si>
    <t>02.09.2021</t>
  </si>
  <si>
    <t>13.09.2021</t>
  </si>
  <si>
    <t>27.08.2021</t>
  </si>
  <si>
    <t>04.02.2022</t>
  </si>
  <si>
    <t>25.09.2021</t>
  </si>
  <si>
    <t>16.05.2022</t>
  </si>
  <si>
    <t>27.05.2022</t>
  </si>
  <si>
    <t>07.10.2021</t>
  </si>
  <si>
    <t>17.12.2021</t>
  </si>
  <si>
    <t>22.10.2021</t>
  </si>
  <si>
    <t>26.10.2021</t>
  </si>
  <si>
    <t>25.07.2023</t>
  </si>
  <si>
    <t>09.12.2021</t>
  </si>
  <si>
    <t>13.12.2021</t>
  </si>
  <si>
    <t>06.02.2024</t>
  </si>
  <si>
    <t>03.02.2022</t>
  </si>
  <si>
    <t>16.02.2022</t>
  </si>
  <si>
    <t>18.03.2022</t>
  </si>
  <si>
    <t>01.04.2022</t>
  </si>
  <si>
    <t>07.03.2022</t>
  </si>
  <si>
    <t>06.04.2022</t>
  </si>
  <si>
    <t>25.03.2022</t>
  </si>
  <si>
    <t>25.05.2022</t>
  </si>
  <si>
    <t>17.08.2022</t>
  </si>
  <si>
    <t>25.04.2022</t>
  </si>
  <si>
    <t>14.08.2023</t>
  </si>
  <si>
    <t>31.07.2023</t>
  </si>
  <si>
    <t>11.09.2023</t>
  </si>
  <si>
    <t>12.09.2023</t>
  </si>
  <si>
    <t>05.01.2023</t>
  </si>
  <si>
    <t>31.01.2023</t>
  </si>
  <si>
    <t>19.07.2022</t>
  </si>
  <si>
    <t>16.12.2022</t>
  </si>
  <si>
    <t>24.08.2022</t>
  </si>
  <si>
    <t>31.03.2023</t>
  </si>
  <si>
    <t>03.04.2023</t>
  </si>
  <si>
    <t>11.07.2023</t>
  </si>
  <si>
    <t>21.07.2023</t>
  </si>
  <si>
    <t>27.07.2023</t>
  </si>
  <si>
    <t>14.11.2022</t>
  </si>
  <si>
    <t>08.02.2023</t>
  </si>
  <si>
    <t>15.02.2024</t>
  </si>
  <si>
    <t>15.02.2023</t>
  </si>
  <si>
    <t>21.11.2022</t>
  </si>
  <si>
    <t>06.01.2023</t>
  </si>
  <si>
    <t>09.01.2023</t>
  </si>
  <si>
    <t>27.03.2023</t>
  </si>
  <si>
    <t>05.04.2023</t>
  </si>
  <si>
    <t>12.01.2024</t>
  </si>
  <si>
    <t>02.08.2023</t>
  </si>
  <si>
    <t>02.10.2023</t>
  </si>
  <si>
    <t>05.10.2023</t>
  </si>
  <si>
    <t>26.09.2023</t>
  </si>
  <si>
    <t>15.03.2024</t>
  </si>
  <si>
    <t>26.08.2024</t>
  </si>
  <si>
    <t>29.06.2024</t>
  </si>
  <si>
    <t>27.05.2024</t>
  </si>
  <si>
    <t>17.07.2024</t>
  </si>
  <si>
    <t>24.06.2024</t>
  </si>
  <si>
    <t>14.08.2024</t>
  </si>
  <si>
    <t>01.08.2024</t>
  </si>
  <si>
    <t>BC28-0250-M-R-CL LW</t>
  </si>
  <si>
    <t>JJ63-0350-NH-R-CL</t>
  </si>
  <si>
    <t>C38-T/E-R/S-ORANGE</t>
  </si>
  <si>
    <t>C38-T/E-R/S-GREEN - V</t>
  </si>
  <si>
    <t>C63-D/C 3H RED</t>
  </si>
  <si>
    <t>C28-C/S-FLIP TOP GREEN</t>
  </si>
  <si>
    <t>BCY28-0750-W-R-CL</t>
  </si>
  <si>
    <t>JX63-0531-RN-R-CL</t>
  </si>
  <si>
    <t>C63-D/C 6H BLACK W IND SEAL W/EAR (ASEM)</t>
  </si>
  <si>
    <t>JJ63-0750-DH-H-CL</t>
  </si>
  <si>
    <t>JJ63-0400-SH-S-AM (KIWI LOGO)</t>
  </si>
  <si>
    <t>R-PET-RECRON PET RESIN 6868</t>
  </si>
  <si>
    <t>AL0597-WH 473ML/500ML I/C LID (WHITE)</t>
  </si>
  <si>
    <t>AL1537-GR 1/1.5/2LTR I/C LID (GREEN)</t>
  </si>
  <si>
    <t>AT6020-WH 6LTR/1.5GAL I/C TUB (WHITE)</t>
  </si>
  <si>
    <t>EBK38-0500-K-Q-BR-PE(S0576)</t>
  </si>
  <si>
    <t>BS0751-NA 750ML PP BTL (NATURAL)</t>
  </si>
  <si>
    <t>AL6020-WH 6LTR/1.5GAL I/C LID (WHITE)</t>
  </si>
  <si>
    <t>BX38-0330-Z-S-CL-LW</t>
  </si>
  <si>
    <t>R-HDPE MARLEX HHM 5502</t>
  </si>
  <si>
    <t>AL0556-0500-I/C-S-WH-L CHOC (ASEM)</t>
  </si>
  <si>
    <t>AL0556-0500-I/C-S-WH-L VANILLA (ASEM)</t>
  </si>
  <si>
    <t>AL0556-WH-L 500ML I/C LID YAM (ASEM)</t>
  </si>
  <si>
    <t>AL0556-WH-L 500ML I/C LID DURIAN (ASEM)</t>
  </si>
  <si>
    <t>C28-C/S-FLIP TOP NATURAL</t>
  </si>
  <si>
    <t>BC28-0090-D-APH-5040-0785-rPP (SAMPLE)</t>
  </si>
  <si>
    <t>BS0155-NA-KEFIR-M.KISAH</t>
  </si>
  <si>
    <t>BS0155-NA-KEFIR-W.BERRIES</t>
  </si>
  <si>
    <t>BS0155-NA-KEFIR-MANGGA PIC</t>
  </si>
  <si>
    <t>AL0512-BK 36MM CAP (BLACK) W/ IND SEAL</t>
  </si>
  <si>
    <t>R-PP CK91905(R50) NC022</t>
  </si>
  <si>
    <t>C32-2PIECE-T.GR &amp; B.WH</t>
  </si>
  <si>
    <t>14.400 G</t>
  </si>
  <si>
    <t>14.700 G</t>
  </si>
  <si>
    <t>27.050 G</t>
  </si>
  <si>
    <t>28.02.2025</t>
  </si>
  <si>
    <t>24.02.2025</t>
  </si>
  <si>
    <t>03.02.2025</t>
  </si>
  <si>
    <t>07.02.2025</t>
  </si>
  <si>
    <t>27.02.2025</t>
  </si>
  <si>
    <t>21.02.2025</t>
  </si>
  <si>
    <t>12.02.2025</t>
  </si>
  <si>
    <t>20.02.2025</t>
  </si>
  <si>
    <t>25.02.2025</t>
  </si>
  <si>
    <t>19.02.2025</t>
  </si>
  <si>
    <t>17.02.2025</t>
  </si>
  <si>
    <t>BB38-0060-R-R-AM</t>
  </si>
  <si>
    <t>SL-TANGO MOCHA CHIP 3.0 (C)</t>
  </si>
  <si>
    <t>JJ63-0190-E-Q-CL-LW CRISPY ORI (ASEM) V4</t>
  </si>
  <si>
    <t>BC28-0056-D-APH-5081-1368-PP NO LOGO</t>
  </si>
  <si>
    <t>07.03.2025</t>
  </si>
  <si>
    <t>24.03.2025</t>
  </si>
  <si>
    <t>10.03.2025</t>
  </si>
  <si>
    <t>26.03.2025</t>
  </si>
  <si>
    <t>28.03.2025</t>
  </si>
  <si>
    <t>21.03.2025</t>
  </si>
  <si>
    <t>13.03.2025</t>
  </si>
  <si>
    <t>12.03.2025</t>
  </si>
  <si>
    <t>20.03.2025</t>
  </si>
  <si>
    <t>04.03.2025</t>
  </si>
  <si>
    <t>27.03.2025</t>
  </si>
  <si>
    <t>03.03.2025</t>
  </si>
  <si>
    <t>C38-T/E-R/S-BLUE</t>
  </si>
  <si>
    <t>JJ63-0750-R-R-CL-LW CK 3.0C-MOCHA (ASEM)</t>
  </si>
  <si>
    <t>M-INJ REMAFIN SILVER MP21142-05</t>
  </si>
  <si>
    <t>15.100 G</t>
  </si>
  <si>
    <t>E22-0150-R-GY-HDPE</t>
  </si>
  <si>
    <t>E44-7800-S-NA-FMC-HDPE</t>
  </si>
  <si>
    <t>280.000 G</t>
  </si>
  <si>
    <t>BC28-0035-D-LEO-601001-PP</t>
  </si>
  <si>
    <t>29.04.2025</t>
  </si>
  <si>
    <t>15.04.2025</t>
  </si>
  <si>
    <t>08.04.2025</t>
  </si>
  <si>
    <t>18.04.2025</t>
  </si>
  <si>
    <t>07.04.2025</t>
  </si>
  <si>
    <t>10.04.2025</t>
  </si>
  <si>
    <t>04.04.2025</t>
  </si>
  <si>
    <t>MOULD CHARGES BM (6K)</t>
  </si>
  <si>
    <t>6.200 G</t>
  </si>
  <si>
    <t>E44-3900-S-NA-FMC-HDPE</t>
  </si>
  <si>
    <t>CF54-0050-R-YL WTH PE LINER RING(ASEM)-S</t>
  </si>
  <si>
    <t>T-TOP TRAY-K 980(L)x765(W)x55(H)MM</t>
  </si>
  <si>
    <t>T-CORNER GUIDE</t>
  </si>
  <si>
    <t>ONCOLOR BROWN PE83449293-ZN</t>
  </si>
  <si>
    <t>ONCOLOR BROWN PE84449295-ZN/1</t>
  </si>
  <si>
    <t>ONCOLOR BROWN PE83449297-ZN</t>
  </si>
  <si>
    <t>21.05.2025</t>
  </si>
  <si>
    <t>28.05.2025</t>
  </si>
  <si>
    <t>14.05.2025</t>
  </si>
  <si>
    <t>13.05.2025</t>
  </si>
  <si>
    <t>19.05.2025</t>
  </si>
  <si>
    <t>09.05.2025</t>
  </si>
  <si>
    <t>20.05.2025</t>
  </si>
  <si>
    <t>15.05.2025</t>
  </si>
  <si>
    <t>06.05.2025</t>
  </si>
  <si>
    <t>16.05.2025</t>
  </si>
  <si>
    <t>10.05.2025</t>
  </si>
  <si>
    <t>BC28-0060-M-R-WH-LW</t>
  </si>
  <si>
    <t>BC28-0060-M-R-CL-LW</t>
  </si>
  <si>
    <t>BX38-0075-R-R-CL</t>
  </si>
  <si>
    <t>BX38-0100-BM-R-AM</t>
  </si>
  <si>
    <t>BX38-0100-C-R-AM</t>
  </si>
  <si>
    <t>BC28-0100-M-R-CL-HW</t>
  </si>
  <si>
    <t>BC28-0150-M-R-CL</t>
  </si>
  <si>
    <t>BB38-0165-RH-R-CL</t>
  </si>
  <si>
    <t>BX38-0300-C-R-CL</t>
  </si>
  <si>
    <t>JJ63-0310-R-R-CL</t>
  </si>
  <si>
    <t>BC28-0350-GE-R-BL</t>
  </si>
  <si>
    <t>BC28-0430-A-Q-CL</t>
  </si>
  <si>
    <t>JJ63-0500-M-R-CL</t>
  </si>
  <si>
    <t>JJ63-0500-S-Q-CL</t>
  </si>
  <si>
    <t>JJ63-0600-HX-H-CL</t>
  </si>
  <si>
    <t>BX38-0250-FM-R-CL</t>
  </si>
  <si>
    <t>BC28-0330-P-R-CL</t>
  </si>
  <si>
    <t>BB38-1000-C-R-CL</t>
  </si>
  <si>
    <t>BB38-1000-CN-R-CL</t>
  </si>
  <si>
    <t>Z-HANDLE - YELLOW</t>
  </si>
  <si>
    <t>C38-T/E-I/L-R/S-WHITE</t>
  </si>
  <si>
    <t>C63-T/E-R/S-WHITE WITH P.E WAD (ASEM) -V</t>
  </si>
  <si>
    <t>C38-T/E-R/S-WHITE</t>
  </si>
  <si>
    <t>C38-T/E-I/L-R/S-WHITE WITH P.E WAD (ASEM</t>
  </si>
  <si>
    <t>C63-T/E-R/S-YELLOW WITH P.E WAD (ASEM)</t>
  </si>
  <si>
    <t>C38-T/E-I/L-R/S-YELLOW – V</t>
  </si>
  <si>
    <t>C38-T/E-R/S-YELLOW</t>
  </si>
  <si>
    <t>C28-C/S-FLIP TOP WHITE</t>
  </si>
  <si>
    <t>C28-C/S-FLIP TOP D.GREEN</t>
  </si>
  <si>
    <t>C28-C/S-FLIP TOP ORANGE</t>
  </si>
  <si>
    <t>C28-R/S-FLIP TOP D.GREEN</t>
  </si>
  <si>
    <t>C38-T/E-R/S-RED</t>
  </si>
  <si>
    <t>C63-D/C 7H YELLOW</t>
  </si>
  <si>
    <t>C63-D/C 7H RED MAGGI WITH UNI-GARD (ASEM</t>
  </si>
  <si>
    <t>C38-T/E-R/S-BLACK</t>
  </si>
  <si>
    <t>C63-T/E-R/S BLACK WITH P.E WAD (ASEM)</t>
  </si>
  <si>
    <t>C38-T/E-I/L-R/S-BLACK</t>
  </si>
  <si>
    <t>C38-FILTER CLEAR SMALL HOLE - V</t>
  </si>
  <si>
    <t>Z-28-EZY CAP COVER</t>
  </si>
  <si>
    <t>M-PET RENOL TR VIOLET NE41449007-ZN</t>
  </si>
  <si>
    <t>Z-37.5MM ACTIVATED SEAL WAD</t>
  </si>
  <si>
    <t>ST-POWER MAX-STAINLESS STEEL CLEANER 400</t>
  </si>
  <si>
    <t>BCY28-0400-T-R-WH</t>
  </si>
  <si>
    <t>BCY28-0400-T-R-WH PWR MAX (ASEM)</t>
  </si>
  <si>
    <t>JJ63-0475-FFN-R-CL</t>
  </si>
  <si>
    <t>JJ63-0650-CB-R-CL</t>
  </si>
  <si>
    <t>BB38-1000-H-R-CL(GREEN) (ASEM)</t>
  </si>
  <si>
    <t>BB38-2000-H-R-CL(GREEN) (ASEM)</t>
  </si>
  <si>
    <t>BB38-2000-H-R-CL(WHITE) (ASEM)</t>
  </si>
  <si>
    <t>Z-CJ 28/410 WHITE DISPENSER PUMP</t>
  </si>
  <si>
    <t>Z-CJ 33/410 WHITE DISPENSER PUMP</t>
  </si>
  <si>
    <t>BS38-0250-RJ-R-CL</t>
  </si>
  <si>
    <t>BX38-1000-RN-R-CL</t>
  </si>
  <si>
    <t>C28-EZY CAP GREEN</t>
  </si>
  <si>
    <t>JJ63-0750-SHX-S-CL</t>
  </si>
  <si>
    <t>JJ63-0660-S-S-CL</t>
  </si>
  <si>
    <t>JJ63-0550-HX-H-CL</t>
  </si>
  <si>
    <t>BD24-0150-C-R-CL (LOW NECK)</t>
  </si>
  <si>
    <t>BC28-0100-M-R-BR-HW</t>
  </si>
  <si>
    <t>BB38-0250-R-R-WH</t>
  </si>
  <si>
    <t>BX38-0250-RJ-R-CL-LW</t>
  </si>
  <si>
    <t>C63-D/C 7H GREEN</t>
  </si>
  <si>
    <t>C28-AF2 PLAIN RED 9441 PLASTIC CAPS</t>
  </si>
  <si>
    <t>C63-D/C 7H RED W IND SEAL W/EAR (ASEM)</t>
  </si>
  <si>
    <t>BC28-0060-M-CL-HW</t>
  </si>
  <si>
    <t>BX38-0250-R-R-CL-LW</t>
  </si>
  <si>
    <t>BB38-1000-R-R-WH-HW</t>
  </si>
  <si>
    <t>BC28-0350-GE-R-AM</t>
  </si>
  <si>
    <t>SL-FANCY FONDANT 285GM</t>
  </si>
  <si>
    <t>JJ63-0200-R-R-CL FANCY FONDANT (ASEM)</t>
  </si>
  <si>
    <t>C38-T/E-R/S-BLACK WITH P.E WAD (V)</t>
  </si>
  <si>
    <t>C90-T/E-I/L-R/S-A-BLUE</t>
  </si>
  <si>
    <t>JN90-2480-R-R-CL</t>
  </si>
  <si>
    <t>BC28-1000-S-S-COBALT BLUE</t>
  </si>
  <si>
    <t>BC28-1000-K-R-CL</t>
  </si>
  <si>
    <t>C28-AF2 PLAIN GOLD 230 PLASTIC CAPS</t>
  </si>
  <si>
    <t>JJ63-0475-FFN-R-CL PEACH MENGKUDU (ASEM)</t>
  </si>
  <si>
    <t>JJ63-0275-FB-R-CL</t>
  </si>
  <si>
    <t>BC28-0750-K2-R-CL-HW</t>
  </si>
  <si>
    <t>BW38-0500-LS-R-RED</t>
  </si>
  <si>
    <t>BX38-0320-KR-R-CL</t>
  </si>
  <si>
    <t>Z-36.5MM INDUCTION SEAL W/EAR 5MM</t>
  </si>
  <si>
    <t>BA32-1000-R-R-CL</t>
  </si>
  <si>
    <t>C32-2PIECE-WHITE-V</t>
  </si>
  <si>
    <t>C28-EZY R/S CAP YELLOW</t>
  </si>
  <si>
    <t>Z-26MM PP INDUCTION SEAL</t>
  </si>
  <si>
    <t>C28-EZY R/S CAP YEL W PP IND SEAL (ASEM)</t>
  </si>
  <si>
    <t>C28-EZY CAP GOLD</t>
  </si>
  <si>
    <t>C38-EZY CAP-T.R &amp; B.YEL W PE WAD (ASEM</t>
  </si>
  <si>
    <t>BC28-0500-WNHP-R-CL</t>
  </si>
  <si>
    <t>BX38-0250-R-R-CL-HW</t>
  </si>
  <si>
    <t>Z-61.9MM IHS 30/M PET 2PC INDUCTION SEAL</t>
  </si>
  <si>
    <t>BD24-0150-C-R-CL (HIGH NECK)</t>
  </si>
  <si>
    <t>C28-R/S-FLIP TOP CLEAR</t>
  </si>
  <si>
    <t>BC28-0270-KPD-Q-CL</t>
  </si>
  <si>
    <t>BC28-0360-KPD-Q-CL</t>
  </si>
  <si>
    <t>BC28-0750-GS-R-BR</t>
  </si>
  <si>
    <t>M-PET GOLD  PBH PT 700047/4 AP MET</t>
  </si>
  <si>
    <t>M-INJ REMAFIN GREEN PE109806-14</t>
  </si>
  <si>
    <t>BX38-0330-R-CL-MTB</t>
  </si>
  <si>
    <t>BC28-0200-M-R-BR</t>
  </si>
  <si>
    <t>BC28-0250-M-R-BR LW</t>
  </si>
  <si>
    <t>C63-D/C 7H ORANGE</t>
  </si>
  <si>
    <t>BX38-0500-S1-S-CL</t>
  </si>
  <si>
    <t>BC28-0330-CSD-R-CL-HW</t>
  </si>
  <si>
    <t>JJ63-0750-OT-H-CL</t>
  </si>
  <si>
    <t>BC28-0500-R-R-CL</t>
  </si>
  <si>
    <t>BX38-0375-S-R-CL-HW</t>
  </si>
  <si>
    <t>MOULD CHARGES</t>
  </si>
  <si>
    <t>BW38-0150-Z-Z-CL-CJA</t>
  </si>
  <si>
    <t>JJ63-0550-S-Q-CL ALMOND (ASEM)</t>
  </si>
  <si>
    <t>JJ63-0550-S-Q-CL HAZELNUTS (ASEM)</t>
  </si>
  <si>
    <t>JJ63-0550-S-Q-CL FRUIT&amp;NUTS (ASEM)</t>
  </si>
  <si>
    <t>BC28-0750-GS-R-CL</t>
  </si>
  <si>
    <t>SL-VOCHELLE ALMONDS 330G- ORANGE</t>
  </si>
  <si>
    <t>SL-VOCHELLE HAZELNUTS 330G- GREEN</t>
  </si>
  <si>
    <t>SL-VOCHELLE FRUITS &amp; NUTS 330G- PURPLE</t>
  </si>
  <si>
    <t>M-INJ REMAFIN GOLD ML51033-05</t>
  </si>
  <si>
    <t>AL0316-RD 28MM NO LOGO CAP (RED)</t>
  </si>
  <si>
    <t>AL0316-WH 28MM NO LOGO CAP (WHITE)</t>
  </si>
  <si>
    <t>AL0512-BL 36MM CAP (BLUE)</t>
  </si>
  <si>
    <t>AL0512-DBE 36MM CAP (DARK BEIGE)</t>
  </si>
  <si>
    <t>AL0512-OR 36MM CAP (ORANGE)</t>
  </si>
  <si>
    <t>AL0512-VL 36MM CAP (VIOLET)</t>
  </si>
  <si>
    <t>AL0512-YL 36MM CAP (YELLOW)</t>
  </si>
  <si>
    <t>AL1511-BL 1.2/1.5LTR I/C LID (BLUE)</t>
  </si>
  <si>
    <t>AL1537-BK 1/1.5/2LTR I/C LID (BLACK)</t>
  </si>
  <si>
    <t>AL2012-BK 38MM CAP (BLACK) W/O SEAL</t>
  </si>
  <si>
    <t>AL2013-BL 2LTR I/C LID (BLUE)</t>
  </si>
  <si>
    <t>AL4507-BL 38MM CAP (BLUE)</t>
  </si>
  <si>
    <t>AT0215-NA 200ML PP CUP (NATURAL)</t>
  </si>
  <si>
    <t>AT0473-WH 473ML I/C TUB (WHITE)</t>
  </si>
  <si>
    <t>AT0597-WH 500ML I/C TUB (WHITE)</t>
  </si>
  <si>
    <t>AT0926-BK 1LTR I/C TUB (BLACK)</t>
  </si>
  <si>
    <t>AT1255-YL 1.25LTR I/C TUB (YELLOW)</t>
  </si>
  <si>
    <t>AT2012-BL 2LTR I/C TUB (BLUE)</t>
  </si>
  <si>
    <t>AT2017-BK 2LTR I/C TUB (BLACK)</t>
  </si>
  <si>
    <t>AT2017-GR 2LTR I/C TUB (GREEN)</t>
  </si>
  <si>
    <t>BS0267-NA 250ML PP BTL (NATURAL)</t>
  </si>
  <si>
    <t>BS0302-NA 300ML PP BTL (NATURAL)</t>
  </si>
  <si>
    <t>BS0332-NA 300ML PP BTL LW (NATURAL)</t>
  </si>
  <si>
    <t>BS0332-NA 300ML PP BTL HW (NATURAL)</t>
  </si>
  <si>
    <t>BS0339-NA 300ML PP BTL (NATURAL)</t>
  </si>
  <si>
    <t>BS0507-NA 500ML PP BTL (NATURAL)</t>
  </si>
  <si>
    <t>BS0875-NA 750ML PP BTL (NATURAL)</t>
  </si>
  <si>
    <t>BS1013-NA 1LTR PP BTL (NATURAL)</t>
  </si>
  <si>
    <t>BS1017-WH 1LTR HDPE BTL (WHITE)</t>
  </si>
  <si>
    <t>BS1019-NA 1LTR PP BTL (NATURAL)</t>
  </si>
  <si>
    <t>EBK38-2000-K-S-NA-PE(S2016)</t>
  </si>
  <si>
    <t>AL6018-WH 6LTR I/C LID (WHITE)</t>
  </si>
  <si>
    <t>AT6018-WH 6LTR BUDS I/C TUB (WHITE)</t>
  </si>
  <si>
    <t>LBL 6LTR BUDS TUB</t>
  </si>
  <si>
    <t>AL1019-RD 38MM NOZZLE CAP (RED)</t>
  </si>
  <si>
    <t>AL0473-GD 473ML I/C LID (GOLD)</t>
  </si>
  <si>
    <t>AL0478-BR 38MM FLIP CAP (BROWN)</t>
  </si>
  <si>
    <t>AL0478-YL 38MM FLIP CAP (YELLOW)</t>
  </si>
  <si>
    <t>AL0473-WH 473ML I/C LID (WHITE)</t>
  </si>
  <si>
    <t>AT3021-RD 3LTR TUB (RED)</t>
  </si>
  <si>
    <t>BS0551-NA 520ML PP BTL (NATURAL)</t>
  </si>
  <si>
    <t>AT4021-WH 4LTR REC I/C TUB (WHITE)</t>
  </si>
  <si>
    <t>AL4021-WH 4LTR RECT I/C LID (WHITE)</t>
  </si>
  <si>
    <t>BS0333-NA 300ML PP BTL (NATURAL)</t>
  </si>
  <si>
    <t>AL1015-RD HARWANY PLASTIC COVER (RED)</t>
  </si>
  <si>
    <t>M/B BROWN MB10-60017-PP20</t>
  </si>
  <si>
    <t>M/B BROWN PP 7898R-1.5P</t>
  </si>
  <si>
    <t>M/B GOLD PP 62625-2P</t>
  </si>
  <si>
    <t>M/B RED PP 42529-2P</t>
  </si>
  <si>
    <t>M/B VIOLET (MAGENTA) PE 42067-3P</t>
  </si>
  <si>
    <t>M/B YELLOW PP 63249-2P</t>
  </si>
  <si>
    <t>R-PP SM198</t>
  </si>
  <si>
    <t>M/B PINK PP-3432-MB20</t>
  </si>
  <si>
    <t>M/B RED PP 43873R-3P</t>
  </si>
  <si>
    <t>M/B GOLD PP 63698-3P</t>
  </si>
  <si>
    <t>M/B PINK PP 43910-3P</t>
  </si>
  <si>
    <t>M/B BLUE PP 84048-4P</t>
  </si>
  <si>
    <t>BS0310 NA 310ML PP BTL (NATURAL)</t>
  </si>
  <si>
    <t>AL4507-BK 38MM CAP (BLACK)</t>
  </si>
  <si>
    <t>BS0223-NA 200ML PP BTL (NATURAL)</t>
  </si>
  <si>
    <t>BC28-0375-K-R-BLACK</t>
  </si>
  <si>
    <t>R-HDPE-HDPE 1100J</t>
  </si>
  <si>
    <t>R-PP 456J</t>
  </si>
  <si>
    <t>SL-KERRA COCONUT SPREAD 350G (S&amp;P)</t>
  </si>
  <si>
    <t>JJ63-0350-EH-R-CL ASEM S&amp;P IND ADDRESS</t>
  </si>
  <si>
    <t>SL-KERRA COCONUT SPREAD 180G (S&amp;P)</t>
  </si>
  <si>
    <t>C38-T/E-I/L-C/S-GREEN (C) - V</t>
  </si>
  <si>
    <t>BC28-0090-D-5040-0054</t>
  </si>
  <si>
    <t>C63-T/E-R/S-D.GREEN W IND SEAL (ASEM)</t>
  </si>
  <si>
    <t>EBK38-0375-K-Q-BR-PP(S0376)</t>
  </si>
  <si>
    <t>BC28-0750-K4-R-CL</t>
  </si>
  <si>
    <t>M-INJ REMAFIN VIOLET PE43449095-ZN</t>
  </si>
  <si>
    <t>BC28-0500-GS-R-AM</t>
  </si>
  <si>
    <t>C63-T/E-R/S-GOLD 9048 W ACT SEAL (ASEM)</t>
  </si>
  <si>
    <t>BS0102 100ML INK BTL (NATURAL)</t>
  </si>
  <si>
    <t>AY0102 RUBBER INSERT (NATURAL) (V)</t>
  </si>
  <si>
    <t>AL0102-CY CAP (CYAN)</t>
  </si>
  <si>
    <t>AL0102-MG CAP (MAGENTA)</t>
  </si>
  <si>
    <t>AL0102-YL CAP (YELLOW)</t>
  </si>
  <si>
    <t>C38-T/E-I/L-C/S-YELLOW (C) - V</t>
  </si>
  <si>
    <t>AL0102-LCY CAP (L.CYAN)</t>
  </si>
  <si>
    <t>AL0102-LMG CAP (L.MAGENTA)</t>
  </si>
  <si>
    <t>Z-31.2MM HALF MOON TAB SLE-PLEP-320F</t>
  </si>
  <si>
    <t>IML-24OZ ME CHOC (F) 701-31228-008</t>
  </si>
  <si>
    <t>AL0102-BK CAP (BLACK)</t>
  </si>
  <si>
    <t>BC28-0170-D-5040-0066</t>
  </si>
  <si>
    <t>EH32-650G-H-Q-CHOC-PE(S0680) AS</t>
  </si>
  <si>
    <t>EH32-623G-H-Q-STR-PE(S0680) AS</t>
  </si>
  <si>
    <t>BS0444-BR 15OZ CARAMEL HDPE BTL</t>
  </si>
  <si>
    <t>C35-R/S-F.TOP D.CHOC W IND SEAL (ASEM)</t>
  </si>
  <si>
    <t>C35-R/S-F.TOP STRAW W IND SEAL (ASEM)</t>
  </si>
  <si>
    <t>C35-R/S-F.TOP CARAMEL W IND SEAL (ASEM)</t>
  </si>
  <si>
    <t>M-INJ REMAFIN RED PE33449388-ZN</t>
  </si>
  <si>
    <t>M-INJ REMAFIN BROWN PE84449139-ZN (DB)</t>
  </si>
  <si>
    <t>LBL 2.0LTR LKT V/R MANGO</t>
  </si>
  <si>
    <t>AL1537-BK-2 LTR PECAN I/C LID (BLACK)</t>
  </si>
  <si>
    <t>AL1537-BK-2 LTR PISTA I/C LID (BLACK)</t>
  </si>
  <si>
    <t>AL1537-BK-1 LTR MANGO I/C LID (BLACK)</t>
  </si>
  <si>
    <t>AL1537-BK-1 LTR CHO/CHIP I/C LID (BLACK)</t>
  </si>
  <si>
    <t>AL1537-BK-2 LTR F/CAKE I/C LID (BLACK)</t>
  </si>
  <si>
    <t>IML-24OZ ME CRML (F) 799-17353-000</t>
  </si>
  <si>
    <t>IML-24OZ ME STRW (F) 799-17354-000 OLD</t>
  </si>
  <si>
    <t>IML-24OZ ME STRW (B) 799-17354-001 OLD</t>
  </si>
  <si>
    <t>BC28-0170-D-5040-0530 NON-HP LOGO</t>
  </si>
  <si>
    <t>IML- 24OZ AS CARAMEL (F) 743-17351-001</t>
  </si>
  <si>
    <t>IML- 24OZ AS CHOC (B) 743-17350-000</t>
  </si>
  <si>
    <t>IML-24OZ AS CHOC (F) 743-17350-001</t>
  </si>
  <si>
    <t>IML- 24OZ AS STRW (B) 743-17352-000</t>
  </si>
  <si>
    <t>IML-24OZ AS STRW (F) 743-17352-001</t>
  </si>
  <si>
    <t>BC28-0090-D-5040-0529 NON-HP LOGO</t>
  </si>
  <si>
    <t>C63-T/E-R/S-BLACK W ACT SEAL (ASEM) - V</t>
  </si>
  <si>
    <t>C28-AF2 PLAIN GOLD 9005 PLASTIC CAPS</t>
  </si>
  <si>
    <t>BC28-0100-R-HV-R-AM</t>
  </si>
  <si>
    <t>BS0215-WH 200ML PP BTL (WHITE)</t>
  </si>
  <si>
    <t>AL1015-BR HARWANY PLASTIC COVER (BROWN)</t>
  </si>
  <si>
    <t>AL0556-WH-L 500ML I/C LID S.BERRY (ASEM)</t>
  </si>
  <si>
    <t>C28-ZELVALVE CAP (YELLOW)</t>
  </si>
  <si>
    <t>BAA28-0265-AA-SCC-CL</t>
  </si>
  <si>
    <t>SL-KERRA COCONUT &amp; S/CARAMEL SPREAD 350G</t>
  </si>
  <si>
    <t>BC28-0750-D-R-CL-NO LOGO</t>
  </si>
  <si>
    <t>JJ63-0350-EH-R-CL ASEM SALTED CRMEL 350G</t>
  </si>
  <si>
    <t>EH32-650G-H-Q-CHOC-PE(S0680) ME</t>
  </si>
  <si>
    <t>AL0556-WH-L 500ML I/C LID S/CORN (ASEM)</t>
  </si>
  <si>
    <t>IML-24OZ AS OPPO CHOC (F)743-01767-002@</t>
  </si>
  <si>
    <t>IML- 24OZ AS OPPO CHOC (B)743-01767-003@</t>
  </si>
  <si>
    <t>T-PLASTIC PALLET L1111-BLACK-K</t>
  </si>
  <si>
    <t>BCX32-0750-W1-R-CL</t>
  </si>
  <si>
    <t>EH32-650G-H-Q-CHOC-PE(S0680)</t>
  </si>
  <si>
    <t>SL-KERRA 350G SALTED CARAMEL- FOK HING</t>
  </si>
  <si>
    <t>BA32-0750-W-R-CL</t>
  </si>
  <si>
    <t>ST- 750ML TESCO ORANGE DB</t>
  </si>
  <si>
    <t>ST- 750ML TESCO MANGO DB</t>
  </si>
  <si>
    <t>ST- 750ML TESCO TROPICAL DB</t>
  </si>
  <si>
    <t>ST- 750ML TESCO KIWI DB</t>
  </si>
  <si>
    <t>ST- 750ML TESCO RED FRUIT DB</t>
  </si>
  <si>
    <t>BA32-0750-W-R-CL Tesco Orange (ASSEM)</t>
  </si>
  <si>
    <t>BA32-0750-W-R-CL Tesco Mango (ASSEM)</t>
  </si>
  <si>
    <t>BA32-0750-W-R-CL Tesco Kiwi (ASSEM)</t>
  </si>
  <si>
    <t>AL4507-BL 38MM CAP (L.BLUE)</t>
  </si>
  <si>
    <t>C28-EZY R/S CAP YLW WITH IND. SEAL-ASSEM</t>
  </si>
  <si>
    <t>BC28-0200-R-R-CL</t>
  </si>
  <si>
    <t>M-INJ MASTER BATCH WHITE 0468M</t>
  </si>
  <si>
    <t>IML-24OZ JP CRML (B) 743-01768-005@</t>
  </si>
  <si>
    <t>IML-24OZ JP CRML (F) 743-01768-004@</t>
  </si>
  <si>
    <t>BC28-0500-GS2-R-GREEN</t>
  </si>
  <si>
    <t>BS0350-WH 350ML PP BTL (WHITE) KEKO</t>
  </si>
  <si>
    <t>EH32-623G-H-Q-CHOC-PE(S0680) JPN</t>
  </si>
  <si>
    <t>IML-24OZ ME CHOC (B) 701-31228-020@</t>
  </si>
  <si>
    <t>IML-24OZ ME CRML (B) 743-01518-005 NEW@</t>
  </si>
  <si>
    <t>IML-24OZ ME STRW (F) 743-01519-005 NEW@</t>
  </si>
  <si>
    <t>IML-24OZ ME STRW (F) 743-01519-009</t>
  </si>
  <si>
    <t>IML-24OZ JP CHOC (F) 701-31278-003@</t>
  </si>
  <si>
    <t>IML-24OZ JP CHOC (B) 701-31278-004@</t>
  </si>
  <si>
    <t>AL1537-BK-2 LTR MOCCA I/C LID (BLACK)</t>
  </si>
  <si>
    <t>EH32-623G-H-Q-CRML-PE(S0680) JPN</t>
  </si>
  <si>
    <t>EH32-623G-H-Q-CRML-PE(S0680) ME</t>
  </si>
  <si>
    <t>EH32-623G-H-Q-STR-PE(S0680) ME</t>
  </si>
  <si>
    <t>BA32-1000-R1-R-CL-R.SESAME MAYO (ASEM)</t>
  </si>
  <si>
    <t>EBK38-0375-K-Q-B.YL-PE(S0376)</t>
  </si>
  <si>
    <t>M-INJ REMAFIN YELLOW PE13449297-ZT/1</t>
  </si>
  <si>
    <t>M-INJ REMAFIN GREEN PE113949-15</t>
  </si>
  <si>
    <t>AL0512-BL 36MM CAP WITH IND.SEAL (BLUE)</t>
  </si>
  <si>
    <t>SL-TANGO-ALMOND CHIPS 375G 2.0</t>
  </si>
  <si>
    <t>SL-TANGO-MOCHA ALMOND CHIP 375G 2.0</t>
  </si>
  <si>
    <t>JJ63-0750-R-R-CL-LW CK 2.0-ALMD (ASEM)</t>
  </si>
  <si>
    <t>JJ63-0750-R-R-CL-LW CK 2.0 MOCHA (ASEM)</t>
  </si>
  <si>
    <t>C56-Gold Screw Cap with Paper Wad</t>
  </si>
  <si>
    <t>Z-52.5MM LAMINATION PAPER WAD (DONOTUSE)</t>
  </si>
  <si>
    <t>SL-KERRA COCONUT SPREAD S. CRML 350G GF</t>
  </si>
  <si>
    <t>SL-KERRA COCONUT SPREAD ORIGINAL 350G GF</t>
  </si>
  <si>
    <t>SL-KERRA COCONUT SPREAD S. CRML 180G GF</t>
  </si>
  <si>
    <t>SL-KERRA COCONUT SPREAD ORIGINAL 180G GF</t>
  </si>
  <si>
    <t>SL-KNORR SEASONING POWDER I. BILIS 120G</t>
  </si>
  <si>
    <t>SL-KNORR SEASONING I. BILIS 120G -NO MSG</t>
  </si>
  <si>
    <t>SL-KNORR SEASONING POWDER CHICKEN 120G</t>
  </si>
  <si>
    <t>SL-KNORR SEASONING CHICKEN 120G - NO MSG</t>
  </si>
  <si>
    <t>SL-KNORR TOM YAM PASTE 180G</t>
  </si>
  <si>
    <t>JJ63-0350-EH-R-CL ASEM S&amp;P Ind Addr. GF</t>
  </si>
  <si>
    <t>JJ63-0350-EH-R-CL ASEM SALTED CARAMEL GF</t>
  </si>
  <si>
    <t>BC28-0056-D-APH-5040-0788-rPP (SAMPLE)</t>
  </si>
  <si>
    <t>BS0367-NA 360ML PP BTL (NATURAL)</t>
  </si>
  <si>
    <t>B-5LTR HDPE BTL (NATURAL) - T (ASEM)</t>
  </si>
  <si>
    <t>EBK38-0375-K-Q-BL-PE(S0376)</t>
  </si>
  <si>
    <t>M-INJ REMAFIN BLUE PE136922-10/1</t>
  </si>
  <si>
    <t>BC28-0900-KK-OL-CL (DEL)</t>
  </si>
  <si>
    <t>JJ63-0250-S-Q-CL-LW</t>
  </si>
  <si>
    <t>AL0312-YL 28MM CAP (YELLOW)</t>
  </si>
  <si>
    <t>JG63-0175-R-R-AM KNR PED T.YAM MYSG 180G</t>
  </si>
  <si>
    <t>JG63-0175-R-R-AM KNR PED CHICKEN MYSG</t>
  </si>
  <si>
    <t>JG63-0175-R-R-AM KNRPWD I.BILIS MYSG120G</t>
  </si>
  <si>
    <t>JG63-0175-R-R-AM KNR PED CHIC NAMSG 120G</t>
  </si>
  <si>
    <t>JG63-0175-R-R-AMKNR PWDI.BILIS NAMSG120G</t>
  </si>
  <si>
    <t>AL0921-BL 38MM CAP (L.BLUE) - S</t>
  </si>
  <si>
    <t>ST- NESTLE CRUNCH NUTS (91mm X 145mm)</t>
  </si>
  <si>
    <t>JJ63-0500-RH-R-CL MAGI MARIDOR 20 (ASEM)</t>
  </si>
  <si>
    <t>BC28-0750-K4-R-CL-JAPAN</t>
  </si>
  <si>
    <t>JN90-2480-R-R-CL CRUNCH 16G LABEL</t>
  </si>
  <si>
    <t>ST- MILO NUGGETS (91MM X 145MM)</t>
  </si>
  <si>
    <t>Z-INDUCTION SEAL 33.85MM RETORT</t>
  </si>
  <si>
    <t>BC28-0170-D-APH-5180-3539-PP-T</t>
  </si>
  <si>
    <t>SL-CRLBRG 1664 BLANC 240ML SPCL EDITION</t>
  </si>
  <si>
    <t>BC28-0500-D-APH-5040-0758-HDPE</t>
  </si>
  <si>
    <t>BC28-0500-D-APH-5040-0789-rPP</t>
  </si>
  <si>
    <t>BC28-0170-D-APH-HDPE</t>
  </si>
  <si>
    <t>JJ63-0650-HX-H-CL</t>
  </si>
  <si>
    <t>JJ63-0190-E-Q-CL-LW CRISPY (ASEM)</t>
  </si>
  <si>
    <t>C38-T/E-I/L-C/S-ORANGE (C) - V</t>
  </si>
  <si>
    <t>SL-CANISTER SPREAD 200G</t>
  </si>
  <si>
    <t>C38-AL0478-R/S FTP BROWN W/ IND SEAL</t>
  </si>
  <si>
    <t>C56-Gold Screw Cap with Aluminium Wad</t>
  </si>
  <si>
    <t>Z-52.5MM ALUMINIUM WAD LINER</t>
  </si>
  <si>
    <t>R-HDPE MARLEX HHM 5202</t>
  </si>
  <si>
    <t>AT0416-NA 400ml I/C TUB (NATURAL)</t>
  </si>
  <si>
    <t>EH32-650G-H-Q-CHOC-PE(S0680) AS REV</t>
  </si>
  <si>
    <t>EH32-650G-H-Q-CHOC-PE(S0680) REV</t>
  </si>
  <si>
    <t>EH32-623G-H-Q-STR-PE(S0680) AS REV</t>
  </si>
  <si>
    <t>AL0416-BR 400ML I/C LID (BROWN)CHOC CHIP</t>
  </si>
  <si>
    <t>ST- ISCOOP CHOC CHIP 145MMx192MM</t>
  </si>
  <si>
    <t>AT0473-WH + AL0473-WH (ASEM)</t>
  </si>
  <si>
    <t>Z-INDUCTION 28.85MM W TRI-TABS 8MM</t>
  </si>
  <si>
    <t>BX38-2000-H-S-CL(YELLOW) (ASEM)</t>
  </si>
  <si>
    <t>ETET-1000-S-S-WH-PE</t>
  </si>
  <si>
    <t>BW38-0150-Z-CL-CJA-BLACK PEPPER (ASEM)</t>
  </si>
  <si>
    <t>BW38-0150-Z-CL-CJA-WHITE PEPPER (ASEM)</t>
  </si>
  <si>
    <t>BW38-0150-Z-CL-CJA-PAPRIKA (ASEM)</t>
  </si>
  <si>
    <t>EBK38-0450-S-S-NA-PP</t>
  </si>
  <si>
    <t>ST- CJA- BLACK PEPPER</t>
  </si>
  <si>
    <t>ST- CJA- WHITE PEPPER</t>
  </si>
  <si>
    <t>ST- CJA- CHILI FLAKES</t>
  </si>
  <si>
    <t>ST- CJA- PAPRIKA</t>
  </si>
  <si>
    <t>ST- CJA- CAYENNE</t>
  </si>
  <si>
    <t>ST- CJA- ITALIAN</t>
  </si>
  <si>
    <t>ST- CJA- THYME</t>
  </si>
  <si>
    <t>ST- CJA- PARSLEY</t>
  </si>
  <si>
    <t>ST- CJA- BASIL</t>
  </si>
  <si>
    <t>ST- CJA- ROSEMARY</t>
  </si>
  <si>
    <t>BW38-0150-Z-CL-CJA-CHILI FLAKES (ASEM)</t>
  </si>
  <si>
    <t>BW38-0150-Z-CL-CJA-CAYENNE (ASEM)</t>
  </si>
  <si>
    <t>BW38-0150-Z-CL-CJA-ITALIAN (ASEM)</t>
  </si>
  <si>
    <t>BW38-0150-Z-CL-CJA-THYME (ASEM)</t>
  </si>
  <si>
    <t>BW38-0150-Z-CL-CJA-PARSLEY (ASEM)</t>
  </si>
  <si>
    <t>BW38-0150-Z-CL-CJA-BASIL (ASEM)</t>
  </si>
  <si>
    <t>BW38-0150-Z-CL-CJA-ROSEMARY (ASEM)</t>
  </si>
  <si>
    <t>JJ63-0500-M-R-CL-HW</t>
  </si>
  <si>
    <t>C36-AL0512-PUNC-BEIGE C/W 3TAB IND SEAL</t>
  </si>
  <si>
    <t>C36-AL0512-PUNC-BLUE C/W 3TAB IND SEAL</t>
  </si>
  <si>
    <t>C38-T/E-R/S-ORANGE-S</t>
  </si>
  <si>
    <t>ECT28-0360-KF-S-NA-PP</t>
  </si>
  <si>
    <t>C38-T/E-I/L-C/S-YELLOW(24433374)NESTLE-S</t>
  </si>
  <si>
    <t>PPA – PROFLOW 19</t>
  </si>
  <si>
    <t>BC28-0750-GS-R-BR H/W</t>
  </si>
  <si>
    <t>C38-T/E-I/L-C/S-BLACK (C) - S</t>
  </si>
  <si>
    <t>C38-T/E-I/L-C/S-GREEN (C) – S</t>
  </si>
  <si>
    <t>C38-T/E-R/S-GREEN - S</t>
  </si>
  <si>
    <t>C38-T/E-C/S-BLACK - S</t>
  </si>
  <si>
    <t>C38-T/E-I/L-C/S-ORANGE (C) - S</t>
  </si>
  <si>
    <t>C38-T/E-I/L-C/S-YELLOW (C) - S</t>
  </si>
  <si>
    <t>C38-T/E-I/L-C/S-GOLD (C) - S</t>
  </si>
  <si>
    <t>BC28-0500-CSD-R-AM</t>
  </si>
  <si>
    <t>C38-T/E-I/L-C/S-WHITE (C) - S</t>
  </si>
  <si>
    <t>AL0512-DB36MM CAP W IND.SEAL(D.BEIGE)-S</t>
  </si>
  <si>
    <t>C38-T/E-I/L-R/S-YELLOW – S</t>
  </si>
  <si>
    <t>C63-T/E-R/S-BLACK W ACT SEAL (ASEM) – S</t>
  </si>
  <si>
    <t>AT6018-WH 6LTR BUDS I/C TUB (WHITE) 2.0</t>
  </si>
  <si>
    <t>BC28-0056-D-PET-LEB-605001</t>
  </si>
  <si>
    <t>AT6000-WH 6.0CHR TUB (WHITE) - MG</t>
  </si>
  <si>
    <t>AL6000-WH 6.0CHR LID (WHITE) - MG</t>
  </si>
  <si>
    <t>C38-T/E-C/S-YELLOW –S</t>
  </si>
  <si>
    <t>AL0921-BL 38MM CAP (L.BLUE) – V</t>
  </si>
  <si>
    <t>BC28-0056-LEB-605001-BTL 56 LEBFILPCAP-T</t>
  </si>
  <si>
    <t>C63-T/E-R/S-WHITE WITH P.E WAD (ASEM) -S</t>
  </si>
  <si>
    <t>C38-T/E-C/S-RED-S</t>
  </si>
  <si>
    <t>BB38-0060-R-R-WH</t>
  </si>
  <si>
    <t>Z-38/400 WHITE DISPENSER PUMP (290MM)</t>
  </si>
  <si>
    <t>EBK38-2000-K-R-WH-PE-M&amp;G</t>
  </si>
  <si>
    <t>C28-C/S-FLIP TOP RED-S</t>
  </si>
  <si>
    <t>AY0102 RUBBER INSERT (NATURAL) (S)</t>
  </si>
  <si>
    <t>C28-C/S-FLIP TOP BLACK-T</t>
  </si>
  <si>
    <t>C28-C/S-FLIP TOP YELLOW (S)</t>
  </si>
  <si>
    <t>BX38-0750-RJ-R-CL</t>
  </si>
  <si>
    <t>PF-JO97-114-162-G.BL-SIZE3-OUJI</t>
  </si>
  <si>
    <t>Z-SHOULDER-PLATE-G.BL-PP-OUJI</t>
  </si>
  <si>
    <t>JO97-2200-R-G.BL-PET-SIZE3-OUJI</t>
  </si>
  <si>
    <t>PF-JO97-114-162-WHITE-SIZE3-OUJI</t>
  </si>
  <si>
    <t>Z-SHOULDER-PLATE-WHITE-PP-OUJI</t>
  </si>
  <si>
    <t>BD24-0150-C-R-AM (HIGH NECK)</t>
  </si>
  <si>
    <t>JJ63-0350-R-R-AM</t>
  </si>
  <si>
    <t>JO97-2200-R-WHITE-PET-SIZE3-OUJI</t>
  </si>
  <si>
    <t>JJ63-0550-S-Q-CL ALMOND D22 (ASEM)</t>
  </si>
  <si>
    <t>JJ63-0550-S-Q-CL HAZEL D22 (ASEM)</t>
  </si>
  <si>
    <t>JJ63-0550-S-Q-CL F&amp;NUT D22 (ASEM)</t>
  </si>
  <si>
    <t>PC-VC CANISTER JAR ALM D22</t>
  </si>
  <si>
    <t>PC-VC CANISTER JAR HAZEL D22</t>
  </si>
  <si>
    <t>PC-VC CANISTER JAR F&amp;NUT D22</t>
  </si>
  <si>
    <t>SL-TANGO-ALMOND CHIPS 375G 2.0 (A)</t>
  </si>
  <si>
    <t>JJ63-0750-R-R-CL-LW CK 2.0A-ALMD (ASEM)</t>
  </si>
  <si>
    <t>RENOL GREEN NE61449063-ZN</t>
  </si>
  <si>
    <t>BX38-1000-RN-R-CL-rPET</t>
  </si>
  <si>
    <t>EBK38-2200-K-S-NA-PE(S2200)</t>
  </si>
  <si>
    <t>AL0215-GD 200ML PP COVER (GOLD) - V</t>
  </si>
  <si>
    <t>Z-27.5MM IND(1P IHS-PET CLR C 162019)</t>
  </si>
  <si>
    <t>C28-AF2 PLAIN WHITE PLASTIC CAPS(ASEM)-S</t>
  </si>
  <si>
    <t>J097-1700-R-G.BL-SIZE 1-OUJI</t>
  </si>
  <si>
    <t>J097-1700-R-WHITE-SIZE1-OUJI</t>
  </si>
  <si>
    <t>PF-JO97-96-98-G.BL-SIZE1-OUJI</t>
  </si>
  <si>
    <t>PF-JO97-96-98-WHITE-PET-SIZE1-OUJI</t>
  </si>
  <si>
    <t>BC28-0100-SK2-Q-CL-LW</t>
  </si>
  <si>
    <t>C28-EZY CAP WHITE</t>
  </si>
  <si>
    <t>Z-7L-2 WH PAIL &amp; COVER W/O SPOUT</t>
  </si>
  <si>
    <t>C63-T/E-R/S-YELLOW WTH PPR WAD (ASEM) –V</t>
  </si>
  <si>
    <t>BC28-0130-R-R-CL</t>
  </si>
  <si>
    <t>GENERAL BOTTLE TESTING</t>
  </si>
  <si>
    <t>C1810 1-PC RED CAP, BPL Type</t>
  </si>
  <si>
    <t>JJ63-0750-R-R-CL-LW CK 2.0C-MOCHA (ASEM)</t>
  </si>
  <si>
    <t>SL-TANGO MOCHA CHIP 2.0 (C)</t>
  </si>
  <si>
    <t>JJ63-0310-R-R-WH</t>
  </si>
  <si>
    <t>C35-R/S-F.TOP D.CHOC WITH PP SEAL (ASEM)</t>
  </si>
  <si>
    <t>SL-YOGURT SPREAD- EBB</t>
  </si>
  <si>
    <t>C63-T/E-R/SBRIND.SEALW/EAR (ASEM)V (DEL)</t>
  </si>
  <si>
    <t>C63-T/E-R/S-BR-IND.SEAL-W/EAR (ASEM)-S</t>
  </si>
  <si>
    <t>C63-T/E-R/S-OR-IND.SEAL-W/EAR (ASEM)-S</t>
  </si>
  <si>
    <t>BX38-0175-R-AM</t>
  </si>
  <si>
    <t>C38-T/E-I/L-R/S-WHITE-W/PE WAD+IND.S-V</t>
  </si>
  <si>
    <t>BA32-0640-R2-R-CL</t>
  </si>
  <si>
    <t>BC28-0250-M-R-AM-LW</t>
  </si>
  <si>
    <t>JJ63-0320-S-Q-AM</t>
  </si>
  <si>
    <t>BX38-0200-R-CLR-DM</t>
  </si>
  <si>
    <t>PF-BX38-0056-0130-CL-PET</t>
  </si>
  <si>
    <t>BX38-0200-R-CLR-DM-PCH+NECT (ASEM)</t>
  </si>
  <si>
    <t>BX38-0200-R-CLR-DM-GKIWI+SBRW (ASEM)</t>
  </si>
  <si>
    <t>BX38-0200-R-CLR-DM- BSNBRY+APL (ASEM)</t>
  </si>
  <si>
    <t>ST- 200ML PEACH NECTARINE (DAIRYMAS)</t>
  </si>
  <si>
    <t>ST- 200ML GOLDEN KIWI+S.BERRY (DAIRYMAS)</t>
  </si>
  <si>
    <t>ST- 200ML BOYSENBERRY + APPLE (DAIRYMAS)</t>
  </si>
  <si>
    <t>AL0478-RED 38MM FLIP CAP (RED) - S</t>
  </si>
  <si>
    <t>EBK38-0375-K-Q-NA-PP (S0376)</t>
  </si>
  <si>
    <t>C35-R/S-F.TOP G.PNCK-743-02456-006 ASEM</t>
  </si>
  <si>
    <t>JJ63-0500-RH-R-CL MAGI MARIDOR 3.0(ASEM)</t>
  </si>
  <si>
    <t>C35-R/S-F.TOP STRW-743-01517-010-2.0ASEM</t>
  </si>
  <si>
    <t>JJ63-0750-R-R-CL-LW CK 2.0C-ALMD (ASEM)</t>
  </si>
  <si>
    <t>JJ63-0310-R-R-CL-HW</t>
  </si>
  <si>
    <t>C38-T/E-I/L-C/S-L.GOLD-S</t>
  </si>
  <si>
    <t>R-HDPE MARLEX HXM 50100</t>
  </si>
  <si>
    <t>AL0512-BK 36MM CAP (BLACK)</t>
  </si>
  <si>
    <t>JJ63-0550-S-Q-CL ALMOND MSI (ASEM)</t>
  </si>
  <si>
    <t>JJ63-0550-S-Q-CL HAZEL MSI (ASEM)</t>
  </si>
  <si>
    <t>JJ63-0550-S-Q-CL F&amp;NUT MSI (ASEM)</t>
  </si>
  <si>
    <t>AL0478-RED 38MM FLIP CAP (RED) - V</t>
  </si>
  <si>
    <t>PF-JK57-24-82-KEKO (V)</t>
  </si>
  <si>
    <t>SL-CANISTER SPREAD 200G (2.0)</t>
  </si>
  <si>
    <t>JJ63-0190-E-Q-CL-LW CRISPY (ASEM) V2</t>
  </si>
  <si>
    <t>SL-TANGO ALMOND CHIPS 2.0 (C) NEW</t>
  </si>
  <si>
    <t>JJ63-0190-E-Q-CL-LW CRISPY (ASEM) V3</t>
  </si>
  <si>
    <t>C28-EZY R/S CAP YEL W PET IND SEAL(ASEM)</t>
  </si>
  <si>
    <t>SL-NIPPON PAINT-ANTILEAK WF 250G</t>
  </si>
  <si>
    <t>AL0921-PK 38MM CAP (PINK)-S</t>
  </si>
  <si>
    <t>BX38-2000-HR-R-CL(GREEN)(ASEM)</t>
  </si>
  <si>
    <t>E38-2000-R-BE-HDPE</t>
  </si>
  <si>
    <t>EBK38-2000-K-R-WH-PE-R2-M&amp;G</t>
  </si>
  <si>
    <t>ST-POWER MAX-STAINLESS STEEL CLEANER 2.0</t>
  </si>
  <si>
    <t>L-0226-BR-HERS-PP</t>
  </si>
  <si>
    <t>C28-EZY CAP ORANGE</t>
  </si>
  <si>
    <t>Z-38/400 WHITE DISPENSER PUMP(305MM)15ML</t>
  </si>
  <si>
    <t>C38-T/E-I/L-C/S-GREEN (E)-V</t>
  </si>
  <si>
    <t>MG1</t>
  </si>
  <si>
    <t>ProdHierachy</t>
  </si>
  <si>
    <t>56.000 G</t>
  </si>
  <si>
    <t>C63-D/C 7H BLACK W ACT SEAL (ASEM)</t>
  </si>
  <si>
    <t>6.000 G</t>
  </si>
  <si>
    <t>C63-T/E-R/S-VIOLET 2.0 (E)-V</t>
  </si>
  <si>
    <t>7.600 G</t>
  </si>
  <si>
    <t>10.06.2025</t>
  </si>
  <si>
    <t>23.06.2025</t>
  </si>
  <si>
    <t>16.06.2025</t>
  </si>
  <si>
    <t>20.06.2025</t>
  </si>
  <si>
    <t>25.06.2025</t>
  </si>
  <si>
    <t>03.06.2025</t>
  </si>
  <si>
    <t>26.06.2025</t>
  </si>
  <si>
    <t>11.06.2025</t>
  </si>
  <si>
    <t>17.06.2025</t>
  </si>
  <si>
    <t>24.06.2025</t>
  </si>
  <si>
    <t>12.06.2025</t>
  </si>
  <si>
    <t>13.06.2025</t>
  </si>
  <si>
    <t>04.06.2025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</si>
  <si>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</si>
  <si>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</si>
  <si>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</si>
  <si>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</si>
  <si>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</si>
  <si>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</si>
  <si>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</si>
  <si>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</si>
  <si>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</si>
  <si>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</si>
  <si>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</si>
  <si>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</si>
  <si>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4-6 months</t>
  </si>
  <si>
    <t>7-12 months</t>
  </si>
  <si>
    <t>13-24 months</t>
  </si>
  <si>
    <t>&gt; 24 months</t>
  </si>
  <si>
    <t>Stock Type</t>
  </si>
  <si>
    <t>Ageing</t>
  </si>
  <si>
    <t>Summary Stock Ageing</t>
  </si>
  <si>
    <t>KK57-0300R-CL-JJ-PET</t>
  </si>
  <si>
    <t>AL0921-BK 38MM CAP (BLACK) C/W SEAL ASEM</t>
  </si>
  <si>
    <t>C38-T/E-I/L-C/S-PURPLE</t>
  </si>
  <si>
    <t>JJ63-0310-R-R-WH-Cheese (ASEM)</t>
  </si>
  <si>
    <t>SL- CREAM CHEESE YOGURT SPREAD - EBB</t>
  </si>
  <si>
    <t>ONCOLOR VIOLET PE43449279-ZN</t>
  </si>
  <si>
    <t>29.07.2025</t>
  </si>
  <si>
    <t>31.07.2025</t>
  </si>
  <si>
    <t>21.07.2025</t>
  </si>
  <si>
    <t>25.07.2025</t>
  </si>
  <si>
    <t>02.07.2025</t>
  </si>
  <si>
    <t>14.07.2025</t>
  </si>
  <si>
    <t>18.07.2025</t>
  </si>
  <si>
    <t>23.07.2025</t>
  </si>
  <si>
    <t>22.07.2025</t>
  </si>
  <si>
    <t>30.07.2025</t>
  </si>
  <si>
    <t>07.07.2025</t>
  </si>
  <si>
    <t>04.07.2025</t>
  </si>
  <si>
    <t>28.07.2025</t>
  </si>
  <si>
    <t>26.07.2025</t>
  </si>
  <si>
    <t>15.07.2025</t>
  </si>
  <si>
    <t>03.07.2025</t>
  </si>
  <si>
    <t>7.000 G</t>
  </si>
  <si>
    <t>JJ63-0650HD-CL-PET</t>
  </si>
  <si>
    <t>JJ63-0600OT-CL-HCSB-PET</t>
  </si>
  <si>
    <t>20.08.2025</t>
  </si>
  <si>
    <t>22.08.2025</t>
  </si>
  <si>
    <t>13.08.2025</t>
  </si>
  <si>
    <t>26.08.2025</t>
  </si>
  <si>
    <t>18.08.2025</t>
  </si>
  <si>
    <t>07.08.2025</t>
  </si>
  <si>
    <t>29.08.2025</t>
  </si>
  <si>
    <t>21.08.2025</t>
  </si>
  <si>
    <t>01.08.2025</t>
  </si>
  <si>
    <t>25.08.2025</t>
  </si>
  <si>
    <t>08.08.2025</t>
  </si>
  <si>
    <t>BX38-0100-BM-R-CL</t>
  </si>
  <si>
    <t>BX38-2000-RH-R-CL(YELLOW) (ASEM)</t>
  </si>
  <si>
    <t>Z-26.3MM PET INDUCTION SEAL</t>
  </si>
  <si>
    <t>BBX38-0750-R-WH</t>
  </si>
  <si>
    <t>BX38-1500-H-R-CL-LW(WHITE) (ASEM)</t>
  </si>
  <si>
    <t>BBX38-0750-R-WH-STW.BERRY (ASEM)</t>
  </si>
  <si>
    <t>BBX38-0750-R-WH-MIX BERRY (ASEM)</t>
  </si>
  <si>
    <t>BBX38-0750-R-WH-MANGO (ASEM)</t>
  </si>
  <si>
    <t>SL-STRAWBERRY YOGURT DRINK- EBB - 750ML</t>
  </si>
  <si>
    <t>SL-MIX BERRY YOGURT DRINK- EBB - 750ML</t>
  </si>
  <si>
    <t>SL-MANGO YOGURT DRINK- EBB - 750ML</t>
  </si>
  <si>
    <t>25.09.2025</t>
  </si>
  <si>
    <t>06.09.2025</t>
  </si>
  <si>
    <t>08.09.2025</t>
  </si>
  <si>
    <t>24.09.2025</t>
  </si>
  <si>
    <t>14.09.2025</t>
  </si>
  <si>
    <t>26.09.2025</t>
  </si>
  <si>
    <t>23.09.2025</t>
  </si>
  <si>
    <t>21.09.2025</t>
  </si>
  <si>
    <t>22.09.2025</t>
  </si>
  <si>
    <t>02.09.2025</t>
  </si>
  <si>
    <t>04.09.2025</t>
  </si>
  <si>
    <t>30.09.2025</t>
  </si>
  <si>
    <t>09.09.2025</t>
  </si>
  <si>
    <t>11.09.2025</t>
  </si>
  <si>
    <t>13.900 G</t>
  </si>
  <si>
    <t>L-0226-BR-HERS-PP (V)</t>
  </si>
  <si>
    <t>R-Vydyne 21SPC PA66</t>
  </si>
  <si>
    <t>60107V0000</t>
  </si>
  <si>
    <t>28.10.2025</t>
  </si>
  <si>
    <t>29.10.2025</t>
  </si>
  <si>
    <t>27.10.2025</t>
  </si>
  <si>
    <t>03.10.2025</t>
  </si>
  <si>
    <t>17.10.2025</t>
  </si>
  <si>
    <t>06.10.2025</t>
  </si>
  <si>
    <t>23.10.2025</t>
  </si>
  <si>
    <t>30.10.2025</t>
  </si>
  <si>
    <t>08.10.2025</t>
  </si>
  <si>
    <t>10.10.2025</t>
  </si>
  <si>
    <t>02.10.2025</t>
  </si>
  <si>
    <t>09.10.2025</t>
  </si>
  <si>
    <t>Nylon</t>
  </si>
  <si>
    <t>C32-2PIECE-T.RE &amp; B.WH</t>
  </si>
  <si>
    <t>BC28-0090-D-NGB-130001-rPP-T (SAMPLE)</t>
  </si>
  <si>
    <t>14.500 G</t>
  </si>
  <si>
    <t>C63-T/E-R/S-RED w VENTED SEAL(ASEM)</t>
  </si>
  <si>
    <t>C63-T/E-R/S-YLW w VENTED SEAL(ASEM)</t>
  </si>
  <si>
    <t>R-C4LL 50026.XR</t>
  </si>
  <si>
    <t>03.11.2025</t>
  </si>
  <si>
    <t>24.11.2025</t>
  </si>
  <si>
    <t>19.11.2025</t>
  </si>
  <si>
    <t>20.11.2025</t>
  </si>
  <si>
    <t>25.11.2025</t>
  </si>
  <si>
    <t>21.11.2025</t>
  </si>
  <si>
    <t>07.11.2025</t>
  </si>
  <si>
    <t>18.11.2025</t>
  </si>
  <si>
    <t>26.11.2025</t>
  </si>
  <si>
    <t>28.11.2025</t>
  </si>
  <si>
    <t>05.11.2025</t>
  </si>
  <si>
    <t>Z-61.9MM/5.5MM VENTED (OH)1P IHS-PET.CLR</t>
  </si>
  <si>
    <t>C28-C/S-FLIP TOP GOLD</t>
  </si>
  <si>
    <t>5.700 G</t>
  </si>
  <si>
    <t>C32-2PIECE-T.RE &amp; B.RE-KKM</t>
  </si>
  <si>
    <t>BX38-1000-RN-R-CL-M2</t>
  </si>
  <si>
    <t>PF-BX38-0056-0130-CL-rPET 0.2</t>
  </si>
  <si>
    <t>601041000P90000000</t>
  </si>
  <si>
    <t>R-PET-JADE BRAND PET RESIN CZ-333 IV0.80</t>
  </si>
  <si>
    <t>30.12.2025</t>
  </si>
  <si>
    <t>23.12.2025</t>
  </si>
  <si>
    <t>31.12.2025</t>
  </si>
  <si>
    <t>01.12.2025</t>
  </si>
  <si>
    <t>05.12.2025</t>
  </si>
  <si>
    <t>10.12.2025</t>
  </si>
  <si>
    <t>24.12.2025</t>
  </si>
  <si>
    <t>26.12.2025</t>
  </si>
  <si>
    <t>15.12.2025</t>
  </si>
  <si>
    <t>19.12.2025</t>
  </si>
  <si>
    <t>25.12.2025</t>
  </si>
  <si>
    <t>09.12.2025</t>
  </si>
  <si>
    <t>11.12.2025</t>
  </si>
  <si>
    <t>18.12.2025</t>
  </si>
  <si>
    <t>12.12.2025</t>
  </si>
  <si>
    <t>21.12.2025</t>
  </si>
  <si>
    <t>02.12.2025</t>
  </si>
  <si>
    <t>22.12.2025</t>
  </si>
  <si>
    <t>04.12.2025</t>
  </si>
  <si>
    <t>08.12.2025</t>
  </si>
  <si>
    <t>13.12.2025</t>
  </si>
  <si>
    <t>BX38-0250-SM-R-WH-AYRAN (ASEM)</t>
  </si>
  <si>
    <t>BC28-0035-D-LEO-5040-0858-PP</t>
  </si>
  <si>
    <t>C63-T/E-R/S-ORANGE (E)-V</t>
  </si>
  <si>
    <t>C28-1810 (HIGH LID) VLV FLIP TOP YELLOW</t>
  </si>
  <si>
    <t>BX38-0250-SM-R-WH-ORI AYRAN (ASEM)</t>
  </si>
  <si>
    <t>SL-ORIGINAL YOGURT DRINK AYRAN - EBB</t>
  </si>
  <si>
    <t>BX38-0250-SM-R-WH-MIXBERRY V2(ASEM)</t>
  </si>
  <si>
    <t>SL-MIX BERRY YOGURT DRINK V2- EBB</t>
  </si>
  <si>
    <t>BX38-0250-SM-R-WH-MANGO V2(ASEM)</t>
  </si>
  <si>
    <t>BX38-0250-SM-R-WH-STWBERRY V2(ASEM)</t>
  </si>
  <si>
    <t>SL-STRAWBERRY YOGURT DRINK V2- EBB</t>
  </si>
  <si>
    <t>SL-MANGO YOGURT DRINK V2- EBB</t>
  </si>
  <si>
    <t>R-HDPE ASTERENE EHM 6007</t>
  </si>
  <si>
    <t>R-HDPE ASTERENE HHM 5502</t>
  </si>
  <si>
    <t>R-HDPE ASTERENE HHM TR-144S</t>
  </si>
  <si>
    <t>28.01.2026</t>
  </si>
  <si>
    <t>31.01.2026</t>
  </si>
  <si>
    <t>09.01.2026</t>
  </si>
  <si>
    <t>06.01.2026</t>
  </si>
  <si>
    <t>20.01.2026</t>
  </si>
  <si>
    <t>23.01.2026</t>
  </si>
  <si>
    <t>11.01.2026</t>
  </si>
  <si>
    <t>26.01.2026</t>
  </si>
  <si>
    <t>13.01.2026</t>
  </si>
  <si>
    <t>19.01.2026</t>
  </si>
  <si>
    <t>27.01.2026</t>
  </si>
  <si>
    <t>22.01.2026</t>
  </si>
  <si>
    <t>16.01.2026</t>
  </si>
  <si>
    <t>12.01.2026</t>
  </si>
  <si>
    <t>07.01.2026</t>
  </si>
  <si>
    <t>02.01.2026</t>
  </si>
  <si>
    <t>12.12.2024</t>
  </si>
  <si>
    <t>6.500 G</t>
  </si>
  <si>
    <t>03.02.2026</t>
  </si>
  <si>
    <t>27.02.2026</t>
  </si>
  <si>
    <t>20.02.2026</t>
  </si>
  <si>
    <t>25.02.2026</t>
  </si>
  <si>
    <t>05.02.2026</t>
  </si>
  <si>
    <t>15.02.2026</t>
  </si>
  <si>
    <t>23.02.2026</t>
  </si>
  <si>
    <t>13.02.2026</t>
  </si>
  <si>
    <t>22.02.2026</t>
  </si>
  <si>
    <t>12.02.2026</t>
  </si>
  <si>
    <t>24.02.2026</t>
  </si>
  <si>
    <t>06.05.2021</t>
  </si>
  <si>
    <t>72.000 G</t>
  </si>
  <si>
    <t>16.000 G</t>
  </si>
  <si>
    <t>15.050 G</t>
  </si>
  <si>
    <t>43.000 G</t>
  </si>
  <si>
    <t>29.500 G</t>
  </si>
  <si>
    <t>24.900 G</t>
  </si>
  <si>
    <t>JJ63-0310-R-R-BR</t>
  </si>
  <si>
    <t>27.03.2026</t>
  </si>
  <si>
    <t>30.03.2026</t>
  </si>
  <si>
    <t>15.03.2026</t>
  </si>
  <si>
    <t>26.03.2026</t>
  </si>
  <si>
    <t>31.03.2026</t>
  </si>
  <si>
    <t>18.03.2026</t>
  </si>
  <si>
    <t>16.03.2026</t>
  </si>
  <si>
    <t>13.03.2026</t>
  </si>
  <si>
    <t>03.03.2026</t>
  </si>
  <si>
    <t>17.03.2026</t>
  </si>
  <si>
    <t>12.03.2026</t>
  </si>
  <si>
    <t>04.03.2026</t>
  </si>
  <si>
    <t>10.03.2026</t>
  </si>
  <si>
    <t>09.03.2026</t>
  </si>
  <si>
    <t>11.03.2026</t>
  </si>
  <si>
    <t>06.03.2026</t>
  </si>
  <si>
    <t>02.03.2026</t>
  </si>
  <si>
    <t>19.03.2026</t>
  </si>
  <si>
    <t>05.03.2026</t>
  </si>
  <si>
    <t>25.03.2026</t>
  </si>
  <si>
    <t>16.11.2024</t>
  </si>
  <si>
    <t>28.03.2026</t>
  </si>
  <si>
    <t>9.550 G</t>
  </si>
  <si>
    <t>C32-KKM-2PIECE-TOP RED &amp; BTM  RED</t>
  </si>
  <si>
    <t>PP REGRIND PD855 WHITE</t>
  </si>
  <si>
    <t>PE REGRIND HDPE HD5403 NATURAL</t>
  </si>
  <si>
    <t>PE REGRIND HDPE HD5403/LDF 265YZ YLW BRW</t>
  </si>
  <si>
    <t>PE REGRIND HDPE HD5403/LDF 265YZ NATURAL</t>
  </si>
  <si>
    <t>PE REGRIND MARLEX 50100 NATURAL</t>
  </si>
  <si>
    <t>PE REGRIND MARLEX 6007 WHITE</t>
  </si>
  <si>
    <t>PE REGRIND MARLEX 6007 BEIGE</t>
  </si>
  <si>
    <t>PP REGRIND PD855 NATURAL</t>
  </si>
  <si>
    <t>PP REGRIND SM240 BLACK</t>
  </si>
  <si>
    <t>PE REGRIND MARLEX HM5502</t>
  </si>
  <si>
    <t>PE REGRIND MARLEX 6007 SILVER</t>
  </si>
  <si>
    <t>PE REGRIND MARLEX TR144S + KINGFA R75</t>
  </si>
  <si>
    <t>PE REGRIND MARLEX 6007 CREAM</t>
  </si>
  <si>
    <t>R-HDPE HD6070UA</t>
  </si>
  <si>
    <t>R-HDPE C2911</t>
  </si>
  <si>
    <t>Diff</t>
  </si>
  <si>
    <t>15.04.2026</t>
  </si>
  <si>
    <t>21.04.2026</t>
  </si>
  <si>
    <t>20.04.2026</t>
  </si>
  <si>
    <t>06.04.2026</t>
  </si>
  <si>
    <t>22.04.2026</t>
  </si>
  <si>
    <t>30.04.2026</t>
  </si>
  <si>
    <t>29.04.2026</t>
  </si>
  <si>
    <t>03.04.2026</t>
  </si>
  <si>
    <t>26.04.2026</t>
  </si>
  <si>
    <t>23.04.2026</t>
  </si>
  <si>
    <t>28.04.2026</t>
  </si>
  <si>
    <t>24.05.2021</t>
  </si>
  <si>
    <t>17.04.2026</t>
  </si>
  <si>
    <t>14.04.2026</t>
  </si>
  <si>
    <t>24.04.2026</t>
  </si>
  <si>
    <t>27.04.2026</t>
  </si>
  <si>
    <t>13.04.2026</t>
  </si>
  <si>
    <t>16.04.2026</t>
  </si>
  <si>
    <t>01.04.2026</t>
  </si>
  <si>
    <t>09.04.2026</t>
  </si>
  <si>
    <t>08.04.2026</t>
  </si>
  <si>
    <t>10.04.2026</t>
  </si>
  <si>
    <t>02.04.2026</t>
  </si>
  <si>
    <t>12.04.2026</t>
  </si>
  <si>
    <t>07.04.2026</t>
  </si>
  <si>
    <t>23.06.2023</t>
  </si>
  <si>
    <t>13.12.2024</t>
  </si>
  <si>
    <t>29.04.2024</t>
  </si>
  <si>
    <t xml:space="preserve">PE REGRIND MARLEX 50100 NATURAL         </t>
  </si>
  <si>
    <t xml:space="preserve">PE REGRIND MARLEX 6007 WHITE            </t>
  </si>
  <si>
    <t xml:space="preserve">PE REGRIND MARLEX 6007 BEIGE            </t>
  </si>
  <si>
    <t xml:space="preserve">PP REGRIND PD855 NATURAL                </t>
  </si>
  <si>
    <t xml:space="preserve">PP REGRIND SM240 BLACK                  </t>
  </si>
  <si>
    <t xml:space="preserve">PE REGRIND MARLEX HM5502                </t>
  </si>
  <si>
    <t xml:space="preserve">PE REGRIND MARLEX 6007 SILVER           </t>
  </si>
  <si>
    <t xml:space="preserve">PE REGRIND MARLEX TR144S + KINGFA R75   </t>
  </si>
  <si>
    <t xml:space="preserve">PE REGRIND MARLEX 6007 CREAM </t>
  </si>
  <si>
    <t>7.700 G</t>
  </si>
  <si>
    <t>14.600 G</t>
  </si>
  <si>
    <t>IN-CUP-5.0-ORANGE-KMY-PA66</t>
  </si>
  <si>
    <t>0.236 G</t>
  </si>
  <si>
    <t>601061000J90000000</t>
  </si>
  <si>
    <t>IN-CUP-5.0-YELLOW-KMY-PA66</t>
  </si>
  <si>
    <t>601072000020000000</t>
  </si>
  <si>
    <t>Automotive / Aerospa</t>
  </si>
  <si>
    <t>IN-CUP-5.0-PURPLE-KMY-PA66</t>
  </si>
  <si>
    <t>IN-CUP-5.0-WHITE-KMY-PA66</t>
  </si>
  <si>
    <t>IN-CUP-5.0-PINK-KMY-PA66</t>
  </si>
  <si>
    <t>IN-CUP-5.0-NATURE-KMY-PA66</t>
  </si>
  <si>
    <t>C28-EZY R/S CAP WHT W PET IND SEAL(ASEM)</t>
  </si>
  <si>
    <t>Z-INDUCTION SEAL 37.0MM DIA (CHINA)</t>
  </si>
  <si>
    <t>R-HDPE ASTERENE HXM 50100S</t>
  </si>
  <si>
    <t>R-C4LL 20024</t>
  </si>
  <si>
    <t>R-PP CK91905(R50) NC050</t>
  </si>
  <si>
    <t>ONCOLOR RED PL33449076-ZN</t>
  </si>
  <si>
    <t>MB RED 0913</t>
  </si>
  <si>
    <t>R-HDPE HI6178</t>
  </si>
  <si>
    <t>As at 31 MAY 2026</t>
  </si>
  <si>
    <t>MC.5 Plant 712 SB MAR 2026 - MAY 2026</t>
  </si>
  <si>
    <t>25.05.2026</t>
  </si>
  <si>
    <t>29.05.2026</t>
  </si>
  <si>
    <t>26.05.2026</t>
  </si>
  <si>
    <t>22.05.2026</t>
  </si>
  <si>
    <t>07.05.2026</t>
  </si>
  <si>
    <t>19.05.2026</t>
  </si>
  <si>
    <t>04.05.2026</t>
  </si>
  <si>
    <t>08.05.2026</t>
  </si>
  <si>
    <t>11.05.2026</t>
  </si>
  <si>
    <t>12.05.2026</t>
  </si>
  <si>
    <t>05.05.2026</t>
  </si>
  <si>
    <t>14.05.2026</t>
  </si>
  <si>
    <t>13.05.2026</t>
  </si>
  <si>
    <t>24.05.2026</t>
  </si>
  <si>
    <t>21.05.2026</t>
  </si>
  <si>
    <t>01.05.2026</t>
  </si>
  <si>
    <t>06.05.2026</t>
  </si>
  <si>
    <t>28.05.2026</t>
  </si>
  <si>
    <t>18.05.2026</t>
  </si>
  <si>
    <t>10.05.2026</t>
  </si>
  <si>
    <t>20.05.2026</t>
  </si>
  <si>
    <t>15.05.2026</t>
  </si>
  <si>
    <t>31.05.2026</t>
  </si>
  <si>
    <t>19.01.2022</t>
  </si>
  <si>
    <t>21.01.2026</t>
  </si>
  <si>
    <t>17.05.2026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</si>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</sst>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&quot;-&quot;??_);_(@_)"/>
    <numFmt numFmtId="165" formatCode="###,000"/>
    <numFmt numFmtId="166" formatCode="#,##0.000&quot; PCE&quot;;\-#,##0.000&quot; PCE&quot;;#,##0.000&quot; PCE&quot;"/>
    <numFmt numFmtId="167" formatCode="#,##0&quot; PCE&quot;;\-#,##0&quot; PCE&quot;;#,##0&quot; PCE&quot;"/>
    <numFmt numFmtId="168" formatCode="#,##0.000&quot; KG&quot;;\-#,##0.000&quot; KG&quot;;#,##0.000&quot; KG&quot;"/>
    <numFmt numFmtId="169" formatCode="#,##0.000&quot; EA&quot;;\-#,##0.000&quot; EA&quot;;#,##0.000&quot; EA&quot;"/>
    <numFmt numFmtId="170" formatCode="#,##0&quot; EA&quot;;\-#,##0&quot; EA&quot;;#,##0&quot; EA&quot;"/>
    <numFmt numFmtId="171" formatCode="_(* #,##0_);_(* \(#,##0\);_(* &quot;-&quot;??_);_(@_)"/>
    <numFmt numFmtId="172" formatCode="#,##0&quot; M&quot;;\-#,##0&quot; M&quot;;#,##0&quot; M&quot;"/>
    <numFmt numFmtId="173" formatCode="#,##0.000&quot; M&quot;;\-#,##0.000&quot; M&quot;;#,##0.000&quot; M&quot;"/>
    <numFmt numFmtId="174" formatCode="dd/mm/yyyy"/>
    <numFmt numFmtId="175" formatCode="#,##0.00_ ;[Red]\-#,##0.00\ "/>
    <numFmt numFmtId="176" formatCode="[$-409]mmm\-yy;@"/>
  </numFmts>
  <fonts count="51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0"/>
      <color theme="1"/>
      <name val="Calibri"/>
      <family val="2"/>
    </font>
    <font>
      <sz val="8"/>
      <color rgb="FFDDE2E7"/>
      <name val="Verdana"/>
      <family val="2"/>
    </font>
    <font>
      <sz val="8"/>
      <name val="Arial"/>
      <family val="2"/>
    </font>
    <font>
      <b/>
      <sz val="10"/>
      <color rgb="FF1F497D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3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Verdana"/>
      <family val="2"/>
    </font>
    <font>
      <sz val="8"/>
      <color rgb="FF0070C0"/>
      <name val="Verdana"/>
      <family val="2"/>
    </font>
    <font>
      <b/>
      <sz val="8"/>
      <color rgb="FF0070C0"/>
      <name val="Verdana"/>
      <family val="2"/>
    </font>
    <font>
      <b/>
      <sz val="8"/>
      <color rgb="FFC00000"/>
      <name val="Verdana"/>
      <family val="2"/>
    </font>
    <font>
      <sz val="11"/>
      <color rgb="FF00B05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B050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10"/>
      <color theme="1"/>
      <name val="Arial"/>
    </font>
  </fonts>
  <fills count="34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DDE2E7"/>
        <bgColor rgb="FF000000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gradientFill degree="90">
        <stop position="0">
          <color rgb="FFDDE2E7"/>
        </stop>
        <stop position="1">
          <color rgb="FFCED3D8"/>
        </stop>
      </gradient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3" tint="-0.24994659260841701"/>
      </left>
      <right style="thin">
        <color rgb="FF808080"/>
      </right>
      <top style="thin">
        <color theme="3" tint="-0.24994659260841701"/>
      </top>
      <bottom style="thin">
        <color rgb="FF808080"/>
      </bottom>
      <diagonal/>
    </border>
    <border>
      <left/>
      <right style="thin">
        <color rgb="FF808080"/>
      </right>
      <top style="thin">
        <color theme="3" tint="-0.24994659260841701"/>
      </top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2">
    <xf numFmtId="0" fontId="0" fillId="0" borderId="0"/>
    <xf numFmtId="0" fontId="3" fillId="2" borderId="1" applyNumberFormat="0" applyAlignment="0" applyProtection="0">
      <alignment horizontal="left" vertical="center" indent="1"/>
    </xf>
    <xf numFmtId="165" fontId="4" fillId="0" borderId="2" applyNumberFormat="0" applyProtection="0">
      <alignment horizontal="right" vertical="center"/>
    </xf>
    <xf numFmtId="165" fontId="3" fillId="0" borderId="3" applyNumberFormat="0" applyProtection="0">
      <alignment horizontal="right" vertical="center"/>
    </xf>
    <xf numFmtId="165" fontId="4" fillId="3" borderId="1" applyNumberFormat="0" applyAlignment="0" applyProtection="0">
      <alignment horizontal="left" vertical="center" indent="1"/>
    </xf>
    <xf numFmtId="0" fontId="5" fillId="4" borderId="3" applyNumberFormat="0" applyAlignment="0">
      <alignment horizontal="left" vertical="center" indent="1"/>
      <protection locked="0"/>
    </xf>
    <xf numFmtId="0" fontId="5" fillId="5" borderId="3" applyNumberFormat="0" applyAlignment="0" applyProtection="0">
      <alignment horizontal="left" vertical="center" indent="1"/>
    </xf>
    <xf numFmtId="165" fontId="4" fillId="6" borderId="2" applyNumberFormat="0" applyBorder="0">
      <alignment horizontal="right" vertical="center"/>
      <protection locked="0"/>
    </xf>
    <xf numFmtId="0" fontId="5" fillId="4" borderId="3" applyNumberFormat="0" applyAlignment="0">
      <alignment horizontal="left" vertical="center" indent="1"/>
      <protection locked="0"/>
    </xf>
    <xf numFmtId="165" fontId="3" fillId="5" borderId="3" applyNumberFormat="0" applyProtection="0">
      <alignment horizontal="right" vertical="center"/>
    </xf>
    <xf numFmtId="165" fontId="3" fillId="6" borderId="3" applyNumberFormat="0" applyBorder="0">
      <alignment horizontal="right" vertical="center"/>
      <protection locked="0"/>
    </xf>
    <xf numFmtId="165" fontId="6" fillId="7" borderId="4" applyNumberFormat="0" applyBorder="0" applyAlignment="0" applyProtection="0">
      <alignment horizontal="right" vertical="center" indent="1"/>
    </xf>
    <xf numFmtId="165" fontId="7" fillId="8" borderId="4" applyNumberFormat="0" applyBorder="0" applyAlignment="0" applyProtection="0">
      <alignment horizontal="right" vertical="center" indent="1"/>
    </xf>
    <xf numFmtId="165" fontId="7" fillId="9" borderId="4" applyNumberFormat="0" applyBorder="0" applyAlignment="0" applyProtection="0">
      <alignment horizontal="right" vertical="center" indent="1"/>
    </xf>
    <xf numFmtId="165" fontId="8" fillId="10" borderId="4" applyNumberFormat="0" applyBorder="0" applyAlignment="0" applyProtection="0">
      <alignment horizontal="right" vertical="center" indent="1"/>
    </xf>
    <xf numFmtId="165" fontId="8" fillId="11" borderId="4" applyNumberFormat="0" applyBorder="0" applyAlignment="0" applyProtection="0">
      <alignment horizontal="right" vertical="center" indent="1"/>
    </xf>
    <xf numFmtId="165" fontId="8" fillId="12" borderId="4" applyNumberFormat="0" applyBorder="0" applyAlignment="0" applyProtection="0">
      <alignment horizontal="right" vertical="center" indent="1"/>
    </xf>
    <xf numFmtId="165" fontId="9" fillId="13" borderId="4" applyNumberFormat="0" applyBorder="0" applyAlignment="0" applyProtection="0">
      <alignment horizontal="right" vertical="center" indent="1"/>
    </xf>
    <xf numFmtId="165" fontId="9" fillId="14" borderId="4" applyNumberFormat="0" applyBorder="0" applyAlignment="0" applyProtection="0">
      <alignment horizontal="right" vertical="center" indent="1"/>
    </xf>
    <xf numFmtId="165" fontId="9" fillId="15" borderId="4" applyNumberFormat="0" applyBorder="0" applyAlignment="0" applyProtection="0">
      <alignment horizontal="right" vertical="center" indent="1"/>
    </xf>
    <xf numFmtId="0" fontId="10" fillId="0" borderId="1" applyNumberFormat="0" applyFont="0" applyFill="0" applyAlignment="0" applyProtection="0"/>
    <xf numFmtId="165" fontId="4" fillId="3" borderId="1" applyNumberFormat="0" applyAlignment="0" applyProtection="0">
      <alignment horizontal="left" vertical="center" indent="1"/>
    </xf>
    <xf numFmtId="0" fontId="3" fillId="2" borderId="3" applyNumberFormat="0" applyAlignment="0" applyProtection="0">
      <alignment horizontal="left" vertical="center" indent="1"/>
    </xf>
    <xf numFmtId="0" fontId="5" fillId="16" borderId="1" applyNumberFormat="0" applyAlignment="0" applyProtection="0">
      <alignment horizontal="left" vertical="center" indent="1"/>
    </xf>
    <xf numFmtId="0" fontId="5" fillId="17" borderId="1" applyNumberFormat="0" applyAlignment="0" applyProtection="0">
      <alignment horizontal="left" vertical="center" indent="1"/>
    </xf>
    <xf numFmtId="0" fontId="5" fillId="18" borderId="1" applyNumberFormat="0" applyAlignment="0" applyProtection="0">
      <alignment horizontal="left" vertical="center" indent="1"/>
    </xf>
    <xf numFmtId="0" fontId="5" fillId="6" borderId="1" applyNumberFormat="0" applyAlignment="0" applyProtection="0">
      <alignment horizontal="left" vertical="center" indent="1"/>
    </xf>
    <xf numFmtId="0" fontId="5" fillId="5" borderId="3" applyNumberFormat="0" applyAlignment="0" applyProtection="0">
      <alignment horizontal="left" vertical="center" indent="1"/>
    </xf>
    <xf numFmtId="0" fontId="11" fillId="0" borderId="5" applyNumberFormat="0" applyFill="0" applyBorder="0" applyAlignment="0" applyProtection="0"/>
    <xf numFmtId="0" fontId="12" fillId="0" borderId="5" applyNumberFormat="0" applyBorder="0" applyAlignment="0" applyProtection="0"/>
    <xf numFmtId="0" fontId="11" fillId="4" borderId="3" applyNumberFormat="0" applyAlignment="0">
      <alignment horizontal="left" vertical="center" indent="1"/>
      <protection locked="0"/>
    </xf>
    <xf numFmtId="0" fontId="11" fillId="4" borderId="3" applyNumberFormat="0" applyAlignment="0">
      <alignment horizontal="left" vertical="center" indent="1"/>
      <protection locked="0"/>
    </xf>
    <xf numFmtId="0" fontId="11" fillId="5" borderId="3" applyNumberFormat="0" applyAlignment="0" applyProtection="0">
      <alignment horizontal="left" vertical="center" indent="1"/>
    </xf>
    <xf numFmtId="165" fontId="13" fillId="5" borderId="3" applyNumberFormat="0" applyProtection="0">
      <alignment horizontal="right" vertical="center"/>
    </xf>
    <xf numFmtId="165" fontId="14" fillId="6" borderId="2" applyNumberFormat="0" applyBorder="0">
      <alignment horizontal="right" vertical="center"/>
      <protection locked="0"/>
    </xf>
    <xf numFmtId="165" fontId="13" fillId="6" borderId="3" applyNumberFormat="0" applyBorder="0">
      <alignment horizontal="right" vertical="center"/>
      <protection locked="0"/>
    </xf>
    <xf numFmtId="165" fontId="4" fillId="0" borderId="2" applyNumberFormat="0" applyFill="0" applyBorder="0" applyAlignment="0" applyProtection="0">
      <alignment horizontal="right" vertical="center"/>
    </xf>
    <xf numFmtId="165" fontId="4" fillId="0" borderId="2" applyNumberFormat="0" applyFill="0" applyBorder="0" applyAlignment="0" applyProtection="0">
      <alignment horizontal="right" vertical="center"/>
    </xf>
    <xf numFmtId="0" fontId="10" fillId="0" borderId="6" applyNumberFormat="0" applyFont="0" applyFill="0" applyAlignment="0" applyProtection="0"/>
    <xf numFmtId="164" fontId="15" fillId="0" borderId="0" applyFont="0" applyFill="0" applyBorder="0" applyAlignment="0" applyProtection="0"/>
    <xf numFmtId="165" fontId="16" fillId="19" borderId="0" applyNumberFormat="0" applyAlignment="0" applyProtection="0">
      <alignment horizontal="left" vertical="center" indent="1"/>
    </xf>
    <xf numFmtId="4" fontId="17" fillId="20" borderId="8" applyNumberFormat="0" applyProtection="0">
      <alignment horizontal="left" vertical="center" indent="1"/>
    </xf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2" fillId="0" borderId="0"/>
    <xf numFmtId="165" fontId="5" fillId="24" borderId="1" applyNumberFormat="0" applyAlignment="0" applyProtection="0">
      <alignment horizontal="left" vertical="center" indent="1"/>
    </xf>
    <xf numFmtId="0" fontId="1" fillId="0" borderId="0"/>
    <xf numFmtId="164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4" fillId="0" borderId="0"/>
    <xf numFmtId="0" fontId="48" fillId="0" borderId="0"/>
  </cellStyleXfs>
  <cellXfs count="200">
    <xf numFmtId="0" fontId="0" fillId="0" borderId="0" xfId="0"/>
    <xf numFmtId="2" fontId="18" fillId="0" borderId="0" xfId="37" applyNumberFormat="1" applyFont="1" applyBorder="1" applyAlignment="1">
      <alignment horizontal="left"/>
    </xf>
    <xf numFmtId="0" fontId="18" fillId="0" borderId="0" xfId="37" applyNumberFormat="1" applyFont="1" applyBorder="1" applyAlignment="1"/>
    <xf numFmtId="0" fontId="19" fillId="0" borderId="0" xfId="0" applyFont="1"/>
    <xf numFmtId="0" fontId="20" fillId="0" borderId="0" xfId="0" applyFont="1"/>
    <xf numFmtId="171" fontId="19" fillId="0" borderId="0" xfId="39" applyNumberFormat="1" applyFont="1" applyFill="1"/>
    <xf numFmtId="171" fontId="21" fillId="0" borderId="0" xfId="39" applyNumberFormat="1" applyFont="1" applyFill="1" applyAlignment="1">
      <alignment horizontal="center"/>
    </xf>
    <xf numFmtId="2" fontId="20" fillId="0" borderId="0" xfId="0" applyNumberFormat="1" applyFont="1" applyAlignment="1">
      <alignment horizontal="left"/>
    </xf>
    <xf numFmtId="171" fontId="19" fillId="0" borderId="0" xfId="39" applyNumberFormat="1" applyFont="1"/>
    <xf numFmtId="0" fontId="21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horizontal="center"/>
    </xf>
    <xf numFmtId="2" fontId="19" fillId="0" borderId="0" xfId="0" applyNumberFormat="1" applyFont="1" applyAlignment="1">
      <alignment horizontal="left"/>
    </xf>
    <xf numFmtId="0" fontId="20" fillId="21" borderId="0" xfId="0" applyFont="1" applyFill="1"/>
    <xf numFmtId="0" fontId="19" fillId="21" borderId="0" xfId="0" applyFont="1" applyFill="1"/>
    <xf numFmtId="0" fontId="19" fillId="0" borderId="0" xfId="0" applyFont="1" applyAlignment="1">
      <alignment wrapText="1"/>
    </xf>
    <xf numFmtId="167" fontId="4" fillId="0" borderId="2" xfId="2" applyNumberFormat="1">
      <alignment horizontal="right" vertical="center"/>
    </xf>
    <xf numFmtId="39" fontId="4" fillId="0" borderId="2" xfId="2" applyNumberFormat="1">
      <alignment horizontal="right" vertical="center"/>
    </xf>
    <xf numFmtId="166" fontId="4" fillId="0" borderId="2" xfId="2" applyNumberFormat="1">
      <alignment horizontal="right" vertical="center"/>
    </xf>
    <xf numFmtId="168" fontId="4" fillId="0" borderId="2" xfId="2" applyNumberFormat="1">
      <alignment horizontal="right" vertical="center"/>
    </xf>
    <xf numFmtId="170" fontId="4" fillId="0" borderId="2" xfId="2" applyNumberFormat="1">
      <alignment horizontal="right" vertical="center"/>
    </xf>
    <xf numFmtId="169" fontId="4" fillId="0" borderId="2" xfId="2" applyNumberFormat="1">
      <alignment horizontal="right" vertical="center"/>
    </xf>
    <xf numFmtId="172" fontId="4" fillId="0" borderId="2" xfId="2" applyNumberFormat="1">
      <alignment horizontal="right" vertical="center"/>
    </xf>
    <xf numFmtId="173" fontId="4" fillId="0" borderId="2" xfId="2" applyNumberFormat="1">
      <alignment horizontal="right" vertical="center"/>
    </xf>
    <xf numFmtId="0" fontId="4" fillId="3" borderId="1" xfId="21" quotePrefix="1" applyNumberFormat="1" applyAlignment="1"/>
    <xf numFmtId="0" fontId="3" fillId="2" borderId="1" xfId="1" quotePrefix="1" applyNumberFormat="1" applyAlignment="1"/>
    <xf numFmtId="39" fontId="4" fillId="0" borderId="0" xfId="2" applyNumberFormat="1" applyBorder="1">
      <alignment horizontal="right" vertical="center"/>
    </xf>
    <xf numFmtId="164" fontId="0" fillId="0" borderId="0" xfId="39" applyFont="1"/>
    <xf numFmtId="0" fontId="22" fillId="0" borderId="0" xfId="0" applyFont="1"/>
    <xf numFmtId="0" fontId="3" fillId="2" borderId="10" xfId="22" applyNumberFormat="1" applyBorder="1" applyAlignment="1"/>
    <xf numFmtId="0" fontId="3" fillId="0" borderId="10" xfId="3" applyNumberFormat="1" applyBorder="1">
      <alignment horizontal="right" vertical="center"/>
    </xf>
    <xf numFmtId="39" fontId="3" fillId="0" borderId="10" xfId="3" applyNumberFormat="1" applyBorder="1">
      <alignment horizontal="right" vertical="center"/>
    </xf>
    <xf numFmtId="0" fontId="3" fillId="2" borderId="12" xfId="22" applyNumberFormat="1" applyBorder="1" applyAlignment="1"/>
    <xf numFmtId="0" fontId="3" fillId="2" borderId="11" xfId="22" quotePrefix="1" applyNumberFormat="1" applyBorder="1" applyAlignment="1"/>
    <xf numFmtId="171" fontId="20" fillId="21" borderId="9" xfId="39" applyNumberFormat="1" applyFont="1" applyFill="1" applyBorder="1" applyAlignment="1">
      <alignment horizontal="center" vertical="top" wrapText="1"/>
    </xf>
    <xf numFmtId="0" fontId="0" fillId="22" borderId="0" xfId="0" applyFill="1"/>
    <xf numFmtId="0" fontId="0" fillId="23" borderId="0" xfId="0" applyFill="1" applyAlignment="1">
      <alignment horizontal="left"/>
    </xf>
    <xf numFmtId="49" fontId="0" fillId="23" borderId="0" xfId="0" applyNumberFormat="1" applyFill="1"/>
    <xf numFmtId="4" fontId="0" fillId="0" borderId="0" xfId="0" applyNumberFormat="1"/>
    <xf numFmtId="49" fontId="0" fillId="0" borderId="0" xfId="0" applyNumberFormat="1"/>
    <xf numFmtId="174" fontId="0" fillId="0" borderId="0" xfId="0" applyNumberFormat="1"/>
    <xf numFmtId="3" fontId="0" fillId="0" borderId="0" xfId="0" applyNumberFormat="1"/>
    <xf numFmtId="171" fontId="28" fillId="0" borderId="0" xfId="39" applyNumberFormat="1" applyFont="1"/>
    <xf numFmtId="171" fontId="29" fillId="0" borderId="0" xfId="39" applyNumberFormat="1" applyFont="1"/>
    <xf numFmtId="171" fontId="30" fillId="0" borderId="0" xfId="39" applyNumberFormat="1" applyFont="1"/>
    <xf numFmtId="171" fontId="27" fillId="25" borderId="0" xfId="39" applyNumberFormat="1" applyFont="1" applyFill="1" applyAlignment="1">
      <alignment wrapText="1"/>
    </xf>
    <xf numFmtId="171" fontId="28" fillId="25" borderId="0" xfId="39" applyNumberFormat="1" applyFont="1" applyFill="1" applyAlignment="1">
      <alignment wrapText="1"/>
    </xf>
    <xf numFmtId="171" fontId="29" fillId="0" borderId="0" xfId="39" applyNumberFormat="1" applyFont="1" applyAlignment="1">
      <alignment vertical="center"/>
    </xf>
    <xf numFmtId="0" fontId="0" fillId="0" borderId="0" xfId="0" applyAlignment="1">
      <alignment horizontal="left"/>
    </xf>
    <xf numFmtId="171" fontId="25" fillId="0" borderId="0" xfId="39" applyNumberFormat="1" applyFont="1"/>
    <xf numFmtId="17" fontId="26" fillId="21" borderId="0" xfId="0" applyNumberFormat="1" applyFont="1" applyFill="1" applyAlignment="1">
      <alignment horizontal="center"/>
    </xf>
    <xf numFmtId="17" fontId="0" fillId="0" borderId="0" xfId="0" applyNumberFormat="1" applyAlignment="1">
      <alignment horizontal="center"/>
    </xf>
    <xf numFmtId="0" fontId="31" fillId="0" borderId="0" xfId="0" applyFont="1" applyAlignment="1">
      <alignment horizontal="center"/>
    </xf>
    <xf numFmtId="9" fontId="0" fillId="0" borderId="0" xfId="43" applyFont="1" applyAlignment="1">
      <alignment vertical="center"/>
    </xf>
    <xf numFmtId="9" fontId="31" fillId="0" borderId="0" xfId="43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171" fontId="0" fillId="0" borderId="16" xfId="0" applyNumberFormat="1" applyBorder="1"/>
    <xf numFmtId="3" fontId="0" fillId="0" borderId="16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171" fontId="0" fillId="0" borderId="0" xfId="0" applyNumberFormat="1"/>
    <xf numFmtId="9" fontId="0" fillId="0" borderId="22" xfId="0" applyNumberFormat="1" applyBorder="1" applyAlignment="1">
      <alignment horizontal="center"/>
    </xf>
    <xf numFmtId="171" fontId="0" fillId="0" borderId="24" xfId="0" applyNumberFormat="1" applyBorder="1"/>
    <xf numFmtId="3" fontId="0" fillId="0" borderId="24" xfId="0" applyNumberFormat="1" applyBorder="1" applyAlignment="1">
      <alignment horizontal="center"/>
    </xf>
    <xf numFmtId="9" fontId="0" fillId="0" borderId="25" xfId="0" applyNumberFormat="1" applyBorder="1" applyAlignment="1">
      <alignment horizontal="center"/>
    </xf>
    <xf numFmtId="0" fontId="25" fillId="0" borderId="0" xfId="0" applyFont="1"/>
    <xf numFmtId="0" fontId="0" fillId="0" borderId="0" xfId="0" pivotButton="1"/>
    <xf numFmtId="9" fontId="33" fillId="0" borderId="0" xfId="0" applyNumberFormat="1" applyFont="1" applyAlignment="1">
      <alignment horizontal="center"/>
    </xf>
    <xf numFmtId="9" fontId="33" fillId="0" borderId="0" xfId="0" applyNumberFormat="1" applyFont="1" applyAlignment="1">
      <alignment horizontal="center" vertical="center"/>
    </xf>
    <xf numFmtId="171" fontId="34" fillId="0" borderId="0" xfId="0" applyNumberFormat="1" applyFont="1"/>
    <xf numFmtId="171" fontId="34" fillId="26" borderId="14" xfId="0" applyNumberFormat="1" applyFont="1" applyFill="1" applyBorder="1"/>
    <xf numFmtId="171" fontId="34" fillId="26" borderId="15" xfId="0" applyNumberFormat="1" applyFont="1" applyFill="1" applyBorder="1"/>
    <xf numFmtId="171" fontId="34" fillId="26" borderId="16" xfId="0" applyNumberFormat="1" applyFont="1" applyFill="1" applyBorder="1"/>
    <xf numFmtId="171" fontId="34" fillId="26" borderId="17" xfId="0" applyNumberFormat="1" applyFont="1" applyFill="1" applyBorder="1"/>
    <xf numFmtId="0" fontId="35" fillId="26" borderId="19" xfId="0" applyFont="1" applyFill="1" applyBorder="1" applyAlignment="1">
      <alignment horizontal="center" vertical="center" wrapText="1"/>
    </xf>
    <xf numFmtId="171" fontId="34" fillId="26" borderId="18" xfId="0" applyNumberFormat="1" applyFont="1" applyFill="1" applyBorder="1" applyAlignment="1">
      <alignment horizontal="center" vertical="center" wrapText="1"/>
    </xf>
    <xf numFmtId="171" fontId="34" fillId="26" borderId="19" xfId="0" applyNumberFormat="1" applyFont="1" applyFill="1" applyBorder="1" applyAlignment="1">
      <alignment horizontal="center" vertical="center" wrapText="1"/>
    </xf>
    <xf numFmtId="0" fontId="35" fillId="26" borderId="20" xfId="0" applyFont="1" applyFill="1" applyBorder="1" applyAlignment="1">
      <alignment horizontal="center" vertical="center" wrapText="1"/>
    </xf>
    <xf numFmtId="171" fontId="32" fillId="0" borderId="15" xfId="0" applyNumberFormat="1" applyFont="1" applyBorder="1"/>
    <xf numFmtId="171" fontId="32" fillId="0" borderId="16" xfId="0" applyNumberFormat="1" applyFont="1" applyBorder="1"/>
    <xf numFmtId="171" fontId="32" fillId="0" borderId="21" xfId="0" applyNumberFormat="1" applyFont="1" applyBorder="1"/>
    <xf numFmtId="171" fontId="32" fillId="0" borderId="23" xfId="0" applyNumberFormat="1" applyFont="1" applyBorder="1"/>
    <xf numFmtId="171" fontId="32" fillId="0" borderId="24" xfId="0" applyNumberFormat="1" applyFont="1" applyBorder="1"/>
    <xf numFmtId="175" fontId="0" fillId="0" borderId="0" xfId="0" applyNumberFormat="1"/>
    <xf numFmtId="1" fontId="0" fillId="0" borderId="0" xfId="0" applyNumberFormat="1"/>
    <xf numFmtId="0" fontId="3" fillId="2" borderId="27" xfId="1" quotePrefix="1" applyNumberFormat="1" applyBorder="1" applyAlignment="1"/>
    <xf numFmtId="0" fontId="3" fillId="2" borderId="28" xfId="1" quotePrefix="1" applyNumberFormat="1" applyBorder="1" applyAlignment="1"/>
    <xf numFmtId="0" fontId="5" fillId="24" borderId="1" xfId="45" quotePrefix="1" applyNumberFormat="1" applyAlignment="1"/>
    <xf numFmtId="0" fontId="3" fillId="2" borderId="1" xfId="22" quotePrefix="1" applyNumberFormat="1" applyBorder="1" applyAlignment="1"/>
    <xf numFmtId="9" fontId="0" fillId="0" borderId="0" xfId="0" applyNumberFormat="1"/>
    <xf numFmtId="0" fontId="25" fillId="27" borderId="26" xfId="0" applyFont="1" applyFill="1" applyBorder="1"/>
    <xf numFmtId="171" fontId="37" fillId="26" borderId="35" xfId="0" applyNumberFormat="1" applyFont="1" applyFill="1" applyBorder="1" applyAlignment="1">
      <alignment horizontal="center" vertical="center" wrapText="1"/>
    </xf>
    <xf numFmtId="0" fontId="25" fillId="27" borderId="26" xfId="0" applyFont="1" applyFill="1" applyBorder="1" applyAlignment="1">
      <alignment vertical="top" wrapText="1"/>
    </xf>
    <xf numFmtId="0" fontId="25" fillId="27" borderId="26" xfId="0" applyFont="1" applyFill="1" applyBorder="1" applyAlignment="1">
      <alignment horizontal="center" vertical="top" wrapText="1"/>
    </xf>
    <xf numFmtId="171" fontId="37" fillId="26" borderId="18" xfId="0" applyNumberFormat="1" applyFont="1" applyFill="1" applyBorder="1" applyAlignment="1">
      <alignment horizontal="center" vertical="center" wrapText="1"/>
    </xf>
    <xf numFmtId="0" fontId="37" fillId="26" borderId="19" xfId="0" applyFont="1" applyFill="1" applyBorder="1" applyAlignment="1">
      <alignment horizontal="center" vertical="center" wrapText="1"/>
    </xf>
    <xf numFmtId="0" fontId="37" fillId="26" borderId="20" xfId="0" applyFont="1" applyFill="1" applyBorder="1" applyAlignment="1">
      <alignment horizontal="center" vertical="center" wrapText="1"/>
    </xf>
    <xf numFmtId="9" fontId="0" fillId="0" borderId="16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22" xfId="0" applyNumberFormat="1" applyBorder="1" applyAlignment="1">
      <alignment horizontal="center"/>
    </xf>
    <xf numFmtId="0" fontId="38" fillId="0" borderId="0" xfId="0" applyFont="1"/>
    <xf numFmtId="0" fontId="39" fillId="0" borderId="0" xfId="0" applyFont="1"/>
    <xf numFmtId="0" fontId="41" fillId="29" borderId="32" xfId="0" applyFont="1" applyFill="1" applyBorder="1" applyAlignment="1">
      <alignment horizontal="left"/>
    </xf>
    <xf numFmtId="0" fontId="39" fillId="29" borderId="32" xfId="0" applyFont="1" applyFill="1" applyBorder="1" applyAlignment="1">
      <alignment horizontal="left"/>
    </xf>
    <xf numFmtId="164" fontId="42" fillId="29" borderId="33" xfId="47" applyFont="1" applyFill="1" applyBorder="1"/>
    <xf numFmtId="0" fontId="42" fillId="29" borderId="33" xfId="0" applyFont="1" applyFill="1" applyBorder="1"/>
    <xf numFmtId="164" fontId="42" fillId="29" borderId="33" xfId="47" applyFont="1" applyFill="1" applyBorder="1" applyAlignment="1">
      <alignment horizontal="center" wrapText="1"/>
    </xf>
    <xf numFmtId="9" fontId="42" fillId="29" borderId="37" xfId="43" applyFont="1" applyFill="1" applyBorder="1" applyAlignment="1">
      <alignment wrapText="1"/>
    </xf>
    <xf numFmtId="171" fontId="42" fillId="29" borderId="34" xfId="39" applyNumberFormat="1" applyFont="1" applyFill="1" applyBorder="1" applyAlignment="1">
      <alignment wrapText="1"/>
    </xf>
    <xf numFmtId="0" fontId="39" fillId="0" borderId="29" xfId="0" applyFont="1" applyBorder="1"/>
    <xf numFmtId="0" fontId="39" fillId="0" borderId="38" xfId="0" applyFont="1" applyBorder="1"/>
    <xf numFmtId="0" fontId="39" fillId="0" borderId="39" xfId="0" applyFont="1" applyBorder="1"/>
    <xf numFmtId="0" fontId="39" fillId="0" borderId="40" xfId="0" applyFont="1" applyBorder="1"/>
    <xf numFmtId="0" fontId="42" fillId="0" borderId="30" xfId="0" applyFont="1" applyBorder="1" applyAlignment="1">
      <alignment horizontal="left"/>
    </xf>
    <xf numFmtId="176" fontId="42" fillId="0" borderId="41" xfId="0" applyNumberFormat="1" applyFont="1" applyBorder="1" applyAlignment="1">
      <alignment horizontal="left"/>
    </xf>
    <xf numFmtId="164" fontId="43" fillId="0" borderId="42" xfId="39" applyFont="1" applyFill="1" applyBorder="1"/>
    <xf numFmtId="164" fontId="43" fillId="0" borderId="43" xfId="39" applyFont="1" applyFill="1" applyBorder="1"/>
    <xf numFmtId="9" fontId="39" fillId="0" borderId="41" xfId="43" applyFont="1" applyBorder="1"/>
    <xf numFmtId="1" fontId="43" fillId="0" borderId="43" xfId="39" applyNumberFormat="1" applyFont="1" applyFill="1" applyBorder="1"/>
    <xf numFmtId="0" fontId="41" fillId="30" borderId="31" xfId="0" applyFont="1" applyFill="1" applyBorder="1"/>
    <xf numFmtId="176" fontId="41" fillId="0" borderId="44" xfId="0" applyNumberFormat="1" applyFont="1" applyBorder="1"/>
    <xf numFmtId="164" fontId="41" fillId="0" borderId="45" xfId="0" applyNumberFormat="1" applyFont="1" applyBorder="1"/>
    <xf numFmtId="164" fontId="42" fillId="0" borderId="45" xfId="0" applyNumberFormat="1" applyFont="1" applyBorder="1"/>
    <xf numFmtId="164" fontId="41" fillId="0" borderId="46" xfId="0" applyNumberFormat="1" applyFont="1" applyBorder="1"/>
    <xf numFmtId="0" fontId="41" fillId="0" borderId="44" xfId="0" applyFont="1" applyBorder="1"/>
    <xf numFmtId="0" fontId="41" fillId="0" borderId="46" xfId="0" applyFont="1" applyBorder="1"/>
    <xf numFmtId="176" fontId="39" fillId="0" borderId="38" xfId="0" applyNumberFormat="1" applyFont="1" applyBorder="1"/>
    <xf numFmtId="9" fontId="0" fillId="0" borderId="24" xfId="0" applyNumberFormat="1" applyBorder="1" applyAlignment="1">
      <alignment horizontal="center"/>
    </xf>
    <xf numFmtId="3" fontId="0" fillId="0" borderId="25" xfId="0" applyNumberFormat="1" applyBorder="1" applyAlignment="1">
      <alignment horizontal="center"/>
    </xf>
    <xf numFmtId="0" fontId="32" fillId="0" borderId="0" xfId="0" applyFont="1"/>
    <xf numFmtId="0" fontId="32" fillId="0" borderId="26" xfId="0" applyFont="1" applyBorder="1"/>
    <xf numFmtId="171" fontId="32" fillId="0" borderId="14" xfId="0" applyNumberFormat="1" applyFont="1" applyBorder="1"/>
    <xf numFmtId="171" fontId="32" fillId="0" borderId="36" xfId="0" applyNumberFormat="1" applyFont="1" applyBorder="1"/>
    <xf numFmtId="171" fontId="32" fillId="0" borderId="47" xfId="0" applyNumberFormat="1" applyFont="1" applyBorder="1"/>
    <xf numFmtId="171" fontId="34" fillId="26" borderId="35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171" fontId="0" fillId="0" borderId="16" xfId="39" applyNumberFormat="1" applyFont="1" applyBorder="1"/>
    <xf numFmtId="171" fontId="0" fillId="0" borderId="0" xfId="39" applyNumberFormat="1" applyFont="1" applyBorder="1"/>
    <xf numFmtId="0" fontId="41" fillId="0" borderId="0" xfId="0" applyFont="1"/>
    <xf numFmtId="176" fontId="41" fillId="0" borderId="0" xfId="0" applyNumberFormat="1" applyFont="1"/>
    <xf numFmtId="164" fontId="41" fillId="0" borderId="0" xfId="0" applyNumberFormat="1" applyFont="1"/>
    <xf numFmtId="164" fontId="42" fillId="0" borderId="0" xfId="0" applyNumberFormat="1" applyFont="1"/>
    <xf numFmtId="37" fontId="4" fillId="0" borderId="7" xfId="2" applyNumberFormat="1" applyBorder="1">
      <alignment horizontal="right" vertical="center"/>
    </xf>
    <xf numFmtId="37" fontId="3" fillId="0" borderId="12" xfId="3" applyNumberFormat="1" applyBorder="1">
      <alignment horizontal="right" vertical="center"/>
    </xf>
    <xf numFmtId="0" fontId="0" fillId="31" borderId="0" xfId="0" applyFill="1"/>
    <xf numFmtId="171" fontId="32" fillId="31" borderId="21" xfId="0" applyNumberFormat="1" applyFont="1" applyFill="1" applyBorder="1"/>
    <xf numFmtId="171" fontId="0" fillId="31" borderId="0" xfId="0" applyNumberFormat="1" applyFill="1"/>
    <xf numFmtId="9" fontId="0" fillId="31" borderId="22" xfId="0" applyNumberFormat="1" applyFill="1" applyBorder="1" applyAlignment="1">
      <alignment horizontal="center"/>
    </xf>
    <xf numFmtId="9" fontId="33" fillId="31" borderId="0" xfId="0" applyNumberFormat="1" applyFont="1" applyFill="1" applyAlignment="1">
      <alignment horizontal="center"/>
    </xf>
    <xf numFmtId="9" fontId="33" fillId="31" borderId="0" xfId="0" applyNumberFormat="1" applyFont="1" applyFill="1" applyAlignment="1">
      <alignment horizontal="center" vertical="center"/>
    </xf>
    <xf numFmtId="171" fontId="28" fillId="0" borderId="0" xfId="39" applyNumberFormat="1" applyFont="1" applyFill="1"/>
    <xf numFmtId="0" fontId="45" fillId="0" borderId="0" xfId="50" applyFont="1" applyAlignment="1">
      <alignment vertical="top"/>
    </xf>
    <xf numFmtId="0" fontId="45" fillId="0" borderId="0" xfId="50" applyFont="1" applyAlignment="1">
      <alignment horizontal="center" vertical="top"/>
    </xf>
    <xf numFmtId="0" fontId="46" fillId="23" borderId="0" xfId="0" applyFont="1" applyFill="1" applyAlignment="1">
      <alignment horizontal="center"/>
    </xf>
    <xf numFmtId="0" fontId="4" fillId="3" borderId="1" xfId="21" quotePrefix="1" applyNumberFormat="1" applyAlignment="1">
      <alignment horizontal="center"/>
    </xf>
    <xf numFmtId="0" fontId="32" fillId="0" borderId="0" xfId="0" applyFont="1" applyAlignment="1">
      <alignment horizontal="center"/>
    </xf>
    <xf numFmtId="0" fontId="48" fillId="0" borderId="0" xfId="51" applyAlignment="1">
      <alignment vertical="top"/>
    </xf>
    <xf numFmtId="0" fontId="48" fillId="0" borderId="0" xfId="51" applyAlignment="1">
      <alignment horizontal="center" vertical="top"/>
    </xf>
    <xf numFmtId="171" fontId="48" fillId="0" borderId="0" xfId="39" applyNumberFormat="1" applyFont="1" applyAlignment="1">
      <alignment vertical="top"/>
    </xf>
    <xf numFmtId="171" fontId="48" fillId="0" borderId="0" xfId="39" applyNumberFormat="1" applyFont="1" applyAlignment="1">
      <alignment horizontal="center" vertical="top"/>
    </xf>
    <xf numFmtId="171" fontId="45" fillId="0" borderId="0" xfId="39" applyNumberFormat="1" applyFont="1" applyAlignment="1">
      <alignment vertical="top"/>
    </xf>
    <xf numFmtId="171" fontId="46" fillId="23" borderId="0" xfId="39" applyNumberFormat="1" applyFont="1" applyFill="1" applyAlignment="1">
      <alignment horizontal="center"/>
    </xf>
    <xf numFmtId="171" fontId="47" fillId="23" borderId="0" xfId="39" applyNumberFormat="1" applyFont="1" applyFill="1" applyAlignment="1">
      <alignment horizontal="center"/>
    </xf>
    <xf numFmtId="171" fontId="9" fillId="0" borderId="0" xfId="39" applyNumberFormat="1" applyFont="1" applyAlignment="1">
      <alignment horizontal="center"/>
    </xf>
    <xf numFmtId="171" fontId="9" fillId="24" borderId="13" xfId="39" quotePrefix="1" applyNumberFormat="1" applyFont="1" applyFill="1" applyBorder="1" applyAlignment="1">
      <alignment horizontal="center" vertical="center" wrapText="1"/>
    </xf>
    <xf numFmtId="0" fontId="3" fillId="2" borderId="1" xfId="1" applyNumberFormat="1" applyAlignment="1"/>
    <xf numFmtId="0" fontId="20" fillId="33" borderId="9" xfId="0" applyFont="1" applyFill="1" applyBorder="1" applyAlignment="1">
      <alignment horizontal="center"/>
    </xf>
    <xf numFmtId="0" fontId="19" fillId="0" borderId="9" xfId="0" applyFont="1" applyBorder="1"/>
    <xf numFmtId="171" fontId="19" fillId="0" borderId="9" xfId="39" applyNumberFormat="1" applyFont="1" applyBorder="1"/>
    <xf numFmtId="0" fontId="20" fillId="32" borderId="9" xfId="0" applyFont="1" applyFill="1" applyBorder="1"/>
    <xf numFmtId="171" fontId="20" fillId="32" borderId="9" xfId="39" applyNumberFormat="1" applyFont="1" applyFill="1" applyBorder="1"/>
    <xf numFmtId="171" fontId="36" fillId="0" borderId="9" xfId="39" applyNumberFormat="1" applyFont="1" applyBorder="1"/>
    <xf numFmtId="171" fontId="19" fillId="0" borderId="0" xfId="0" applyNumberFormat="1" applyFont="1"/>
    <xf numFmtId="0" fontId="26" fillId="0" borderId="0" xfId="44" applyFont="1" applyAlignment="1">
      <alignment horizontal="left"/>
    </xf>
    <xf numFmtId="164" fontId="19" fillId="0" borderId="0" xfId="39" applyFont="1" applyBorder="1"/>
    <xf numFmtId="0" fontId="19" fillId="0" borderId="9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40" fillId="28" borderId="32" xfId="0" applyFont="1" applyFill="1" applyBorder="1" applyAlignment="1">
      <alignment horizontal="center"/>
    </xf>
    <xf numFmtId="0" fontId="40" fillId="28" borderId="33" xfId="0" applyFont="1" applyFill="1" applyBorder="1" applyAlignment="1">
      <alignment horizontal="center"/>
    </xf>
    <xf numFmtId="0" fontId="40" fillId="28" borderId="34" xfId="0" applyFont="1" applyFill="1" applyBorder="1" applyAlignment="1">
      <alignment horizontal="center"/>
    </xf>
    <xf numFmtId="0" fontId="3" fillId="2" borderId="1" xfId="1" applyNumberFormat="1" applyBorder="1" applyAlignment="1"/>
    <xf numFmtId="0" fontId="3" fillId="2" borderId="1" xfId="1" quotePrefix="1" applyNumberFormat="1" applyBorder="1" applyAlignment="1"/>
    <xf numFmtId="0" fontId="4" fillId="3" borderId="1" xfId="21" quotePrefix="1" applyNumberFormat="1" applyBorder="1" applyAlignment="1"/>
    <xf numFmtId="0" fontId="4" fillId="3" borderId="1" xfId="21" quotePrefix="1" applyNumberFormat="1" applyBorder="1" applyAlignment="1">
      <alignment horizontal="right"/>
    </xf>
    <xf numFmtId="0" fontId="48" fillId="0" borderId="0" xfId="51" applyNumberFormat="1" applyAlignment="1">
      <alignment horizontal="center" vertical="top"/>
    </xf>
    <xf numFmtId="0" fontId="50" fillId="0" borderId="0" xfId="0" applyFont="1"/>
    <xf numFmtId="0" fontId="50" fillId="0" borderId="0" xfId="0" pivotButton="1" applyFont="1" applyAlignment="1">
      <alignment horizontal="center"/>
    </xf>
    <xf numFmtId="0" fontId="50" fillId="0" borderId="0" xfId="0" pivotButton="1" applyFont="1"/>
    <xf numFmtId="171" fontId="50" fillId="0" borderId="0" xfId="0" applyNumberFormat="1" applyFont="1"/>
    <xf numFmtId="0" fontId="50" fillId="0" borderId="0" xfId="0" applyFont="1" applyAlignment="1">
      <alignment horizontal="center" vertical="center" wrapText="1"/>
    </xf>
    <xf numFmtId="171" fontId="0" fillId="0" borderId="0" xfId="0" applyNumberFormat="1" applyBorder="1"/>
    <xf numFmtId="3" fontId="0" fillId="0" borderId="0" xfId="0" applyNumberFormat="1" applyBorder="1" applyAlignment="1">
      <alignment horizontal="center"/>
    </xf>
    <xf numFmtId="171" fontId="32" fillId="0" borderId="0" xfId="0" applyNumberFormat="1" applyFont="1" applyBorder="1"/>
    <xf numFmtId="171" fontId="0" fillId="31" borderId="0" xfId="0" applyNumberFormat="1" applyFill="1" applyBorder="1"/>
    <xf numFmtId="3" fontId="0" fillId="31" borderId="0" xfId="0" applyNumberFormat="1" applyFill="1" applyBorder="1" applyAlignment="1">
      <alignment horizontal="center"/>
    </xf>
    <xf numFmtId="171" fontId="32" fillId="31" borderId="0" xfId="0" applyNumberFormat="1" applyFont="1" applyFill="1" applyBorder="1"/>
  </cellXfs>
  <cellStyles count="52">
    <cellStyle name="Comma" xfId="39" builtinId="3"/>
    <cellStyle name="Comma 2" xfId="42" xr:uid="{00000000-0005-0000-0000-000001000000}"/>
    <cellStyle name="Comma 2 2" xfId="47" xr:uid="{00000000-0005-0000-0000-000002000000}"/>
    <cellStyle name="Comma 3" xfId="49" xr:uid="{00000000-0005-0000-0000-000003000000}"/>
    <cellStyle name="Normal" xfId="0" builtinId="0"/>
    <cellStyle name="Normal 2" xfId="44" xr:uid="{00000000-0005-0000-0000-000005000000}"/>
    <cellStyle name="Normal 3" xfId="46" xr:uid="{00000000-0005-0000-0000-000006000000}"/>
    <cellStyle name="Normal 4" xfId="50" xr:uid="{EA091607-8507-4748-AA0A-9CD4C9D5E0D2}"/>
    <cellStyle name="Normal 5" xfId="51" xr:uid="{94F7B661-52FC-4809-B8F3-34D5561FC11D}"/>
    <cellStyle name="Percent" xfId="43" builtinId="5"/>
    <cellStyle name="Percent 2" xfId="48" xr:uid="{00000000-0005-0000-0000-000008000000}"/>
    <cellStyle name="SAPBEXchaText" xfId="41" xr:uid="{00000000-0005-0000-0000-000009000000}"/>
    <cellStyle name="SAPBorder" xfId="20" xr:uid="{00000000-0005-0000-0000-00000A000000}"/>
    <cellStyle name="SAPDataCell" xfId="2" xr:uid="{00000000-0005-0000-0000-00000B000000}"/>
    <cellStyle name="SAPDataRemoved" xfId="40" xr:uid="{00000000-0005-0000-0000-00000C000000}"/>
    <cellStyle name="SAPDataTotalCell" xfId="3" xr:uid="{00000000-0005-0000-0000-00000D000000}"/>
    <cellStyle name="SAPDimensionCell" xfId="1" xr:uid="{00000000-0005-0000-0000-00000E000000}"/>
    <cellStyle name="SAPEditableDataCell" xfId="5" xr:uid="{00000000-0005-0000-0000-00000F000000}"/>
    <cellStyle name="SAPEditableDataTotalCell" xfId="8" xr:uid="{00000000-0005-0000-0000-000010000000}"/>
    <cellStyle name="SAPEmphasized" xfId="28" xr:uid="{00000000-0005-0000-0000-000011000000}"/>
    <cellStyle name="SAPEmphasizedEditableDataCell" xfId="30" xr:uid="{00000000-0005-0000-0000-000012000000}"/>
    <cellStyle name="SAPEmphasizedEditableDataTotalCell" xfId="31" xr:uid="{00000000-0005-0000-0000-000013000000}"/>
    <cellStyle name="SAPEmphasizedLockedDataCell" xfId="34" xr:uid="{00000000-0005-0000-0000-000014000000}"/>
    <cellStyle name="SAPEmphasizedLockedDataTotalCell" xfId="35" xr:uid="{00000000-0005-0000-0000-000015000000}"/>
    <cellStyle name="SAPEmphasizedReadonlyDataCell" xfId="32" xr:uid="{00000000-0005-0000-0000-000016000000}"/>
    <cellStyle name="SAPEmphasizedReadonlyDataTotalCell" xfId="33" xr:uid="{00000000-0005-0000-0000-000017000000}"/>
    <cellStyle name="SAPEmphasizedTotal" xfId="29" xr:uid="{00000000-0005-0000-0000-000018000000}"/>
    <cellStyle name="SAPError" xfId="38" xr:uid="{00000000-0005-0000-0000-000019000000}"/>
    <cellStyle name="SAPExceptionLevel1" xfId="11" xr:uid="{00000000-0005-0000-0000-00001A000000}"/>
    <cellStyle name="SAPExceptionLevel2" xfId="12" xr:uid="{00000000-0005-0000-0000-00001B000000}"/>
    <cellStyle name="SAPExceptionLevel3" xfId="13" xr:uid="{00000000-0005-0000-0000-00001C000000}"/>
    <cellStyle name="SAPExceptionLevel4" xfId="14" xr:uid="{00000000-0005-0000-0000-00001D000000}"/>
    <cellStyle name="SAPExceptionLevel5" xfId="15" xr:uid="{00000000-0005-0000-0000-00001E000000}"/>
    <cellStyle name="SAPExceptionLevel6" xfId="16" xr:uid="{00000000-0005-0000-0000-00001F000000}"/>
    <cellStyle name="SAPExceptionLevel7" xfId="17" xr:uid="{00000000-0005-0000-0000-000020000000}"/>
    <cellStyle name="SAPExceptionLevel8" xfId="18" xr:uid="{00000000-0005-0000-0000-000021000000}"/>
    <cellStyle name="SAPExceptionLevel9" xfId="19" xr:uid="{00000000-0005-0000-0000-000022000000}"/>
    <cellStyle name="SAPFormula" xfId="37" xr:uid="{00000000-0005-0000-0000-000023000000}"/>
    <cellStyle name="SAPGroupingFillCell" xfId="4" xr:uid="{00000000-0005-0000-0000-000024000000}"/>
    <cellStyle name="SAPHierarchyCell0" xfId="23" xr:uid="{00000000-0005-0000-0000-000025000000}"/>
    <cellStyle name="SAPHierarchyCell1" xfId="24" xr:uid="{00000000-0005-0000-0000-000026000000}"/>
    <cellStyle name="SAPHierarchyCell2" xfId="25" xr:uid="{00000000-0005-0000-0000-000027000000}"/>
    <cellStyle name="SAPHierarchyCell3" xfId="26" xr:uid="{00000000-0005-0000-0000-000028000000}"/>
    <cellStyle name="SAPHierarchyCell4" xfId="27" xr:uid="{00000000-0005-0000-0000-000029000000}"/>
    <cellStyle name="SAPLockedDataCell" xfId="7" xr:uid="{00000000-0005-0000-0000-00002A000000}"/>
    <cellStyle name="SAPLockedDataTotalCell" xfId="10" xr:uid="{00000000-0005-0000-0000-00002B000000}"/>
    <cellStyle name="SAPMemberCell" xfId="21" xr:uid="{00000000-0005-0000-0000-00002C000000}"/>
    <cellStyle name="SAPMemberCell 2" xfId="45" xr:uid="{00000000-0005-0000-0000-00002D000000}"/>
    <cellStyle name="SAPMemberTotalCell" xfId="22" xr:uid="{00000000-0005-0000-0000-00002E000000}"/>
    <cellStyle name="SAPMessageText" xfId="36" xr:uid="{00000000-0005-0000-0000-00002F000000}"/>
    <cellStyle name="SAPReadonlyDataCell" xfId="6" xr:uid="{00000000-0005-0000-0000-000030000000}"/>
    <cellStyle name="SAPReadonlyDataTotalCell" xfId="9" xr:uid="{00000000-0005-0000-0000-000031000000}"/>
  </cellStyles>
  <dxfs count="3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 readingOrder="0"/>
    </dxf>
    <dxf>
      <font>
        <name val="Arial"/>
        <scheme val="none"/>
      </font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71" formatCode="_(* #,##0_);_(* \(#,##0\);_(* &quot;-&quot;??_);_(@_)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wrapText="1" readingOrder="0"/>
    </dxf>
    <dxf>
      <border>
        <bottom/>
      </border>
    </dxf>
    <dxf>
      <border>
        <bottom/>
      </border>
    </dxf>
    <dxf>
      <fill>
        <patternFill>
          <bgColor rgb="FF0070C0"/>
        </patternFill>
      </fill>
    </dxf>
    <dxf>
      <alignment horizontal="center" readingOrder="0"/>
    </dxf>
    <dxf>
      <alignment wrapText="1" readingOrder="0"/>
    </dxf>
    <dxf>
      <alignment vertical="center" readingOrder="0"/>
    </dxf>
    <dxf>
      <font>
        <color theme="0"/>
      </font>
    </dxf>
    <dxf>
      <fill>
        <patternFill patternType="solid">
          <bgColor rgb="FF0070C0"/>
        </patternFill>
      </fill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</border>
    </dxf>
    <dxf>
      <numFmt numFmtId="13" formatCode="0%"/>
    </dxf>
    <dxf>
      <alignment horizontal="center" readingOrder="0"/>
    </dxf>
    <dxf>
      <alignment vertical="center" readingOrder="0"/>
    </dxf>
    <dxf>
      <border>
        <vertical/>
      </border>
    </dxf>
    <dxf>
      <border>
        <vertical/>
      </border>
    </dxf>
    <dxf>
      <border>
        <vertical/>
      </border>
    </dxf>
    <dxf>
      <border>
        <vertical/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font>
        <color theme="0"/>
      </font>
    </dxf>
    <dxf>
      <fill>
        <patternFill patternType="solid">
          <bgColor rgb="FF0070C0"/>
        </patternFill>
      </fill>
    </dxf>
    <dxf>
      <border>
        <right/>
        <top/>
      </border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alignment horizontal="left" readingOrder="0"/>
    </dxf>
    <dxf>
      <alignment horizontal="left" readingOrder="0"/>
    </dxf>
    <dxf>
      <border>
        <right/>
      </border>
    </dxf>
    <dxf>
      <border>
        <bottom/>
      </border>
    </dxf>
    <dxf>
      <border>
        <bottom/>
      </border>
    </dxf>
    <dxf>
      <alignment horizontal="center" readingOrder="0"/>
    </dxf>
    <dxf>
      <font>
        <color rgb="FF00B050"/>
      </font>
    </dxf>
    <dxf>
      <alignment horizontal="center" readingOrder="0"/>
    </dxf>
    <dxf>
      <font>
        <color rgb="FF00B05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top" readingOrder="0"/>
    </dxf>
    <dxf>
      <alignment vertical="top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numFmt numFmtId="13" formatCode="0%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1" readingOrder="0"/>
    </dxf>
    <dxf>
      <alignment vertical="center" readingOrder="0"/>
    </dxf>
    <dxf>
      <numFmt numFmtId="13" formatCode="0%"/>
    </dxf>
    <dxf>
      <numFmt numFmtId="3" formatCode="#,##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vertical="top" readingOrder="0"/>
    </dxf>
    <dxf>
      <alignment vertical="top" readingOrder="0"/>
    </dxf>
    <dxf>
      <alignment vertical="bottom" readingOrder="0"/>
    </dxf>
    <dxf>
      <alignment vertical="bottom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vertical="center" readingOrder="0"/>
    </dxf>
    <dxf>
      <alignment vertical="top" readingOrder="0"/>
    </dxf>
    <dxf>
      <alignment vertical="top" readingOrder="0"/>
    </dxf>
    <dxf>
      <alignment vertical="top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numFmt numFmtId="171" formatCode="_(* #,##0_);_(* \(#,##0\);_(* &quot;-&quot;??_);_(@_)"/>
    </dxf>
    <dxf>
      <numFmt numFmtId="171" formatCode="_(* #,##0_);_(* \(#,##0\);_(* &quot;-&quot;??_);_(@_)"/>
    </dxf>
    <dxf>
      <numFmt numFmtId="171" formatCode="_(* #,##0_);_(* \(#,##0\);_(* &quot;-&quot;??_);_(@_)"/>
    </dxf>
    <dxf>
      <numFmt numFmtId="171" formatCode="_(* #,##0_);_(* \(#,##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3" formatCode="0%"/>
    </dxf>
    <dxf>
      <numFmt numFmtId="13" formatCode="0%"/>
    </dxf>
    <dxf>
      <numFmt numFmtId="1" formatCode="0"/>
    </dxf>
    <dxf>
      <numFmt numFmtId="2" formatCode="0.00"/>
    </dxf>
    <dxf>
      <numFmt numFmtId="13" formatCode="0%"/>
    </dxf>
    <dxf>
      <numFmt numFmtId="13" formatCode="0%"/>
    </dxf>
    <dxf>
      <numFmt numFmtId="1" formatCode="0"/>
    </dxf>
    <dxf>
      <numFmt numFmtId="2" formatCode="0.00"/>
    </dxf>
    <dxf>
      <numFmt numFmtId="13" formatCode="0%"/>
    </dxf>
    <dxf>
      <numFmt numFmtId="13" formatCode="0%"/>
    </dxf>
    <dxf>
      <numFmt numFmtId="1" formatCode="0"/>
    </dxf>
    <dxf>
      <numFmt numFmtId="2" formatCode="0.00"/>
    </dxf>
    <dxf>
      <numFmt numFmtId="13" formatCode="0%"/>
    </dxf>
    <dxf>
      <numFmt numFmtId="13" formatCode="0%"/>
    </dxf>
    <dxf>
      <numFmt numFmtId="1" formatCode="0"/>
    </dxf>
    <dxf>
      <numFmt numFmtId="2" formatCode="0.00"/>
    </dxf>
    <dxf>
      <numFmt numFmtId="13" formatCode="0%"/>
    </dxf>
    <dxf>
      <numFmt numFmtId="13" formatCode="0%"/>
    </dxf>
    <dxf>
      <numFmt numFmtId="1" formatCode="0"/>
    </dxf>
    <dxf>
      <numFmt numFmtId="2" formatCode="0.00"/>
    </dxf>
    <dxf>
      <numFmt numFmtId="13" formatCode="0%"/>
    </dxf>
    <dxf>
      <numFmt numFmtId="13" formatCode="0%"/>
    </dxf>
    <dxf>
      <numFmt numFmtId="1" formatCode="0"/>
    </dxf>
    <dxf>
      <numFmt numFmtId="2" formatCode="0.00"/>
    </dxf>
    <dxf>
      <numFmt numFmtId="13" formatCode="0%"/>
    </dxf>
    <dxf>
      <numFmt numFmtId="13" formatCode="0%"/>
    </dxf>
    <dxf>
      <numFmt numFmtId="1" formatCode="0"/>
    </dxf>
    <dxf>
      <numFmt numFmtId="2" formatCode="0.00"/>
    </dxf>
    <dxf>
      <fill>
        <patternFill>
          <bgColor theme="4" tint="0.79998168889431442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4" tint="0.39997558519241921"/>
        </patternFill>
      </fill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wrapText="1" readingOrder="0"/>
    </dxf>
    <dxf>
      <border>
        <bottom/>
      </border>
    </dxf>
    <dxf>
      <border>
        <bottom/>
      </border>
    </dxf>
    <dxf>
      <fill>
        <patternFill>
          <bgColor rgb="FF0070C0"/>
        </patternFill>
      </fill>
    </dxf>
    <dxf>
      <alignment horizontal="center" readingOrder="0"/>
    </dxf>
    <dxf>
      <alignment wrapText="1" readingOrder="0"/>
    </dxf>
    <dxf>
      <alignment vertical="center" readingOrder="0"/>
    </dxf>
    <dxf>
      <font>
        <color theme="0"/>
      </font>
    </dxf>
    <dxf>
      <fill>
        <patternFill patternType="solid">
          <bgColor rgb="FF0070C0"/>
        </patternFill>
      </fill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</border>
    </dxf>
    <dxf>
      <numFmt numFmtId="13" formatCode="0%"/>
    </dxf>
    <dxf>
      <alignment horizontal="center" readingOrder="0"/>
    </dxf>
    <dxf>
      <alignment vertical="center" readingOrder="0"/>
    </dxf>
    <dxf>
      <border>
        <vertical/>
      </border>
    </dxf>
    <dxf>
      <border>
        <vertical/>
      </border>
    </dxf>
    <dxf>
      <border>
        <vertical/>
      </border>
    </dxf>
    <dxf>
      <border>
        <vertical/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font>
        <color theme="0"/>
      </font>
    </dxf>
    <dxf>
      <fill>
        <patternFill patternType="solid">
          <bgColor rgb="FF0070C0"/>
        </patternFill>
      </fill>
    </dxf>
    <dxf>
      <border>
        <right/>
        <top/>
      </border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alignment horizontal="left" readingOrder="0"/>
    </dxf>
    <dxf>
      <alignment horizontal="left" readingOrder="0"/>
    </dxf>
    <dxf>
      <border>
        <right/>
      </border>
    </dxf>
    <dxf>
      <border>
        <bottom/>
      </border>
    </dxf>
    <dxf>
      <border>
        <bottom/>
      </border>
    </dxf>
    <dxf>
      <alignment horizontal="center" readingOrder="0"/>
    </dxf>
    <dxf>
      <font>
        <color rgb="FF00B050"/>
      </font>
    </dxf>
    <dxf>
      <alignment horizontal="center" readingOrder="0"/>
    </dxf>
    <dxf>
      <font>
        <color rgb="FF00B05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top" readingOrder="0"/>
    </dxf>
    <dxf>
      <alignment vertical="top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numFmt numFmtId="13" formatCode="0%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1" readingOrder="0"/>
    </dxf>
    <dxf>
      <alignment vertical="center" readingOrder="0"/>
    </dxf>
    <dxf>
      <numFmt numFmtId="13" formatCode="0%"/>
    </dxf>
    <dxf>
      <numFmt numFmtId="3" formatCode="#,##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vertical="top" readingOrder="0"/>
    </dxf>
    <dxf>
      <alignment vertical="top" readingOrder="0"/>
    </dxf>
    <dxf>
      <alignment vertical="bottom" readingOrder="0"/>
    </dxf>
    <dxf>
      <alignment vertical="bottom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vertical="center" readingOrder="0"/>
    </dxf>
    <dxf>
      <alignment vertical="top" readingOrder="0"/>
    </dxf>
    <dxf>
      <alignment vertical="top" readingOrder="0"/>
    </dxf>
    <dxf>
      <alignment vertical="top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numFmt numFmtId="171" formatCode="_(* #,##0_);_(* \(#,##0\);_(* &quot;-&quot;??_);_(@_)"/>
    </dxf>
    <dxf>
      <numFmt numFmtId="171" formatCode="_(* #,##0_);_(* \(#,##0\);_(* &quot;-&quot;??_);_(@_)"/>
    </dxf>
    <dxf>
      <numFmt numFmtId="171" formatCode="_(* #,##0_);_(* \(#,##0\);_(* &quot;-&quot;??_);_(@_)"/>
    </dxf>
    <dxf>
      <numFmt numFmtId="171" formatCode="_(* #,##0_);_(* \(#,##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  <dxf>
      <numFmt numFmtId="178" formatCode="_(* #,##0.0_);_(* \(#,##0.0\);_(* &quot;-&quot;??_);_(@_)"/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722313</xdr:colOff>
      <xdr:row>422</xdr:row>
      <xdr:rowOff>124537</xdr:rowOff>
    </xdr:from>
    <xdr:to>
      <xdr:col>24</xdr:col>
      <xdr:colOff>55563</xdr:colOff>
      <xdr:row>425</xdr:row>
      <xdr:rowOff>123748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8449CF-739F-34B8-D7E2-E43557CF1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9188" y="71188975"/>
          <a:ext cx="5016500" cy="4992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64.183\jjbsm\FA-COMM\JJPS\GL\Accrual%20for%20g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"/>
      <sheetName val="Jun"/>
      <sheetName val="Sept "/>
      <sheetName val="Aug"/>
      <sheetName val="May"/>
      <sheetName val="Oct"/>
      <sheetName val="nov"/>
      <sheetName val="Dec"/>
      <sheetName val="Jan05"/>
      <sheetName val="Feb05"/>
      <sheetName val="Mar05"/>
      <sheetName val="Apr 05"/>
      <sheetName val="May 05"/>
      <sheetName val="Jun 05"/>
      <sheetName val="Jul 05"/>
      <sheetName val="Sept 05"/>
      <sheetName val="Aug 05"/>
      <sheetName val="Oct 05 "/>
      <sheetName val="Nov 05"/>
      <sheetName val="Feb 06"/>
      <sheetName val="Mar 06"/>
      <sheetName val="Apr 06"/>
      <sheetName val="May 06"/>
      <sheetName val="Jun 06"/>
      <sheetName val="Jul 06"/>
      <sheetName val="Aug 06"/>
      <sheetName val="Sep 06"/>
      <sheetName val="Oct 06"/>
      <sheetName val="Nov 06"/>
      <sheetName val="Jan 07"/>
      <sheetName val="Feb 07"/>
      <sheetName val="Mar 07"/>
      <sheetName val="Apr 07"/>
      <sheetName val="May 07"/>
      <sheetName val="Jun 07"/>
      <sheetName val="Jul 07"/>
      <sheetName val="Aug 07"/>
      <sheetName val="Sep 07"/>
      <sheetName val="Oct 07"/>
      <sheetName val="Nov 07"/>
      <sheetName val="Dec 07"/>
      <sheetName val="Jan08"/>
      <sheetName val="Feb08"/>
      <sheetName val="Mar08 "/>
      <sheetName val="May08"/>
      <sheetName val="Jun08 "/>
      <sheetName val="Jul08"/>
      <sheetName val="AUG08"/>
      <sheetName val="SEP 08"/>
      <sheetName val="Nov 08"/>
      <sheetName val="OCT 08"/>
      <sheetName val="Dec 08"/>
      <sheetName val="Jan 09"/>
      <sheetName val="FEb 09"/>
      <sheetName val="Mar 09"/>
      <sheetName val="Apr09"/>
      <sheetName val="Nov 09"/>
      <sheetName val="Sept 10"/>
      <sheetName val="Oct 10"/>
      <sheetName val="Aug 10"/>
      <sheetName val="July 10"/>
      <sheetName val="may 10"/>
      <sheetName val="Mar 10"/>
      <sheetName val="Feb 10"/>
      <sheetName val="Jan 10"/>
      <sheetName val="Oct 09"/>
      <sheetName val="sept09"/>
      <sheetName val="Aug 09"/>
      <sheetName val="Jul 09"/>
      <sheetName val="Jun 09"/>
      <sheetName val="May09"/>
      <sheetName val="2012-13"/>
      <sheetName val="2016-2017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G2">
            <v>319693</v>
          </cell>
          <cell r="H2">
            <v>64274.13</v>
          </cell>
          <cell r="I2">
            <v>108012.68</v>
          </cell>
        </row>
        <row r="3">
          <cell r="G3">
            <v>1E-3</v>
          </cell>
          <cell r="H3">
            <v>6245.02</v>
          </cell>
          <cell r="I3">
            <v>6245.02</v>
          </cell>
        </row>
        <row r="4">
          <cell r="G4">
            <v>-319693</v>
          </cell>
          <cell r="H4">
            <v>-121624.04</v>
          </cell>
          <cell r="I4">
            <v>-121624.04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ni MUXTAR" refreshedDate="45540.604958217591" createdVersion="6" refreshedVersion="6" minRefreshableVersion="3" recordCount="418" xr:uid="{00000000-000A-0000-FFFF-FFFFD8000000}">
  <cacheSource type="worksheet">
    <worksheetSource ref="A5:AI397" sheet="details"/>
  </cacheSource>
  <cacheFields count="42">
    <cacheField name="Material" numFmtId="0">
      <sharedItems/>
    </cacheField>
    <cacheField name="Material Description" numFmtId="0">
      <sharedItems containsBlank="1"/>
    </cacheField>
    <cacheField name="Net weight" numFmtId="0">
      <sharedItems containsBlank="1"/>
    </cacheField>
    <cacheField name="ProdHier" numFmtId="0">
      <sharedItems containsBlank="1" count="33">
        <s v="ProdHier"/>
        <s v="601041000B90000000"/>
        <s v="601041000J90000000"/>
        <s v="601061000C90000000"/>
        <s v="601051000C90000000"/>
        <s v="601061000C40000000"/>
        <s v="60200"/>
        <s v="60106V0000"/>
        <s v="60105V0000"/>
        <s v="65400S0001"/>
        <s v="6301010000"/>
        <s v="60104V0000"/>
        <s v="601041000B40000000"/>
        <s v="65000L0000"/>
        <s v="6T800"/>
        <s v="601051000B50000000"/>
        <s v="601061000J40000000"/>
        <s v="601051000B90000000"/>
        <s v="601061000B90000000"/>
        <s v="601051000B40000000"/>
        <s v="601051000C40000000"/>
        <s v="601051000B10000000"/>
        <s v="601041000B10000000"/>
        <s v="601061000B10000000"/>
        <s v="601041000J40000000"/>
        <s v="60104R0001"/>
        <s v="601041000P40000000"/>
        <s v="601041000P60000000"/>
        <s v="601061000B40000000"/>
        <s v="60105100JC50000000"/>
        <s v="601041000B60000000"/>
        <s v="601051000C50000000"/>
        <m/>
      </sharedItems>
    </cacheField>
    <cacheField name="ProdHierachy" numFmtId="0">
      <sharedItems containsBlank="1"/>
    </cacheField>
    <cacheField name="Age Bucket 01 - 03 m" numFmtId="0">
      <sharedItems containsBlank="1" containsMixedTypes="1" containsNumber="1" minValue="0" maxValue="1880305"/>
    </cacheField>
    <cacheField name="Stk Val 01-03mo" numFmtId="0">
      <sharedItems containsBlank="1" containsMixedTypes="1" containsNumber="1" minValue="0" maxValue="3904764.15"/>
    </cacheField>
    <cacheField name="Age Bucket 04 - 06 m" numFmtId="0">
      <sharedItems containsBlank="1" containsMixedTypes="1" containsNumber="1" minValue="0" maxValue="404742"/>
    </cacheField>
    <cacheField name="Stk Val 04-06mo" numFmtId="0">
      <sharedItems containsBlank="1" containsMixedTypes="1" containsNumber="1" minValue="0" maxValue="220235.41"/>
    </cacheField>
    <cacheField name="Age Bucket 07 - 12 m" numFmtId="0">
      <sharedItems containsBlank="1" containsMixedTypes="1" containsNumber="1" minValue="0" maxValue="77315"/>
    </cacheField>
    <cacheField name="Stk Val 07-12mo" numFmtId="0">
      <sharedItems containsBlank="1" containsMixedTypes="1" containsNumber="1" minValue="0" maxValue="68938.75"/>
    </cacheField>
    <cacheField name="Age Bucket 13 - 24 m" numFmtId="0">
      <sharedItems containsBlank="1" containsMixedTypes="1" containsNumber="1" minValue="0" maxValue="86400"/>
    </cacheField>
    <cacheField name="Stk Val 13-24mo" numFmtId="0">
      <sharedItems containsBlank="1" containsMixedTypes="1" containsNumber="1" minValue="0" maxValue="53657.55"/>
    </cacheField>
    <cacheField name="Age Bucket Abv 24 m" numFmtId="0">
      <sharedItems containsBlank="1" containsMixedTypes="1" containsNumber="1" minValue="0" maxValue="48000"/>
    </cacheField>
    <cacheField name="Stk Val 1Abv24mo" numFmtId="0">
      <sharedItems containsBlank="1" containsMixedTypes="1" containsNumber="1" minValue="0" maxValue="31135.79"/>
    </cacheField>
    <cacheField name="Stocks w/o Age Quantity" numFmtId="0">
      <sharedItems containsBlank="1" containsMixedTypes="1" containsNumber="1" containsInteger="1" minValue="0" maxValue="810"/>
    </cacheField>
    <cacheField name="Amount W/O age" numFmtId="0">
      <sharedItems containsBlank="1" containsMixedTypes="1" containsNumber="1" minValue="0" maxValue="380782.21"/>
    </cacheField>
    <cacheField name="Batch Quantity" numFmtId="0">
      <sharedItems containsBlank="1" containsMixedTypes="1" containsNumber="1" minValue="2E-3" maxValue="1880305"/>
    </cacheField>
    <cacheField name="Tot Stock value" numFmtId="0">
      <sharedItems containsBlank="1" containsMixedTypes="1" containsNumber="1" minValue="0" maxValue="4659513.839999998"/>
    </cacheField>
    <cacheField name="Total Provision" numFmtId="0">
      <sharedItems containsBlank="1" containsMixedTypes="1" containsNumber="1" minValue="0" maxValue="75753.039999999979"/>
    </cacheField>
    <cacheField name="Cost in LC" numFmtId="0">
      <sharedItems containsBlank="1" containsMixedTypes="1" containsNumber="1" minValue="-50.18" maxValue="5531262.5800000001"/>
    </cacheField>
    <cacheField name="Avg Cost of sales" numFmtId="0">
      <sharedItems containsBlank="1" containsMixedTypes="1" containsNumber="1" minValue="-16.726666666666699" maxValue="1843754.1933333301"/>
    </cacheField>
    <cacheField name="Stock Turn Over days" numFmtId="0">
      <sharedItems containsBlank="1" containsMixedTypes="1" containsNumber="1" minValue="0" maxValue="11874.208234023199"/>
    </cacheField>
    <cacheField name="Total weight (kg) in KIR report" numFmtId="171">
      <sharedItems containsString="0" containsBlank="1" containsNumber="1" minValue="0" maxValue="533904"/>
    </cacheField>
    <cacheField name="Extract fr Col C" numFmtId="0">
      <sharedItems containsBlank="1"/>
    </cacheField>
    <cacheField name="weight in REF Card" numFmtId="0">
      <sharedItems containsNonDate="0" containsString="0" containsBlank="1"/>
    </cacheField>
    <cacheField name="Diff Stock vs Ref Card" numFmtId="0">
      <sharedItems containsNonDate="0" containsString="0" containsBlank="1"/>
    </cacheField>
    <cacheField name="COS fr AO Sales" numFmtId="171">
      <sharedItems containsBlank="1" containsMixedTypes="1" containsNumber="1" minValue="-16.726666666666699" maxValue="161104.95000000001"/>
    </cacheField>
    <cacheField name="COS fr MC.5" numFmtId="171">
      <sharedItems containsBlank="1" containsMixedTypes="1" containsNumber="1" minValue="-16.726666666666667" maxValue="492597.21333332994"/>
    </cacheField>
    <cacheField name="Avg COS, MC.5" numFmtId="0">
      <sharedItems containsString="0" containsBlank="1" containsNumber="1" minValue="-16.726666666666699" maxValue="492597.21333332994"/>
    </cacheField>
    <cacheField name="ProdHier1" numFmtId="0">
      <sharedItems containsBlank="1" containsMixedTypes="1" containsNumber="1" containsInteger="1" minValue="60104" maxValue="65400"/>
    </cacheField>
    <cacheField name="PH LEVEL 1" numFmtId="0">
      <sharedItems containsBlank="1" count="11">
        <m/>
        <s v="PET"/>
        <s v="PP"/>
        <s v="PE"/>
        <s v="Additives"/>
        <s v="Secondary/ Component"/>
        <s v="Supplies"/>
        <s v="Mould"/>
        <s v="DEL-JAR-GENERAL" u="1"/>
        <e v="#N/A" u="1"/>
        <s v=" Additives" u="1"/>
      </sharedItems>
    </cacheField>
    <cacheField name="ProdHier12" numFmtId="0">
      <sharedItems containsBlank="1"/>
    </cacheField>
    <cacheField name="PH LEVEL 2" numFmtId="0">
      <sharedItems containsBlank="1" containsMixedTypes="1" containsNumber="1" containsInteger="1" minValue="0" maxValue="0" count="13">
        <m/>
        <s v="Bottle"/>
        <s v="Jar /Container/Tub"/>
        <s v="Closure/Lid/ Handle"/>
        <s v="Additives"/>
        <s v="Virgin grade"/>
        <s v="LABEL, IML, STICKER, SEALED ETC"/>
        <s v="Logistic &amp; Other Supplies"/>
        <s v="Mould"/>
        <s v="Recycled"/>
        <s v="Preform "/>
        <s v="Jerrycan"/>
        <n v="0" u="1"/>
      </sharedItems>
    </cacheField>
    <cacheField name="% 4-6mths" numFmtId="0" formula="'Stk Val 04-06mo'/'Tot Stock value'" databaseField="0"/>
    <cacheField name="%7-12mth" numFmtId="0" formula="'Stk Val 07-12mo'/'Tot Stock value'" databaseField="0"/>
    <cacheField name="%13-24mth" numFmtId="0" formula="'Stk Val 13-24mo'/'Tot Stock value'" databaseField="0"/>
    <cacheField name="%abv 24mth" numFmtId="0" formula="'Stk Val 1Abv24mo'/'Tot Stock value'" databaseField="0"/>
    <cacheField name="T/O Days" numFmtId="0" formula="'Tot Stock value'/'Avg COS, MC.5'*30" databaseField="0"/>
    <cacheField name="% 1-3mths" numFmtId="0" formula="'Stk Val 01-03mo'/'Tot Stock value'" databaseField="0"/>
    <cacheField name="% W/O age" numFmtId="0" formula="'Amount W/O age'/'Tot Stock value'" databaseField="0"/>
    <cacheField name="% Prov/Stock" numFmtId="0" formula="'Total Provision'/'Tot Stock valu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ni MUXTAR" refreshedDate="45540.605589583334" createdVersion="6" refreshedVersion="6" minRefreshableVersion="3" recordCount="197" xr:uid="{00000000-000A-0000-FFFF-FFFFD9000000}">
  <cacheSource type="worksheet">
    <worksheetSource ref="A1:T198" sheet=" Comparisons _working "/>
  </cacheSource>
  <cacheFields count="20">
    <cacheField name="MONTH" numFmtId="0">
      <sharedItems containsBlank="1" count="10">
        <s v="Jul'24"/>
        <s v="Aug'24"/>
        <m/>
        <s v="Apr'24" u="1"/>
        <s v="Dec'23" u="1"/>
        <s v="Jun'24" u="1"/>
        <s v="Feb'24" u="1"/>
        <s v="Jan'24" u="1"/>
        <s v="May'24" u="1"/>
        <s v="Mar'24" u="1"/>
      </sharedItems>
    </cacheField>
    <cacheField name="PH LEVEL 1" numFmtId="0">
      <sharedItems containsBlank="1" count="8">
        <s v="Additives"/>
        <s v="Mould"/>
        <s v="PE"/>
        <s v="PET"/>
        <s v="PP"/>
        <s v="Secondary/ Component"/>
        <s v="Supplies"/>
        <m/>
      </sharedItems>
    </cacheField>
    <cacheField name="PH LEVEL 2" numFmtId="0">
      <sharedItems containsBlank="1" count="12">
        <s v="Additives"/>
        <s v="Mould"/>
        <s v="Bottle"/>
        <s v="Closure/Lid/ Handle"/>
        <s v="Jerrycan"/>
        <s v="Virgin grade"/>
        <s v="Jar /Container/Tub"/>
        <s v="Preform "/>
        <s v="Recycled"/>
        <s v="LABEL, IML, STICKER, SEALED ETC"/>
        <s v="Logistic &amp; Other Supplies"/>
        <m/>
      </sharedItems>
    </cacheField>
    <cacheField name="Total Stock value" numFmtId="171">
      <sharedItems containsString="0" containsBlank="1" containsNumber="1" minValue="0" maxValue="750671.75"/>
    </cacheField>
    <cacheField name=" Amount W/O age" numFmtId="171">
      <sharedItems containsString="0" containsBlank="1" containsNumber="1" minValue="0" maxValue="380628.31"/>
    </cacheField>
    <cacheField name=" % W/O age" numFmtId="9">
      <sharedItems containsString="0" containsBlank="1" containsNumber="1" minValue="0" maxValue="1"/>
    </cacheField>
    <cacheField name=" Stk Val 01-03mo" numFmtId="171">
      <sharedItems containsString="0" containsBlank="1" containsNumber="1" minValue="0" maxValue="740379.79"/>
    </cacheField>
    <cacheField name=" % 1-3mths" numFmtId="9">
      <sharedItems containsString="0" containsBlank="1" containsNumber="1" minValue="0" maxValue="1"/>
    </cacheField>
    <cacheField name=" Stk Val 04-06mo" numFmtId="171">
      <sharedItems containsString="0" containsBlank="1" containsNumber="1" minValue="0" maxValue="122342.73000000001"/>
    </cacheField>
    <cacheField name=" % 4-6mths" numFmtId="9">
      <sharedItems containsString="0" containsBlank="1" containsNumber="1" minValue="0" maxValue="0.38000978796896107"/>
    </cacheField>
    <cacheField name=" Stk Val 07-12mo" numFmtId="171">
      <sharedItems containsString="0" containsBlank="1" containsNumber="1" minValue="0" maxValue="11857.7"/>
    </cacheField>
    <cacheField name=" %7-12mth" numFmtId="9">
      <sharedItems containsString="0" containsBlank="1" containsNumber="1" minValue="0" maxValue="5.8241224950343867E-2"/>
    </cacheField>
    <cacheField name=" Stk Val 13-24mo" numFmtId="171">
      <sharedItems containsString="0" containsBlank="1" containsNumber="1" minValue="0" maxValue="17232.599999999999"/>
    </cacheField>
    <cacheField name=" %13-24mth" numFmtId="9">
      <sharedItems containsString="0" containsBlank="1" containsNumber="1" minValue="0" maxValue="6.1537059835738296E-2"/>
    </cacheField>
    <cacheField name=" Stk Val 1Abv24mo" numFmtId="171">
      <sharedItems containsString="0" containsBlank="1" containsNumber="1" minValue="0" maxValue="11505.130000000001"/>
    </cacheField>
    <cacheField name=" %abv 24mth" numFmtId="9">
      <sharedItems containsString="0" containsBlank="1" containsNumber="1" minValue="0" maxValue="6.5782618490281664E-2"/>
    </cacheField>
    <cacheField name=" Total Provision" numFmtId="171">
      <sharedItems containsString="0" containsBlank="1" containsNumber="1" minValue="0" maxValue="18598.389999999996"/>
    </cacheField>
    <cacheField name=" Avg COS, MC.5" numFmtId="171">
      <sharedItems containsString="0" containsBlank="1" containsNumber="1" minValue="0" maxValue="685418.31666666688"/>
    </cacheField>
    <cacheField name=" % Prov/Stock" numFmtId="9">
      <sharedItems containsString="0" containsBlank="1" containsNumber="1" minValue="0" maxValue="0.10586776613785778"/>
    </cacheField>
    <cacheField name=" T/O Days" numFmtId="3">
      <sharedItems containsString="0" containsBlank="1" containsNumber="1" minValue="0" maxValue="237.670588235294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s Aifaa NAZLI" refreshedDate="46177.427715393518" createdVersion="8" refreshedVersion="8" minRefreshableVersion="3" recordCount="416" xr:uid="{F7F6BAB4-D7BE-4261-82AD-F1F9D5532E70}">
  <cacheSource type="worksheet">
    <worksheetSource ref="A5:AI421" sheet="details"/>
  </cacheSource>
  <cacheFields count="43">
    <cacheField name="Material Group" numFmtId="0">
      <sharedItems count="4">
        <s v="Material Group"/>
        <s v="FG"/>
        <s v="PK"/>
        <s v="RM"/>
      </sharedItems>
    </cacheField>
    <cacheField name="MG1" numFmtId="0">
      <sharedItems containsBlank="1"/>
    </cacheField>
    <cacheField name="Material" numFmtId="0">
      <sharedItems containsMixedTypes="1" containsNumber="1" containsInteger="1" minValue="322382" maxValue="664786"/>
    </cacheField>
    <cacheField name="Material Description" numFmtId="0">
      <sharedItems containsBlank="1"/>
    </cacheField>
    <cacheField name="Net weight" numFmtId="0">
      <sharedItems/>
    </cacheField>
    <cacheField name="PH Level1" numFmtId="0">
      <sharedItems containsMixedTypes="1" containsNumber="1" containsInteger="1" minValue="60104" maxValue="65400"/>
    </cacheField>
    <cacheField name="PH Level2" numFmtId="0">
      <sharedItems containsMixedTypes="1" containsNumber="1" containsInteger="1" minValue="6010720000" maxValue="6010720000"/>
    </cacheField>
    <cacheField name="PH Level3" numFmtId="0">
      <sharedItems/>
    </cacheField>
    <cacheField name="ProdHier" numFmtId="0">
      <sharedItems count="34">
        <s v="ProdHier"/>
        <s v="601041000B90000000"/>
        <s v="601041000J90000000"/>
        <s v="601061000C90000000"/>
        <s v="601051000C90000000"/>
        <s v="601061000C40000000"/>
        <s v="65400S0001"/>
        <s v="601041000B40000000"/>
        <s v="6T800"/>
        <s v="601051000B50000000"/>
        <s v="601061000J40000000"/>
        <s v="601051000B90000000"/>
        <s v="601061000B90000000"/>
        <s v="601051000B40000000"/>
        <s v="601051000C40000000"/>
        <s v="601041000B"/>
        <s v="601061000B10000000"/>
        <s v="601041000J40000000"/>
        <s v="60105100JC50000000"/>
        <s v="601041000B60000000"/>
        <s v="601051000C50000000"/>
        <s v="601061000J90000000"/>
        <s v="601072000020000000"/>
        <s v="65000L0000"/>
        <s v="60200"/>
        <s v="60106V0000"/>
        <s v="60105V0000"/>
        <s v="60104V0000"/>
        <s v="60104R0001"/>
        <s v="601041000P40000000"/>
        <s v="601041000P90000000"/>
        <s v="60106R0000"/>
        <s v="60105R0000"/>
        <s v="60107V0000"/>
      </sharedItems>
    </cacheField>
    <cacheField name="ProdHierachy" numFmtId="0">
      <sharedItems/>
    </cacheField>
    <cacheField name="Age Bucket 01 - 03 m" numFmtId="0">
      <sharedItems containsBlank="1" containsMixedTypes="1" containsNumber="1" minValue="0" maxValue="712800"/>
    </cacheField>
    <cacheField name="Stk Val 01-03mo" numFmtId="0">
      <sharedItems containsBlank="1" containsMixedTypes="1" containsNumber="1" minValue="0" maxValue="482070.84"/>
    </cacheField>
    <cacheField name="Age Bucket 04 - 06 m" numFmtId="0">
      <sharedItems containsBlank="1" containsMixedTypes="1" containsNumber="1" minValue="0" maxValue="100050"/>
    </cacheField>
    <cacheField name="Stk Val 04-06mo" numFmtId="0">
      <sharedItems containsBlank="1" containsMixedTypes="1" containsNumber="1" minValue="0" maxValue="68950.929999999993"/>
    </cacheField>
    <cacheField name="Age Bucket 07 - 12 m" numFmtId="0">
      <sharedItems containsBlank="1" containsMixedTypes="1" containsNumber="1" minValue="0" maxValue="72000"/>
    </cacheField>
    <cacheField name="Stk Val 07-12mo" numFmtId="0">
      <sharedItems containsBlank="1" containsMixedTypes="1" containsNumber="1" minValue="0" maxValue="15050.4"/>
    </cacheField>
    <cacheField name="Age Bucket 13 - 24 m" numFmtId="0">
      <sharedItems containsBlank="1" containsMixedTypes="1" containsNumber="1" minValue="0" maxValue="29952"/>
    </cacheField>
    <cacheField name="Stk Val 13-24mo" numFmtId="0">
      <sharedItems containsBlank="1" containsMixedTypes="1" containsNumber="1" minValue="0" maxValue="47695.57"/>
    </cacheField>
    <cacheField name="Age Bucket Abv 24 m" numFmtId="0">
      <sharedItems containsBlank="1" containsMixedTypes="1" containsNumber="1" minValue="0" maxValue="15900"/>
    </cacheField>
    <cacheField name="Stk Val 1Abv24mo" numFmtId="0">
      <sharedItems containsBlank="1" containsMixedTypes="1" containsNumber="1" minValue="0" maxValue="1231.06"/>
    </cacheField>
    <cacheField name="Stocks w/o Age Quantity" numFmtId="0">
      <sharedItems containsBlank="1" containsMixedTypes="1" containsNumber="1" containsInteger="1" minValue="0" maxValue="810"/>
    </cacheField>
    <cacheField name="Amount W/O age" numFmtId="0">
      <sharedItems containsBlank="1" containsMixedTypes="1" containsNumber="1" minValue="0" maxValue="1201517.21"/>
    </cacheField>
    <cacheField name="Batch Quantity" numFmtId="0">
      <sharedItems containsBlank="1" containsMixedTypes="1" containsNumber="1" minValue="1.038" maxValue="713610"/>
    </cacheField>
    <cacheField name="Tot Stock value" numFmtId="0">
      <sharedItems containsBlank="1" containsMixedTypes="1" containsNumber="1" minValue="0" maxValue="1201517.21"/>
    </cacheField>
    <cacheField name="Total Provision" numFmtId="0">
      <sharedItems containsBlank="1" containsMixedTypes="1" containsNumber="1" minValue="0" maxValue="23849.69"/>
    </cacheField>
    <cacheField name="Cost in LC" numFmtId="0">
      <sharedItems containsBlank="1" containsMixedTypes="1" containsNumber="1" minValue="-342.2" maxValue="490779.21"/>
    </cacheField>
    <cacheField name="Avg Cost of sales" numFmtId="0">
      <sharedItems containsBlank="1" containsMixedTypes="1" containsNumber="1" minValue="-114.066666666667" maxValue="163593.07"/>
    </cacheField>
    <cacheField name="Stock Turn Over days" numFmtId="0">
      <sharedItems containsBlank="1" containsMixedTypes="1" containsNumber="1" minValue="-22836.022514071301" maxValue="37124.807758031398"/>
    </cacheField>
    <cacheField name="Total weight (kg) in KIR report" numFmtId="171">
      <sharedItems containsString="0" containsBlank="1" containsNumber="1" minValue="0" maxValue="106179.37699999999"/>
    </cacheField>
    <cacheField name="Extract fr Col C" numFmtId="0">
      <sharedItems/>
    </cacheField>
    <cacheField name="COS fr AO Sales" numFmtId="171">
      <sharedItems containsString="0" containsBlank="1" containsNumber="1" minValue="-114.066666666667" maxValue="163593.07"/>
    </cacheField>
    <cacheField name="COS fr MC.5" numFmtId="171">
      <sharedItems containsMixedTypes="1" containsNumber="1" minValue="-744.84333333333336" maxValue="433918.70333333337"/>
    </cacheField>
    <cacheField name="Avg COS, MC.5" numFmtId="171">
      <sharedItems containsString="0" containsBlank="1" containsNumber="1" minValue="-744.84333333333336" maxValue="433918.70333333337"/>
    </cacheField>
    <cacheField name="PH LV1" numFmtId="0">
      <sharedItems containsBlank="1" count="9">
        <m/>
        <s v="PET"/>
        <s v="PP"/>
        <s v="PE"/>
        <s v="Secondary/ Component"/>
        <s v="Mould"/>
        <s v="Nylon"/>
        <s v="Supplies"/>
        <s v="Additives"/>
      </sharedItems>
    </cacheField>
    <cacheField name="PH LV2" numFmtId="0">
      <sharedItems containsBlank="1" count="14">
        <m/>
        <s v="Bottle"/>
        <s v="Jar /Container/Tub"/>
        <s v="Closure/Lid/ Handle"/>
        <s v="LABEL, IML, STICKER, SEALED ETC"/>
        <s v="Mould"/>
        <s v="Jerrycan"/>
        <s v="Component"/>
        <s v="Logistic &amp; Other Supplies"/>
        <s v="Additives"/>
        <s v="Virgin grade"/>
        <s v="Recycled"/>
        <s v="Preform "/>
        <s v="Internal Regrind"/>
      </sharedItems>
    </cacheField>
    <cacheField name="% 4-6mths" numFmtId="0" formula="'Stk Val 04-06mo'/'Tot Stock value'" databaseField="0"/>
    <cacheField name="%7-12mth" numFmtId="0" formula="'Stk Val 07-12mo'/'Tot Stock value'" databaseField="0"/>
    <cacheField name="%13-24mth" numFmtId="0" formula="'Stk Val 13-24mo'/'Tot Stock value'" databaseField="0"/>
    <cacheField name="%abv 24mth" numFmtId="0" formula="'Stk Val 1Abv24mo'/'Tot Stock value'" databaseField="0"/>
    <cacheField name="T/O Days" numFmtId="0" formula="'Tot Stock value'/'Avg COS, MC.5'*30" databaseField="0"/>
    <cacheField name="% 1-3mths" numFmtId="0" formula="'Stk Val 01-03mo'/'Tot Stock value'" databaseField="0"/>
    <cacheField name="% W/O age" numFmtId="0" formula="'Amount W/O age'/'Tot Stock value'" databaseField="0"/>
    <cacheField name="% Prov/Stock" numFmtId="0" formula="'Total Provision'/'Tot Stock valu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8">
  <r>
    <s v="Material"/>
    <m/>
    <s v="Net weight"/>
    <x v="0"/>
    <s v=""/>
    <s v=""/>
    <s v="MYR"/>
    <s v=""/>
    <s v="MYR"/>
    <s v=""/>
    <s v="MYR"/>
    <s v=""/>
    <s v="MYR"/>
    <s v=""/>
    <s v="MYR"/>
    <s v=""/>
    <s v="MYR"/>
    <s v=""/>
    <s v="MYR"/>
    <s v="MYR"/>
    <s v="MYR"/>
    <s v="MYR"/>
    <s v=""/>
    <m/>
    <s v="Net w"/>
    <m/>
    <m/>
    <s v="COS fr AO Sales"/>
    <s v="COS fr MC.5"/>
    <m/>
    <m/>
    <x v="0"/>
    <m/>
    <x v="0"/>
  </r>
  <r>
    <s v="322383"/>
    <s v="BB38-0060-R-R-CL"/>
    <s v="12.500 G"/>
    <x v="1"/>
    <s v="Others"/>
    <n v="38500"/>
    <n v="5775"/>
    <n v="0"/>
    <n v="0"/>
    <n v="0"/>
    <n v="0"/>
    <n v="0"/>
    <n v="0"/>
    <n v="0"/>
    <n v="0"/>
    <n v="0"/>
    <n v="0"/>
    <n v="38500"/>
    <n v="5775"/>
    <n v="0"/>
    <n v="9955"/>
    <n v="3318.3333333333298"/>
    <n v="52.209944751381201"/>
    <n v="481.25"/>
    <s v="12.50"/>
    <m/>
    <m/>
    <n v="3318.3333333333298"/>
    <n v="3318.3333333333335"/>
    <n v="3318.3333333333298"/>
    <n v="60104"/>
    <x v="1"/>
    <s v="601041000B"/>
    <x v="1"/>
  </r>
  <r>
    <s v="322389"/>
    <s v="BB38-0090-R-R-CL"/>
    <s v="12.500 G"/>
    <x v="1"/>
    <s v="Others"/>
    <n v="32760"/>
    <n v="5241.6000000000004"/>
    <n v="0"/>
    <n v="0"/>
    <n v="0"/>
    <n v="0"/>
    <n v="0"/>
    <n v="0"/>
    <n v="0"/>
    <n v="0"/>
    <n v="0"/>
    <n v="0"/>
    <n v="32760"/>
    <n v="5241.6000000000004"/>
    <n v="0"/>
    <n v="14469"/>
    <n v="4823"/>
    <n v="32.603773584905703"/>
    <n v="409.5"/>
    <s v="12.50"/>
    <m/>
    <m/>
    <n v="4823"/>
    <n v="4823"/>
    <n v="4823"/>
    <n v="60104"/>
    <x v="1"/>
    <s v="601041000B"/>
    <x v="1"/>
  </r>
  <r>
    <s v="322394"/>
    <s v="BX38-0100-C-R-AM"/>
    <s v="20.000 G"/>
    <x v="1"/>
    <s v="Others"/>
    <m/>
    <m/>
    <m/>
    <m/>
    <m/>
    <m/>
    <m/>
    <m/>
    <m/>
    <m/>
    <m/>
    <m/>
    <m/>
    <m/>
    <m/>
    <n v="4233.6000000000004"/>
    <n v="1411.2"/>
    <m/>
    <n v="0"/>
    <s v="20.00"/>
    <m/>
    <m/>
    <n v="1411.2"/>
    <n v="1411.2"/>
    <n v="1411.2"/>
    <n v="60104"/>
    <x v="1"/>
    <s v="601041000B"/>
    <x v="1"/>
  </r>
  <r>
    <s v="322405"/>
    <s v="BX38-0150-C-R-CL"/>
    <s v="20.000 G"/>
    <x v="1"/>
    <s v="Others"/>
    <n v="6240"/>
    <n v="1248"/>
    <n v="0"/>
    <n v="0"/>
    <n v="234"/>
    <n v="46.8"/>
    <n v="0"/>
    <n v="0"/>
    <n v="0"/>
    <n v="0"/>
    <n v="0"/>
    <n v="0"/>
    <n v="6474"/>
    <n v="1294.8"/>
    <n v="10.4"/>
    <n v="1152"/>
    <n v="384"/>
    <n v="101.15625"/>
    <n v="129.47999999999999"/>
    <s v="20.00"/>
    <m/>
    <m/>
    <n v="384"/>
    <n v="384"/>
    <n v="384"/>
    <n v="60104"/>
    <x v="1"/>
    <s v="601041000B"/>
    <x v="1"/>
  </r>
  <r>
    <s v="322409"/>
    <s v="JJ63-0190-E-Q-CL-LW"/>
    <s v="24.000 G"/>
    <x v="2"/>
    <s v="Others"/>
    <n v="32384"/>
    <n v="6800.64"/>
    <n v="0"/>
    <n v="0"/>
    <n v="0"/>
    <n v="0"/>
    <n v="0"/>
    <n v="0"/>
    <n v="0"/>
    <n v="0"/>
    <n v="0"/>
    <n v="0"/>
    <n v="32384"/>
    <n v="6800.64"/>
    <n v="0"/>
    <n v="3447.36"/>
    <n v="1149.1199999999999"/>
    <n v="177.54385964912299"/>
    <n v="777.21600000000001"/>
    <s v="24.00"/>
    <m/>
    <m/>
    <n v="1149.1199999999999"/>
    <n v="4287.569999999967"/>
    <n v="1149.1199999999999"/>
    <n v="60104"/>
    <x v="1"/>
    <s v="601041000J"/>
    <x v="2"/>
  </r>
  <r>
    <s v="322411"/>
    <s v="JJ63-0200-S-Q-CL"/>
    <s v="24.000 G"/>
    <x v="2"/>
    <s v="Others"/>
    <n v="0"/>
    <n v="0"/>
    <n v="10800"/>
    <n v="2268"/>
    <n v="0"/>
    <n v="0"/>
    <n v="0"/>
    <n v="0"/>
    <n v="0"/>
    <n v="0"/>
    <n v="0"/>
    <n v="0"/>
    <n v="10800"/>
    <n v="2268"/>
    <n v="0"/>
    <n v="3402"/>
    <n v="1134"/>
    <n v="60"/>
    <n v="259.2"/>
    <s v="24.00"/>
    <m/>
    <m/>
    <n v="1134"/>
    <n v="1134"/>
    <n v="1134"/>
    <n v="60104"/>
    <x v="1"/>
    <s v="601041000J"/>
    <x v="2"/>
  </r>
  <r>
    <s v="322412"/>
    <s v="JJ63-0200-R-R-CL"/>
    <s v="24.000 G"/>
    <x v="2"/>
    <s v="Others"/>
    <n v="28420"/>
    <n v="5968.2"/>
    <n v="0"/>
    <n v="0"/>
    <n v="0"/>
    <n v="0"/>
    <n v="0"/>
    <n v="0"/>
    <n v="0"/>
    <n v="0"/>
    <n v="0"/>
    <n v="0"/>
    <n v="28420"/>
    <n v="5968.2"/>
    <n v="0"/>
    <n v="15133.65"/>
    <n v="5044.55"/>
    <n v="35.492957746478901"/>
    <n v="682.08"/>
    <s v="24.00"/>
    <m/>
    <m/>
    <n v="5044.55"/>
    <n v="5044.55"/>
    <n v="5044.55"/>
    <n v="60104"/>
    <x v="1"/>
    <s v="601041000J"/>
    <x v="2"/>
  </r>
  <r>
    <s v="322419"/>
    <s v="JJ63-0240-R-R-CL"/>
    <s v="24.800 G"/>
    <x v="2"/>
    <s v="Others"/>
    <n v="6959"/>
    <n v="1461.39"/>
    <n v="0"/>
    <n v="0"/>
    <n v="0"/>
    <n v="0"/>
    <n v="0"/>
    <n v="0"/>
    <n v="0"/>
    <n v="0"/>
    <n v="0"/>
    <n v="0"/>
    <n v="6959"/>
    <n v="1461.39"/>
    <n v="0"/>
    <n v="1107"/>
    <n v="369"/>
    <n v="118.81219512195101"/>
    <n v="172.58320000000001"/>
    <s v="24.80"/>
    <m/>
    <m/>
    <n v="369"/>
    <n v="889.87"/>
    <n v="369"/>
    <n v="60104"/>
    <x v="1"/>
    <s v="601041000J"/>
    <x v="2"/>
  </r>
  <r>
    <s v="322420"/>
    <s v="JJ63-0240-RS-R-CL"/>
    <s v="24.800 G"/>
    <x v="2"/>
    <s v="Others"/>
    <n v="7560"/>
    <n v="1738.8"/>
    <n v="0"/>
    <n v="0"/>
    <n v="0"/>
    <n v="0"/>
    <n v="0"/>
    <n v="0"/>
    <n v="0"/>
    <n v="0"/>
    <n v="0"/>
    <n v="0"/>
    <n v="7560"/>
    <n v="1738.8"/>
    <n v="0"/>
    <n v="3250.8"/>
    <n v="1083.5999999999999"/>
    <n v="48.139534883720899"/>
    <n v="187.488"/>
    <s v="24.80"/>
    <m/>
    <m/>
    <n v="1083.5999999999999"/>
    <n v="1083.6000000000001"/>
    <n v="1083.5999999999999"/>
    <n v="60104"/>
    <x v="1"/>
    <s v="601041000J"/>
    <x v="2"/>
  </r>
  <r>
    <s v="322422"/>
    <s v="JJ63-0250-S-Q-CL-HW"/>
    <s v="34.000 G"/>
    <x v="2"/>
    <s v="Others"/>
    <m/>
    <m/>
    <m/>
    <m/>
    <m/>
    <m/>
    <m/>
    <m/>
    <m/>
    <m/>
    <m/>
    <m/>
    <m/>
    <m/>
    <m/>
    <n v="2673"/>
    <n v="891"/>
    <m/>
    <n v="0"/>
    <s v="34.00"/>
    <m/>
    <m/>
    <n v="891"/>
    <n v="891"/>
    <n v="891"/>
    <n v="60104"/>
    <x v="1"/>
    <s v="601041000J"/>
    <x v="2"/>
  </r>
  <r>
    <s v="322424"/>
    <s v="JJ63-0270-E-Q-CL"/>
    <s v="34.500 G"/>
    <x v="2"/>
    <s v="Others"/>
    <m/>
    <m/>
    <m/>
    <m/>
    <m/>
    <m/>
    <m/>
    <m/>
    <m/>
    <m/>
    <m/>
    <m/>
    <m/>
    <m/>
    <m/>
    <n v="3600"/>
    <n v="1200"/>
    <m/>
    <n v="0"/>
    <s v="34.50"/>
    <m/>
    <m/>
    <n v="1200"/>
    <n v="1200"/>
    <n v="1200"/>
    <n v="60104"/>
    <x v="1"/>
    <s v="601041000J"/>
    <x v="2"/>
  </r>
  <r>
    <s v="322428"/>
    <s v="BC28-0300-PC-R-CL"/>
    <s v="23.000 G"/>
    <x v="1"/>
    <s v="Others"/>
    <n v="30240"/>
    <n v="6048"/>
    <n v="6300"/>
    <n v="1260"/>
    <n v="0"/>
    <n v="0"/>
    <n v="0"/>
    <n v="0"/>
    <n v="0"/>
    <n v="0"/>
    <n v="0"/>
    <n v="0"/>
    <n v="36540"/>
    <n v="7308"/>
    <n v="0"/>
    <n v="4460.3999999999996"/>
    <n v="1486.8"/>
    <n v="147.45762711864401"/>
    <n v="840.42"/>
    <s v="23.00"/>
    <m/>
    <m/>
    <n v="1486.8"/>
    <n v="1486.7999999999965"/>
    <n v="1486.8"/>
    <n v="60104"/>
    <x v="1"/>
    <s v="601041000B"/>
    <x v="1"/>
  </r>
  <r>
    <s v="322429"/>
    <s v="JJ63-0300-R-R-CL"/>
    <s v="24.000 G"/>
    <x v="2"/>
    <s v="Others"/>
    <n v="24360"/>
    <n v="4872"/>
    <n v="0"/>
    <n v="0"/>
    <n v="0"/>
    <n v="0"/>
    <n v="0"/>
    <n v="0"/>
    <n v="0"/>
    <n v="0"/>
    <n v="0"/>
    <n v="0"/>
    <n v="24360"/>
    <n v="4872"/>
    <n v="0"/>
    <n v="6211.8"/>
    <n v="2070.6"/>
    <n v="70.588235294117695"/>
    <n v="584.64"/>
    <s v="24.00"/>
    <m/>
    <m/>
    <n v="2070.6"/>
    <n v="2070.6"/>
    <n v="2070.6"/>
    <n v="60104"/>
    <x v="1"/>
    <s v="601041000J"/>
    <x v="2"/>
  </r>
  <r>
    <s v="322431"/>
    <s v="JJ63-0310-R-R-CL"/>
    <s v="24.900 G"/>
    <x v="2"/>
    <s v="Others"/>
    <n v="6240"/>
    <n v="1372.8"/>
    <n v="0"/>
    <n v="0"/>
    <n v="0"/>
    <n v="0"/>
    <n v="0"/>
    <n v="0"/>
    <n v="0"/>
    <n v="0"/>
    <n v="0"/>
    <n v="0"/>
    <n v="6240"/>
    <n v="1372.8"/>
    <n v="0"/>
    <n v="1341.6"/>
    <n v="447.2"/>
    <n v="92.093023255813904"/>
    <n v="155.376"/>
    <s v="24.90"/>
    <m/>
    <m/>
    <n v="447.2"/>
    <n v="447.19999999999663"/>
    <n v="447.2"/>
    <n v="60104"/>
    <x v="1"/>
    <s v="601041000J"/>
    <x v="2"/>
  </r>
  <r>
    <s v="322435"/>
    <s v="JJ63-0350-NH-R-CL"/>
    <s v="34.500 G"/>
    <x v="2"/>
    <s v="Others"/>
    <m/>
    <m/>
    <m/>
    <m/>
    <m/>
    <m/>
    <m/>
    <m/>
    <m/>
    <m/>
    <m/>
    <m/>
    <m/>
    <m/>
    <m/>
    <n v="4422.6000000000004"/>
    <n v="1474.2"/>
    <m/>
    <n v="0"/>
    <s v="34.50"/>
    <m/>
    <m/>
    <n v="1474.2"/>
    <n v="1474.2"/>
    <n v="1474.2"/>
    <n v="60104"/>
    <x v="1"/>
    <s v="601041000J"/>
    <x v="2"/>
  </r>
  <r>
    <s v="322436"/>
    <s v="JJ63-0350-R-R-CL"/>
    <s v="32.820 G"/>
    <x v="2"/>
    <s v="Others"/>
    <n v="0"/>
    <n v="0"/>
    <n v="18270"/>
    <n v="4750.2"/>
    <n v="0"/>
    <n v="0"/>
    <n v="0"/>
    <n v="0"/>
    <n v="0"/>
    <n v="0"/>
    <n v="0"/>
    <n v="0"/>
    <n v="18270"/>
    <n v="4750.2"/>
    <n v="0"/>
    <n v="5196.8"/>
    <n v="1732.2666666666701"/>
    <n v="82.265625"/>
    <n v="599.62139999999999"/>
    <s v="32.82"/>
    <m/>
    <m/>
    <n v="1732.2666666666701"/>
    <n v="1732.2666666666667"/>
    <n v="1732.2666666666701"/>
    <n v="60104"/>
    <x v="1"/>
    <s v="601041000J"/>
    <x v="2"/>
  </r>
  <r>
    <s v="322438"/>
    <s v="BC28-0355-A-Q-CL"/>
    <s v="23.000 G"/>
    <x v="1"/>
    <s v="Others"/>
    <n v="54104"/>
    <n v="11902.88"/>
    <n v="4230"/>
    <n v="930.6"/>
    <n v="0"/>
    <n v="0"/>
    <n v="0"/>
    <n v="0"/>
    <n v="0"/>
    <n v="0"/>
    <n v="0"/>
    <n v="0"/>
    <n v="58334"/>
    <n v="12833.48"/>
    <n v="0"/>
    <n v="6762.35"/>
    <n v="2254.11666666667"/>
    <n v="170.800564892382"/>
    <n v="1341.682"/>
    <s v="23.00"/>
    <m/>
    <m/>
    <n v="2254.11666666667"/>
    <n v="2254.1199999999967"/>
    <n v="2254.11666666667"/>
    <n v="60104"/>
    <x v="1"/>
    <s v="601041000B"/>
    <x v="1"/>
  </r>
  <r>
    <s v="322442"/>
    <s v="JJ63-0400-EH-R-CL"/>
    <s v="34.500 G"/>
    <x v="2"/>
    <s v="Others"/>
    <n v="0"/>
    <n v="0"/>
    <n v="20280"/>
    <n v="5272.8"/>
    <n v="0"/>
    <n v="0"/>
    <n v="0"/>
    <n v="0"/>
    <n v="0"/>
    <n v="0"/>
    <n v="0"/>
    <n v="0"/>
    <n v="20280"/>
    <n v="5272.8"/>
    <n v="0"/>
    <n v="1419.6"/>
    <n v="473.2"/>
    <n v="334.28571428571399"/>
    <n v="699.66"/>
    <s v="34.50"/>
    <m/>
    <m/>
    <n v="473.2"/>
    <n v="473.19999999999663"/>
    <n v="473.2"/>
    <n v="60104"/>
    <x v="1"/>
    <s v="601041000J"/>
    <x v="2"/>
  </r>
  <r>
    <s v="322444"/>
    <s v="JJ63-0400-RH-R-CL"/>
    <s v="34.500 G"/>
    <x v="2"/>
    <s v="Others"/>
    <n v="0"/>
    <n v="0"/>
    <n v="8820"/>
    <n v="2381.4"/>
    <n v="0"/>
    <n v="0"/>
    <n v="0"/>
    <n v="0"/>
    <n v="0"/>
    <n v="0"/>
    <n v="0"/>
    <n v="0"/>
    <n v="8820"/>
    <n v="2381.4"/>
    <n v="0"/>
    <m/>
    <m/>
    <n v="0"/>
    <n v="304.29000000000002"/>
    <s v="34.50"/>
    <m/>
    <m/>
    <n v="0"/>
    <n v="0"/>
    <n v="0"/>
    <n v="60104"/>
    <x v="1"/>
    <s v="601041000J"/>
    <x v="2"/>
  </r>
  <r>
    <s v="322445"/>
    <s v="JJ63-0400-SH-S-CL"/>
    <s v="33.000 G"/>
    <x v="2"/>
    <s v="Others"/>
    <n v="184636"/>
    <n v="49851.72"/>
    <n v="0"/>
    <n v="0"/>
    <n v="0"/>
    <n v="0"/>
    <n v="0"/>
    <n v="0"/>
    <n v="0"/>
    <n v="0"/>
    <n v="0"/>
    <n v="0"/>
    <n v="184636"/>
    <n v="49851.72"/>
    <n v="0"/>
    <n v="84396.61"/>
    <n v="28132.203333333298"/>
    <n v="53.161552341971998"/>
    <n v="6092.9880000000003"/>
    <s v="33.00"/>
    <m/>
    <m/>
    <n v="28132.203333333298"/>
    <n v="28132.2"/>
    <n v="28132.203333333298"/>
    <n v="60104"/>
    <x v="1"/>
    <s v="601041000J"/>
    <x v="2"/>
  </r>
  <r>
    <s v="322448"/>
    <s v="BCY28-0500-W-R-CL"/>
    <s v="40.600 G"/>
    <x v="1"/>
    <s v="Others"/>
    <n v="98010"/>
    <n v="30383.1"/>
    <n v="0"/>
    <n v="0"/>
    <n v="0"/>
    <n v="0"/>
    <n v="0"/>
    <n v="0"/>
    <n v="0"/>
    <n v="0"/>
    <n v="0"/>
    <n v="0"/>
    <n v="98010"/>
    <n v="30383.1"/>
    <n v="0"/>
    <n v="72316.800000000003"/>
    <n v="24105.599999999999"/>
    <n v="37.8125"/>
    <n v="3979.2060000000001"/>
    <s v="40.60"/>
    <m/>
    <m/>
    <n v="24105.599999999999"/>
    <n v="24105.600000000002"/>
    <n v="24105.599999999999"/>
    <n v="60104"/>
    <x v="1"/>
    <s v="601041000B"/>
    <x v="1"/>
  </r>
  <r>
    <s v="322451"/>
    <s v="BC28-0500-WNHP-R-BR"/>
    <s v="45.600 G"/>
    <x v="1"/>
    <s v="Others"/>
    <n v="6048"/>
    <n v="2540.16"/>
    <n v="9576"/>
    <n v="4021.92"/>
    <n v="0"/>
    <n v="0"/>
    <n v="0"/>
    <n v="0"/>
    <n v="0"/>
    <n v="0"/>
    <n v="0"/>
    <n v="0"/>
    <n v="15624"/>
    <n v="6562.08"/>
    <n v="0"/>
    <n v="7489.44"/>
    <n v="2496.48"/>
    <n v="78.855989232839804"/>
    <n v="712.45440000000008"/>
    <s v="45.60"/>
    <m/>
    <m/>
    <n v="2496.48"/>
    <n v="2496.4799999999964"/>
    <n v="2496.48"/>
    <n v="60104"/>
    <x v="1"/>
    <s v="601041000B"/>
    <x v="1"/>
  </r>
  <r>
    <s v="322452"/>
    <s v="JJ63-0500-RH-R-CL"/>
    <s v="34.500 G"/>
    <x v="2"/>
    <s v="Others"/>
    <n v="34944"/>
    <n v="9085.44"/>
    <n v="3022"/>
    <n v="785.72"/>
    <n v="0"/>
    <n v="0"/>
    <n v="0"/>
    <n v="0"/>
    <n v="0"/>
    <n v="0"/>
    <n v="0"/>
    <n v="0"/>
    <n v="37966"/>
    <n v="9871.16"/>
    <n v="0"/>
    <n v="6689.28"/>
    <n v="2229.7600000000002"/>
    <n v="132.810167910448"/>
    <n v="1309.827"/>
    <s v="34.50"/>
    <m/>
    <m/>
    <n v="2229.7600000000002"/>
    <n v="2229.7599999999966"/>
    <n v="2229.7600000000002"/>
    <n v="60104"/>
    <x v="1"/>
    <s v="601041000J"/>
    <x v="2"/>
  </r>
  <r>
    <s v="322459"/>
    <s v="BCY28-0500-TR-R-CL"/>
    <s v="40.500 G"/>
    <x v="1"/>
    <s v="Others"/>
    <m/>
    <m/>
    <m/>
    <m/>
    <m/>
    <m/>
    <m/>
    <m/>
    <m/>
    <m/>
    <m/>
    <m/>
    <m/>
    <m/>
    <m/>
    <n v="3000"/>
    <n v="1000"/>
    <m/>
    <n v="0"/>
    <s v="40.50"/>
    <m/>
    <m/>
    <n v="1000"/>
    <n v="1000"/>
    <n v="1000"/>
    <n v="60104"/>
    <x v="1"/>
    <s v="601041000B"/>
    <x v="1"/>
  </r>
  <r>
    <s v="322471"/>
    <s v="JJ63-0750-HX-H-CL-LW"/>
    <s v="34.500 G"/>
    <x v="2"/>
    <s v="Others"/>
    <n v="27720"/>
    <n v="7761.6"/>
    <n v="0"/>
    <n v="0"/>
    <n v="0"/>
    <n v="0"/>
    <n v="0"/>
    <n v="0"/>
    <n v="0"/>
    <n v="0"/>
    <n v="0"/>
    <n v="0"/>
    <n v="27720"/>
    <n v="7761.6"/>
    <n v="0"/>
    <n v="8181.04"/>
    <n v="2727.0133333333301"/>
    <n v="85.385721130809799"/>
    <n v="956.34"/>
    <s v="34.50"/>
    <m/>
    <m/>
    <n v="2727.0133333333301"/>
    <n v="2727.0133333333333"/>
    <n v="2727.0133333333301"/>
    <n v="60104"/>
    <x v="1"/>
    <s v="601041000J"/>
    <x v="2"/>
  </r>
  <r>
    <s v="322474"/>
    <s v="JJ63-0850-RH-R-CL"/>
    <s v="44.000 G"/>
    <x v="2"/>
    <s v="Others"/>
    <n v="8580"/>
    <n v="3088.8"/>
    <n v="0"/>
    <n v="0"/>
    <n v="0"/>
    <n v="0"/>
    <n v="0"/>
    <n v="0"/>
    <n v="0"/>
    <n v="0"/>
    <n v="0"/>
    <n v="0"/>
    <n v="8580"/>
    <n v="3088.8"/>
    <n v="0"/>
    <n v="4514.3999999999996"/>
    <n v="1504.8"/>
    <n v="61.578947368421098"/>
    <n v="377.52"/>
    <s v="44.00"/>
    <m/>
    <m/>
    <n v="1504.8"/>
    <n v="1504.7999999999965"/>
    <n v="1504.8"/>
    <n v="60104"/>
    <x v="1"/>
    <s v="601041000J"/>
    <x v="2"/>
  </r>
  <r>
    <s v="322477"/>
    <s v="JJ63-1000-E-R-CL"/>
    <s v="44.000 G"/>
    <x v="2"/>
    <s v="Others"/>
    <n v="59400"/>
    <n v="20790"/>
    <n v="9816"/>
    <n v="3435.6"/>
    <n v="198"/>
    <n v="69.3"/>
    <n v="0"/>
    <n v="0"/>
    <n v="0"/>
    <n v="0"/>
    <n v="0"/>
    <n v="0"/>
    <n v="69414"/>
    <n v="24294.9"/>
    <n v="19.25"/>
    <n v="6901.44"/>
    <n v="2300.48"/>
    <n v="316.82388023368998"/>
    <n v="3054.2159999999999"/>
    <s v="44.00"/>
    <m/>
    <m/>
    <n v="2300.48"/>
    <n v="2300.4799999999964"/>
    <n v="2300.4799999999964"/>
    <n v="60104"/>
    <x v="1"/>
    <s v="601041000J"/>
    <x v="2"/>
  </r>
  <r>
    <s v="322493"/>
    <s v="BC28-0280-HD-R-CL-LW"/>
    <s v="23.000 G"/>
    <x v="1"/>
    <s v="Others"/>
    <n v="0"/>
    <n v="0"/>
    <n v="0"/>
    <n v="0"/>
    <n v="0"/>
    <n v="0"/>
    <n v="17850"/>
    <n v="3927"/>
    <n v="0"/>
    <n v="0"/>
    <n v="0"/>
    <n v="0"/>
    <n v="17850"/>
    <n v="3927"/>
    <n v="2181.84"/>
    <m/>
    <m/>
    <n v="0"/>
    <n v="410.55"/>
    <s v="23.00"/>
    <m/>
    <m/>
    <n v="0"/>
    <n v="0"/>
    <n v="0"/>
    <n v="60104"/>
    <x v="1"/>
    <s v="601041000B"/>
    <x v="1"/>
  </r>
  <r>
    <s v="322503"/>
    <s v="BC28-0500-CSD-R-CL"/>
    <s v="44.000 G"/>
    <x v="1"/>
    <s v="Others"/>
    <m/>
    <m/>
    <m/>
    <m/>
    <m/>
    <m/>
    <m/>
    <m/>
    <m/>
    <m/>
    <m/>
    <m/>
    <m/>
    <m/>
    <m/>
    <n v="7170.65"/>
    <n v="2390.2166666666699"/>
    <m/>
    <n v="0"/>
    <s v="44.00"/>
    <m/>
    <m/>
    <n v="2390.2166666666699"/>
    <n v="2390.2199999999966"/>
    <n v="2390.2166666666699"/>
    <n v="60104"/>
    <x v="1"/>
    <s v="601041000B"/>
    <x v="1"/>
  </r>
  <r>
    <s v="322506"/>
    <s v="BB38-0500-R-R-CL"/>
    <s v="32.000 G"/>
    <x v="1"/>
    <s v="Others"/>
    <n v="2772"/>
    <n v="776.16"/>
    <n v="0"/>
    <n v="0"/>
    <n v="0"/>
    <n v="0"/>
    <n v="0"/>
    <n v="0"/>
    <n v="0"/>
    <n v="0"/>
    <n v="0"/>
    <n v="0"/>
    <n v="2772"/>
    <n v="776.16"/>
    <n v="0"/>
    <n v="5155.92"/>
    <n v="1718.64"/>
    <n v="13.548387096774199"/>
    <n v="88.703999999999994"/>
    <s v="32.00"/>
    <m/>
    <m/>
    <n v="1718.64"/>
    <n v="1718.64"/>
    <n v="1718.64"/>
    <n v="60104"/>
    <x v="1"/>
    <s v="601041000B"/>
    <x v="1"/>
  </r>
  <r>
    <s v="322509"/>
    <s v="BB38-0500-S-S-CL"/>
    <s v="32.000 G"/>
    <x v="1"/>
    <s v="Others"/>
    <n v="38688"/>
    <n v="10832.64"/>
    <n v="0"/>
    <n v="0"/>
    <n v="0"/>
    <n v="0"/>
    <n v="0"/>
    <n v="0"/>
    <n v="0"/>
    <n v="0"/>
    <n v="0"/>
    <n v="0"/>
    <n v="38688"/>
    <n v="10832.64"/>
    <n v="0"/>
    <n v="37362.6"/>
    <n v="12454.2"/>
    <n v="26.0939442115913"/>
    <n v="1238.0160000000001"/>
    <s v="32.00"/>
    <m/>
    <m/>
    <n v="12454.2"/>
    <n v="12454.199999999966"/>
    <n v="12454.2"/>
    <n v="60104"/>
    <x v="1"/>
    <s v="601041000B"/>
    <x v="1"/>
  </r>
  <r>
    <s v="322517"/>
    <s v="BB38-1000-HC-S-CL"/>
    <s v="45.300 G"/>
    <x v="1"/>
    <s v="Others"/>
    <n v="18850"/>
    <n v="6409"/>
    <n v="0"/>
    <n v="0"/>
    <n v="0"/>
    <n v="0"/>
    <n v="0"/>
    <n v="0"/>
    <n v="0"/>
    <n v="0"/>
    <n v="0"/>
    <n v="0"/>
    <n v="18850"/>
    <n v="6409"/>
    <n v="0"/>
    <n v="12155"/>
    <n v="4051.6666666666702"/>
    <n v="47.454545454545503"/>
    <n v="853.90499999999997"/>
    <s v="45.30"/>
    <m/>
    <m/>
    <n v="4051.6666666666702"/>
    <n v="4051.6666666666665"/>
    <n v="4051.6666666666702"/>
    <n v="60104"/>
    <x v="1"/>
    <s v="601041000B"/>
    <x v="1"/>
  </r>
  <r>
    <s v="322527"/>
    <s v="BB38-1000-S-S-CL"/>
    <s v="45.300 G"/>
    <x v="1"/>
    <s v="Others"/>
    <n v="17710"/>
    <n v="6552.7"/>
    <n v="0"/>
    <n v="0"/>
    <n v="0"/>
    <n v="0"/>
    <n v="0"/>
    <n v="0"/>
    <n v="330"/>
    <n v="122.1"/>
    <n v="0"/>
    <n v="0"/>
    <n v="18040"/>
    <n v="6674.8"/>
    <n v="122.1"/>
    <n v="4505.91"/>
    <n v="1501.97"/>
    <n v="133.320905211156"/>
    <n v="817.21199999999999"/>
    <s v="45.30"/>
    <m/>
    <m/>
    <n v="1501.97"/>
    <n v="1501.9699999999966"/>
    <n v="1501.9699999999966"/>
    <n v="60104"/>
    <x v="1"/>
    <s v="601041000B"/>
    <x v="1"/>
  </r>
  <r>
    <s v="322537"/>
    <s v="Z-HANDLE - RED"/>
    <s v="11.390 G"/>
    <x v="3"/>
    <s v="Others"/>
    <n v="17525"/>
    <n v="2105.8000000000002"/>
    <n v="0"/>
    <n v="0"/>
    <n v="0"/>
    <n v="0"/>
    <n v="0"/>
    <n v="0"/>
    <n v="0"/>
    <n v="0"/>
    <n v="0"/>
    <n v="0"/>
    <n v="17525"/>
    <n v="2105.8000000000002"/>
    <n v="0"/>
    <m/>
    <m/>
    <n v="0"/>
    <n v="199.60974999999999"/>
    <s v="11.39"/>
    <m/>
    <m/>
    <n v="0"/>
    <n v="547.76999999999668"/>
    <n v="547.76999999999668"/>
    <n v="60106"/>
    <x v="2"/>
    <s v="601061000C"/>
    <x v="3"/>
  </r>
  <r>
    <s v="322540"/>
    <s v="Z-HANDLE - GREEN"/>
    <s v="11.390 G"/>
    <x v="3"/>
    <s v="Others"/>
    <n v="37203"/>
    <n v="4417.1099999999997"/>
    <n v="0"/>
    <n v="0"/>
    <n v="0"/>
    <n v="0"/>
    <n v="0"/>
    <n v="0"/>
    <n v="0"/>
    <n v="0"/>
    <n v="0"/>
    <n v="0"/>
    <n v="37203"/>
    <n v="4417.1099999999997"/>
    <n v="0"/>
    <m/>
    <m/>
    <n v="0"/>
    <n v="423.74217000000004"/>
    <s v="11.39"/>
    <m/>
    <m/>
    <n v="0"/>
    <n v="17653.143333333333"/>
    <n v="17653.143333333333"/>
    <n v="60106"/>
    <x v="2"/>
    <s v="601061000C"/>
    <x v="3"/>
  </r>
  <r>
    <s v="322542"/>
    <s v="Z-HANDLE - WHITE"/>
    <s v="11.390 G"/>
    <x v="3"/>
    <s v="Others"/>
    <n v="33770"/>
    <n v="4117.24"/>
    <n v="0"/>
    <n v="0"/>
    <n v="0"/>
    <n v="0"/>
    <n v="0"/>
    <n v="0"/>
    <n v="0"/>
    <n v="0"/>
    <n v="0"/>
    <n v="0"/>
    <n v="33770"/>
    <n v="4117.24"/>
    <n v="0"/>
    <m/>
    <m/>
    <n v="0"/>
    <n v="384.64030000000002"/>
    <s v="11.39"/>
    <m/>
    <m/>
    <n v="0"/>
    <n v="1929.3566666666632"/>
    <n v="1929.3566666666632"/>
    <n v="60106"/>
    <x v="2"/>
    <s v="601061000C"/>
    <x v="3"/>
  </r>
  <r>
    <s v="322550"/>
    <s v="BB38-2000-K2-S-CL"/>
    <s v="74.000 G"/>
    <x v="1"/>
    <s v="Others"/>
    <n v="0"/>
    <n v="0"/>
    <n v="2016"/>
    <n v="1370.88"/>
    <n v="0"/>
    <n v="0"/>
    <n v="0"/>
    <n v="0"/>
    <n v="0"/>
    <n v="0"/>
    <n v="0"/>
    <n v="0"/>
    <n v="2016"/>
    <n v="1370.88"/>
    <n v="0"/>
    <n v="1745.28"/>
    <n v="581.76"/>
    <n v="70.693069306930695"/>
    <n v="149.184"/>
    <s v="74.00"/>
    <m/>
    <m/>
    <n v="581.76"/>
    <n v="581.76"/>
    <n v="581.76"/>
    <n v="60104"/>
    <x v="1"/>
    <s v="601041000B"/>
    <x v="1"/>
  </r>
  <r>
    <s v="322551"/>
    <s v="C38-T/E-C/S-WHITE"/>
    <s v="3.700 G"/>
    <x v="4"/>
    <s v="Others"/>
    <n v="45000"/>
    <n v="2962.8"/>
    <n v="0"/>
    <n v="0"/>
    <n v="0"/>
    <n v="0"/>
    <n v="0"/>
    <n v="0"/>
    <n v="0"/>
    <n v="0"/>
    <n v="0"/>
    <n v="0"/>
    <n v="45000"/>
    <n v="2962.8"/>
    <n v="0"/>
    <n v="4949.38"/>
    <n v="1649.7933333333301"/>
    <n v="53.875838993975002"/>
    <n v="166.5"/>
    <s v="3.700"/>
    <m/>
    <m/>
    <n v="1649.7933333333301"/>
    <n v="1649.7933333333333"/>
    <n v="1649.7933333333333"/>
    <n v="60105"/>
    <x v="3"/>
    <s v="601051000C"/>
    <x v="3"/>
  </r>
  <r>
    <s v="322552"/>
    <s v="C63-T/E-R/S-WHITE"/>
    <s v="7.300 G"/>
    <x v="4"/>
    <s v="Others"/>
    <n v="10500"/>
    <n v="1099.25"/>
    <n v="0"/>
    <n v="0"/>
    <n v="0"/>
    <n v="0"/>
    <n v="0"/>
    <n v="0"/>
    <n v="0"/>
    <n v="0"/>
    <n v="0"/>
    <n v="0"/>
    <n v="10500"/>
    <n v="1099.25"/>
    <n v="0"/>
    <n v="5230.83"/>
    <n v="1743.61"/>
    <n v="18.913346447886902"/>
    <n v="76.650000000000006"/>
    <s v="7.300"/>
    <m/>
    <m/>
    <n v="1743.61"/>
    <n v="1743.6099999999967"/>
    <n v="1743.61"/>
    <n v="60105"/>
    <x v="3"/>
    <s v="601051000C"/>
    <x v="3"/>
  </r>
  <r>
    <s v="322558"/>
    <s v="C38-T/E-I/L-C/S-WHITE"/>
    <s v="3.750 G"/>
    <x v="4"/>
    <s v="Others"/>
    <n v="270600"/>
    <n v="17840.66"/>
    <n v="0"/>
    <n v="0"/>
    <n v="0"/>
    <n v="0"/>
    <n v="0"/>
    <n v="0"/>
    <n v="0"/>
    <n v="0"/>
    <n v="0"/>
    <n v="0"/>
    <n v="270600"/>
    <n v="17840.66"/>
    <n v="0"/>
    <n v="20595.22"/>
    <n v="6865.0733333333301"/>
    <n v="77.962721447015397"/>
    <n v="1014.75"/>
    <s v="3.750"/>
    <m/>
    <m/>
    <n v="6865.0733333333301"/>
    <n v="6865.0733333333337"/>
    <n v="6865.0733333333301"/>
    <n v="60105"/>
    <x v="3"/>
    <s v="601051000C"/>
    <x v="3"/>
  </r>
  <r>
    <s v="322567"/>
    <s v="C38-T/E-C/S-YELLOW - V"/>
    <s v="3.700 G"/>
    <x v="4"/>
    <s v="Others"/>
    <n v="37500"/>
    <n v="2400.75"/>
    <n v="0"/>
    <n v="0"/>
    <n v="0"/>
    <n v="0"/>
    <n v="0"/>
    <n v="0"/>
    <n v="0"/>
    <n v="0"/>
    <n v="0"/>
    <n v="0"/>
    <n v="37500"/>
    <n v="2400.75"/>
    <n v="0"/>
    <n v="3068"/>
    <n v="1022.66666666667"/>
    <n v="70.426173402868301"/>
    <n v="138.75"/>
    <s v="3.700"/>
    <m/>
    <m/>
    <n v="1022.66666666667"/>
    <n v="1022.6666666666666"/>
    <n v="1022.66666666667"/>
    <n v="60105"/>
    <x v="3"/>
    <s v="601051000C"/>
    <x v="3"/>
  </r>
  <r>
    <s v="322568"/>
    <s v="C63-T/E-R/S-YELLOW"/>
    <s v="7.300 G"/>
    <x v="4"/>
    <s v="Others"/>
    <n v="47000"/>
    <n v="4661.93"/>
    <n v="0"/>
    <n v="0"/>
    <n v="0"/>
    <n v="0"/>
    <n v="0"/>
    <n v="0"/>
    <n v="0"/>
    <n v="0"/>
    <n v="0"/>
    <n v="0"/>
    <n v="47000"/>
    <n v="4661.93"/>
    <n v="0"/>
    <n v="12885.03"/>
    <n v="4295.01"/>
    <n v="32.562881110870499"/>
    <n v="343.1"/>
    <s v="7.300"/>
    <m/>
    <m/>
    <n v="4295.01"/>
    <n v="4295.0133333333333"/>
    <n v="4295.01"/>
    <n v="60105"/>
    <x v="3"/>
    <s v="601051000C"/>
    <x v="3"/>
  </r>
  <r>
    <s v="322573"/>
    <s v="C38-T/E-I/L-C/S-YELLOW"/>
    <s v="3.750 G"/>
    <x v="4"/>
    <s v="Others"/>
    <n v="39600"/>
    <n v="2526.88"/>
    <n v="1100"/>
    <n v="70.19"/>
    <n v="0"/>
    <n v="0"/>
    <n v="0"/>
    <n v="0"/>
    <n v="0"/>
    <n v="0"/>
    <n v="0"/>
    <n v="0"/>
    <n v="40700"/>
    <n v="2597.0700000000002"/>
    <n v="0"/>
    <n v="1012.75"/>
    <n v="337.58333333333297"/>
    <n v="230.79368057269801"/>
    <n v="152.625"/>
    <s v="3.750"/>
    <m/>
    <m/>
    <n v="337.58333333333297"/>
    <n v="337.58333333333331"/>
    <n v="337.58333333333297"/>
    <n v="60105"/>
    <x v="3"/>
    <s v="601051000C"/>
    <x v="3"/>
  </r>
  <r>
    <s v="322574"/>
    <s v="C38-T/E-I/L-C/S-YELLOW(24433374)NESTLE V"/>
    <s v="4.700 G"/>
    <x v="4"/>
    <s v="Others"/>
    <n v="370700"/>
    <n v="21118.78"/>
    <n v="0"/>
    <n v="0"/>
    <n v="0"/>
    <n v="0"/>
    <n v="0"/>
    <n v="0"/>
    <n v="0"/>
    <n v="0"/>
    <n v="0"/>
    <n v="0"/>
    <n v="370700"/>
    <n v="21118.78"/>
    <n v="0"/>
    <n v="48013.54"/>
    <n v="16004.5133333333"/>
    <n v="39.586545795206902"/>
    <n v="1742.29"/>
    <s v="4.700"/>
    <m/>
    <m/>
    <n v="16004.5133333333"/>
    <n v="16004.513333333334"/>
    <n v="16004.5133333333"/>
    <n v="60105"/>
    <x v="3"/>
    <s v="601051000C"/>
    <x v="3"/>
  </r>
  <r>
    <s v="322576"/>
    <s v="C38-T/E-R/S-YELLOW"/>
    <s v="3.300 G"/>
    <x v="4"/>
    <s v="Others"/>
    <m/>
    <m/>
    <m/>
    <m/>
    <m/>
    <m/>
    <m/>
    <m/>
    <m/>
    <m/>
    <m/>
    <m/>
    <m/>
    <m/>
    <m/>
    <n v="1396.43"/>
    <n v="465.47666666666697"/>
    <m/>
    <n v="0"/>
    <s v="3.300"/>
    <m/>
    <m/>
    <n v="465.47666666666697"/>
    <n v="465.47666666666669"/>
    <n v="465.47666666666697"/>
    <n v="60105"/>
    <x v="3"/>
    <s v="601051000C"/>
    <x v="3"/>
  </r>
  <r>
    <s v="322580"/>
    <s v="C38-T/E-C/S-ORANGE"/>
    <s v="3.700 G"/>
    <x v="4"/>
    <s v="Others"/>
    <n v="36000"/>
    <n v="2388.6"/>
    <n v="0"/>
    <n v="0"/>
    <n v="0"/>
    <n v="0"/>
    <n v="12000"/>
    <n v="796.2"/>
    <n v="0"/>
    <n v="0"/>
    <n v="0"/>
    <n v="0"/>
    <n v="48000"/>
    <n v="3184.8"/>
    <n v="707.79"/>
    <n v="386.9"/>
    <n v="128.96666666666701"/>
    <n v="740.84259498578399"/>
    <n v="177.6"/>
    <s v="3.700"/>
    <m/>
    <m/>
    <n v="128.96666666666701"/>
    <n v="128.96666666666633"/>
    <n v="128.96666666666701"/>
    <n v="60105"/>
    <x v="3"/>
    <s v="601051000C"/>
    <x v="3"/>
  </r>
  <r>
    <s v="322581"/>
    <s v="C63-T/E-R/S-ORANGE"/>
    <s v="7.300 G"/>
    <x v="4"/>
    <s v="Others"/>
    <n v="12000"/>
    <n v="1308.96"/>
    <n v="0"/>
    <n v="0"/>
    <n v="0"/>
    <n v="0"/>
    <n v="0"/>
    <n v="0"/>
    <n v="0"/>
    <n v="0"/>
    <n v="0"/>
    <n v="0"/>
    <n v="12000"/>
    <n v="1308.96"/>
    <n v="0"/>
    <n v="4526.76"/>
    <n v="1508.92"/>
    <n v="26.024441322270199"/>
    <n v="87.6"/>
    <s v="7.300"/>
    <m/>
    <m/>
    <n v="1508.92"/>
    <n v="1508.93"/>
    <n v="1508.92"/>
    <n v="60105"/>
    <x v="3"/>
    <s v="601051000C"/>
    <x v="3"/>
  </r>
  <r>
    <s v="322583"/>
    <s v="C38-T/E-I/L-C/S-ORANGE"/>
    <s v="3.750 G"/>
    <x v="4"/>
    <s v="Others"/>
    <n v="39600"/>
    <n v="2699.53"/>
    <n v="6600"/>
    <n v="449.92"/>
    <n v="0"/>
    <n v="0"/>
    <n v="0"/>
    <n v="0"/>
    <n v="0"/>
    <n v="0"/>
    <n v="0"/>
    <n v="0"/>
    <n v="46200"/>
    <n v="3149.45"/>
    <n v="0"/>
    <n v="1340.49"/>
    <n v="446.83"/>
    <n v="211.45290155092499"/>
    <n v="173.25"/>
    <s v="3.750"/>
    <m/>
    <m/>
    <n v="446.83"/>
    <n v="446.83"/>
    <n v="446.83"/>
    <n v="60105"/>
    <x v="3"/>
    <s v="601051000C"/>
    <x v="3"/>
  </r>
  <r>
    <s v="322584"/>
    <s v="C38-T/E-R/S-ORANGE"/>
    <s v="3.300 G"/>
    <x v="4"/>
    <s v="Others"/>
    <m/>
    <m/>
    <m/>
    <m/>
    <m/>
    <m/>
    <m/>
    <m/>
    <m/>
    <m/>
    <m/>
    <m/>
    <m/>
    <m/>
    <m/>
    <n v="1465.41"/>
    <n v="488.47"/>
    <m/>
    <n v="0"/>
    <s v="3.300"/>
    <m/>
    <m/>
    <n v="488.47"/>
    <n v="488.47"/>
    <n v="488.47"/>
    <n v="60105"/>
    <x v="3"/>
    <s v="601051000C"/>
    <x v="3"/>
  </r>
  <r>
    <s v="322593"/>
    <s v="C28-ALFA PLAIN WHITE PLASTIC CAPS"/>
    <s v="3.300 G"/>
    <x v="4"/>
    <s v="Others"/>
    <n v="0"/>
    <n v="0"/>
    <n v="0"/>
    <n v="0"/>
    <n v="0"/>
    <n v="0"/>
    <n v="0"/>
    <n v="0"/>
    <n v="42400"/>
    <n v="424"/>
    <n v="0"/>
    <n v="0"/>
    <n v="42400"/>
    <n v="424"/>
    <n v="424"/>
    <n v="53.01"/>
    <n v="17.670000000000002"/>
    <n v="719.86417657045797"/>
    <n v="139.91999999999999"/>
    <s v="3.300"/>
    <m/>
    <m/>
    <n v="17.670000000000002"/>
    <n v="17.666666666666668"/>
    <n v="17.666666666666668"/>
    <n v="60105"/>
    <x v="3"/>
    <s v="601051000C"/>
    <x v="3"/>
  </r>
  <r>
    <s v="322595"/>
    <s v="C28-C/S-FLIP TOP RED"/>
    <s v="4.850 G"/>
    <x v="3"/>
    <s v="Others"/>
    <n v="49000"/>
    <n v="3955.28"/>
    <n v="0"/>
    <n v="0"/>
    <n v="0"/>
    <n v="0"/>
    <n v="0"/>
    <n v="0"/>
    <n v="0"/>
    <n v="0"/>
    <n v="0"/>
    <n v="0"/>
    <n v="49000"/>
    <n v="3955.28"/>
    <n v="0"/>
    <n v="8371.9"/>
    <n v="2790.63333333333"/>
    <n v="42.520240327763098"/>
    <n v="237.64999999999998"/>
    <s v="4.850"/>
    <m/>
    <m/>
    <n v="2790.63333333333"/>
    <n v="2790.6366666666636"/>
    <n v="2790.63333333333"/>
    <n v="60106"/>
    <x v="2"/>
    <s v="601061000C"/>
    <x v="3"/>
  </r>
  <r>
    <s v="322597"/>
    <s v="C28-C/S-FLIP TOP YELLOW (V)"/>
    <s v="4.850 G"/>
    <x v="3"/>
    <s v="Others"/>
    <n v="0"/>
    <n v="0"/>
    <n v="0"/>
    <n v="0"/>
    <n v="0"/>
    <n v="0"/>
    <n v="11200"/>
    <n v="935.2"/>
    <n v="0"/>
    <n v="0"/>
    <n v="0"/>
    <n v="0"/>
    <n v="11200"/>
    <n v="935.2"/>
    <n v="623.52"/>
    <n v="116.9"/>
    <n v="38.966666666666697"/>
    <n v="720"/>
    <n v="54.319999999999993"/>
    <s v="4.850"/>
    <m/>
    <m/>
    <n v="38.966666666666697"/>
    <n v="38.966666666666669"/>
    <n v="38.966666666666697"/>
    <n v="60106"/>
    <x v="2"/>
    <s v="601061000C"/>
    <x v="3"/>
  </r>
  <r>
    <s v="322605"/>
    <s v="C28-C/S-FLIP TOP BLACK"/>
    <s v="4.850 G"/>
    <x v="3"/>
    <s v="Others"/>
    <n v="32200"/>
    <n v="2532.5300000000002"/>
    <n v="0"/>
    <n v="0"/>
    <n v="0"/>
    <n v="0"/>
    <n v="0"/>
    <n v="0"/>
    <n v="0"/>
    <n v="0"/>
    <n v="0"/>
    <n v="0"/>
    <n v="32200"/>
    <n v="2532.5300000000002"/>
    <n v="0"/>
    <n v="3930.69"/>
    <n v="1310.23"/>
    <n v="57.9866893598834"/>
    <n v="156.16999999999999"/>
    <s v="4.850"/>
    <m/>
    <m/>
    <n v="1310.23"/>
    <n v="1310.23"/>
    <n v="1310.23"/>
    <n v="60106"/>
    <x v="2"/>
    <s v="601061000C"/>
    <x v="3"/>
  </r>
  <r>
    <s v="322614"/>
    <s v="C38-T/E-C/S-RED"/>
    <s v="3.700 G"/>
    <x v="4"/>
    <s v="Others"/>
    <n v="45000"/>
    <n v="2914.2"/>
    <n v="0"/>
    <n v="0"/>
    <n v="0"/>
    <n v="0"/>
    <n v="0"/>
    <n v="0"/>
    <n v="0"/>
    <n v="0"/>
    <n v="0"/>
    <n v="0"/>
    <n v="45000"/>
    <n v="2914.2"/>
    <n v="0"/>
    <n v="4290.83"/>
    <n v="1430.2766666666701"/>
    <n v="61.125236842289297"/>
    <n v="166.5"/>
    <s v="3.700"/>
    <m/>
    <m/>
    <n v="1430.2766666666701"/>
    <n v="1430.2766666666632"/>
    <n v="1430.2766666666701"/>
    <n v="60105"/>
    <x v="3"/>
    <s v="601051000C"/>
    <x v="3"/>
  </r>
  <r>
    <s v="322617"/>
    <s v="C63-T/E-R/S-RED"/>
    <s v="7.300 G"/>
    <x v="4"/>
    <s v="Others"/>
    <n v="33000"/>
    <n v="3469.62"/>
    <n v="0"/>
    <n v="0"/>
    <n v="0"/>
    <n v="0"/>
    <n v="0"/>
    <n v="0"/>
    <n v="0"/>
    <n v="0"/>
    <n v="0"/>
    <n v="0"/>
    <n v="33000"/>
    <n v="3469.62"/>
    <n v="0"/>
    <n v="9502.6299999999992"/>
    <n v="3167.5433333333299"/>
    <n v="32.8609869057303"/>
    <n v="240.9"/>
    <s v="7.300"/>
    <m/>
    <m/>
    <n v="3167.5433333333299"/>
    <n v="3658.796666666633"/>
    <n v="3167.5433333333299"/>
    <n v="60105"/>
    <x v="3"/>
    <s v="601051000C"/>
    <x v="3"/>
  </r>
  <r>
    <s v="322620"/>
    <s v="C38-T/E-I/L-C/S-RED"/>
    <s v="3.750 G"/>
    <x v="4"/>
    <s v="Others"/>
    <n v="0"/>
    <n v="0"/>
    <n v="22000"/>
    <n v="1494.24"/>
    <n v="0"/>
    <n v="0"/>
    <n v="0"/>
    <n v="0"/>
    <n v="0"/>
    <n v="0"/>
    <n v="0"/>
    <n v="0"/>
    <n v="22000"/>
    <n v="1494.24"/>
    <n v="0"/>
    <n v="971.25"/>
    <n v="323.75"/>
    <n v="138.46239382239401"/>
    <n v="82.5"/>
    <s v="3.750"/>
    <m/>
    <m/>
    <n v="323.75"/>
    <n v="323.75"/>
    <n v="323.75"/>
    <n v="60105"/>
    <x v="3"/>
    <s v="601051000C"/>
    <x v="3"/>
  </r>
  <r>
    <s v="322623"/>
    <s v="C110-HANDLE CAP PINK"/>
    <s v="48.260 G"/>
    <x v="4"/>
    <s v="Others"/>
    <m/>
    <m/>
    <m/>
    <m/>
    <m/>
    <m/>
    <m/>
    <m/>
    <m/>
    <m/>
    <m/>
    <m/>
    <m/>
    <m/>
    <m/>
    <n v="622.11"/>
    <n v="207.37"/>
    <m/>
    <n v="0"/>
    <s v="48.26"/>
    <m/>
    <m/>
    <n v="207.37"/>
    <n v="207.37"/>
    <n v="207.37"/>
    <n v="60105"/>
    <x v="3"/>
    <s v="601051000C"/>
    <x v="3"/>
  </r>
  <r>
    <s v="322632"/>
    <s v="C63-T/E-R/S-GOLD"/>
    <s v="7.300 G"/>
    <x v="4"/>
    <s v="Others"/>
    <n v="46000"/>
    <n v="5019.9799999999996"/>
    <n v="0"/>
    <n v="0"/>
    <n v="0"/>
    <n v="0"/>
    <n v="0"/>
    <n v="0"/>
    <n v="0"/>
    <n v="0"/>
    <n v="0"/>
    <n v="0"/>
    <n v="46000"/>
    <n v="5019.9799999999996"/>
    <n v="0"/>
    <n v="20303.71"/>
    <n v="6767.90333333333"/>
    <n v="22.252002220283899"/>
    <n v="335.8"/>
    <s v="7.300"/>
    <m/>
    <m/>
    <n v="6767.90333333333"/>
    <n v="6767.9033333333"/>
    <n v="6767.90333333333"/>
    <n v="60105"/>
    <x v="3"/>
    <s v="601051000C"/>
    <x v="3"/>
  </r>
  <r>
    <s v="322635"/>
    <s v="C63-T/E-R/S-BLUE"/>
    <s v="7.300 G"/>
    <x v="4"/>
    <s v="Others"/>
    <n v="0"/>
    <n v="0"/>
    <n v="7500"/>
    <n v="766.43"/>
    <n v="0"/>
    <n v="0"/>
    <n v="0"/>
    <n v="0"/>
    <n v="0"/>
    <n v="0"/>
    <n v="0"/>
    <n v="0"/>
    <n v="7500"/>
    <n v="766.43"/>
    <n v="0"/>
    <n v="613.12"/>
    <n v="204.37333333333299"/>
    <n v="112.504403705637"/>
    <n v="54.75"/>
    <s v="7.300"/>
    <m/>
    <m/>
    <n v="204.37333333333299"/>
    <n v="204.37333333333333"/>
    <n v="204.37333333333299"/>
    <n v="60105"/>
    <x v="3"/>
    <s v="601051000C"/>
    <x v="3"/>
  </r>
  <r>
    <s v="322639"/>
    <s v="C38-T/E-C/S-GREEN"/>
    <s v="3.700 G"/>
    <x v="4"/>
    <s v="Others"/>
    <n v="0"/>
    <n v="0"/>
    <n v="34500"/>
    <n v="2247.6799999999998"/>
    <n v="0"/>
    <n v="0"/>
    <n v="0"/>
    <n v="0"/>
    <n v="0"/>
    <n v="0"/>
    <n v="0"/>
    <n v="0"/>
    <n v="34500"/>
    <n v="2247.6799999999998"/>
    <n v="0"/>
    <n v="2345.4699999999998"/>
    <n v="781.82333333333304"/>
    <n v="86.247617748255195"/>
    <n v="127.65"/>
    <s v="3.700"/>
    <m/>
    <m/>
    <n v="781.82333333333304"/>
    <n v="781.82333333332997"/>
    <n v="781.82333333332997"/>
    <n v="60105"/>
    <x v="3"/>
    <s v="601051000C"/>
    <x v="3"/>
  </r>
  <r>
    <s v="322640"/>
    <s v="C63-T/E-R/S-GREEN"/>
    <s v="7.300 G"/>
    <x v="4"/>
    <s v="Others"/>
    <n v="12000"/>
    <n v="1227.72"/>
    <n v="0"/>
    <n v="0"/>
    <n v="0"/>
    <n v="0"/>
    <n v="0"/>
    <n v="0"/>
    <n v="0"/>
    <n v="0"/>
    <n v="0"/>
    <n v="0"/>
    <n v="12000"/>
    <n v="1227.72"/>
    <n v="0"/>
    <n v="3983.77"/>
    <n v="1327.92333333333"/>
    <n v="27.7362397929599"/>
    <n v="87.6"/>
    <s v="7.300"/>
    <m/>
    <m/>
    <n v="1327.92333333333"/>
    <n v="1327.9233333333334"/>
    <n v="1327.92333333333"/>
    <n v="60105"/>
    <x v="3"/>
    <s v="601051000C"/>
    <x v="3"/>
  </r>
  <r>
    <s v="322643"/>
    <s v="C38-T/E-I/L-C/S-GREEN"/>
    <s v="3.750 G"/>
    <x v="4"/>
    <s v="Others"/>
    <n v="286000"/>
    <n v="18672.939999999999"/>
    <n v="0"/>
    <n v="0"/>
    <n v="0"/>
    <n v="0"/>
    <n v="0"/>
    <n v="0"/>
    <n v="0"/>
    <n v="0"/>
    <n v="0"/>
    <n v="0"/>
    <n v="286000"/>
    <n v="18672.939999999999"/>
    <n v="0"/>
    <n v="28087.4"/>
    <n v="9362.4666666666708"/>
    <n v="59.833398605780502"/>
    <n v="1072.5"/>
    <s v="3.750"/>
    <m/>
    <m/>
    <n v="9362.4666666666708"/>
    <n v="9362.4666666666672"/>
    <n v="9362.4666666666708"/>
    <n v="60105"/>
    <x v="3"/>
    <s v="601051000C"/>
    <x v="3"/>
  </r>
  <r>
    <s v="322646"/>
    <s v="C63-D/C 7H RED"/>
    <s v="13.200 G"/>
    <x v="5"/>
    <s v="Food &amp; Beverage"/>
    <n v="14400"/>
    <n v="3322.94"/>
    <n v="0"/>
    <n v="0"/>
    <n v="600"/>
    <n v="138.46"/>
    <n v="0"/>
    <n v="0"/>
    <n v="0"/>
    <n v="0"/>
    <n v="0"/>
    <n v="0"/>
    <n v="15000"/>
    <n v="3461.4"/>
    <n v="23.08"/>
    <n v="2099.7199999999998"/>
    <n v="699.90666666666698"/>
    <n v="148.36549635189499"/>
    <n v="198"/>
    <s v="13.20"/>
    <m/>
    <m/>
    <n v="699.90666666666698"/>
    <n v="699.90666666666323"/>
    <n v="699.90666666666698"/>
    <n v="60106"/>
    <x v="2"/>
    <s v="601061000C"/>
    <x v="3"/>
  </r>
  <r>
    <s v="322647"/>
    <s v="C63-D/C 7H BLACK"/>
    <s v="13.200 G"/>
    <x v="5"/>
    <s v="Food &amp; Beverage"/>
    <n v="60000"/>
    <n v="13462.8"/>
    <n v="0"/>
    <n v="0"/>
    <n v="0"/>
    <n v="0"/>
    <n v="0"/>
    <n v="0"/>
    <n v="0"/>
    <n v="0"/>
    <n v="0"/>
    <n v="0"/>
    <n v="60000"/>
    <n v="13462.8"/>
    <n v="0"/>
    <n v="3179.6"/>
    <n v="1059.86666666667"/>
    <n v="381.07057491508402"/>
    <n v="792"/>
    <s v="13.20"/>
    <m/>
    <m/>
    <n v="1059.86666666667"/>
    <n v="1059.8666666666634"/>
    <n v="1059.86666666667"/>
    <n v="60106"/>
    <x v="2"/>
    <s v="601061000C"/>
    <x v="3"/>
  </r>
  <r>
    <s v="322671"/>
    <s v="C38-T/E-C/S-BLACK - V"/>
    <s v="3.700 G"/>
    <x v="4"/>
    <s v="Others"/>
    <n v="114000"/>
    <n v="7113.6"/>
    <n v="0"/>
    <n v="0"/>
    <n v="0"/>
    <n v="0"/>
    <n v="0"/>
    <n v="0"/>
    <n v="0"/>
    <n v="0"/>
    <n v="0"/>
    <n v="0"/>
    <n v="114000"/>
    <n v="7113.6"/>
    <n v="0"/>
    <n v="10938.06"/>
    <n v="3646.02"/>
    <n v="58.531768887718698"/>
    <n v="421.8"/>
    <s v="3.700"/>
    <m/>
    <m/>
    <n v="3646.02"/>
    <n v="3646.0199999999663"/>
    <n v="3646.02"/>
    <n v="60105"/>
    <x v="3"/>
    <s v="601051000C"/>
    <x v="3"/>
  </r>
  <r>
    <s v="322672"/>
    <s v="C63-T/E-R/S-BLACK"/>
    <s v="7.300 G"/>
    <x v="4"/>
    <s v="Others"/>
    <n v="46500"/>
    <n v="4589.55"/>
    <n v="0"/>
    <n v="0"/>
    <n v="0"/>
    <n v="0"/>
    <n v="0"/>
    <n v="0"/>
    <n v="0"/>
    <n v="0"/>
    <n v="0"/>
    <n v="0"/>
    <n v="46500"/>
    <n v="4589.55"/>
    <n v="0"/>
    <n v="9377.32"/>
    <n v="3125.7733333333299"/>
    <n v="44.048779395392302"/>
    <n v="339.45"/>
    <s v="7.300"/>
    <m/>
    <m/>
    <n v="3125.7733333333299"/>
    <n v="3142.2233333333334"/>
    <n v="3125.7733333333299"/>
    <n v="60105"/>
    <x v="3"/>
    <s v="601051000C"/>
    <x v="3"/>
  </r>
  <r>
    <s v="322677"/>
    <s v="C38-T/E-I/L-C/S-BLACK"/>
    <s v="3.750 G"/>
    <x v="4"/>
    <s v="Others"/>
    <n v="100100"/>
    <n v="6303.3"/>
    <n v="0"/>
    <n v="0"/>
    <n v="0"/>
    <n v="0"/>
    <n v="0"/>
    <n v="0"/>
    <n v="0"/>
    <n v="0"/>
    <n v="0"/>
    <n v="0"/>
    <n v="100100"/>
    <n v="6303.3"/>
    <n v="0"/>
    <n v="5094.16"/>
    <n v="1698.0533333333301"/>
    <n v="111.362226549618"/>
    <n v="375.375"/>
    <s v="3.750"/>
    <m/>
    <m/>
    <n v="1698.0533333333301"/>
    <n v="1698.0533333333299"/>
    <n v="1698.0533333333301"/>
    <n v="60105"/>
    <x v="3"/>
    <s v="601051000C"/>
    <x v="3"/>
  </r>
  <r>
    <s v="322679"/>
    <s v="C63-T/E-R/S-BRONZE"/>
    <s v="7.300 G"/>
    <x v="4"/>
    <s v="Others"/>
    <n v="14000"/>
    <n v="1448.44"/>
    <n v="0"/>
    <n v="0"/>
    <n v="0"/>
    <n v="0"/>
    <n v="0"/>
    <n v="0"/>
    <n v="0"/>
    <n v="0"/>
    <n v="0"/>
    <n v="0"/>
    <n v="14000"/>
    <n v="1448.44"/>
    <n v="0"/>
    <n v="3413.79"/>
    <n v="1137.93"/>
    <n v="38.186180169254698"/>
    <n v="102.2"/>
    <s v="7.300"/>
    <m/>
    <m/>
    <n v="1137.93"/>
    <n v="1137.93"/>
    <n v="1137.93"/>
    <n v="60105"/>
    <x v="3"/>
    <s v="601051000C"/>
    <x v="3"/>
  </r>
  <r>
    <s v="322685"/>
    <s v="C28-EZY CAP YELLOW"/>
    <s v="6.400 G"/>
    <x v="4"/>
    <s v="Others"/>
    <n v="245000"/>
    <n v="39658.15"/>
    <n v="0"/>
    <n v="0"/>
    <n v="0"/>
    <n v="0"/>
    <n v="0"/>
    <n v="0"/>
    <n v="0"/>
    <n v="0"/>
    <n v="0"/>
    <n v="0"/>
    <n v="245000"/>
    <n v="39658.15"/>
    <n v="0"/>
    <n v="44947.63"/>
    <n v="14982.5433333333"/>
    <n v="79.408714096827794"/>
    <n v="1568"/>
    <s v="6.400"/>
    <m/>
    <m/>
    <n v="14982.5433333333"/>
    <n v="14982.5433333333"/>
    <n v="14982.5433333333"/>
    <n v="60105"/>
    <x v="3"/>
    <s v="601051000C"/>
    <x v="3"/>
  </r>
  <r>
    <s v="322694"/>
    <s v="C63-BUNG CLEAR"/>
    <s v="2.800 G"/>
    <x v="4"/>
    <s v="Others"/>
    <n v="176400"/>
    <n v="8320.7900000000009"/>
    <n v="0"/>
    <n v="0"/>
    <n v="0"/>
    <n v="0"/>
    <n v="0"/>
    <n v="0"/>
    <n v="0"/>
    <n v="0"/>
    <n v="0"/>
    <n v="0"/>
    <n v="176400"/>
    <n v="8320.7900000000009"/>
    <n v="0"/>
    <n v="11555.7"/>
    <n v="3851.9"/>
    <n v="64.805342817830194"/>
    <n v="493.91999999999996"/>
    <s v="2.800"/>
    <m/>
    <m/>
    <n v="3851.9"/>
    <n v="3851.91"/>
    <n v="3851.9"/>
    <n v="60105"/>
    <x v="3"/>
    <s v="601051000C"/>
    <x v="3"/>
  </r>
  <r>
    <s v="322695"/>
    <s v="C63-BUNG WHITE"/>
    <s v="2.800 G"/>
    <x v="4"/>
    <s v="Others"/>
    <n v="0"/>
    <n v="0"/>
    <n v="0"/>
    <n v="0"/>
    <n v="35000"/>
    <n v="1700.65"/>
    <n v="0"/>
    <n v="0"/>
    <n v="0"/>
    <n v="0"/>
    <n v="0"/>
    <n v="0"/>
    <n v="35000"/>
    <n v="1700.65"/>
    <n v="94.49"/>
    <n v="136.05000000000001"/>
    <n v="45.35"/>
    <n v="1125.0165380374899"/>
    <n v="98"/>
    <s v="2.800"/>
    <m/>
    <m/>
    <n v="45.35"/>
    <n v="45.35"/>
    <n v="45.35"/>
    <n v="60105"/>
    <x v="3"/>
    <s v="601051000C"/>
    <x v="3"/>
  </r>
  <r>
    <s v="322698"/>
    <s v="C63-BUNG GOLD"/>
    <s v="2.800 G"/>
    <x v="4"/>
    <s v="Others"/>
    <n v="16800"/>
    <n v="851.59"/>
    <n v="0"/>
    <n v="0"/>
    <n v="0"/>
    <n v="0"/>
    <n v="0"/>
    <n v="0"/>
    <n v="0"/>
    <n v="0"/>
    <n v="0"/>
    <n v="0"/>
    <n v="16800"/>
    <n v="851.59"/>
    <n v="0"/>
    <n v="1135.3399999999999"/>
    <n v="378.446666666667"/>
    <n v="67.506738069653096"/>
    <n v="16800"/>
    <s v="2.800"/>
    <m/>
    <m/>
    <n v="378.446666666667"/>
    <n v="378.4466666666633"/>
    <n v="378.4466666666633"/>
    <n v="60105"/>
    <x v="3"/>
    <s v="601051000C"/>
    <x v="3"/>
  </r>
  <r>
    <s v="322720"/>
    <s v="M-INJ ORANGE MP30373-05"/>
    <s v="0.000 G"/>
    <x v="6"/>
    <s v="Additives"/>
    <n v="50"/>
    <n v="3009.87"/>
    <n v="0"/>
    <n v="0"/>
    <n v="5.6180000000000003"/>
    <n v="338.19"/>
    <n v="0"/>
    <n v="0"/>
    <n v="0"/>
    <n v="0"/>
    <n v="0"/>
    <n v="0"/>
    <n v="55.618000000000002"/>
    <n v="3348.06"/>
    <n v="93.95"/>
    <m/>
    <m/>
    <n v="0"/>
    <n v="55.618000000000002"/>
    <s v="0.000"/>
    <m/>
    <m/>
    <n v="0"/>
    <n v="647.17666666666662"/>
    <n v="647.17666666666662"/>
    <n v="60200"/>
    <x v="4"/>
    <s v="60200"/>
    <x v="4"/>
  </r>
  <r>
    <s v="322732"/>
    <s v="M-PET RENOL BLUE 20897-35(MYA)"/>
    <s v="0.000 G"/>
    <x v="6"/>
    <s v="Additives"/>
    <n v="0"/>
    <n v="0"/>
    <n v="0"/>
    <n v="0"/>
    <n v="0"/>
    <n v="0"/>
    <n v="0"/>
    <n v="0"/>
    <n v="1.946"/>
    <n v="0.02"/>
    <n v="0"/>
    <n v="0"/>
    <n v="1.946"/>
    <n v="0.02"/>
    <n v="0.02"/>
    <m/>
    <m/>
    <n v="0"/>
    <n v="1.946"/>
    <s v="0.000"/>
    <m/>
    <m/>
    <n v="0"/>
    <n v="0"/>
    <n v="0"/>
    <n v="60200"/>
    <x v="4"/>
    <s v="60200"/>
    <x v="4"/>
  </r>
  <r>
    <s v="322734"/>
    <s v="M-INJ REMAFIN YELLOW M1013 (FP)"/>
    <s v="0.000 G"/>
    <x v="6"/>
    <s v="Additives"/>
    <n v="65.287000000000006"/>
    <n v="4017.1"/>
    <n v="0"/>
    <n v="0"/>
    <n v="0"/>
    <n v="0"/>
    <n v="3.0000000000000001E-3"/>
    <n v="0.18"/>
    <n v="0"/>
    <n v="0"/>
    <n v="0"/>
    <n v="0"/>
    <n v="65.290000000000006"/>
    <n v="4017.28"/>
    <n v="0.1"/>
    <m/>
    <m/>
    <n v="0"/>
    <n v="65.290000000000006"/>
    <s v="0.000"/>
    <m/>
    <m/>
    <n v="0"/>
    <n v="2300.9133333333298"/>
    <n v="2300.9133333333298"/>
    <n v="60200"/>
    <x v="4"/>
    <s v="60200"/>
    <x v="4"/>
  </r>
  <r>
    <s v="322762"/>
    <s v="M-INJ REMAFIN GREEN-ML66243-05"/>
    <s v="0.000 G"/>
    <x v="6"/>
    <s v="Additives"/>
    <n v="0"/>
    <n v="0"/>
    <n v="0"/>
    <n v="0"/>
    <n v="0"/>
    <n v="0"/>
    <n v="24.529"/>
    <n v="1349.09"/>
    <n v="0"/>
    <n v="0"/>
    <n v="0"/>
    <n v="0"/>
    <n v="24.529"/>
    <n v="1349.09"/>
    <n v="1349.09"/>
    <m/>
    <m/>
    <n v="0"/>
    <n v="24.529"/>
    <s v="0.000"/>
    <m/>
    <m/>
    <n v="0"/>
    <n v="0"/>
    <n v="0"/>
    <n v="60200"/>
    <x v="4"/>
    <s v="60200"/>
    <x v="4"/>
  </r>
  <r>
    <s v="322764"/>
    <s v="M-INJ MASTER BATCH-YELLOW (EVO)-2204"/>
    <s v="0.000 G"/>
    <x v="6"/>
    <s v="Additives"/>
    <n v="350"/>
    <n v="9205.84"/>
    <n v="43.13"/>
    <n v="1134.42"/>
    <n v="0"/>
    <n v="0"/>
    <n v="0"/>
    <n v="0"/>
    <n v="0"/>
    <n v="0"/>
    <n v="0"/>
    <n v="0"/>
    <n v="393.13"/>
    <n v="10340.26"/>
    <n v="0"/>
    <m/>
    <m/>
    <n v="0"/>
    <n v="393.13"/>
    <s v="0.000"/>
    <m/>
    <m/>
    <n v="0"/>
    <n v="955.71333333332996"/>
    <n v="955.71333333332996"/>
    <n v="60200"/>
    <x v="4"/>
    <s v="60200"/>
    <x v="4"/>
  </r>
  <r>
    <s v="322765"/>
    <s v="M-INJ MASTER BATCH-RED (EVO)-31381"/>
    <s v="0.000 G"/>
    <x v="6"/>
    <s v="Additives"/>
    <n v="50"/>
    <n v="1489.24"/>
    <n v="36.125999999999998"/>
    <n v="1076"/>
    <n v="0"/>
    <n v="0"/>
    <n v="0"/>
    <n v="0"/>
    <n v="0"/>
    <n v="0"/>
    <n v="0"/>
    <n v="0"/>
    <n v="86.126000000000005"/>
    <n v="2565.2399999999998"/>
    <n v="0"/>
    <m/>
    <m/>
    <n v="0"/>
    <n v="86.126000000000005"/>
    <s v="0.000"/>
    <m/>
    <m/>
    <n v="0"/>
    <n v="525.3599999999966"/>
    <n v="525.3599999999966"/>
    <n v="60200"/>
    <x v="4"/>
    <s v="60200"/>
    <x v="4"/>
  </r>
  <r>
    <s v="322779"/>
    <s v="M-PET MASTERBATCH-BROWN(N) (EVOCHEM)"/>
    <s v="0.000 G"/>
    <x v="6"/>
    <s v="Additives"/>
    <n v="100"/>
    <n v="3773.5"/>
    <n v="88.311999999999998"/>
    <n v="3332.45"/>
    <n v="0"/>
    <n v="0"/>
    <n v="0"/>
    <n v="0"/>
    <n v="0"/>
    <n v="0"/>
    <n v="0"/>
    <n v="0"/>
    <n v="188.31200000000001"/>
    <n v="7105.95"/>
    <n v="0"/>
    <m/>
    <m/>
    <n v="0"/>
    <n v="188.31200000000001"/>
    <s v="0.000"/>
    <m/>
    <m/>
    <n v="0"/>
    <n v="1035.2933333333333"/>
    <n v="1035.2933333333333"/>
    <n v="60200"/>
    <x v="4"/>
    <s v="60200"/>
    <x v="4"/>
  </r>
  <r>
    <s v="322780"/>
    <s v="M-PET MASTERBATCH-AMBER (EVOCHEM)"/>
    <s v="0.000 G"/>
    <x v="6"/>
    <s v="Additives"/>
    <n v="0"/>
    <n v="0"/>
    <n v="0"/>
    <n v="0"/>
    <n v="0"/>
    <n v="0"/>
    <n v="3.0000000000000001E-3"/>
    <n v="0.11"/>
    <n v="0"/>
    <n v="0"/>
    <n v="0"/>
    <n v="0"/>
    <n v="3.0000000000000001E-3"/>
    <n v="0.11"/>
    <n v="0.11"/>
    <m/>
    <m/>
    <n v="0"/>
    <n v="3.0000000000000001E-3"/>
    <s v="0.000"/>
    <m/>
    <m/>
    <n v="0"/>
    <n v="0"/>
    <n v="0"/>
    <n v="60200"/>
    <x v="4"/>
    <s v="60200"/>
    <x v="4"/>
  </r>
  <r>
    <s v="322792"/>
    <s v="R-PP-PP COPO 2300K"/>
    <s v="0.000 G"/>
    <x v="7"/>
    <s v="Virgin grade"/>
    <n v="8778.9169999999995"/>
    <n v="52467.199999999997"/>
    <n v="0"/>
    <n v="0"/>
    <n v="0"/>
    <n v="0"/>
    <n v="17.332999999999998"/>
    <n v="103.59"/>
    <n v="0"/>
    <n v="0"/>
    <n v="0"/>
    <n v="0"/>
    <n v="8796.25"/>
    <n v="52570.79"/>
    <n v="74.819999999999993"/>
    <m/>
    <m/>
    <n v="0"/>
    <n v="8796.25"/>
    <s v="0.000"/>
    <m/>
    <m/>
    <n v="0"/>
    <n v="15359.656666666668"/>
    <n v="15359.656666666668"/>
    <n v="60106"/>
    <x v="2"/>
    <s v="60106V0000"/>
    <x v="5"/>
  </r>
  <r>
    <s v="322795"/>
    <s v="R-LLDPE LL6201"/>
    <s v="0.000 G"/>
    <x v="8"/>
    <s v="Virgin grade"/>
    <n v="11000"/>
    <n v="84011.4"/>
    <n v="0"/>
    <n v="0"/>
    <n v="149.90299999999999"/>
    <n v="1144.8699999999999"/>
    <n v="0"/>
    <n v="0"/>
    <n v="0"/>
    <n v="0"/>
    <n v="0"/>
    <n v="0"/>
    <n v="11149.903"/>
    <n v="85156.27"/>
    <n v="63.61"/>
    <m/>
    <m/>
    <n v="0"/>
    <n v="11149.903"/>
    <s v="0.000"/>
    <m/>
    <m/>
    <n v="0"/>
    <n v="8021.97"/>
    <n v="8021.97"/>
    <n v="60105"/>
    <x v="3"/>
    <s v="60105V0000"/>
    <x v="5"/>
  </r>
  <r>
    <s v="322799"/>
    <s v="R-PP-PP TITAN PRO SM398"/>
    <s v="0.000 G"/>
    <x v="7"/>
    <s v="Virgin grade"/>
    <n v="9918.5220000000008"/>
    <n v="59782.31"/>
    <n v="0"/>
    <n v="0"/>
    <n v="0"/>
    <n v="0"/>
    <n v="0"/>
    <n v="0"/>
    <n v="0"/>
    <n v="0"/>
    <n v="0"/>
    <n v="0"/>
    <n v="9918.5220000000008"/>
    <n v="59782.3"/>
    <n v="0"/>
    <m/>
    <m/>
    <n v="0"/>
    <n v="9918.5220000000008"/>
    <s v="0.000"/>
    <m/>
    <m/>
    <n v="0"/>
    <n v="23026.536666666667"/>
    <n v="23026.536666666667"/>
    <n v="60106"/>
    <x v="2"/>
    <s v="60106V0000"/>
    <x v="5"/>
  </r>
  <r>
    <s v="322851"/>
    <s v="Z-37.5MM PE WAD (1.0MM)"/>
    <s v="0.000 G"/>
    <x v="9"/>
    <s v="LABEL, IML, STICKER,"/>
    <n v="0"/>
    <n v="0"/>
    <n v="0"/>
    <n v="0"/>
    <n v="0"/>
    <n v="0"/>
    <n v="11700"/>
    <n v="304.2"/>
    <n v="0"/>
    <n v="0"/>
    <n v="0"/>
    <n v="0"/>
    <n v="11700"/>
    <n v="304.2"/>
    <n v="135.21"/>
    <m/>
    <m/>
    <n v="0"/>
    <n v="11700"/>
    <s v="0.000"/>
    <m/>
    <m/>
    <n v="0"/>
    <n v="0"/>
    <n v="0"/>
    <n v="65400"/>
    <x v="5"/>
    <s v="65400S0001"/>
    <x v="6"/>
  </r>
  <r>
    <s v="322852"/>
    <s v="Z-62MM PE WAD (0.55M)"/>
    <s v="0.000 G"/>
    <x v="9"/>
    <s v="LABEL, IML, STICKER,"/>
    <n v="0"/>
    <n v="0"/>
    <n v="15000"/>
    <n v="538.35"/>
    <n v="0"/>
    <n v="0"/>
    <n v="2800"/>
    <n v="100.49"/>
    <n v="0"/>
    <n v="0"/>
    <n v="0"/>
    <n v="0"/>
    <n v="17800"/>
    <n v="638.84"/>
    <n v="89.33"/>
    <m/>
    <m/>
    <n v="0"/>
    <n v="17800"/>
    <s v="0.000"/>
    <m/>
    <m/>
    <n v="0"/>
    <n v="0"/>
    <n v="0"/>
    <n v="65400"/>
    <x v="5"/>
    <s v="65400S0001"/>
    <x v="6"/>
  </r>
  <r>
    <s v="322853"/>
    <s v="Z-61.5MM PE WAD (1.0MM)"/>
    <s v="0.000 G"/>
    <x v="9"/>
    <s v="LABEL, IML, STICKER,"/>
    <n v="44600"/>
    <n v="2051.6"/>
    <n v="0"/>
    <n v="0"/>
    <n v="0"/>
    <n v="0"/>
    <n v="0"/>
    <n v="0"/>
    <n v="0"/>
    <n v="0"/>
    <n v="0"/>
    <n v="0"/>
    <n v="44600"/>
    <n v="2051.6"/>
    <n v="0"/>
    <n v="1012"/>
    <n v="337.33333333333297"/>
    <n v="182.45454545454501"/>
    <n v="44600"/>
    <s v="0.000"/>
    <m/>
    <m/>
    <n v="337.33333333333297"/>
    <n v="337.33333333333331"/>
    <n v="337.33333333333331"/>
    <n v="65400"/>
    <x v="5"/>
    <s v="65400S0001"/>
    <x v="6"/>
  </r>
  <r>
    <s v="322855"/>
    <s v="Z-37.5MM PE WAD (0.5MM)"/>
    <s v="0.000 G"/>
    <x v="9"/>
    <s v="LABEL, IML, STICKER,"/>
    <n v="6000"/>
    <n v="100.8"/>
    <n v="0"/>
    <n v="0"/>
    <n v="0"/>
    <n v="0"/>
    <n v="0"/>
    <n v="0"/>
    <n v="900"/>
    <n v="15.12"/>
    <n v="0"/>
    <n v="0"/>
    <n v="6900"/>
    <n v="115.92"/>
    <n v="15.12"/>
    <n v="16.8"/>
    <n v="5.6"/>
    <n v="621"/>
    <n v="6900"/>
    <s v="0.000"/>
    <m/>
    <m/>
    <n v="5.6"/>
    <n v="5.6000000000000005"/>
    <n v="5.6000000000000005"/>
    <n v="65400"/>
    <x v="5"/>
    <s v="65400S0001"/>
    <x v="6"/>
  </r>
  <r>
    <s v="322858"/>
    <s v="Z-38.2MM PE WAD (0.5MM)"/>
    <s v="0.000 G"/>
    <x v="9"/>
    <s v="LABEL, IML, STICKER,"/>
    <n v="10000"/>
    <n v="180"/>
    <n v="0"/>
    <n v="0"/>
    <n v="0"/>
    <n v="0"/>
    <n v="1500"/>
    <n v="27"/>
    <n v="0"/>
    <n v="0"/>
    <n v="0"/>
    <n v="0"/>
    <n v="11500"/>
    <n v="207"/>
    <n v="16.5"/>
    <m/>
    <m/>
    <n v="0"/>
    <n v="0"/>
    <s v="0.000"/>
    <m/>
    <m/>
    <n v="0"/>
    <n v="36"/>
    <n v="36"/>
    <n v="65400"/>
    <x v="5"/>
    <s v="65400S0001"/>
    <x v="6"/>
  </r>
  <r>
    <s v="322862"/>
    <s v="Z-62MM ACTIVATED SEAL WAD"/>
    <s v="0.000 G"/>
    <x v="9"/>
    <s v="LABEL, IML, STICKER,"/>
    <n v="96700"/>
    <n v="15468.13"/>
    <n v="0"/>
    <n v="0"/>
    <n v="0"/>
    <n v="0"/>
    <n v="0"/>
    <n v="0"/>
    <n v="0"/>
    <n v="0"/>
    <n v="0"/>
    <n v="0"/>
    <n v="96700"/>
    <n v="15468.13"/>
    <n v="0"/>
    <n v="159.96"/>
    <n v="53.32"/>
    <n v="8702.9988747186799"/>
    <n v="0"/>
    <s v="0.000"/>
    <m/>
    <m/>
    <n v="53.32"/>
    <n v="6259.43"/>
    <n v="6259.43"/>
    <n v="65400"/>
    <x v="5"/>
    <s v="65400S0001"/>
    <x v="6"/>
  </r>
  <r>
    <s v="322863"/>
    <s v="Z-62.2MM UNIGARD PEELABLE I/INNERSEAL"/>
    <s v="0.000 G"/>
    <x v="9"/>
    <s v="LABEL, IML, STICKER,"/>
    <n v="10000"/>
    <n v="1500"/>
    <n v="5800"/>
    <n v="870"/>
    <n v="0"/>
    <n v="0"/>
    <n v="0"/>
    <n v="0"/>
    <n v="0"/>
    <n v="0"/>
    <n v="0"/>
    <n v="0"/>
    <n v="15800"/>
    <n v="2370"/>
    <n v="0"/>
    <m/>
    <m/>
    <n v="0"/>
    <n v="0"/>
    <s v="0.000"/>
    <m/>
    <m/>
    <n v="0"/>
    <n v="0"/>
    <n v="0"/>
    <n v="65400"/>
    <x v="5"/>
    <s v="65400S0001"/>
    <x v="6"/>
  </r>
  <r>
    <s v="322864"/>
    <s v="Z-61.3MM INDUCTION SEAL W/EAR"/>
    <s v="0.000 G"/>
    <x v="9"/>
    <s v="LABEL, IML, STICKER,"/>
    <n v="50000"/>
    <n v="3250"/>
    <n v="35300"/>
    <n v="2294.5"/>
    <n v="0"/>
    <n v="0"/>
    <n v="0"/>
    <n v="0"/>
    <n v="0"/>
    <n v="0"/>
    <n v="0"/>
    <n v="0"/>
    <n v="85300"/>
    <n v="5544.5"/>
    <n v="0"/>
    <n v="910"/>
    <n v="303.33333333333297"/>
    <n v="548.357142857143"/>
    <n v="0"/>
    <s v="0.000"/>
    <m/>
    <m/>
    <n v="303.33333333333297"/>
    <n v="959.83333333333337"/>
    <n v="303.33333333333297"/>
    <n v="65400"/>
    <x v="5"/>
    <s v="65400S0001"/>
    <x v="6"/>
  </r>
  <r>
    <s v="323017"/>
    <s v="Z-37.5MM PAPER WAD"/>
    <s v="0.000 G"/>
    <x v="9"/>
    <s v="LABEL, IML, STICKER,"/>
    <n v="0"/>
    <n v="0"/>
    <n v="20000"/>
    <n v="280"/>
    <n v="4750"/>
    <n v="66.5"/>
    <n v="0"/>
    <n v="0"/>
    <n v="0"/>
    <n v="0"/>
    <n v="0"/>
    <n v="0"/>
    <n v="24750"/>
    <n v="346.5"/>
    <n v="7.39"/>
    <n v="210"/>
    <n v="70"/>
    <n v="148.5"/>
    <n v="0"/>
    <s v="0.000"/>
    <m/>
    <m/>
    <n v="70"/>
    <n v="70"/>
    <n v="70"/>
    <n v="65400"/>
    <x v="5"/>
    <s v="65400S0001"/>
    <x v="6"/>
  </r>
  <r>
    <s v="323019"/>
    <s v="Z-62MM PAPER WAD"/>
    <s v="0.000 G"/>
    <x v="9"/>
    <s v="LABEL, IML, STICKER,"/>
    <n v="0"/>
    <n v="0"/>
    <n v="20000"/>
    <n v="600"/>
    <n v="0"/>
    <n v="0"/>
    <n v="3000"/>
    <n v="90"/>
    <n v="0"/>
    <n v="0"/>
    <n v="0"/>
    <n v="0"/>
    <n v="23000"/>
    <n v="690"/>
    <n v="70.010000000000005"/>
    <m/>
    <m/>
    <n v="0"/>
    <n v="0"/>
    <s v="0.000"/>
    <m/>
    <m/>
    <n v="0"/>
    <n v="0"/>
    <n v="0"/>
    <n v="65400"/>
    <x v="5"/>
    <s v="65400S0001"/>
    <x v="6"/>
  </r>
  <r>
    <s v="323038"/>
    <s v="BCY28-0400-T-R-WH PWR MAX (ASEM)"/>
    <s v="39.100 G"/>
    <x v="1"/>
    <s v="Others"/>
    <m/>
    <m/>
    <m/>
    <m/>
    <m/>
    <m/>
    <m/>
    <m/>
    <m/>
    <m/>
    <m/>
    <m/>
    <m/>
    <m/>
    <m/>
    <n v="944.99"/>
    <n v="314.99666666666701"/>
    <m/>
    <n v="0"/>
    <s v="39.10"/>
    <m/>
    <m/>
    <n v="314.99666666666701"/>
    <n v="314.99666666666667"/>
    <n v="314.99666666666667"/>
    <n v="60104"/>
    <x v="1"/>
    <s v="601041000B"/>
    <x v="1"/>
  </r>
  <r>
    <s v="323039"/>
    <s v="JJ63-0475-FFN-R-CL"/>
    <s v="34.500 G"/>
    <x v="2"/>
    <s v="Others"/>
    <n v="0"/>
    <n v="0"/>
    <n v="0"/>
    <n v="0"/>
    <n v="0"/>
    <n v="0"/>
    <n v="721"/>
    <n v="216.3"/>
    <n v="0"/>
    <n v="0"/>
    <n v="0"/>
    <n v="0"/>
    <n v="721"/>
    <n v="216.3"/>
    <n v="144.21"/>
    <m/>
    <m/>
    <n v="0"/>
    <n v="24.874500000000001"/>
    <s v="34.50"/>
    <m/>
    <m/>
    <n v="0"/>
    <n v="0"/>
    <n v="0"/>
    <n v="60104"/>
    <x v="1"/>
    <s v="601041000J"/>
    <x v="2"/>
  </r>
  <r>
    <s v="323072"/>
    <s v="JJ63-0750-R-R-CL-LW"/>
    <s v="34.500 G"/>
    <x v="2"/>
    <s v="Others"/>
    <n v="0"/>
    <n v="0"/>
    <n v="16690"/>
    <n v="4673.2"/>
    <n v="0"/>
    <n v="0"/>
    <n v="0"/>
    <n v="0"/>
    <n v="0"/>
    <n v="0"/>
    <n v="0"/>
    <n v="0"/>
    <n v="16690"/>
    <n v="4673.2"/>
    <n v="0"/>
    <m/>
    <m/>
    <n v="0"/>
    <n v="575.80499999999995"/>
    <s v="34.50"/>
    <m/>
    <m/>
    <n v="0"/>
    <n v="1051.0266666666632"/>
    <n v="1051.0266666666632"/>
    <n v="60104"/>
    <x v="1"/>
    <s v="601041000J"/>
    <x v="2"/>
  </r>
  <r>
    <s v="323091"/>
    <s v="BX38-1000-RH-R-CL(GREEN) (ASEM)"/>
    <s v="60.000 G"/>
    <x v="1"/>
    <s v="Others"/>
    <n v="12600"/>
    <n v="6552"/>
    <n v="0"/>
    <n v="0"/>
    <n v="0"/>
    <n v="0"/>
    <n v="0"/>
    <n v="0"/>
    <n v="0"/>
    <n v="0"/>
    <n v="0"/>
    <n v="0"/>
    <n v="12600"/>
    <n v="6552"/>
    <n v="0"/>
    <n v="12687.66"/>
    <n v="4229.22"/>
    <n v="46.476655269766098"/>
    <n v="756"/>
    <s v="60.00"/>
    <m/>
    <m/>
    <n v="4229.22"/>
    <n v="4229.22"/>
    <n v="4229.22"/>
    <n v="60104"/>
    <x v="1"/>
    <s v="601041000B"/>
    <x v="1"/>
  </r>
  <r>
    <s v="323092"/>
    <s v="BX38-1000-GH-R-CL(GREEN) (ASEM)"/>
    <s v="47.800 G"/>
    <x v="1"/>
    <s v="Others"/>
    <m/>
    <m/>
    <m/>
    <m/>
    <m/>
    <m/>
    <m/>
    <m/>
    <m/>
    <m/>
    <m/>
    <m/>
    <m/>
    <m/>
    <m/>
    <n v="48130.58"/>
    <n v="16043.526666666699"/>
    <m/>
    <n v="0"/>
    <s v="47.80"/>
    <m/>
    <m/>
    <n v="16043.526666666699"/>
    <n v="16043.526666666667"/>
    <n v="16043.526666666667"/>
    <n v="60104"/>
    <x v="1"/>
    <s v="601041000B"/>
    <x v="1"/>
  </r>
  <r>
    <s v="323102"/>
    <s v="BX38-1500-H-R-CL-LW(GREEN) (ASEM)"/>
    <s v="55.000 G"/>
    <x v="1"/>
    <s v="Others"/>
    <n v="10240"/>
    <n v="5427.2"/>
    <n v="0"/>
    <n v="0"/>
    <n v="0"/>
    <n v="0"/>
    <n v="0"/>
    <n v="0"/>
    <n v="0"/>
    <n v="0"/>
    <n v="0"/>
    <n v="0"/>
    <n v="10240"/>
    <n v="5427.2"/>
    <n v="0"/>
    <n v="96857"/>
    <n v="32285.666666666701"/>
    <n v="5.0429808893523402"/>
    <n v="563.20000000000005"/>
    <s v="55.00"/>
    <m/>
    <m/>
    <n v="32285.666666666701"/>
    <n v="32285.666666666668"/>
    <n v="32285.666666666701"/>
    <n v="60104"/>
    <x v="1"/>
    <s v="601041000B"/>
    <x v="1"/>
  </r>
  <r>
    <s v="323107"/>
    <s v="BB38-2000-HR-R-CL(RED) (ASEM)"/>
    <s v="55.000 G"/>
    <x v="1"/>
    <s v="Others"/>
    <m/>
    <m/>
    <m/>
    <m/>
    <m/>
    <m/>
    <m/>
    <m/>
    <m/>
    <m/>
    <m/>
    <m/>
    <m/>
    <m/>
    <m/>
    <n v="11020.8"/>
    <n v="3673.6"/>
    <m/>
    <n v="0"/>
    <s v="55.00"/>
    <m/>
    <m/>
    <n v="3673.6"/>
    <n v="3673.5999999999663"/>
    <n v="3673.6"/>
    <n v="60104"/>
    <x v="1"/>
    <s v="601041000B"/>
    <x v="1"/>
  </r>
  <r>
    <s v="323111"/>
    <s v="BB38-2000-H-R-CL(WHITE) (ASEM)"/>
    <s v="72.000 G"/>
    <x v="1"/>
    <s v="Others"/>
    <m/>
    <m/>
    <m/>
    <m/>
    <m/>
    <m/>
    <m/>
    <m/>
    <m/>
    <m/>
    <m/>
    <m/>
    <m/>
    <m/>
    <m/>
    <n v="2290.8000000000002"/>
    <n v="763.6"/>
    <m/>
    <n v="0"/>
    <s v="72.00"/>
    <m/>
    <m/>
    <n v="763.6"/>
    <n v="763.6"/>
    <n v="763.6"/>
    <n v="60104"/>
    <x v="1"/>
    <s v="601041000B"/>
    <x v="1"/>
  </r>
  <r>
    <s v="323133"/>
    <s v="BX38-2000-RH-R-CL(GREEN) (ASEM)"/>
    <s v="78.000 G"/>
    <x v="1"/>
    <s v="Others"/>
    <n v="26496"/>
    <n v="18017.28"/>
    <n v="0"/>
    <n v="0"/>
    <n v="0"/>
    <n v="0"/>
    <n v="0"/>
    <n v="0"/>
    <n v="0"/>
    <n v="0"/>
    <n v="0"/>
    <n v="0"/>
    <n v="26496"/>
    <n v="18017.28"/>
    <n v="0"/>
    <n v="35471.269999999997"/>
    <n v="11823.756666666701"/>
    <n v="45.714607906624202"/>
    <n v="2066.6880000000001"/>
    <s v="78.00"/>
    <m/>
    <m/>
    <n v="11823.756666666701"/>
    <n v="11823.756666666633"/>
    <n v="11823.756666666633"/>
    <n v="60104"/>
    <x v="1"/>
    <s v="601041000B"/>
    <x v="1"/>
  </r>
  <r>
    <s v="323509"/>
    <s v="C28-C/S-FLIP TOP GREEN"/>
    <s v="4.850 G"/>
    <x v="3"/>
    <s v="Others"/>
    <m/>
    <m/>
    <m/>
    <m/>
    <m/>
    <m/>
    <m/>
    <m/>
    <m/>
    <m/>
    <m/>
    <m/>
    <m/>
    <m/>
    <m/>
    <n v="2515.37"/>
    <n v="838.45666666666705"/>
    <m/>
    <n v="0"/>
    <s v="4.850"/>
    <m/>
    <m/>
    <n v="838.45666666666705"/>
    <n v="838.4566666666633"/>
    <n v="838.45666666666705"/>
    <n v="60106"/>
    <x v="2"/>
    <s v="601061000C"/>
    <x v="3"/>
  </r>
  <r>
    <s v="324156"/>
    <s v="C63-T/E-R/S-BROWN"/>
    <s v="7.300 G"/>
    <x v="4"/>
    <s v="Others"/>
    <n v="19500"/>
    <n v="2027.81"/>
    <n v="0"/>
    <n v="0"/>
    <n v="0"/>
    <n v="0"/>
    <n v="0"/>
    <n v="0"/>
    <n v="0"/>
    <n v="0"/>
    <n v="0"/>
    <n v="0"/>
    <n v="19500"/>
    <n v="2027.81"/>
    <n v="0"/>
    <n v="3587.34"/>
    <n v="1195.78"/>
    <n v="50.874157453712201"/>
    <n v="142.35"/>
    <s v="7.300"/>
    <m/>
    <m/>
    <n v="1195.78"/>
    <n v="1195.78"/>
    <n v="1195.78"/>
    <n v="60105"/>
    <x v="3"/>
    <s v="601051000C"/>
    <x v="3"/>
  </r>
  <r>
    <s v="324163"/>
    <s v="BC28-0265-A-Q-CL"/>
    <s v="23.500 G"/>
    <x v="1"/>
    <s v="Others"/>
    <n v="62865"/>
    <n v="13830.3"/>
    <n v="0"/>
    <n v="0"/>
    <n v="0"/>
    <n v="0"/>
    <n v="0"/>
    <n v="0"/>
    <n v="0"/>
    <n v="0"/>
    <n v="0"/>
    <n v="0"/>
    <n v="62865"/>
    <n v="13830.3"/>
    <n v="0"/>
    <n v="16764.009999999998"/>
    <n v="5588.0033333333304"/>
    <n v="74.249955708687807"/>
    <n v="1477.3275000000001"/>
    <s v="23.50"/>
    <m/>
    <m/>
    <n v="5588.0033333333304"/>
    <n v="5588"/>
    <n v="5588.0033333333304"/>
    <n v="60104"/>
    <x v="1"/>
    <s v="601041000B"/>
    <x v="1"/>
  </r>
  <r>
    <s v="324165"/>
    <s v="JJ63-0400-SH-S-WH"/>
    <s v="33.000 G"/>
    <x v="2"/>
    <s v="Others"/>
    <m/>
    <m/>
    <m/>
    <m/>
    <m/>
    <m/>
    <m/>
    <m/>
    <m/>
    <m/>
    <m/>
    <m/>
    <m/>
    <m/>
    <m/>
    <n v="35950.080000000002"/>
    <n v="11983.36"/>
    <m/>
    <n v="0"/>
    <s v="33.00"/>
    <m/>
    <m/>
    <n v="11983.36"/>
    <n v="11983.36"/>
    <n v="11983.36"/>
    <n v="60104"/>
    <x v="1"/>
    <s v="601041000J"/>
    <x v="2"/>
  </r>
  <r>
    <s v="324168"/>
    <s v="JJ63-0500-M-R-AM"/>
    <s v="40.000 G"/>
    <x v="2"/>
    <s v="Others"/>
    <n v="0"/>
    <n v="0"/>
    <n v="0"/>
    <n v="0"/>
    <n v="0"/>
    <n v="0"/>
    <n v="0"/>
    <n v="0"/>
    <n v="5952"/>
    <n v="2023.68"/>
    <n v="0"/>
    <n v="0"/>
    <n v="5952"/>
    <n v="2023.68"/>
    <n v="2023.68"/>
    <m/>
    <m/>
    <n v="0"/>
    <n v="238.08"/>
    <s v="40.00"/>
    <m/>
    <m/>
    <n v="0"/>
    <n v="0"/>
    <n v="0"/>
    <n v="60104"/>
    <x v="1"/>
    <s v="601041000J"/>
    <x v="2"/>
  </r>
  <r>
    <s v="324170"/>
    <s v="JJ63-0750-SHX-S-CL"/>
    <s v="37.000 G"/>
    <x v="2"/>
    <s v="Others"/>
    <m/>
    <m/>
    <m/>
    <m/>
    <m/>
    <m/>
    <m/>
    <m/>
    <m/>
    <m/>
    <m/>
    <m/>
    <m/>
    <m/>
    <m/>
    <n v="-50.18"/>
    <n v="-16.726666666666699"/>
    <m/>
    <n v="0"/>
    <s v="37.00"/>
    <m/>
    <m/>
    <n v="-16.726666666666699"/>
    <n v="-16.726666666666667"/>
    <n v="-16.726666666666699"/>
    <n v="60104"/>
    <x v="1"/>
    <s v="601041000J"/>
    <x v="2"/>
  </r>
  <r>
    <s v="324173"/>
    <s v="JJ63-0600-RH-R-CL"/>
    <s v="34.500 G"/>
    <x v="2"/>
    <s v="Others"/>
    <n v="12600"/>
    <n v="3402"/>
    <n v="0"/>
    <n v="0"/>
    <n v="0"/>
    <n v="0"/>
    <n v="0"/>
    <n v="0"/>
    <n v="0"/>
    <n v="0"/>
    <n v="0"/>
    <n v="0"/>
    <n v="12600"/>
    <n v="3402"/>
    <n v="0"/>
    <n v="8148"/>
    <n v="2716"/>
    <n v="37.577319587628899"/>
    <n v="434.7"/>
    <s v="34.50"/>
    <m/>
    <m/>
    <n v="2716"/>
    <n v="2716"/>
    <n v="2716"/>
    <n v="60104"/>
    <x v="1"/>
    <s v="601041000J"/>
    <x v="2"/>
  </r>
  <r>
    <s v="324174"/>
    <s v="JJ63-0250-R-R-CL"/>
    <s v="24.000 G"/>
    <x v="2"/>
    <s v="Others"/>
    <n v="0"/>
    <n v="0"/>
    <n v="1015"/>
    <n v="213.15"/>
    <n v="0"/>
    <n v="0"/>
    <n v="0"/>
    <n v="0"/>
    <n v="0"/>
    <n v="0"/>
    <n v="0"/>
    <n v="0"/>
    <n v="1015"/>
    <n v="213.15"/>
    <n v="0"/>
    <n v="8526"/>
    <n v="2842"/>
    <n v="2.25"/>
    <n v="24.36"/>
    <s v="24.00"/>
    <m/>
    <m/>
    <n v="2842"/>
    <n v="2842"/>
    <n v="2842"/>
    <n v="60104"/>
    <x v="1"/>
    <s v="601041000J"/>
    <x v="2"/>
  </r>
  <r>
    <s v="324177"/>
    <s v="JJ63-0350-EH-R-CL"/>
    <s v="34.500 G"/>
    <x v="2"/>
    <s v="Others"/>
    <n v="7020"/>
    <n v="1895.4"/>
    <n v="0"/>
    <n v="0"/>
    <n v="0"/>
    <n v="0"/>
    <n v="0"/>
    <n v="0"/>
    <n v="0"/>
    <n v="0"/>
    <n v="0"/>
    <n v="0"/>
    <n v="7020"/>
    <n v="1895.4"/>
    <n v="0"/>
    <n v="14952.6"/>
    <n v="4984.2"/>
    <n v="11.4084507042254"/>
    <n v="242.19"/>
    <s v="34.50"/>
    <m/>
    <m/>
    <n v="4984.2"/>
    <n v="4984.2"/>
    <n v="4984.2"/>
    <n v="60104"/>
    <x v="1"/>
    <s v="601041000J"/>
    <x v="2"/>
  </r>
  <r>
    <s v="324191"/>
    <s v="BCY28-0750-W-R-CL"/>
    <s v="44.000 G"/>
    <x v="1"/>
    <s v="Others"/>
    <m/>
    <m/>
    <m/>
    <m/>
    <m/>
    <m/>
    <m/>
    <m/>
    <m/>
    <m/>
    <m/>
    <m/>
    <m/>
    <m/>
    <m/>
    <n v="2362.5"/>
    <n v="787.5"/>
    <m/>
    <n v="0"/>
    <s v="44.00"/>
    <m/>
    <m/>
    <n v="787.5"/>
    <n v="787.5"/>
    <n v="787.5"/>
    <n v="60104"/>
    <x v="1"/>
    <s v="601041000B"/>
    <x v="1"/>
  </r>
  <r>
    <s v="324198"/>
    <s v="BX38-0100-C-R-CL"/>
    <s v="20.000 G"/>
    <x v="1"/>
    <s v="Others"/>
    <n v="35280"/>
    <n v="6703.2"/>
    <n v="0"/>
    <n v="0"/>
    <n v="0"/>
    <n v="0"/>
    <n v="0"/>
    <n v="0"/>
    <n v="0"/>
    <n v="0"/>
    <n v="0"/>
    <n v="0"/>
    <n v="35280"/>
    <n v="6703.2"/>
    <n v="0"/>
    <n v="4514.3999999999996"/>
    <n v="1504.8"/>
    <n v="133.636363636364"/>
    <n v="705.6"/>
    <s v="20.00"/>
    <m/>
    <m/>
    <n v="1504.8"/>
    <n v="1504.7999999999965"/>
    <n v="1504.8"/>
    <n v="60104"/>
    <x v="1"/>
    <s v="601041000B"/>
    <x v="1"/>
  </r>
  <r>
    <s v="324203"/>
    <s v="BX38-0300-C-R-AM"/>
    <s v="36.000 G"/>
    <x v="1"/>
    <s v="Others"/>
    <n v="0"/>
    <n v="0"/>
    <n v="2480"/>
    <n v="744"/>
    <n v="0"/>
    <n v="0"/>
    <n v="0"/>
    <n v="0"/>
    <n v="0"/>
    <n v="0"/>
    <n v="0"/>
    <n v="0"/>
    <n v="2480"/>
    <n v="744"/>
    <n v="0"/>
    <n v="744"/>
    <n v="248"/>
    <n v="90"/>
    <n v="89.28"/>
    <s v="36.00"/>
    <m/>
    <m/>
    <n v="248"/>
    <n v="248"/>
    <n v="248"/>
    <n v="60104"/>
    <x v="1"/>
    <s v="601041000B"/>
    <x v="1"/>
  </r>
  <r>
    <s v="324206"/>
    <s v="BX38-1000-HC-S-CL"/>
    <s v="48.000 G"/>
    <x v="1"/>
    <s v="Others"/>
    <n v="8450"/>
    <n v="2957.5"/>
    <n v="0"/>
    <n v="0"/>
    <n v="0"/>
    <n v="0"/>
    <n v="0"/>
    <n v="0"/>
    <n v="0"/>
    <n v="0"/>
    <n v="0"/>
    <n v="0"/>
    <n v="8450"/>
    <n v="2957.5"/>
    <n v="0"/>
    <n v="7733.25"/>
    <n v="2577.75"/>
    <n v="34.419551934826899"/>
    <n v="405.6"/>
    <s v="48.00"/>
    <m/>
    <m/>
    <n v="2577.75"/>
    <n v="2577.75"/>
    <n v="2577.75"/>
    <n v="60104"/>
    <x v="1"/>
    <s v="601041000B"/>
    <x v="1"/>
  </r>
  <r>
    <s v="324212"/>
    <s v="BB38-0250-S-S-CL"/>
    <s v="16.000 G"/>
    <x v="1"/>
    <s v="Others"/>
    <m/>
    <m/>
    <m/>
    <m/>
    <m/>
    <m/>
    <m/>
    <m/>
    <m/>
    <m/>
    <m/>
    <m/>
    <m/>
    <m/>
    <m/>
    <n v="1740.8"/>
    <n v="580.26666666666699"/>
    <m/>
    <n v="0"/>
    <s v="16.00"/>
    <m/>
    <m/>
    <n v="580.26666666666699"/>
    <n v="580.26666666666665"/>
    <n v="580.26666666666665"/>
    <n v="60104"/>
    <x v="1"/>
    <s v="601041000B"/>
    <x v="1"/>
  </r>
  <r>
    <s v="324216"/>
    <s v="JW110-4100-R-R-AM"/>
    <s v="150.150 G"/>
    <x v="10"/>
    <s v="DEL-JAR-GENERAL"/>
    <m/>
    <m/>
    <m/>
    <m/>
    <m/>
    <m/>
    <m/>
    <m/>
    <m/>
    <m/>
    <m/>
    <m/>
    <m/>
    <m/>
    <m/>
    <n v="2283.12"/>
    <n v="761.04"/>
    <m/>
    <n v="0"/>
    <s v="150.1"/>
    <m/>
    <m/>
    <n v="761.04"/>
    <n v="761.03999999999667"/>
    <n v="761.03999999999667"/>
    <n v="63010"/>
    <x v="1"/>
    <s v="6301010000"/>
    <x v="2"/>
  </r>
  <r>
    <s v="324298"/>
    <s v="C63-D/C 7H RED W IND SEAL W/EAR (ASEM)"/>
    <s v="13.200 G"/>
    <x v="5"/>
    <s v="Food &amp; Beverage"/>
    <m/>
    <m/>
    <m/>
    <m/>
    <m/>
    <m/>
    <m/>
    <m/>
    <m/>
    <m/>
    <m/>
    <m/>
    <m/>
    <m/>
    <m/>
    <n v="8680.09"/>
    <n v="2893.36333333333"/>
    <m/>
    <n v="0"/>
    <s v="13.20"/>
    <m/>
    <m/>
    <n v="2893.36333333333"/>
    <n v="2893.3599999999969"/>
    <n v="2893.36333333333"/>
    <n v="60106"/>
    <x v="2"/>
    <s v="601061000C"/>
    <x v="3"/>
  </r>
  <r>
    <s v="324493"/>
    <s v="M-INJ MASTERBATCH BRONZE 3626A"/>
    <s v="0.000 G"/>
    <x v="6"/>
    <s v="Additives"/>
    <n v="25"/>
    <n v="841.55"/>
    <n v="18.867000000000001"/>
    <n v="635.1"/>
    <n v="0"/>
    <n v="0"/>
    <n v="0"/>
    <n v="0"/>
    <n v="0"/>
    <n v="0"/>
    <n v="0"/>
    <n v="0"/>
    <n v="43.866999999999997"/>
    <n v="1476.65"/>
    <n v="0"/>
    <m/>
    <m/>
    <n v="0"/>
    <n v="0"/>
    <s v="0.000"/>
    <m/>
    <m/>
    <n v="0"/>
    <n v="60.75"/>
    <n v="60.75"/>
    <n v="60200"/>
    <x v="4"/>
    <s v="60200"/>
    <x v="4"/>
  </r>
  <r>
    <s v="324523"/>
    <s v="FREIGHT COST/TRANSPORT COST"/>
    <s v="0.000 G"/>
    <x v="9"/>
    <s v="LABEL, IML, STICKER,"/>
    <m/>
    <m/>
    <m/>
    <m/>
    <m/>
    <m/>
    <m/>
    <m/>
    <m/>
    <m/>
    <m/>
    <m/>
    <m/>
    <m/>
    <m/>
    <n v="0"/>
    <n v="0"/>
    <m/>
    <n v="0"/>
    <s v="0.000"/>
    <m/>
    <m/>
    <n v="0"/>
    <n v="114720.75333333334"/>
    <n v="114720.75333333334"/>
    <n v="65400"/>
    <x v="5"/>
    <s v="65400S0001"/>
    <x v="6"/>
  </r>
  <r>
    <s v="324638"/>
    <s v="BX38-2000-GH-R-CL (GREEN) (ASEM)"/>
    <s v="77.500 G"/>
    <x v="1"/>
    <s v="Others"/>
    <n v="26496"/>
    <n v="17752.32"/>
    <n v="0"/>
    <n v="0"/>
    <n v="0"/>
    <n v="0"/>
    <n v="0"/>
    <n v="0"/>
    <n v="0"/>
    <n v="0"/>
    <n v="0"/>
    <n v="0"/>
    <n v="26496"/>
    <n v="17752.32"/>
    <n v="0"/>
    <n v="59646.26"/>
    <n v="19882.086666666699"/>
    <n v="26.7864037074579"/>
    <n v="2053.44"/>
    <s v="77.50"/>
    <m/>
    <m/>
    <n v="19882.086666666699"/>
    <n v="19882.086666666666"/>
    <n v="19882.086666666699"/>
    <n v="60104"/>
    <x v="1"/>
    <s v="601041000B"/>
    <x v="1"/>
  </r>
  <r>
    <s v="324682"/>
    <s v="BB38-0500-R-R-WH"/>
    <s v="33.000 G"/>
    <x v="1"/>
    <s v="Others"/>
    <n v="11088"/>
    <n v="3437.28"/>
    <n v="0"/>
    <n v="0"/>
    <n v="0"/>
    <n v="0"/>
    <n v="0"/>
    <n v="0"/>
    <n v="0"/>
    <n v="0"/>
    <n v="0"/>
    <n v="0"/>
    <n v="11088"/>
    <n v="3437.28"/>
    <n v="0"/>
    <n v="3437.28"/>
    <n v="1145.76"/>
    <n v="90"/>
    <n v="11088"/>
    <s v="33.00"/>
    <m/>
    <m/>
    <n v="1145.76"/>
    <n v="1145.76"/>
    <n v="1145.76"/>
    <n v="60104"/>
    <x v="1"/>
    <s v="601041000B"/>
    <x v="1"/>
  </r>
  <r>
    <s v="324730"/>
    <s v="INSURANCE &amp; OTHERS"/>
    <s v="0.000 G"/>
    <x v="9"/>
    <s v="LABEL, IML, STICKER,"/>
    <m/>
    <m/>
    <m/>
    <m/>
    <m/>
    <m/>
    <m/>
    <m/>
    <m/>
    <m/>
    <m/>
    <m/>
    <m/>
    <m/>
    <m/>
    <n v="0"/>
    <n v="0"/>
    <m/>
    <n v="0"/>
    <s v="0.000"/>
    <m/>
    <m/>
    <n v="0"/>
    <n v="48.949999999999669"/>
    <n v="48.949999999999669"/>
    <n v="65400"/>
    <x v="5"/>
    <s v="65400S0001"/>
    <x v="6"/>
  </r>
  <r>
    <s v="325511"/>
    <s v="BC28-0060-M-R-CL-HW"/>
    <s v="18.350 G"/>
    <x v="1"/>
    <s v="Others"/>
    <n v="16500"/>
    <n v="2970"/>
    <n v="0"/>
    <n v="0"/>
    <n v="0"/>
    <n v="0"/>
    <n v="0"/>
    <n v="0"/>
    <n v="0"/>
    <n v="0"/>
    <n v="0"/>
    <n v="0"/>
    <n v="16500"/>
    <n v="2970"/>
    <n v="0"/>
    <n v="989.99"/>
    <n v="329.99666666666701"/>
    <n v="270.00272730027598"/>
    <n v="302.77499999999998"/>
    <s v="18.35"/>
    <m/>
    <m/>
    <n v="329.99666666666701"/>
    <n v="330"/>
    <n v="329.99666666666701"/>
    <n v="60104"/>
    <x v="1"/>
    <s v="601041000B"/>
    <x v="1"/>
  </r>
  <r>
    <s v="330830"/>
    <s v="M-PET MASTERBATCH -WHITE"/>
    <s v="0.000 G"/>
    <x v="6"/>
    <s v="Additives"/>
    <n v="150"/>
    <n v="5550.01"/>
    <n v="83.173000000000002"/>
    <n v="3077.41"/>
    <n v="0"/>
    <n v="0"/>
    <n v="0"/>
    <n v="0"/>
    <n v="0"/>
    <n v="0"/>
    <n v="0"/>
    <n v="0"/>
    <n v="233.173"/>
    <n v="8627.42"/>
    <n v="0"/>
    <m/>
    <m/>
    <n v="0"/>
    <n v="233.173"/>
    <s v="0.000"/>
    <m/>
    <m/>
    <n v="0"/>
    <n v="2317.1733333333336"/>
    <n v="2317.1733333333336"/>
    <n v="60200"/>
    <x v="4"/>
    <s v="60200"/>
    <x v="4"/>
  </r>
  <r>
    <s v="330867"/>
    <s v="SL-FANCY FONDANT 285GM"/>
    <s v="0.000 G"/>
    <x v="9"/>
    <s v="LABEL, IML, STICKER,"/>
    <n v="0"/>
    <n v="0"/>
    <n v="0"/>
    <n v="0"/>
    <n v="0"/>
    <n v="0"/>
    <n v="4197"/>
    <n v="267.94"/>
    <n v="0"/>
    <n v="0"/>
    <n v="0"/>
    <n v="0"/>
    <n v="4197"/>
    <n v="267.94"/>
    <n v="119.09"/>
    <m/>
    <m/>
    <n v="0"/>
    <n v="4197"/>
    <s v="0.000"/>
    <m/>
    <m/>
    <n v="0"/>
    <n v="0"/>
    <n v="0"/>
    <n v="65400"/>
    <x v="5"/>
    <s v="65400S0001"/>
    <x v="6"/>
  </r>
  <r>
    <s v="330922"/>
    <s v="C63-T/E-R/S-PINK"/>
    <s v="7.300 G"/>
    <x v="4"/>
    <s v="Others"/>
    <n v="0"/>
    <n v="0"/>
    <n v="14000"/>
    <n v="1474.76"/>
    <n v="1000"/>
    <n v="105.34"/>
    <n v="0"/>
    <n v="0"/>
    <n v="0"/>
    <n v="0"/>
    <n v="0"/>
    <n v="0"/>
    <n v="15000"/>
    <n v="1580.1"/>
    <n v="23.41"/>
    <m/>
    <m/>
    <n v="0"/>
    <n v="109.5"/>
    <s v="7.300"/>
    <m/>
    <m/>
    <n v="0"/>
    <n v="0"/>
    <n v="0"/>
    <n v="60105"/>
    <x v="3"/>
    <s v="601051000C"/>
    <x v="3"/>
  </r>
  <r>
    <s v="331724"/>
    <s v="R-PET-JADE BRAND PET RESIN CZ-302 IV0.80"/>
    <s v="0.000 TON"/>
    <x v="11"/>
    <s v="Virgin grade"/>
    <n v="154903.50700000001"/>
    <n v="731033.02"/>
    <n v="0"/>
    <n v="0"/>
    <n v="2200"/>
    <n v="10382.42"/>
    <n v="0"/>
    <n v="0"/>
    <n v="0"/>
    <n v="0"/>
    <n v="0"/>
    <n v="0"/>
    <n v="157103.50700000001"/>
    <n v="741415.44"/>
    <n v="1730.54"/>
    <m/>
    <m/>
    <n v="0"/>
    <n v="157103.50700000001"/>
    <s v="0.000"/>
    <m/>
    <m/>
    <n v="0"/>
    <n v="492597.21333332994"/>
    <n v="492597.21333332994"/>
    <n v="60104"/>
    <x v="1"/>
    <s v="60104V0000"/>
    <x v="5"/>
  </r>
  <r>
    <s v="332190"/>
    <s v="C38-T/E-R/S-BLACK WITH P.E WAD (V)"/>
    <s v="3.300 G"/>
    <x v="4"/>
    <s v="Others"/>
    <n v="6000"/>
    <n v="619.79999999999995"/>
    <n v="0"/>
    <n v="0"/>
    <n v="0"/>
    <n v="0"/>
    <n v="0"/>
    <n v="0"/>
    <n v="0"/>
    <n v="0"/>
    <n v="0"/>
    <n v="0"/>
    <n v="6000"/>
    <n v="619.79999999999995"/>
    <n v="0"/>
    <m/>
    <m/>
    <n v="0"/>
    <n v="6000"/>
    <s v="3.300"/>
    <m/>
    <m/>
    <n v="0"/>
    <n v="0"/>
    <n v="0"/>
    <n v="60105"/>
    <x v="3"/>
    <s v="601051000C"/>
    <x v="3"/>
  </r>
  <r>
    <s v="335835"/>
    <s v="M-INJ REMAFIN RED PL103605-12"/>
    <s v="0.000 G"/>
    <x v="6"/>
    <s v="Additives"/>
    <n v="50"/>
    <n v="2381.1"/>
    <n v="0"/>
    <n v="0"/>
    <n v="22.968"/>
    <n v="1093.78"/>
    <n v="16.241"/>
    <n v="773.43"/>
    <n v="0"/>
    <n v="0"/>
    <n v="0"/>
    <n v="0"/>
    <n v="89.209000000000003"/>
    <n v="4248.3100000000004"/>
    <n v="748.32"/>
    <m/>
    <m/>
    <n v="0"/>
    <n v="89.209000000000003"/>
    <s v="0.000"/>
    <m/>
    <m/>
    <n v="0"/>
    <n v="191.56666666666669"/>
    <n v="191.56666666666669"/>
    <n v="60200"/>
    <x v="4"/>
    <s v="60200"/>
    <x v="4"/>
  </r>
  <r>
    <s v="337468"/>
    <s v="C28-AF2 PLAIN BLACK 004 PLASTIC CAPS"/>
    <s v="3.300 G"/>
    <x v="3"/>
    <s v="Others"/>
    <n v="67200"/>
    <n v="3830.4"/>
    <n v="0"/>
    <n v="0"/>
    <n v="0"/>
    <n v="0"/>
    <n v="0"/>
    <n v="0"/>
    <n v="0"/>
    <n v="0"/>
    <n v="0"/>
    <n v="0"/>
    <n v="67200"/>
    <n v="3830.4"/>
    <n v="0"/>
    <n v="2736"/>
    <n v="912"/>
    <n v="126"/>
    <n v="67200"/>
    <s v="3.300"/>
    <m/>
    <m/>
    <n v="912"/>
    <n v="912"/>
    <n v="912"/>
    <n v="60106"/>
    <x v="2"/>
    <s v="601061000C"/>
    <x v="3"/>
  </r>
  <r>
    <s v="337470"/>
    <s v="BC28-1000-K-R-CL"/>
    <s v="54.000 G"/>
    <x v="12"/>
    <s v="Food &amp; Beverage"/>
    <n v="90240"/>
    <n v="36096"/>
    <n v="0"/>
    <n v="0"/>
    <n v="0"/>
    <n v="0"/>
    <n v="0"/>
    <n v="0"/>
    <n v="0"/>
    <n v="0"/>
    <n v="0"/>
    <n v="0"/>
    <n v="90240"/>
    <n v="36096"/>
    <n v="0"/>
    <n v="197212"/>
    <n v="65737.333333333299"/>
    <n v="16.472831267874199"/>
    <n v="90240"/>
    <s v="54.00"/>
    <m/>
    <m/>
    <n v="65737.333333333299"/>
    <n v="65737.333333333328"/>
    <n v="65737.333333333328"/>
    <n v="60104"/>
    <x v="1"/>
    <s v="601041000B"/>
    <x v="1"/>
  </r>
  <r>
    <s v="340302"/>
    <s v="T-PLASTIC PALLET N4111SL-BLACK-(K)"/>
    <s v="0.000 G"/>
    <x v="13"/>
    <s v="Logistic &amp; Other Sup"/>
    <n v="500"/>
    <n v="0"/>
    <n v="0"/>
    <n v="0"/>
    <n v="600"/>
    <n v="0"/>
    <n v="0"/>
    <n v="0"/>
    <n v="6261"/>
    <n v="0"/>
    <n v="0"/>
    <n v="0"/>
    <n v="7361"/>
    <n v="0"/>
    <n v="0"/>
    <m/>
    <m/>
    <n v="0"/>
    <n v="0"/>
    <s v="0.000"/>
    <m/>
    <m/>
    <n v="0"/>
    <n v="0"/>
    <n v="0"/>
    <n v="65000"/>
    <x v="6"/>
    <s v="65000L0000"/>
    <x v="7"/>
  </r>
  <r>
    <s v="340460"/>
    <s v="BC28-0150-A3-Q-CL"/>
    <s v="15.050 G"/>
    <x v="1"/>
    <s v="Others"/>
    <n v="20300"/>
    <n v="3451"/>
    <n v="0"/>
    <n v="0"/>
    <n v="0"/>
    <n v="0"/>
    <n v="0"/>
    <n v="0"/>
    <n v="0"/>
    <n v="0"/>
    <n v="0"/>
    <n v="0"/>
    <n v="20300"/>
    <n v="3451"/>
    <n v="0"/>
    <m/>
    <m/>
    <n v="0"/>
    <n v="305.51499999999999"/>
    <s v="15.05"/>
    <m/>
    <m/>
    <n v="0"/>
    <n v="0"/>
    <n v="0"/>
    <n v="60104"/>
    <x v="1"/>
    <s v="601041000B"/>
    <x v="1"/>
  </r>
  <r>
    <s v="341134"/>
    <s v="C28-AF2 PLAIN GOLD 230 PLASTIC CAPS"/>
    <s v="3.000 G"/>
    <x v="3"/>
    <s v="Others"/>
    <n v="0"/>
    <n v="0"/>
    <n v="0"/>
    <n v="0"/>
    <n v="0"/>
    <n v="0"/>
    <n v="86400"/>
    <n v="4739.8999999999996"/>
    <n v="48000"/>
    <n v="2633.28"/>
    <n v="0"/>
    <n v="0"/>
    <n v="134400"/>
    <n v="7373.18"/>
    <n v="6583.51"/>
    <m/>
    <m/>
    <n v="0"/>
    <n v="403.2"/>
    <s v="3.000"/>
    <m/>
    <m/>
    <n v="0"/>
    <n v="0"/>
    <n v="0"/>
    <n v="60106"/>
    <x v="2"/>
    <s v="601061000C"/>
    <x v="3"/>
  </r>
  <r>
    <s v="341157"/>
    <s v="C28-AF2 PLAIN WHITE PLASTIC CAPS"/>
    <s v="3.000 G"/>
    <x v="3"/>
    <s v="Others"/>
    <n v="537600"/>
    <n v="28342.27"/>
    <n v="0"/>
    <n v="0"/>
    <n v="0"/>
    <n v="0"/>
    <n v="0"/>
    <n v="0"/>
    <n v="0"/>
    <n v="0"/>
    <n v="0"/>
    <n v="0"/>
    <n v="537600"/>
    <n v="28342.27"/>
    <n v="0"/>
    <n v="12842.93"/>
    <n v="4280.9766666666701"/>
    <n v="198.61544834395301"/>
    <n v="1612.8"/>
    <s v="3.000"/>
    <m/>
    <m/>
    <n v="4280.9766666666701"/>
    <n v="6793.7333333333336"/>
    <n v="6793.7333333333336"/>
    <n v="60106"/>
    <x v="2"/>
    <s v="601061000C"/>
    <x v="3"/>
  </r>
  <r>
    <s v="345537"/>
    <s v="SL-JJ63 0475 ICE TEA PEACH MENGKU CONSIG"/>
    <s v="0.000 G"/>
    <x v="9"/>
    <s v="LABEL, IML, STICKER,"/>
    <n v="0"/>
    <n v="0"/>
    <n v="0"/>
    <n v="0"/>
    <n v="0"/>
    <n v="0"/>
    <n v="0"/>
    <n v="0"/>
    <n v="3500"/>
    <n v="0"/>
    <n v="0"/>
    <n v="0"/>
    <n v="3500"/>
    <n v="0"/>
    <n v="0"/>
    <m/>
    <m/>
    <n v="0"/>
    <n v="0"/>
    <s v="0.000"/>
    <m/>
    <m/>
    <n v="0"/>
    <n v="0"/>
    <n v="0"/>
    <n v="65400"/>
    <x v="5"/>
    <s v="65400S0001"/>
    <x v="6"/>
  </r>
  <r>
    <s v="347623"/>
    <s v="BC28-0375-K-R-CL"/>
    <s v="35.600 G"/>
    <x v="1"/>
    <s v="Others"/>
    <n v="20240"/>
    <n v="6072"/>
    <n v="628"/>
    <n v="188.4"/>
    <n v="0"/>
    <n v="0"/>
    <n v="0"/>
    <n v="0"/>
    <n v="0"/>
    <n v="0"/>
    <n v="0"/>
    <n v="0"/>
    <n v="20868"/>
    <n v="6260.4"/>
    <n v="0"/>
    <n v="27600"/>
    <n v="9200"/>
    <n v="20.414347826086999"/>
    <n v="742.9008"/>
    <s v="35.60"/>
    <m/>
    <m/>
    <n v="9200"/>
    <n v="9200"/>
    <n v="9200"/>
    <n v="60104"/>
    <x v="1"/>
    <s v="601041000B"/>
    <x v="1"/>
  </r>
  <r>
    <s v="365091"/>
    <s v="JX63-1000-E-R-CL"/>
    <s v="44.000 G"/>
    <x v="2"/>
    <s v="Others"/>
    <n v="51030"/>
    <n v="18370.8"/>
    <n v="0"/>
    <n v="0"/>
    <n v="0"/>
    <n v="0"/>
    <n v="0"/>
    <n v="0"/>
    <n v="0"/>
    <n v="0"/>
    <n v="0"/>
    <n v="0"/>
    <n v="51030"/>
    <n v="18370.8"/>
    <n v="0"/>
    <n v="17956.09"/>
    <n v="5985.36333333333"/>
    <n v="92.0786206796691"/>
    <n v="2245.3200000000002"/>
    <s v="44.00"/>
    <m/>
    <m/>
    <n v="5985.36333333333"/>
    <n v="5985.3499999999667"/>
    <n v="5985.36333333333"/>
    <n v="60104"/>
    <x v="1"/>
    <s v="601041000J"/>
    <x v="2"/>
  </r>
  <r>
    <s v="365134"/>
    <s v="C63-D/C 7H BLUE W ACT SEAL (ASEM)"/>
    <s v="12.000 G"/>
    <x v="5"/>
    <s v="Food &amp; Beverage"/>
    <n v="33600"/>
    <n v="14367.02"/>
    <n v="0"/>
    <n v="0"/>
    <n v="0"/>
    <n v="0"/>
    <n v="0"/>
    <n v="0"/>
    <n v="0"/>
    <n v="0"/>
    <n v="0"/>
    <n v="0"/>
    <n v="33600"/>
    <n v="14367.02"/>
    <n v="0"/>
    <n v="21310.03"/>
    <n v="7103.3433333333296"/>
    <n v="60.677145926120197"/>
    <n v="403.2"/>
    <s v="12.00"/>
    <m/>
    <m/>
    <n v="7103.3433333333296"/>
    <n v="7103.333333333333"/>
    <n v="7103.3433333333296"/>
    <n v="60106"/>
    <x v="2"/>
    <s v="601061000C"/>
    <x v="3"/>
  </r>
  <r>
    <s v="369308"/>
    <s v="BW38-0280-LS-R-RED"/>
    <s v="28.000 G"/>
    <x v="12"/>
    <s v="Food &amp; Beverage"/>
    <n v="17280"/>
    <n v="5356.8"/>
    <n v="0"/>
    <n v="0"/>
    <n v="0"/>
    <n v="0"/>
    <n v="0"/>
    <n v="0"/>
    <n v="0"/>
    <n v="0"/>
    <n v="0"/>
    <n v="0"/>
    <n v="17280"/>
    <n v="5356.8"/>
    <n v="0"/>
    <n v="10713.6"/>
    <n v="3571.2"/>
    <n v="45"/>
    <n v="483.84"/>
    <s v="28.00"/>
    <m/>
    <m/>
    <n v="3571.2"/>
    <n v="3571.2000000000003"/>
    <n v="3571.2"/>
    <n v="60104"/>
    <x v="1"/>
    <s v="601041000B"/>
    <x v="1"/>
  </r>
  <r>
    <s v="369382"/>
    <s v="M-PET RENOL RED NE113139-09"/>
    <s v="0.000 KG"/>
    <x v="6"/>
    <s v="Additives"/>
    <n v="0"/>
    <n v="0"/>
    <n v="50"/>
    <n v="3510.59"/>
    <n v="11.250999999999999"/>
    <n v="789.95"/>
    <n v="0"/>
    <n v="0"/>
    <n v="0"/>
    <n v="0"/>
    <n v="0"/>
    <n v="0"/>
    <n v="61.250999999999998"/>
    <n v="4300.54"/>
    <n v="43.89"/>
    <m/>
    <m/>
    <n v="0"/>
    <n v="61.250999999999998"/>
    <s v="0.000"/>
    <m/>
    <m/>
    <n v="0"/>
    <n v="496.72333333333336"/>
    <n v="496.72333333333336"/>
    <n v="60200"/>
    <x v="4"/>
    <s v="60200"/>
    <x v="4"/>
  </r>
  <r>
    <s v="371002"/>
    <s v="JJ63-0813-FC-R-CL"/>
    <s v="44.500 G"/>
    <x v="2"/>
    <s v="Others"/>
    <n v="0"/>
    <n v="0"/>
    <n v="0"/>
    <n v="0"/>
    <n v="11340"/>
    <n v="3742.2"/>
    <n v="0"/>
    <n v="0"/>
    <n v="0"/>
    <n v="0"/>
    <n v="0"/>
    <n v="0"/>
    <n v="11340"/>
    <n v="3742.2"/>
    <n v="623.75"/>
    <m/>
    <m/>
    <n v="0"/>
    <n v="504.63"/>
    <s v="44.50"/>
    <m/>
    <m/>
    <n v="0"/>
    <n v="0"/>
    <n v="0"/>
    <n v="60104"/>
    <x v="1"/>
    <s v="601041000J"/>
    <x v="2"/>
  </r>
  <r>
    <s v="374617"/>
    <s v="R-PET-RECRON PET RESIN 6868"/>
    <s v="0.000 KG"/>
    <x v="11"/>
    <s v="Virgin grade"/>
    <n v="0"/>
    <n v="0"/>
    <n v="0"/>
    <n v="0"/>
    <n v="0"/>
    <n v="0"/>
    <n v="2E-3"/>
    <n v="0.01"/>
    <n v="0"/>
    <n v="0"/>
    <n v="0"/>
    <n v="0"/>
    <n v="2E-3"/>
    <n v="0.01"/>
    <n v="0.01"/>
    <m/>
    <m/>
    <n v="0"/>
    <n v="2E-3"/>
    <s v="0.000"/>
    <m/>
    <m/>
    <n v="0"/>
    <n v="0"/>
    <n v="0"/>
    <n v="60104"/>
    <x v="1"/>
    <s v="60104V0000"/>
    <x v="5"/>
  </r>
  <r>
    <s v="379402"/>
    <s v="R-LDPE-LDPE LDF 265 YZ"/>
    <s v="0.000 KG"/>
    <x v="8"/>
    <s v="Virgin grade"/>
    <n v="5500"/>
    <n v="33373.120000000003"/>
    <n v="3709.2649999999999"/>
    <n v="22507.23"/>
    <n v="0"/>
    <n v="0"/>
    <n v="0"/>
    <n v="0"/>
    <n v="0"/>
    <n v="0"/>
    <n v="0"/>
    <n v="0"/>
    <n v="9209.2649999999994"/>
    <n v="55880.35"/>
    <n v="0"/>
    <n v="1116.94"/>
    <n v="372.31333333333299"/>
    <n v="4502.6872526724801"/>
    <n v="9209.2649999999994"/>
    <s v="0.000"/>
    <m/>
    <m/>
    <n v="372.31333333333299"/>
    <n v="4421.3033333333333"/>
    <n v="372.31333333333299"/>
    <n v="60105"/>
    <x v="3"/>
    <s v="60105V0000"/>
    <x v="5"/>
  </r>
  <r>
    <s v="379514"/>
    <s v="BA32-1000-R-R-CL"/>
    <s v="40.000 G"/>
    <x v="12"/>
    <s v="Food &amp; Beverage"/>
    <n v="528"/>
    <n v="168.96"/>
    <n v="0"/>
    <n v="0"/>
    <n v="0"/>
    <n v="0"/>
    <n v="0"/>
    <n v="0"/>
    <n v="0"/>
    <n v="0"/>
    <n v="0"/>
    <n v="0"/>
    <n v="528"/>
    <n v="168.96"/>
    <n v="0"/>
    <m/>
    <m/>
    <n v="0"/>
    <n v="528"/>
    <s v="40.00"/>
    <m/>
    <m/>
    <n v="0"/>
    <n v="0"/>
    <n v="0"/>
    <n v="60104"/>
    <x v="1"/>
    <s v="601041000B"/>
    <x v="1"/>
  </r>
  <r>
    <s v="380849"/>
    <s v="T-P.PALLET N41208SL-BLACK 1200X800MM"/>
    <s v="0.000 G"/>
    <x v="13"/>
    <s v="Logistic &amp; Other Sup"/>
    <n v="0"/>
    <n v="0"/>
    <n v="0"/>
    <n v="0"/>
    <n v="0"/>
    <n v="0"/>
    <n v="0"/>
    <n v="0"/>
    <n v="996"/>
    <n v="0"/>
    <n v="0"/>
    <n v="0"/>
    <n v="996"/>
    <n v="0"/>
    <n v="0"/>
    <m/>
    <m/>
    <n v="0"/>
    <n v="996"/>
    <s v="0.000"/>
    <m/>
    <m/>
    <n v="0"/>
    <n v="0"/>
    <n v="0"/>
    <n v="65000"/>
    <x v="6"/>
    <s v="65000L0000"/>
    <x v="7"/>
  </r>
  <r>
    <s v="380964"/>
    <s v="C32-2PIECE-WHITE-V"/>
    <s v="5.500 G"/>
    <x v="4"/>
    <s v="Others"/>
    <n v="528"/>
    <n v="0"/>
    <n v="0"/>
    <n v="0"/>
    <n v="0"/>
    <n v="0"/>
    <n v="0"/>
    <n v="0"/>
    <n v="0"/>
    <n v="0"/>
    <n v="0"/>
    <n v="0"/>
    <n v="528"/>
    <n v="0"/>
    <n v="0"/>
    <m/>
    <m/>
    <n v="0"/>
    <n v="2.9039999999999999"/>
    <s v="5.500"/>
    <m/>
    <m/>
    <n v="0"/>
    <n v="0"/>
    <n v="0"/>
    <n v="60105"/>
    <x v="3"/>
    <s v="601051000C"/>
    <x v="3"/>
  </r>
  <r>
    <s v="386731"/>
    <s v="C28-EZY R/S CAP YEL W PP IND SEAL (ASEM)"/>
    <s v="6.400 G"/>
    <x v="4"/>
    <s v="Others"/>
    <m/>
    <m/>
    <m/>
    <m/>
    <m/>
    <m/>
    <m/>
    <m/>
    <m/>
    <m/>
    <m/>
    <m/>
    <m/>
    <m/>
    <m/>
    <n v="4511.55"/>
    <n v="1503.85"/>
    <m/>
    <n v="0"/>
    <s v="6.400"/>
    <m/>
    <m/>
    <n v="1503.85"/>
    <n v="1503.8500000000001"/>
    <n v="1503.85"/>
    <n v="60105"/>
    <x v="3"/>
    <s v="601051000C"/>
    <x v="3"/>
  </r>
  <r>
    <s v="387396"/>
    <s v="C28-EZY CAP GOLD"/>
    <s v="6.400 G"/>
    <x v="4"/>
    <s v="Others"/>
    <m/>
    <m/>
    <m/>
    <m/>
    <m/>
    <m/>
    <m/>
    <m/>
    <m/>
    <m/>
    <m/>
    <m/>
    <m/>
    <m/>
    <m/>
    <n v="797.3"/>
    <n v="265.76666666666699"/>
    <m/>
    <n v="0"/>
    <s v="6.400"/>
    <m/>
    <m/>
    <n v="265.76666666666699"/>
    <n v="265.76666666666637"/>
    <n v="265.76666666666637"/>
    <n v="60105"/>
    <x v="3"/>
    <s v="601051000C"/>
    <x v="3"/>
  </r>
  <r>
    <s v="387467"/>
    <s v="C63-D/C 6H D.GREEN"/>
    <s v="12.840 G"/>
    <x v="5"/>
    <s v="Food &amp; Beverage"/>
    <n v="0"/>
    <n v="0"/>
    <n v="1200"/>
    <n v="202.27"/>
    <n v="0"/>
    <n v="0"/>
    <n v="0"/>
    <n v="0"/>
    <n v="0"/>
    <n v="0"/>
    <n v="0"/>
    <n v="0"/>
    <n v="1200"/>
    <n v="202.27"/>
    <n v="0"/>
    <m/>
    <m/>
    <n v="0"/>
    <n v="15.407999999999999"/>
    <s v="12.84"/>
    <m/>
    <m/>
    <n v="0"/>
    <n v="0"/>
    <n v="0"/>
    <n v="60106"/>
    <x v="2"/>
    <s v="601061000C"/>
    <x v="3"/>
  </r>
  <r>
    <s v="397405"/>
    <s v="BX38-0250-R-R-CL-HW"/>
    <s v="29.000 G"/>
    <x v="1"/>
    <s v="Others"/>
    <m/>
    <m/>
    <m/>
    <m/>
    <m/>
    <m/>
    <m/>
    <m/>
    <m/>
    <m/>
    <m/>
    <m/>
    <m/>
    <m/>
    <m/>
    <n v="5241.6000000000004"/>
    <n v="1747.2"/>
    <m/>
    <n v="0"/>
    <s v="29.00"/>
    <m/>
    <m/>
    <n v="1747.2"/>
    <n v="1747.2"/>
    <n v="1747.2"/>
    <n v="60104"/>
    <x v="1"/>
    <s v="601041000B"/>
    <x v="1"/>
  </r>
  <r>
    <s v="400860"/>
    <s v="BX38-0250-RJ-R-CL-HW"/>
    <s v="29.000 G"/>
    <x v="1"/>
    <s v="Others"/>
    <n v="134064"/>
    <n v="33516"/>
    <n v="0"/>
    <n v="0"/>
    <n v="0"/>
    <n v="0"/>
    <n v="0"/>
    <n v="0"/>
    <n v="0"/>
    <n v="0"/>
    <n v="0"/>
    <n v="0"/>
    <n v="134064"/>
    <n v="33516"/>
    <n v="0"/>
    <n v="27782.37"/>
    <n v="9260.7900000000009"/>
    <n v="108.573890564412"/>
    <n v="3887.8560000000002"/>
    <s v="29.00"/>
    <m/>
    <m/>
    <n v="9260.7900000000009"/>
    <n v="9260.7899999999663"/>
    <n v="9260.7900000000009"/>
    <n v="60104"/>
    <x v="1"/>
    <s v="601041000B"/>
    <x v="1"/>
  </r>
  <r>
    <s v="401602"/>
    <s v="BC28-0280-HD-R-CL-HW"/>
    <s v="30.000 G"/>
    <x v="1"/>
    <s v="Others"/>
    <n v="0"/>
    <n v="0"/>
    <n v="413"/>
    <n v="128.03"/>
    <n v="0"/>
    <n v="0"/>
    <n v="0"/>
    <n v="0"/>
    <n v="0"/>
    <n v="0"/>
    <n v="0"/>
    <n v="0"/>
    <n v="413"/>
    <n v="128.03"/>
    <n v="0"/>
    <n v="12456.75"/>
    <n v="4152.25"/>
    <n v="0.92501655728821697"/>
    <n v="12.39"/>
    <s v="30.00"/>
    <m/>
    <m/>
    <n v="4152.25"/>
    <n v="4152.25"/>
    <n v="4152.25"/>
    <n v="60104"/>
    <x v="1"/>
    <s v="601041000B"/>
    <x v="1"/>
  </r>
  <r>
    <s v="402305"/>
    <s v="BX38-0500-S-S-CL-LW"/>
    <s v="29.000 G"/>
    <x v="1"/>
    <s v="Others"/>
    <m/>
    <m/>
    <m/>
    <m/>
    <m/>
    <m/>
    <m/>
    <m/>
    <m/>
    <m/>
    <m/>
    <m/>
    <m/>
    <m/>
    <m/>
    <n v="3669.12"/>
    <n v="1223.04"/>
    <m/>
    <n v="0"/>
    <s v="29.00"/>
    <m/>
    <m/>
    <n v="1223.04"/>
    <n v="1223.0399999999966"/>
    <n v="1223.04"/>
    <n v="60104"/>
    <x v="1"/>
    <s v="601041000B"/>
    <x v="1"/>
  </r>
  <r>
    <s v="409780"/>
    <s v="BX38-0330-LJ-R-CL"/>
    <s v="29.000 G"/>
    <x v="1"/>
    <s v="Others"/>
    <n v="25098"/>
    <n v="6525.48"/>
    <n v="251"/>
    <n v="65.260000000000005"/>
    <n v="0"/>
    <n v="0"/>
    <n v="0"/>
    <n v="0"/>
    <n v="0"/>
    <n v="0"/>
    <n v="0"/>
    <n v="0"/>
    <n v="25349"/>
    <n v="6590.74"/>
    <n v="0"/>
    <n v="9917.94"/>
    <n v="3305.98"/>
    <n v="59.807439851420803"/>
    <n v="25349"/>
    <s v="29.00"/>
    <m/>
    <m/>
    <n v="3305.98"/>
    <n v="3305.98"/>
    <n v="3305.98"/>
    <n v="60104"/>
    <x v="1"/>
    <s v="601041000B"/>
    <x v="1"/>
  </r>
  <r>
    <s v="410269"/>
    <s v="BX38-1000-RH-R-CL-WHT-ASEM"/>
    <s v="60.000 G"/>
    <x v="1"/>
    <s v="Others"/>
    <m/>
    <m/>
    <m/>
    <m/>
    <m/>
    <m/>
    <m/>
    <m/>
    <m/>
    <m/>
    <m/>
    <m/>
    <m/>
    <m/>
    <m/>
    <n v="11662.56"/>
    <n v="3887.52"/>
    <m/>
    <n v="0"/>
    <s v="60.00"/>
    <m/>
    <m/>
    <n v="3887.52"/>
    <n v="3887.5199999999663"/>
    <n v="3887.5199999999663"/>
    <n v="60104"/>
    <x v="1"/>
    <s v="601041000B"/>
    <x v="1"/>
  </r>
  <r>
    <s v="410629"/>
    <s v="M-INJ REMAFIN WHITE 70C (PC) PE02449058"/>
    <s v="0.000 G"/>
    <x v="6"/>
    <s v="Additives"/>
    <n v="45.881"/>
    <n v="1858.78"/>
    <n v="0"/>
    <n v="0"/>
    <n v="0"/>
    <n v="0"/>
    <n v="0"/>
    <n v="0"/>
    <n v="0"/>
    <n v="0"/>
    <n v="0"/>
    <n v="0"/>
    <n v="45.881"/>
    <n v="1858.78"/>
    <n v="0"/>
    <n v="60.77"/>
    <n v="20.2566666666667"/>
    <n v="2752.84186276123"/>
    <n v="45.881"/>
    <s v="0.000"/>
    <m/>
    <m/>
    <n v="20.2566666666667"/>
    <n v="1399.5900000000001"/>
    <n v="1399.5900000000001"/>
    <n v="60200"/>
    <x v="4"/>
    <s v="60200"/>
    <x v="4"/>
  </r>
  <r>
    <s v="411451"/>
    <s v="M-INJ REMAFIN GOLD PE103916-15"/>
    <s v="0.000 G"/>
    <x v="6"/>
    <s v="Additives"/>
    <n v="25"/>
    <n v="2362.6799999999998"/>
    <n v="4.7270000000000003"/>
    <n v="446.73"/>
    <n v="0"/>
    <n v="0"/>
    <n v="0"/>
    <n v="0"/>
    <n v="0"/>
    <n v="0"/>
    <n v="0"/>
    <n v="0"/>
    <n v="29.727"/>
    <n v="2809.41"/>
    <n v="0"/>
    <m/>
    <m/>
    <n v="0"/>
    <n v="29.727"/>
    <s v="0.000"/>
    <m/>
    <m/>
    <n v="0"/>
    <n v="1334.41333333333"/>
    <n v="1334.41333333333"/>
    <n v="60200"/>
    <x v="4"/>
    <s v="60200"/>
    <x v="4"/>
  </r>
  <r>
    <s v="411716"/>
    <s v="C38-T/E-I/L-C/S-GOLD - V"/>
    <s v="3.750 G"/>
    <x v="4"/>
    <s v="Others"/>
    <n v="264000"/>
    <n v="19039.68"/>
    <n v="0"/>
    <n v="0"/>
    <n v="0"/>
    <n v="0"/>
    <n v="0"/>
    <n v="0"/>
    <n v="0"/>
    <n v="0"/>
    <n v="0"/>
    <n v="0"/>
    <n v="264000"/>
    <n v="19039.68"/>
    <n v="0"/>
    <n v="15647.69"/>
    <n v="5215.8966666666702"/>
    <n v="109.509531438826"/>
    <n v="990"/>
    <s v="3.750"/>
    <m/>
    <m/>
    <n v="5215.8966666666702"/>
    <n v="5668.7599999999666"/>
    <n v="5215.8966666666702"/>
    <n v="60105"/>
    <x v="3"/>
    <s v="601051000C"/>
    <x v="3"/>
  </r>
  <r>
    <s v="412421"/>
    <s v="M-INJ REMAFIN BLUE PE109470-15"/>
    <s v="0.000 G"/>
    <x v="6"/>
    <s v="Additives"/>
    <n v="50"/>
    <n v="1776.79"/>
    <n v="0"/>
    <n v="0"/>
    <n v="32.954999999999998"/>
    <n v="1171.0899999999999"/>
    <n v="0"/>
    <n v="0"/>
    <n v="0"/>
    <n v="0"/>
    <n v="0"/>
    <n v="0"/>
    <n v="82.954999999999998"/>
    <n v="2947.88"/>
    <n v="130.13"/>
    <m/>
    <m/>
    <n v="0"/>
    <n v="82.954999999999998"/>
    <s v="0.000"/>
    <m/>
    <m/>
    <n v="0"/>
    <n v="305.01333333333304"/>
    <n v="305.01333333333304"/>
    <n v="60200"/>
    <x v="4"/>
    <s v="60200"/>
    <x v="4"/>
  </r>
  <r>
    <s v="414439"/>
    <s v="BC28-0150-A1-Q-CL"/>
    <s v="15.000 G"/>
    <x v="1"/>
    <s v="Others"/>
    <n v="0"/>
    <n v="0"/>
    <n v="17248"/>
    <n v="2069.7600000000002"/>
    <n v="0"/>
    <n v="0"/>
    <n v="0"/>
    <n v="0"/>
    <n v="0"/>
    <n v="0"/>
    <n v="0"/>
    <n v="0"/>
    <n v="17248"/>
    <n v="2069.7600000000002"/>
    <n v="0"/>
    <n v="3843.84"/>
    <n v="1281.28"/>
    <n v="48.461538461538503"/>
    <n v="258.72000000000003"/>
    <s v="15.00"/>
    <m/>
    <m/>
    <n v="1281.28"/>
    <n v="1281.28"/>
    <n v="1281.28"/>
    <n v="60104"/>
    <x v="1"/>
    <s v="601041000B"/>
    <x v="1"/>
  </r>
  <r>
    <s v="416201"/>
    <s v="BC28-0200-M-R-BR"/>
    <s v="30.000 G"/>
    <x v="1"/>
    <s v="Others"/>
    <m/>
    <m/>
    <m/>
    <m/>
    <m/>
    <m/>
    <m/>
    <m/>
    <m/>
    <m/>
    <m/>
    <m/>
    <m/>
    <m/>
    <m/>
    <n v="26653.200000000001"/>
    <n v="8884.4"/>
    <m/>
    <n v="0"/>
    <s v="30.00"/>
    <m/>
    <m/>
    <n v="8884.4"/>
    <n v="8884.4"/>
    <n v="8884.4"/>
    <n v="60104"/>
    <x v="1"/>
    <s v="601041000B"/>
    <x v="1"/>
  </r>
  <r>
    <s v="423213"/>
    <s v="BC28-0265-SCC-A-Q-CL"/>
    <s v="24.000 G"/>
    <x v="1"/>
    <s v="Others"/>
    <m/>
    <m/>
    <m/>
    <m/>
    <m/>
    <m/>
    <m/>
    <m/>
    <m/>
    <m/>
    <m/>
    <m/>
    <m/>
    <m/>
    <m/>
    <n v="17526"/>
    <n v="5842"/>
    <m/>
    <n v="0"/>
    <s v="24.00"/>
    <m/>
    <m/>
    <n v="5842"/>
    <n v="5842"/>
    <n v="5842"/>
    <n v="60104"/>
    <x v="1"/>
    <s v="601041000B"/>
    <x v="1"/>
  </r>
  <r>
    <s v="423215"/>
    <s v="BC28-0355-SCC-A-Q-CL"/>
    <s v="24.000 G"/>
    <x v="1"/>
    <s v="Others"/>
    <m/>
    <m/>
    <m/>
    <m/>
    <m/>
    <m/>
    <m/>
    <m/>
    <m/>
    <m/>
    <m/>
    <m/>
    <m/>
    <m/>
    <m/>
    <n v="31640.400000000001"/>
    <n v="10546.8"/>
    <m/>
    <n v="0"/>
    <s v="24.00"/>
    <m/>
    <m/>
    <n v="10546.8"/>
    <n v="10546.800000000001"/>
    <n v="10546.8"/>
    <n v="60104"/>
    <x v="1"/>
    <s v="601041000B"/>
    <x v="1"/>
  </r>
  <r>
    <s v="425688"/>
    <s v="C63-D/C 7H ORANGE"/>
    <s v="13.200 G"/>
    <x v="5"/>
    <s v="Food &amp; Beverage"/>
    <m/>
    <m/>
    <m/>
    <m/>
    <m/>
    <m/>
    <m/>
    <m/>
    <m/>
    <m/>
    <m/>
    <m/>
    <m/>
    <m/>
    <m/>
    <n v="12704.01"/>
    <n v="4234.67"/>
    <m/>
    <n v="0"/>
    <s v="13.20"/>
    <m/>
    <m/>
    <n v="4234.67"/>
    <n v="4234.666666666667"/>
    <n v="4234.67"/>
    <n v="60106"/>
    <x v="2"/>
    <s v="601061000C"/>
    <x v="3"/>
  </r>
  <r>
    <s v="426555"/>
    <s v="BX38-0330-Z-S-CL-HW"/>
    <s v="29.000 G"/>
    <x v="1"/>
    <s v="Others"/>
    <n v="4080"/>
    <n v="1020"/>
    <n v="0"/>
    <n v="0"/>
    <n v="0"/>
    <n v="0"/>
    <n v="0"/>
    <n v="0"/>
    <n v="0"/>
    <n v="0"/>
    <n v="0"/>
    <n v="0"/>
    <n v="4080"/>
    <n v="1020"/>
    <n v="0"/>
    <n v="34199.35"/>
    <n v="11399.7833333333"/>
    <n v="2.68426154298254"/>
    <n v="118.32"/>
    <s v="29.00"/>
    <m/>
    <m/>
    <n v="11399.7833333333"/>
    <n v="11399.783333333298"/>
    <n v="11399.7833333333"/>
    <n v="60104"/>
    <x v="1"/>
    <s v="601041000B"/>
    <x v="1"/>
  </r>
  <r>
    <s v="431387"/>
    <s v="JJ63-0750-OT-H-CL"/>
    <s v="34.500 G"/>
    <x v="2"/>
    <s v="Others"/>
    <n v="9100"/>
    <n v="2366"/>
    <n v="0"/>
    <n v="0"/>
    <n v="0"/>
    <n v="0"/>
    <n v="0"/>
    <n v="0"/>
    <n v="0"/>
    <n v="0"/>
    <n v="0"/>
    <n v="0"/>
    <n v="9100"/>
    <n v="2366"/>
    <n v="0"/>
    <n v="2366"/>
    <n v="788.66666666666697"/>
    <n v="90"/>
    <n v="313.95"/>
    <s v="34.50"/>
    <m/>
    <m/>
    <n v="788.66666666666697"/>
    <n v="788.66666666666663"/>
    <n v="788.66666666666697"/>
    <n v="60104"/>
    <x v="1"/>
    <s v="601041000J"/>
    <x v="2"/>
  </r>
  <r>
    <s v="437371"/>
    <s v="MOULD CHARGES"/>
    <s v="0.000 G"/>
    <x v="14"/>
    <s v="Mould"/>
    <n v="0"/>
    <n v="0"/>
    <n v="0"/>
    <n v="0"/>
    <n v="0"/>
    <n v="0"/>
    <n v="0"/>
    <n v="0"/>
    <n v="0"/>
    <n v="0"/>
    <n v="16"/>
    <n v="380628.31"/>
    <n v="16"/>
    <n v="380628.31"/>
    <n v="0"/>
    <n v="298546.81"/>
    <n v="99515.603333333303"/>
    <n v="114.74431061581301"/>
    <n v="0"/>
    <s v="0.000"/>
    <m/>
    <m/>
    <n v="99515.603333333303"/>
    <n v="0"/>
    <n v="99515.603333333303"/>
    <s v="6T800"/>
    <x v="7"/>
    <s v="6T800"/>
    <x v="8"/>
  </r>
  <r>
    <s v="437808"/>
    <s v="BX38-0850-GH-R-CL HW"/>
    <s v="55.000 G"/>
    <x v="1"/>
    <s v="Others"/>
    <n v="0"/>
    <n v="0"/>
    <n v="3000"/>
    <n v="1260"/>
    <n v="0"/>
    <n v="0"/>
    <n v="0"/>
    <n v="0"/>
    <n v="0"/>
    <n v="0"/>
    <n v="0"/>
    <n v="0"/>
    <n v="3000"/>
    <n v="1260"/>
    <n v="0"/>
    <n v="2459.1799999999998"/>
    <n v="819.72666666666703"/>
    <n v="46.112931952927397"/>
    <n v="165"/>
    <s v="55.00"/>
    <m/>
    <m/>
    <n v="819.72666666666703"/>
    <n v="819.72666666666328"/>
    <n v="819.72666666666328"/>
    <n v="60104"/>
    <x v="1"/>
    <s v="601041000B"/>
    <x v="1"/>
  </r>
  <r>
    <s v="441778"/>
    <s v="BX38-2000-RH-R-CL (WHITE) (ASEM)"/>
    <s v="76.000 G"/>
    <x v="1"/>
    <s v="Others"/>
    <m/>
    <m/>
    <m/>
    <m/>
    <m/>
    <m/>
    <m/>
    <m/>
    <m/>
    <m/>
    <m/>
    <m/>
    <m/>
    <m/>
    <m/>
    <n v="10805.33"/>
    <n v="3601.7766666666698"/>
    <m/>
    <n v="0"/>
    <s v="76.00"/>
    <m/>
    <m/>
    <n v="3601.7766666666698"/>
    <n v="3601.7766666666666"/>
    <n v="3601.7766666666666"/>
    <n v="60104"/>
    <x v="1"/>
    <s v="601041000B"/>
    <x v="1"/>
  </r>
  <r>
    <s v="441809"/>
    <s v="JJ63-0550-S-Q-CL"/>
    <s v="33.670 G"/>
    <x v="2"/>
    <s v="Others"/>
    <n v="15524"/>
    <n v="3881"/>
    <n v="0"/>
    <n v="0"/>
    <n v="0"/>
    <n v="0"/>
    <n v="0"/>
    <n v="0"/>
    <n v="0"/>
    <n v="0"/>
    <n v="0"/>
    <n v="0"/>
    <n v="15524"/>
    <n v="3881"/>
    <n v="0"/>
    <m/>
    <m/>
    <n v="0"/>
    <n v="15524"/>
    <s v="33.67"/>
    <m/>
    <m/>
    <n v="0"/>
    <n v="1698.4166666666667"/>
    <n v="1698.4166666666667"/>
    <n v="60104"/>
    <x v="1"/>
    <s v="601041000J"/>
    <x v="2"/>
  </r>
  <r>
    <s v="441894"/>
    <s v="M-INJ REMAFIN RED PE33449267-ZN"/>
    <s v="0.000 G"/>
    <x v="6"/>
    <s v="Additives"/>
    <n v="0"/>
    <n v="0"/>
    <n v="25"/>
    <n v="1400.14"/>
    <n v="0"/>
    <n v="0"/>
    <n v="0"/>
    <n v="0"/>
    <n v="3.6480000000000001"/>
    <n v="204.31"/>
    <n v="0"/>
    <n v="0"/>
    <n v="28.648"/>
    <n v="1604.45"/>
    <n v="204.31"/>
    <m/>
    <m/>
    <n v="0"/>
    <n v="28.648"/>
    <s v="0.000"/>
    <m/>
    <m/>
    <n v="0"/>
    <n v="9.84"/>
    <n v="9.84"/>
    <n v="60200"/>
    <x v="4"/>
    <s v="60200"/>
    <x v="4"/>
  </r>
  <r>
    <s v="442034"/>
    <s v="BC28-0250-Z-S-CL"/>
    <s v="23.000 G"/>
    <x v="1"/>
    <s v="Others"/>
    <n v="93696"/>
    <n v="20613.12"/>
    <n v="0"/>
    <n v="0"/>
    <n v="0"/>
    <n v="0"/>
    <n v="0"/>
    <n v="0"/>
    <n v="0"/>
    <n v="0"/>
    <n v="0"/>
    <n v="0"/>
    <n v="93696"/>
    <n v="20613.12"/>
    <n v="0"/>
    <n v="57169.93"/>
    <n v="19056.643333333301"/>
    <n v="32.4502898639197"/>
    <n v="93696"/>
    <s v="23.00"/>
    <m/>
    <m/>
    <n v="19056.643333333301"/>
    <n v="19056.639999999967"/>
    <n v="19056.639999999967"/>
    <n v="60104"/>
    <x v="1"/>
    <s v="601041000B"/>
    <x v="1"/>
  </r>
  <r>
    <s v="442069"/>
    <s v="M-INJ REMAFIN BLUE PE53449272-ZN"/>
    <s v="0.000 G"/>
    <x v="6"/>
    <s v="Additives"/>
    <n v="54.015999999999998"/>
    <n v="3122.11"/>
    <n v="0"/>
    <n v="0"/>
    <n v="0"/>
    <n v="0"/>
    <n v="0"/>
    <n v="0"/>
    <n v="0"/>
    <n v="0"/>
    <n v="0"/>
    <n v="0"/>
    <n v="54.015999999999998"/>
    <n v="3122.11"/>
    <n v="0"/>
    <m/>
    <m/>
    <n v="0"/>
    <n v="54.015999999999998"/>
    <s v="0.000"/>
    <m/>
    <m/>
    <n v="0"/>
    <n v="1309.8299999999965"/>
    <n v="1309.8299999999965"/>
    <n v="60200"/>
    <x v="4"/>
    <s v="60200"/>
    <x v="4"/>
  </r>
  <r>
    <s v="442310"/>
    <s v="BC28-0750-GS-R-CL"/>
    <s v="60.000 G"/>
    <x v="1"/>
    <s v="Others"/>
    <n v="8008"/>
    <n v="3763.76"/>
    <n v="0"/>
    <n v="0"/>
    <n v="0"/>
    <n v="0"/>
    <n v="0"/>
    <n v="0"/>
    <n v="0"/>
    <n v="0"/>
    <n v="0"/>
    <n v="0"/>
    <n v="8008"/>
    <n v="3763.76"/>
    <n v="0"/>
    <m/>
    <m/>
    <n v="0"/>
    <n v="480.48"/>
    <s v="60.00"/>
    <m/>
    <m/>
    <n v="0"/>
    <n v="0"/>
    <n v="0"/>
    <n v="60104"/>
    <x v="1"/>
    <s v="601041000B"/>
    <x v="1"/>
  </r>
  <r>
    <s v="442642"/>
    <s v="JJ63-0700-HX-H-CL"/>
    <s v="34.500 G"/>
    <x v="2"/>
    <s v="Others"/>
    <n v="33810"/>
    <n v="9466.7999999999993"/>
    <n v="0"/>
    <n v="0"/>
    <n v="0"/>
    <n v="0"/>
    <n v="0"/>
    <n v="0"/>
    <n v="0"/>
    <n v="0"/>
    <n v="0"/>
    <n v="0"/>
    <n v="33810"/>
    <n v="9466.7999999999993"/>
    <n v="0"/>
    <n v="13524"/>
    <n v="4508"/>
    <n v="63"/>
    <n v="1166.4449999999999"/>
    <s v="34.50"/>
    <m/>
    <m/>
    <n v="4508"/>
    <n v="4508"/>
    <n v="4508"/>
    <n v="60104"/>
    <x v="1"/>
    <s v="601041000J"/>
    <x v="2"/>
  </r>
  <r>
    <s v="449174"/>
    <s v="C38-T/E-I/L-C/S-L.GOLD - V"/>
    <s v="3.750 G"/>
    <x v="4"/>
    <s v="Others"/>
    <n v="0"/>
    <n v="0"/>
    <n v="0"/>
    <n v="0"/>
    <n v="44000"/>
    <n v="2940.96"/>
    <n v="0"/>
    <n v="0"/>
    <n v="0"/>
    <n v="0"/>
    <n v="0"/>
    <n v="0"/>
    <n v="44000"/>
    <n v="2940.96"/>
    <n v="817"/>
    <m/>
    <m/>
    <n v="0"/>
    <n v="165"/>
    <s v="3.750"/>
    <m/>
    <m/>
    <n v="0"/>
    <n v="0"/>
    <n v="0"/>
    <n v="60105"/>
    <x v="3"/>
    <s v="601051000C"/>
    <x v="3"/>
  </r>
  <r>
    <s v="449365"/>
    <s v="BX38-0350-RJ-R-CL"/>
    <s v="29.000 G"/>
    <x v="1"/>
    <s v="Others"/>
    <n v="14685"/>
    <n v="3524.4"/>
    <n v="0"/>
    <n v="0"/>
    <n v="0"/>
    <n v="0"/>
    <n v="0"/>
    <n v="0"/>
    <n v="0"/>
    <n v="0"/>
    <n v="0"/>
    <n v="0"/>
    <n v="14685"/>
    <n v="3524.4"/>
    <n v="0"/>
    <n v="22039.919999999998"/>
    <n v="7346.64"/>
    <n v="14.391885270001"/>
    <n v="425.86500000000001"/>
    <s v="29.00"/>
    <m/>
    <m/>
    <n v="7346.64"/>
    <n v="7346.6399999999667"/>
    <n v="7346.64"/>
    <n v="60104"/>
    <x v="1"/>
    <s v="601041000B"/>
    <x v="1"/>
  </r>
  <r>
    <s v="451191"/>
    <s v="BX38-0350-Z-C-CL"/>
    <s v="29.000 G"/>
    <x v="1"/>
    <s v="Others"/>
    <n v="26622"/>
    <n v="6921.72"/>
    <n v="0"/>
    <n v="0"/>
    <n v="0"/>
    <n v="0"/>
    <n v="0"/>
    <n v="0"/>
    <n v="0"/>
    <n v="0"/>
    <n v="0"/>
    <n v="0"/>
    <n v="26622"/>
    <n v="6921.72"/>
    <n v="0"/>
    <n v="22624.66"/>
    <n v="7541.5533333333296"/>
    <n v="27.534327587685301"/>
    <n v="772.03800000000001"/>
    <s v="29.00"/>
    <m/>
    <m/>
    <n v="7541.5533333333296"/>
    <n v="7541.5533333333333"/>
    <n v="7541.5533333333296"/>
    <n v="60104"/>
    <x v="1"/>
    <s v="601041000B"/>
    <x v="1"/>
  </r>
  <r>
    <s v="453730"/>
    <s v="AL0316-RD 28MM NO LOGO CAP (RED)"/>
    <s v="2.400 G"/>
    <x v="3"/>
    <s v="Others"/>
    <m/>
    <m/>
    <m/>
    <m/>
    <m/>
    <m/>
    <m/>
    <m/>
    <m/>
    <m/>
    <m/>
    <m/>
    <m/>
    <m/>
    <m/>
    <n v="258.8"/>
    <n v="86.266666666666694"/>
    <m/>
    <n v="0"/>
    <s v="2.400"/>
    <m/>
    <m/>
    <n v="86.266666666666694"/>
    <n v="86.266666666666666"/>
    <n v="86.266666666666694"/>
    <n v="60106"/>
    <x v="2"/>
    <s v="601061000C"/>
    <x v="3"/>
  </r>
  <r>
    <s v="453753"/>
    <s v="AL0512-RD 36MM CAP (RED)"/>
    <s v="3.600 G"/>
    <x v="5"/>
    <s v="Food &amp; Beverage"/>
    <n v="0"/>
    <n v="0"/>
    <n v="4300"/>
    <n v="144.61000000000001"/>
    <n v="0"/>
    <n v="0"/>
    <n v="0"/>
    <n v="0"/>
    <n v="0"/>
    <n v="0"/>
    <n v="0"/>
    <n v="0"/>
    <n v="4300"/>
    <n v="144.61000000000001"/>
    <n v="0"/>
    <m/>
    <m/>
    <n v="0"/>
    <n v="15.48"/>
    <s v="3.600"/>
    <m/>
    <m/>
    <n v="0"/>
    <n v="0"/>
    <n v="0"/>
    <n v="60106"/>
    <x v="2"/>
    <s v="601061000C"/>
    <x v="3"/>
  </r>
  <r>
    <s v="453758"/>
    <s v="AL0556-WH-L 500ML I/C LID (WHITE)"/>
    <s v="14.500 G"/>
    <x v="5"/>
    <s v="Food &amp; Beverage"/>
    <m/>
    <m/>
    <m/>
    <m/>
    <m/>
    <m/>
    <m/>
    <m/>
    <m/>
    <m/>
    <m/>
    <m/>
    <m/>
    <m/>
    <m/>
    <n v="345.88"/>
    <n v="115.293333333333"/>
    <m/>
    <n v="0"/>
    <s v="14.50"/>
    <m/>
    <m/>
    <n v="115.293333333333"/>
    <n v="115.29333333333334"/>
    <n v="115.293333333333"/>
    <n v="60106"/>
    <x v="2"/>
    <s v="601061000C"/>
    <x v="3"/>
  </r>
  <r>
    <s v="453765"/>
    <s v="AL0597-WH 473ML/500ML I/C LID (WHITE)"/>
    <s v="12.800 G"/>
    <x v="5"/>
    <s v="Food &amp; Beverage"/>
    <m/>
    <m/>
    <m/>
    <m/>
    <m/>
    <m/>
    <m/>
    <m/>
    <m/>
    <m/>
    <m/>
    <m/>
    <m/>
    <m/>
    <m/>
    <n v="3139.26"/>
    <n v="1046.42"/>
    <m/>
    <n v="0"/>
    <s v="12.80"/>
    <m/>
    <m/>
    <n v="1046.42"/>
    <n v="1046.42"/>
    <n v="1046.42"/>
    <n v="60106"/>
    <x v="2"/>
    <s v="601061000C"/>
    <x v="3"/>
  </r>
  <r>
    <s v="453792"/>
    <s v="AL1537-GR 1/1.5/2LTR I/C LID (GREEN)"/>
    <s v="32.000 G"/>
    <x v="5"/>
    <s v="Food &amp; Beverage"/>
    <m/>
    <m/>
    <m/>
    <m/>
    <m/>
    <m/>
    <m/>
    <m/>
    <m/>
    <m/>
    <m/>
    <m/>
    <m/>
    <m/>
    <m/>
    <n v="6103.25"/>
    <n v="2034.4166666666699"/>
    <m/>
    <n v="0"/>
    <s v="32.00"/>
    <m/>
    <m/>
    <n v="2034.4166666666699"/>
    <n v="2034.4166666666667"/>
    <n v="2034.4166666666667"/>
    <n v="60106"/>
    <x v="2"/>
    <s v="601061000C"/>
    <x v="3"/>
  </r>
  <r>
    <s v="453796"/>
    <s v="AL2012-BK 38MM CAP (BLACK) C/W SEAL ASEM"/>
    <s v="3.500 G"/>
    <x v="5"/>
    <s v="Food &amp; Beverage"/>
    <n v="80000"/>
    <n v="8800"/>
    <n v="0"/>
    <n v="0"/>
    <n v="77315"/>
    <n v="8504.65"/>
    <n v="0"/>
    <n v="0"/>
    <n v="0"/>
    <n v="0"/>
    <n v="0"/>
    <n v="0"/>
    <n v="157315"/>
    <n v="17304.650000000001"/>
    <n v="945.04"/>
    <n v="88880"/>
    <n v="29626.666666666701"/>
    <n v="17.522710396039599"/>
    <n v="550.60249999999996"/>
    <s v="3.500"/>
    <m/>
    <m/>
    <n v="29626.666666666701"/>
    <n v="29626.666666666668"/>
    <n v="29626.666666666701"/>
    <n v="60106"/>
    <x v="2"/>
    <s v="601061000C"/>
    <x v="3"/>
  </r>
  <r>
    <s v="453811"/>
    <s v="BS0300-NA GBB0300 HDPE BTL (NATURAL)"/>
    <s v="38.000 G"/>
    <x v="15"/>
    <s v="Pharma / Medical"/>
    <n v="8700"/>
    <n v="4437"/>
    <n v="0"/>
    <n v="0"/>
    <n v="0"/>
    <n v="0"/>
    <n v="0"/>
    <n v="0"/>
    <n v="0"/>
    <n v="0"/>
    <n v="0"/>
    <n v="0"/>
    <n v="8700"/>
    <n v="4437"/>
    <n v="0"/>
    <n v="10918.5"/>
    <n v="3639.5"/>
    <n v="36.573705179282904"/>
    <n v="330.6"/>
    <s v="38.00"/>
    <m/>
    <m/>
    <n v="3639.5"/>
    <n v="3639.5"/>
    <n v="3639.5"/>
    <n v="60105"/>
    <x v="3"/>
    <s v="601051000B"/>
    <x v="1"/>
  </r>
  <r>
    <s v="453826"/>
    <s v="AT0473-WH 473ML I/C TUB (WHITE)"/>
    <s v="23.200 G"/>
    <x v="16"/>
    <s v="Food &amp; Beverage"/>
    <m/>
    <m/>
    <m/>
    <m/>
    <m/>
    <m/>
    <m/>
    <m/>
    <m/>
    <m/>
    <m/>
    <m/>
    <m/>
    <m/>
    <m/>
    <n v="5444.56"/>
    <n v="1814.8533333333301"/>
    <m/>
    <n v="0"/>
    <s v="23.20"/>
    <m/>
    <m/>
    <n v="1814.8533333333301"/>
    <n v="1814.8533333333335"/>
    <n v="1814.8533333333301"/>
    <n v="60106"/>
    <x v="2"/>
    <s v="601061000J"/>
    <x v="2"/>
  </r>
  <r>
    <s v="453833"/>
    <s v="AT0556-GR 500ML I/C TUB (GREEN)"/>
    <s v="24.000 G"/>
    <x v="16"/>
    <s v="Food &amp; Beverage"/>
    <n v="720"/>
    <n v="188.61"/>
    <n v="0"/>
    <n v="0"/>
    <n v="0"/>
    <n v="0"/>
    <n v="0"/>
    <n v="0"/>
    <n v="0"/>
    <n v="0"/>
    <n v="0"/>
    <n v="0"/>
    <n v="720"/>
    <n v="188.61"/>
    <n v="0"/>
    <n v="2829.1"/>
    <n v="943.03333333333296"/>
    <n v="6.0001060407903601"/>
    <n v="17.28"/>
    <s v="24.00"/>
    <m/>
    <m/>
    <n v="943.03333333333296"/>
    <n v="943.03333333333001"/>
    <n v="943.03333333333296"/>
    <n v="60106"/>
    <x v="2"/>
    <s v="601061000J"/>
    <x v="2"/>
  </r>
  <r>
    <s v="453840"/>
    <s v="AT0926-GR 1LTR I/C TUB (GREEN)"/>
    <s v="36.000 G"/>
    <x v="16"/>
    <s v="Food &amp; Beverage"/>
    <n v="1440"/>
    <n v="526.23"/>
    <n v="0"/>
    <n v="0"/>
    <n v="0"/>
    <n v="0"/>
    <n v="0"/>
    <n v="0"/>
    <n v="0"/>
    <n v="0"/>
    <n v="0"/>
    <n v="0"/>
    <n v="1440"/>
    <n v="526.23"/>
    <n v="0"/>
    <n v="7893.45"/>
    <n v="2631.15"/>
    <n v="6"/>
    <n v="51.84"/>
    <s v="36.00"/>
    <m/>
    <m/>
    <n v="2631.15"/>
    <n v="2631.1499999999965"/>
    <n v="2631.15"/>
    <n v="60106"/>
    <x v="2"/>
    <s v="601061000J"/>
    <x v="2"/>
  </r>
  <r>
    <s v="453860"/>
    <s v="AT2017-GR 2LTR I/C TUB (GREEN)"/>
    <s v="60.000 G"/>
    <x v="16"/>
    <s v="Food &amp; Beverage"/>
    <m/>
    <m/>
    <m/>
    <m/>
    <m/>
    <m/>
    <m/>
    <m/>
    <m/>
    <m/>
    <m/>
    <m/>
    <m/>
    <m/>
    <m/>
    <n v="9898.01"/>
    <n v="3299.3366666666702"/>
    <m/>
    <n v="0"/>
    <s v="60.00"/>
    <m/>
    <m/>
    <n v="3299.3366666666702"/>
    <n v="3299.3366666666666"/>
    <n v="3299.3366666666702"/>
    <n v="60106"/>
    <x v="2"/>
    <s v="601061000J"/>
    <x v="2"/>
  </r>
  <r>
    <s v="453888"/>
    <s v="BS0155-NA 150ML PE BTL (NATURAL)"/>
    <s v="20.000 G"/>
    <x v="17"/>
    <s v="Others"/>
    <n v="0"/>
    <n v="0"/>
    <n v="1520"/>
    <n v="258.39999999999998"/>
    <n v="0"/>
    <n v="0"/>
    <n v="0"/>
    <n v="0"/>
    <n v="0"/>
    <n v="0"/>
    <n v="0"/>
    <n v="0"/>
    <n v="1520"/>
    <n v="258.39999999999998"/>
    <n v="0"/>
    <m/>
    <m/>
    <n v="0"/>
    <n v="30.4"/>
    <s v="20.00"/>
    <m/>
    <m/>
    <n v="0"/>
    <n v="0"/>
    <n v="0"/>
    <n v="60105"/>
    <x v="3"/>
    <s v="601051000B"/>
    <x v="1"/>
  </r>
  <r>
    <s v="453895"/>
    <s v="BS0217-NA 200ML PE BTL (NATURAL)"/>
    <s v="20.600 G"/>
    <x v="17"/>
    <s v="Others"/>
    <n v="2000"/>
    <n v="360"/>
    <n v="0"/>
    <n v="0"/>
    <n v="0"/>
    <n v="0"/>
    <n v="0"/>
    <n v="0"/>
    <n v="0"/>
    <n v="0"/>
    <n v="0"/>
    <n v="0"/>
    <n v="2000"/>
    <n v="360"/>
    <n v="0"/>
    <n v="5760"/>
    <n v="1920"/>
    <n v="5.625"/>
    <n v="41.2"/>
    <s v="20.60"/>
    <m/>
    <m/>
    <n v="1920"/>
    <n v="1920"/>
    <n v="1920"/>
    <n v="60105"/>
    <x v="3"/>
    <s v="601051000B"/>
    <x v="1"/>
  </r>
  <r>
    <s v="453915"/>
    <s v="BS0332-NA 300ML PP BTL LW (NATURAL)"/>
    <s v="24.000 G"/>
    <x v="18"/>
    <s v="Others"/>
    <m/>
    <m/>
    <m/>
    <m/>
    <m/>
    <m/>
    <m/>
    <m/>
    <m/>
    <m/>
    <m/>
    <m/>
    <m/>
    <m/>
    <m/>
    <n v="2109"/>
    <n v="703"/>
    <m/>
    <n v="0"/>
    <s v="24.00"/>
    <m/>
    <m/>
    <n v="703"/>
    <n v="703"/>
    <n v="703"/>
    <n v="60106"/>
    <x v="2"/>
    <s v="601061000B"/>
    <x v="1"/>
  </r>
  <r>
    <s v="453929"/>
    <s v="BS0571-NA 500ML PP BTL (NATURAL)"/>
    <s v="42.000 G"/>
    <x v="18"/>
    <s v="Others"/>
    <n v="36288"/>
    <n v="12700.8"/>
    <n v="0"/>
    <n v="0"/>
    <n v="0"/>
    <n v="0"/>
    <n v="0"/>
    <n v="0"/>
    <n v="0"/>
    <n v="0"/>
    <n v="0"/>
    <n v="0"/>
    <n v="36288"/>
    <n v="12700.8"/>
    <n v="0"/>
    <n v="88200"/>
    <n v="29400"/>
    <n v="12.96"/>
    <n v="1524.096"/>
    <s v="42.00"/>
    <m/>
    <m/>
    <n v="29400"/>
    <n v="29400"/>
    <n v="29400"/>
    <n v="60106"/>
    <x v="2"/>
    <s v="601061000B"/>
    <x v="1"/>
  </r>
  <r>
    <s v="453932"/>
    <s v="EBK38-0500-K-Q-NA-PE(S0576)"/>
    <s v="39.500 G"/>
    <x v="19"/>
    <s v="Food &amp; Beverage"/>
    <n v="40320"/>
    <n v="16934.400000000001"/>
    <n v="435"/>
    <n v="182.7"/>
    <n v="0"/>
    <n v="0"/>
    <n v="0"/>
    <n v="0"/>
    <n v="0"/>
    <n v="0"/>
    <n v="0"/>
    <n v="0"/>
    <n v="40755"/>
    <n v="17117.099999999999"/>
    <n v="0"/>
    <n v="29448"/>
    <n v="9816"/>
    <n v="52.313875305623498"/>
    <n v="1609.8225"/>
    <s v="39.50"/>
    <m/>
    <m/>
    <n v="9816"/>
    <n v="9816"/>
    <n v="9816"/>
    <n v="60105"/>
    <x v="3"/>
    <s v="601051000B"/>
    <x v="1"/>
  </r>
  <r>
    <s v="453933"/>
    <s v="EBK38-0500-K-Q-YL-PE(S0576)"/>
    <s v="39.500 G"/>
    <x v="19"/>
    <s v="Food &amp; Beverage"/>
    <m/>
    <m/>
    <m/>
    <m/>
    <m/>
    <m/>
    <m/>
    <m/>
    <m/>
    <m/>
    <m/>
    <m/>
    <m/>
    <m/>
    <m/>
    <n v="7459.2"/>
    <n v="2486.4"/>
    <m/>
    <n v="0"/>
    <s v="39.50"/>
    <m/>
    <m/>
    <n v="2486.4"/>
    <n v="2486.3999999999965"/>
    <n v="2486.4"/>
    <n v="60105"/>
    <x v="3"/>
    <s v="601051000B"/>
    <x v="1"/>
  </r>
  <r>
    <s v="453944"/>
    <s v="BS1017-NA 1LTR HDPE BTL (NATURAL)"/>
    <s v="60.000 G"/>
    <x v="17"/>
    <s v="Others"/>
    <n v="0"/>
    <n v="0"/>
    <n v="0"/>
    <n v="0"/>
    <n v="3024"/>
    <n v="1451.52"/>
    <n v="0"/>
    <n v="0"/>
    <n v="0"/>
    <n v="0"/>
    <n v="0"/>
    <n v="0"/>
    <n v="3024"/>
    <n v="1451.52"/>
    <n v="161.29"/>
    <n v="1451.52"/>
    <n v="483.84"/>
    <n v="90"/>
    <n v="181.44"/>
    <s v="60.00"/>
    <m/>
    <m/>
    <n v="483.84"/>
    <n v="483.84"/>
    <n v="483.84"/>
    <n v="60105"/>
    <x v="3"/>
    <s v="601051000B"/>
    <x v="1"/>
  </r>
  <r>
    <s v="453953"/>
    <s v="Z-INDUCTION SEAL 37.0MM DIA"/>
    <s v="0.000 KG"/>
    <x v="9"/>
    <s v="LABEL, IML, STICKER,"/>
    <n v="1880305"/>
    <n v="143730.51"/>
    <n v="0"/>
    <n v="0"/>
    <n v="0"/>
    <n v="0"/>
    <n v="0"/>
    <n v="0"/>
    <n v="0"/>
    <n v="0"/>
    <n v="0"/>
    <n v="0"/>
    <n v="1880305"/>
    <n v="143730.51"/>
    <n v="0"/>
    <m/>
    <m/>
    <n v="0"/>
    <n v="0"/>
    <s v="0.000"/>
    <m/>
    <m/>
    <n v="0"/>
    <n v="15906.5933333333"/>
    <n v="15906.5933333333"/>
    <n v="65400"/>
    <x v="5"/>
    <s v="65400S0001"/>
    <x v="6"/>
  </r>
  <r>
    <s v="454186"/>
    <s v="AL0478-YL 38MM FLIP CAP (YELLOW)"/>
    <s v="6.430 G"/>
    <x v="20"/>
    <s v="Food &amp; Beverage"/>
    <n v="14000"/>
    <n v="1402.52"/>
    <n v="0"/>
    <n v="0"/>
    <n v="0"/>
    <n v="0"/>
    <n v="0"/>
    <n v="0"/>
    <n v="0"/>
    <n v="0"/>
    <n v="0"/>
    <n v="0"/>
    <n v="14000"/>
    <n v="1402.52"/>
    <n v="0"/>
    <n v="5602.95"/>
    <n v="1867.65"/>
    <n v="22.528632238374399"/>
    <n v="90.02"/>
    <s v="6.430"/>
    <m/>
    <m/>
    <n v="1867.65"/>
    <n v="3181.3666666666668"/>
    <n v="1867.65"/>
    <n v="60105"/>
    <x v="3"/>
    <s v="601051000C"/>
    <x v="3"/>
  </r>
  <r>
    <s v="454213"/>
    <s v="AL3021-NA 3LTR LID (NATURAL)"/>
    <s v="33.000 G"/>
    <x v="20"/>
    <s v="Food &amp; Beverage"/>
    <n v="21600"/>
    <n v="8674.56"/>
    <n v="0"/>
    <n v="0"/>
    <n v="0"/>
    <n v="0"/>
    <n v="0"/>
    <n v="0"/>
    <n v="0"/>
    <n v="0"/>
    <n v="0"/>
    <n v="0"/>
    <n v="21600"/>
    <n v="8674.56"/>
    <n v="0"/>
    <n v="30207.45"/>
    <n v="10069.15"/>
    <n v="25.8449620871672"/>
    <n v="712.8"/>
    <s v="33.00"/>
    <m/>
    <m/>
    <n v="10069.15"/>
    <n v="10069.15"/>
    <n v="10069.15"/>
    <n v="60105"/>
    <x v="3"/>
    <s v="601051000C"/>
    <x v="3"/>
  </r>
  <r>
    <s v="454215"/>
    <s v="AT3021-WH 3LTR TUB (WHITE)"/>
    <s v="118.000 G"/>
    <x v="16"/>
    <s v="Food &amp; Beverage"/>
    <n v="24480"/>
    <n v="24887.84"/>
    <n v="0"/>
    <n v="0"/>
    <n v="0"/>
    <n v="0"/>
    <n v="0"/>
    <n v="0"/>
    <n v="0"/>
    <n v="0"/>
    <n v="0"/>
    <n v="0"/>
    <n v="24480"/>
    <n v="24887.84"/>
    <n v="0"/>
    <n v="70038.100000000006"/>
    <n v="23346.0333333333"/>
    <n v="31.9812444940682"/>
    <n v="24480"/>
    <s v="118.0"/>
    <m/>
    <m/>
    <n v="23346.0333333333"/>
    <n v="23346.033333333336"/>
    <n v="23346.033333333336"/>
    <n v="60106"/>
    <x v="2"/>
    <s v="601061000J"/>
    <x v="2"/>
  </r>
  <r>
    <s v="454254"/>
    <s v="AT1015-NA HARWANY PLASTIC BOX (NATURAL)"/>
    <s v="87.000 G"/>
    <x v="16"/>
    <s v="Food &amp; Beverage"/>
    <n v="10000"/>
    <n v="7875"/>
    <n v="0"/>
    <n v="0"/>
    <n v="0"/>
    <n v="0"/>
    <n v="0"/>
    <n v="0"/>
    <n v="0"/>
    <n v="0"/>
    <n v="0"/>
    <n v="0"/>
    <n v="10000"/>
    <n v="7875"/>
    <n v="0"/>
    <n v="16900.55"/>
    <n v="5633.5166666666701"/>
    <n v="41.936505024984399"/>
    <n v="10000"/>
    <s v="87.00"/>
    <m/>
    <m/>
    <n v="5633.5166666666701"/>
    <n v="5633.5166666666337"/>
    <n v="5633.5166666666337"/>
    <n v="60106"/>
    <x v="2"/>
    <s v="601061000J"/>
    <x v="2"/>
  </r>
  <r>
    <s v="454255"/>
    <s v="AL1015-GR HARWANY PLASTIC COVER (GREEN)"/>
    <s v="38.000 G"/>
    <x v="5"/>
    <s v="Food &amp; Beverage"/>
    <n v="10000"/>
    <n v="3233"/>
    <n v="0"/>
    <n v="0"/>
    <n v="0"/>
    <n v="0"/>
    <n v="0"/>
    <n v="0"/>
    <n v="0"/>
    <n v="0"/>
    <n v="0"/>
    <n v="0"/>
    <n v="10000"/>
    <n v="3233"/>
    <n v="0"/>
    <n v="3232.98"/>
    <n v="1077.6600000000001"/>
    <n v="90.0005567618729"/>
    <n v="10000"/>
    <s v="38.00"/>
    <m/>
    <m/>
    <n v="1077.6600000000001"/>
    <n v="1077.6600000000001"/>
    <n v="1077.6600000000001"/>
    <n v="60106"/>
    <x v="2"/>
    <s v="601061000C"/>
    <x v="3"/>
  </r>
  <r>
    <s v="454256"/>
    <s v="AL1015-BL HARWANY PLASTIC COVER (BLUE)"/>
    <s v="38.000 G"/>
    <x v="5"/>
    <s v="Food &amp; Beverage"/>
    <m/>
    <m/>
    <m/>
    <m/>
    <m/>
    <m/>
    <m/>
    <m/>
    <m/>
    <m/>
    <m/>
    <m/>
    <m/>
    <m/>
    <m/>
    <n v="3386.76"/>
    <n v="1128.92"/>
    <m/>
    <n v="0"/>
    <s v="38.00"/>
    <m/>
    <m/>
    <n v="1128.92"/>
    <n v="1128.92"/>
    <n v="1128.92"/>
    <n v="60106"/>
    <x v="2"/>
    <s v="601061000C"/>
    <x v="3"/>
  </r>
  <r>
    <s v="454258"/>
    <s v="AL1015-RD HARWANY PLASTIC COVER (RED)"/>
    <s v="38.000 G"/>
    <x v="5"/>
    <s v="Food &amp; Beverage"/>
    <m/>
    <m/>
    <m/>
    <m/>
    <m/>
    <m/>
    <m/>
    <m/>
    <m/>
    <m/>
    <m/>
    <m/>
    <m/>
    <m/>
    <m/>
    <n v="475.11"/>
    <n v="158.37"/>
    <m/>
    <n v="0"/>
    <s v="38.00"/>
    <m/>
    <m/>
    <n v="158.37"/>
    <n v="158.37"/>
    <n v="158.37"/>
    <n v="60106"/>
    <x v="2"/>
    <s v="601061000C"/>
    <x v="3"/>
  </r>
  <r>
    <s v="454259"/>
    <s v="BS0336-WH 300ML PP BTL (WHITE)"/>
    <s v="24.000 G"/>
    <x v="18"/>
    <s v="Others"/>
    <n v="450"/>
    <n v="90"/>
    <n v="0"/>
    <n v="0"/>
    <n v="0"/>
    <n v="0"/>
    <n v="0"/>
    <n v="0"/>
    <n v="0"/>
    <n v="0"/>
    <n v="0"/>
    <n v="0"/>
    <n v="450"/>
    <n v="90"/>
    <n v="0"/>
    <m/>
    <m/>
    <n v="0"/>
    <n v="450"/>
    <s v="24.00"/>
    <m/>
    <m/>
    <n v="0"/>
    <n v="0"/>
    <n v="0"/>
    <n v="60106"/>
    <x v="2"/>
    <s v="601061000B"/>
    <x v="1"/>
  </r>
  <r>
    <s v="454612"/>
    <s v="R-HDPE HD 5403AA"/>
    <s v="0.000 KG"/>
    <x v="8"/>
    <s v="Virgin grade"/>
    <n v="5500"/>
    <n v="30170.36"/>
    <n v="1420.905"/>
    <n v="7794.41"/>
    <n v="0"/>
    <n v="0"/>
    <n v="0"/>
    <n v="0"/>
    <n v="0"/>
    <n v="0"/>
    <n v="0"/>
    <n v="0"/>
    <n v="6920.9049999999997"/>
    <n v="37964.769999999997"/>
    <n v="0"/>
    <m/>
    <m/>
    <n v="0"/>
    <n v="6920.9049999999997"/>
    <s v="0.000"/>
    <m/>
    <m/>
    <n v="0"/>
    <n v="6145.37"/>
    <n v="6145.37"/>
    <n v="60105"/>
    <x v="3"/>
    <s v="60105V0000"/>
    <x v="5"/>
  </r>
  <r>
    <s v="454613"/>
    <s v="R-HDPE MARLEX EHM 6007"/>
    <s v="0.000 KG"/>
    <x v="8"/>
    <s v="Virgin grade"/>
    <n v="17041.745999999999"/>
    <n v="88845.09"/>
    <n v="0"/>
    <n v="0"/>
    <n v="0"/>
    <n v="0"/>
    <n v="0"/>
    <n v="0"/>
    <n v="0"/>
    <n v="0"/>
    <n v="0"/>
    <n v="0"/>
    <n v="17041.745999999999"/>
    <n v="88845.09"/>
    <n v="0"/>
    <m/>
    <m/>
    <n v="0"/>
    <n v="17041.745999999999"/>
    <s v="0.000"/>
    <m/>
    <m/>
    <n v="0"/>
    <n v="69851.89"/>
    <n v="69851.89"/>
    <n v="60105"/>
    <x v="3"/>
    <s v="60105V0000"/>
    <x v="5"/>
  </r>
  <r>
    <s v="454614"/>
    <s v="R-LDPE G812"/>
    <s v="0.000 KG"/>
    <x v="8"/>
    <s v="Virgin grade"/>
    <n v="0"/>
    <n v="0"/>
    <n v="0"/>
    <n v="0"/>
    <n v="0"/>
    <n v="0"/>
    <n v="0"/>
    <n v="0"/>
    <n v="2930.9"/>
    <n v="29.31"/>
    <n v="0"/>
    <n v="0"/>
    <n v="2930.9"/>
    <n v="29.31"/>
    <n v="29.31"/>
    <m/>
    <m/>
    <n v="0"/>
    <n v="2930.9"/>
    <s v="0.000"/>
    <m/>
    <m/>
    <n v="0"/>
    <n v="0"/>
    <n v="0"/>
    <n v="60105"/>
    <x v="3"/>
    <s v="60105V0000"/>
    <x v="5"/>
  </r>
  <r>
    <s v="454618"/>
    <s v="M/B BLACK MB 31388-1P"/>
    <s v="0.000 KG"/>
    <x v="6"/>
    <s v="Additives"/>
    <n v="179.78299999999999"/>
    <n v="2516.96"/>
    <n v="0"/>
    <n v="0"/>
    <n v="0"/>
    <n v="0"/>
    <n v="16.241"/>
    <n v="227.37"/>
    <n v="0"/>
    <n v="0"/>
    <n v="0"/>
    <n v="0"/>
    <n v="196.024"/>
    <n v="2744.33"/>
    <n v="113.69"/>
    <m/>
    <m/>
    <n v="0"/>
    <n v="196.024"/>
    <s v="0.000"/>
    <m/>
    <m/>
    <n v="0"/>
    <n v="702.75666666666666"/>
    <n v="702.75666666666666"/>
    <n v="60200"/>
    <x v="4"/>
    <s v="60200"/>
    <x v="4"/>
  </r>
  <r>
    <s v="454619"/>
    <s v="M/B BLUE PE 81201-3P"/>
    <s v="0.000 KG"/>
    <x v="6"/>
    <s v="Additives"/>
    <n v="0"/>
    <n v="0"/>
    <n v="0"/>
    <n v="0"/>
    <n v="0"/>
    <n v="0"/>
    <n v="31.545999999999999"/>
    <n v="626.62"/>
    <n v="0"/>
    <n v="0"/>
    <n v="0"/>
    <n v="0"/>
    <n v="31.545999999999999"/>
    <n v="626.62"/>
    <n v="371.13"/>
    <m/>
    <m/>
    <n v="0"/>
    <n v="31.545999999999999"/>
    <s v="0.000"/>
    <m/>
    <m/>
    <n v="0"/>
    <n v="0"/>
    <n v="0"/>
    <n v="60200"/>
    <x v="4"/>
    <s v="60200"/>
    <x v="4"/>
  </r>
  <r>
    <s v="454623"/>
    <s v="M/B BLUE PP/PE 82868-2P"/>
    <s v="0.000 KG"/>
    <x v="6"/>
    <s v="Additives"/>
    <n v="0"/>
    <n v="0"/>
    <n v="0"/>
    <n v="0"/>
    <n v="0"/>
    <n v="0"/>
    <n v="0"/>
    <n v="0"/>
    <n v="40.805"/>
    <n v="1142.54"/>
    <n v="0"/>
    <n v="0"/>
    <n v="40.805"/>
    <n v="1142.54"/>
    <n v="1142.54"/>
    <m/>
    <m/>
    <n v="0"/>
    <n v="40.805"/>
    <s v="0.000"/>
    <m/>
    <m/>
    <n v="0"/>
    <n v="0"/>
    <n v="0"/>
    <n v="60200"/>
    <x v="4"/>
    <s v="60200"/>
    <x v="4"/>
  </r>
  <r>
    <s v="454626"/>
    <s v="M/B BROWN PE 71216-3P"/>
    <s v="0.000 KG"/>
    <x v="6"/>
    <s v="Additives"/>
    <n v="0"/>
    <n v="0"/>
    <n v="0"/>
    <n v="0"/>
    <n v="0"/>
    <n v="0"/>
    <n v="25"/>
    <n v="800"/>
    <n v="21.1"/>
    <n v="675.2"/>
    <n v="0"/>
    <n v="0"/>
    <n v="46.1"/>
    <n v="1475.2"/>
    <n v="1119.68"/>
    <m/>
    <m/>
    <n v="0"/>
    <n v="46.1"/>
    <s v="0.000"/>
    <m/>
    <m/>
    <n v="0"/>
    <n v="0"/>
    <n v="0"/>
    <n v="60200"/>
    <x v="4"/>
    <s v="60200"/>
    <x v="4"/>
  </r>
  <r>
    <s v="454631"/>
    <s v="M/B DARK BEIGE PP 63624-4P"/>
    <s v="0.000 KG"/>
    <x v="6"/>
    <s v="Additives"/>
    <n v="0"/>
    <n v="0"/>
    <n v="0"/>
    <n v="0"/>
    <n v="0"/>
    <n v="0"/>
    <n v="0"/>
    <n v="0"/>
    <n v="25"/>
    <n v="778.94"/>
    <n v="0"/>
    <n v="0"/>
    <n v="25"/>
    <n v="778.94"/>
    <n v="778.94"/>
    <m/>
    <m/>
    <n v="0"/>
    <n v="25"/>
    <s v="0.000"/>
    <m/>
    <m/>
    <n v="0"/>
    <n v="0"/>
    <n v="0"/>
    <n v="60200"/>
    <x v="4"/>
    <s v="60200"/>
    <x v="4"/>
  </r>
  <r>
    <s v="454640"/>
    <s v="M/B LIGHT BROWN PE 71217-3P"/>
    <s v="0.000 KG"/>
    <x v="6"/>
    <s v="Additives"/>
    <n v="0"/>
    <n v="0"/>
    <n v="0"/>
    <n v="0"/>
    <n v="75"/>
    <n v="2325"/>
    <n v="8.1349999999999998"/>
    <n v="252.18"/>
    <n v="0"/>
    <n v="0"/>
    <n v="0"/>
    <n v="0"/>
    <n v="83.135000000000005"/>
    <n v="2577.1799999999998"/>
    <n v="241.27"/>
    <m/>
    <m/>
    <n v="0"/>
    <n v="83.135000000000005"/>
    <s v="0.000"/>
    <m/>
    <m/>
    <n v="0"/>
    <n v="174.27333333333334"/>
    <n v="174.27333333333334"/>
    <n v="60200"/>
    <x v="4"/>
    <s v="60200"/>
    <x v="4"/>
  </r>
  <r>
    <s v="454641"/>
    <s v="M/B ORANGE PE 51604-2.7P"/>
    <s v="0.000 KG"/>
    <x v="6"/>
    <s v="Additives"/>
    <n v="0"/>
    <n v="0"/>
    <n v="0"/>
    <n v="0"/>
    <n v="0"/>
    <n v="0"/>
    <n v="0"/>
    <n v="0"/>
    <n v="24"/>
    <n v="689.33"/>
    <n v="0"/>
    <n v="0"/>
    <n v="24"/>
    <n v="689.33"/>
    <n v="689.33"/>
    <m/>
    <m/>
    <n v="0"/>
    <n v="24"/>
    <s v="0.000"/>
    <m/>
    <m/>
    <n v="0"/>
    <n v="0"/>
    <n v="0"/>
    <n v="60200"/>
    <x v="4"/>
    <s v="60200"/>
    <x v="4"/>
  </r>
  <r>
    <s v="454657"/>
    <s v="M/B WHITE 1070"/>
    <s v="0.000 KG"/>
    <x v="6"/>
    <s v="Additives"/>
    <n v="200.87700000000001"/>
    <n v="2534.1"/>
    <n v="0"/>
    <n v="0"/>
    <n v="0"/>
    <n v="0"/>
    <n v="0"/>
    <n v="0"/>
    <n v="0"/>
    <n v="0"/>
    <n v="0"/>
    <n v="0"/>
    <n v="200.87700000000001"/>
    <n v="2534.1"/>
    <n v="0"/>
    <m/>
    <m/>
    <n v="0"/>
    <n v="200.87700000000001"/>
    <s v="0.000"/>
    <m/>
    <m/>
    <n v="0"/>
    <n v="760.28000000000009"/>
    <n v="760.28000000000009"/>
    <n v="60200"/>
    <x v="4"/>
    <s v="60200"/>
    <x v="4"/>
  </r>
  <r>
    <s v="454661"/>
    <s v="M/B YELLOW PP 60971-2P"/>
    <s v="0.000 KG"/>
    <x v="6"/>
    <s v="Additives"/>
    <m/>
    <m/>
    <m/>
    <m/>
    <m/>
    <m/>
    <m/>
    <m/>
    <m/>
    <m/>
    <m/>
    <m/>
    <m/>
    <m/>
    <m/>
    <n v="7.0000000000000007E-2"/>
    <n v="2.33333333333333E-2"/>
    <m/>
    <n v="0"/>
    <s v="0.000"/>
    <m/>
    <m/>
    <n v="2.33333333333333E-2"/>
    <n v="6.3333333333333339E-2"/>
    <n v="6.3333333333333339E-2"/>
    <n v="60200"/>
    <x v="4"/>
    <s v="60200"/>
    <x v="4"/>
  </r>
  <r>
    <s v="454671"/>
    <s v="R-PP 6331"/>
    <s v="0.000 KG"/>
    <x v="7"/>
    <s v="Virgin grade"/>
    <n v="1250"/>
    <n v="6763.05"/>
    <n v="0"/>
    <n v="0"/>
    <n v="0"/>
    <n v="0"/>
    <n v="0"/>
    <n v="0"/>
    <n v="182.94900000000001"/>
    <n v="989.84"/>
    <n v="0"/>
    <n v="0"/>
    <n v="1432.9490000000001"/>
    <n v="7752.89"/>
    <n v="989.84"/>
    <m/>
    <m/>
    <n v="0"/>
    <n v="1432.9490000000001"/>
    <s v="0.000"/>
    <m/>
    <m/>
    <n v="0"/>
    <n v="201.84999999999968"/>
    <n v="201.84999999999968"/>
    <n v="60106"/>
    <x v="2"/>
    <s v="60106V0000"/>
    <x v="5"/>
  </r>
  <r>
    <s v="454674"/>
    <s v="R-PP PD855"/>
    <s v="0.000 KG"/>
    <x v="7"/>
    <s v="Virgin grade"/>
    <n v="2348.6370000000002"/>
    <n v="13062.25"/>
    <n v="0"/>
    <n v="0"/>
    <n v="0"/>
    <n v="0"/>
    <n v="0"/>
    <n v="0"/>
    <n v="0"/>
    <n v="0"/>
    <n v="0"/>
    <n v="0"/>
    <n v="2348.6370000000002"/>
    <n v="13062.25"/>
    <n v="0"/>
    <m/>
    <m/>
    <n v="0"/>
    <n v="2348.6370000000002"/>
    <s v="0.000"/>
    <m/>
    <m/>
    <n v="0"/>
    <n v="24778.983333333297"/>
    <n v="24778.983333333297"/>
    <n v="60106"/>
    <x v="2"/>
    <s v="60106V0000"/>
    <x v="5"/>
  </r>
  <r>
    <s v="454676"/>
    <s v="PP PM655"/>
    <s v="0.000 KG"/>
    <x v="7"/>
    <s v="Virgin grade"/>
    <n v="0"/>
    <n v="0"/>
    <n v="0"/>
    <n v="0"/>
    <n v="0"/>
    <n v="0"/>
    <n v="0"/>
    <n v="0"/>
    <n v="75"/>
    <n v="349.5"/>
    <n v="0"/>
    <n v="0"/>
    <n v="75"/>
    <n v="349.5"/>
    <n v="349.5"/>
    <m/>
    <m/>
    <n v="0"/>
    <n v="75"/>
    <s v="0.000"/>
    <m/>
    <m/>
    <n v="0"/>
    <n v="0"/>
    <n v="0"/>
    <n v="60106"/>
    <x v="2"/>
    <s v="60106V0000"/>
    <x v="5"/>
  </r>
  <r>
    <s v="454679"/>
    <s v="R-PP SM240"/>
    <s v="0.000 KG"/>
    <x v="7"/>
    <s v="Virgin grade"/>
    <n v="8411.9310000000005"/>
    <n v="48578.65"/>
    <n v="0"/>
    <n v="0"/>
    <n v="0"/>
    <n v="0"/>
    <n v="0"/>
    <n v="0"/>
    <n v="0"/>
    <n v="0"/>
    <n v="0"/>
    <n v="0"/>
    <n v="8411.9310000000005"/>
    <n v="48578.65"/>
    <n v="0"/>
    <m/>
    <m/>
    <n v="0"/>
    <n v="8411.9310000000005"/>
    <s v="0.000"/>
    <m/>
    <m/>
    <n v="0"/>
    <n v="24981.009999999966"/>
    <n v="24981.009999999966"/>
    <n v="60106"/>
    <x v="2"/>
    <s v="60106V0000"/>
    <x v="5"/>
  </r>
  <r>
    <s v="454698"/>
    <s v="M/B GREEN PP 93375-3P"/>
    <s v="0.000 KG"/>
    <x v="6"/>
    <s v="Additives"/>
    <n v="25"/>
    <n v="500"/>
    <n v="0"/>
    <n v="0"/>
    <n v="21.559000000000001"/>
    <n v="431.18"/>
    <n v="0"/>
    <n v="0"/>
    <n v="0"/>
    <n v="0"/>
    <n v="0"/>
    <n v="0"/>
    <n v="46.558999999999997"/>
    <n v="931.18"/>
    <n v="95.82"/>
    <m/>
    <m/>
    <n v="0"/>
    <n v="46.558999999999997"/>
    <s v="0.000"/>
    <m/>
    <m/>
    <n v="0"/>
    <n v="0"/>
    <n v="0"/>
    <n v="60200"/>
    <x v="4"/>
    <s v="60200"/>
    <x v="4"/>
  </r>
  <r>
    <s v="454700"/>
    <s v="M/B BLUE PP 84036-3P"/>
    <s v="0.000 KG"/>
    <x v="6"/>
    <s v="Additives"/>
    <n v="0"/>
    <n v="0"/>
    <n v="25"/>
    <n v="500"/>
    <n v="0"/>
    <n v="0"/>
    <n v="1.516"/>
    <n v="30.32"/>
    <n v="0"/>
    <n v="0"/>
    <n v="0"/>
    <n v="0"/>
    <n v="26.515999999999998"/>
    <n v="530.32000000000005"/>
    <n v="16.850000000000001"/>
    <m/>
    <m/>
    <n v="0"/>
    <n v="0"/>
    <s v="0.000"/>
    <m/>
    <m/>
    <n v="0"/>
    <n v="0"/>
    <n v="0"/>
    <n v="60200"/>
    <x v="4"/>
    <s v="60200"/>
    <x v="4"/>
  </r>
  <r>
    <s v="457837"/>
    <s v="BX38-0330-Z-S-CL-LW"/>
    <s v="23.000 G"/>
    <x v="1"/>
    <s v="Others"/>
    <m/>
    <m/>
    <m/>
    <m/>
    <m/>
    <m/>
    <m/>
    <m/>
    <m/>
    <m/>
    <m/>
    <m/>
    <m/>
    <m/>
    <m/>
    <n v="4896"/>
    <n v="1632"/>
    <m/>
    <n v="0"/>
    <s v="23.00"/>
    <m/>
    <m/>
    <n v="1632"/>
    <n v="1632"/>
    <n v="1632"/>
    <n v="60104"/>
    <x v="1"/>
    <s v="601041000B"/>
    <x v="1"/>
  </r>
  <r>
    <s v="459326"/>
    <s v="Z-36.6MM PE WAD (1MM)"/>
    <s v="0.000 G"/>
    <x v="9"/>
    <s v="LABEL, IML, STICKER,"/>
    <n v="46800"/>
    <n v="1123.2"/>
    <n v="0"/>
    <n v="0"/>
    <n v="0"/>
    <n v="0"/>
    <n v="0"/>
    <n v="0"/>
    <n v="0"/>
    <n v="0"/>
    <n v="0"/>
    <n v="0"/>
    <n v="46800"/>
    <n v="1123.2"/>
    <n v="0"/>
    <m/>
    <m/>
    <n v="0"/>
    <n v="0"/>
    <s v="0.000"/>
    <m/>
    <m/>
    <n v="0"/>
    <n v="204.79999999999964"/>
    <n v="204.79999999999964"/>
    <n v="65400"/>
    <x v="5"/>
    <s v="65400S0001"/>
    <x v="6"/>
  </r>
  <r>
    <s v="463143"/>
    <s v="M-PET RENOL BLACK NE113005-14"/>
    <s v="0.000 G"/>
    <x v="6"/>
    <s v="Additives"/>
    <n v="0"/>
    <n v="0"/>
    <n v="0"/>
    <n v="0"/>
    <n v="0"/>
    <n v="0"/>
    <n v="64"/>
    <n v="1874.13"/>
    <n v="0"/>
    <n v="0"/>
    <n v="0"/>
    <n v="0"/>
    <n v="64"/>
    <n v="1874.13"/>
    <n v="1200.71"/>
    <m/>
    <m/>
    <n v="0"/>
    <n v="64"/>
    <s v="0.000"/>
    <m/>
    <m/>
    <n v="0"/>
    <n v="0"/>
    <n v="0"/>
    <n v="60200"/>
    <x v="4"/>
    <s v="60200"/>
    <x v="4"/>
  </r>
  <r>
    <s v="463202"/>
    <s v="BC28-0200-SB-R-CL"/>
    <s v="23.000 G"/>
    <x v="1"/>
    <s v="Others"/>
    <m/>
    <m/>
    <m/>
    <m/>
    <m/>
    <m/>
    <m/>
    <m/>
    <m/>
    <m/>
    <m/>
    <m/>
    <m/>
    <m/>
    <m/>
    <n v="27007.200000000001"/>
    <n v="9002.4"/>
    <m/>
    <n v="0"/>
    <s v="23.00"/>
    <m/>
    <m/>
    <n v="9002.4"/>
    <n v="9002.4"/>
    <n v="9002.4"/>
    <n v="60104"/>
    <x v="1"/>
    <s v="601041000B"/>
    <x v="1"/>
  </r>
  <r>
    <s v="473708"/>
    <s v="C28-EZY R/S CAP BLUE W PET IND SEAL-ASEM"/>
    <s v="6.300 G"/>
    <x v="4"/>
    <s v="Others"/>
    <n v="252000"/>
    <n v="55545.84"/>
    <n v="0"/>
    <n v="0"/>
    <n v="0"/>
    <n v="0"/>
    <n v="0"/>
    <n v="0"/>
    <n v="0"/>
    <n v="0"/>
    <n v="0"/>
    <n v="0"/>
    <n v="252000"/>
    <n v="55545.84"/>
    <n v="0"/>
    <n v="58555.31"/>
    <n v="19518.436666666701"/>
    <n v="85.374419501835106"/>
    <n v="252000"/>
    <s v="6.300"/>
    <m/>
    <m/>
    <n v="19518.436666666701"/>
    <n v="19518.443333333333"/>
    <n v="19518.436666666701"/>
    <n v="60105"/>
    <x v="3"/>
    <s v="601051000C"/>
    <x v="3"/>
  </r>
  <r>
    <s v="473712"/>
    <s v="Z-26MM PET INDUCTION SEAL"/>
    <s v="0.000 G"/>
    <x v="9"/>
    <s v="LABEL, IML, STICKER,"/>
    <n v="233000"/>
    <n v="4862.71"/>
    <n v="0"/>
    <n v="0"/>
    <n v="0"/>
    <n v="0"/>
    <n v="0"/>
    <n v="0"/>
    <n v="0"/>
    <n v="0"/>
    <n v="0"/>
    <n v="0"/>
    <n v="233000"/>
    <n v="4862.71"/>
    <n v="0"/>
    <m/>
    <m/>
    <n v="0"/>
    <n v="233000"/>
    <s v="0.000"/>
    <m/>
    <m/>
    <n v="0"/>
    <n v="2627.9133333333298"/>
    <n v="2627.9133333333298"/>
    <n v="65400"/>
    <x v="5"/>
    <s v="65400S0001"/>
    <x v="6"/>
  </r>
  <r>
    <s v="474849"/>
    <s v="BC28-0750-K4-R-CL"/>
    <s v="68.000 G"/>
    <x v="12"/>
    <s v="Food &amp; Beverage"/>
    <n v="309600"/>
    <n v="148608"/>
    <n v="0"/>
    <n v="0"/>
    <n v="0"/>
    <n v="0"/>
    <n v="0"/>
    <n v="0"/>
    <n v="0"/>
    <n v="0"/>
    <n v="0"/>
    <n v="0"/>
    <n v="309600"/>
    <n v="148608"/>
    <n v="0"/>
    <n v="227693.76"/>
    <n v="75897.919999999998"/>
    <n v="58.739949658699501"/>
    <n v="21052.799999999999"/>
    <s v="68.00"/>
    <m/>
    <m/>
    <n v="75897.919999999998"/>
    <n v="75897.919999999998"/>
    <n v="75897.919999999998"/>
    <n v="60104"/>
    <x v="1"/>
    <s v="601041000B"/>
    <x v="1"/>
  </r>
  <r>
    <s v="475923"/>
    <s v="M-INJ REMAFIN RED PE33449375-ZN (PINK)"/>
    <s v="0.000 G"/>
    <x v="6"/>
    <s v="Additives"/>
    <n v="0"/>
    <n v="0"/>
    <n v="0"/>
    <n v="0"/>
    <n v="0"/>
    <n v="0"/>
    <n v="0"/>
    <n v="0"/>
    <n v="20.626999999999999"/>
    <n v="1082.19"/>
    <n v="0"/>
    <n v="0"/>
    <n v="20.626999999999999"/>
    <n v="1082.19"/>
    <n v="1082.19"/>
    <m/>
    <m/>
    <n v="0"/>
    <n v="20.626999999999999"/>
    <s v="0.000"/>
    <m/>
    <m/>
    <n v="0"/>
    <n v="44.716666666666669"/>
    <n v="44.716666666666669"/>
    <n v="60200"/>
    <x v="4"/>
    <s v="60200"/>
    <x v="4"/>
  </r>
  <r>
    <s v="476105"/>
    <s v="BC28-0500-GS-R-AM"/>
    <s v="44.000 G"/>
    <x v="1"/>
    <s v="Others"/>
    <n v="0"/>
    <n v="0"/>
    <n v="0"/>
    <n v="0"/>
    <n v="0"/>
    <n v="0"/>
    <n v="30240"/>
    <n v="13305.6"/>
    <n v="0"/>
    <n v="0"/>
    <n v="0"/>
    <n v="0"/>
    <n v="30240"/>
    <n v="13305.6"/>
    <n v="11088.89"/>
    <m/>
    <m/>
    <n v="0"/>
    <n v="30240"/>
    <s v="44.00"/>
    <m/>
    <m/>
    <n v="0"/>
    <n v="0"/>
    <n v="0"/>
    <n v="60104"/>
    <x v="1"/>
    <s v="601041000B"/>
    <x v="1"/>
  </r>
  <r>
    <s v="476794"/>
    <s v="AY0067-NA 60ML PLASTIC SCOOP"/>
    <s v="9.900 G"/>
    <x v="5"/>
    <s v="Food &amp; Beverage"/>
    <n v="20160"/>
    <n v="2588.9499999999998"/>
    <n v="0"/>
    <n v="0"/>
    <n v="0"/>
    <n v="0"/>
    <n v="0"/>
    <n v="0"/>
    <n v="0"/>
    <n v="0"/>
    <n v="0"/>
    <n v="0"/>
    <n v="20160"/>
    <n v="2588.9499999999998"/>
    <n v="0"/>
    <n v="7786.22"/>
    <n v="2595.4066666666699"/>
    <n v="29.925368150398999"/>
    <n v="20160"/>
    <s v="9.900"/>
    <m/>
    <m/>
    <n v="2595.4066666666699"/>
    <n v="2595.4066666666668"/>
    <n v="2595.4066666666668"/>
    <n v="60106"/>
    <x v="2"/>
    <s v="601061000C"/>
    <x v="3"/>
  </r>
  <r>
    <s v="478170"/>
    <s v="M-INJ REMAFIN GOLD PEG3449048-ZN"/>
    <s v="0.000 G"/>
    <x v="6"/>
    <s v="Additives"/>
    <n v="24"/>
    <n v="2058.63"/>
    <n v="0"/>
    <n v="0"/>
    <n v="0"/>
    <n v="0"/>
    <n v="0"/>
    <n v="0"/>
    <n v="10.792999999999999"/>
    <n v="925.79"/>
    <n v="0"/>
    <n v="0"/>
    <n v="34.792999999999999"/>
    <n v="2984.42"/>
    <n v="925.79"/>
    <m/>
    <m/>
    <n v="0"/>
    <n v="0"/>
    <s v="0.000"/>
    <m/>
    <m/>
    <n v="0"/>
    <n v="153.89999999999966"/>
    <n v="153.89999999999966"/>
    <n v="60200"/>
    <x v="4"/>
    <s v="60200"/>
    <x v="4"/>
  </r>
  <r>
    <s v="478933"/>
    <s v="C63-T/E-R/S-GOLD 9048 W ACT SEAL (ASEM)"/>
    <s v="7.000 G"/>
    <x v="4"/>
    <s v="Others"/>
    <n v="12000"/>
    <n v="3705.6"/>
    <n v="0"/>
    <n v="0"/>
    <n v="0"/>
    <n v="0"/>
    <n v="0"/>
    <n v="0"/>
    <n v="0"/>
    <n v="0"/>
    <n v="0"/>
    <n v="0"/>
    <n v="12000"/>
    <n v="3705.6"/>
    <n v="0"/>
    <n v="3705.64"/>
    <n v="1235.21333333333"/>
    <n v="89.999028507896099"/>
    <n v="12000"/>
    <s v="7.000"/>
    <m/>
    <m/>
    <n v="1235.21333333333"/>
    <n v="1235.21333333333"/>
    <n v="1235.21333333333"/>
    <n v="60105"/>
    <x v="3"/>
    <s v="601051000C"/>
    <x v="3"/>
  </r>
  <r>
    <s v="479882"/>
    <s v="R-TPE EMPILON 560"/>
    <s v="0.000 KG"/>
    <x v="8"/>
    <s v="Virgin grade"/>
    <n v="0"/>
    <n v="0"/>
    <n v="0"/>
    <n v="0"/>
    <n v="0"/>
    <n v="0"/>
    <n v="0"/>
    <n v="0"/>
    <n v="358.59"/>
    <n v="3478.33"/>
    <n v="0"/>
    <n v="0"/>
    <n v="358.59"/>
    <n v="3478.33"/>
    <n v="3478.33"/>
    <m/>
    <m/>
    <n v="0"/>
    <n v="0"/>
    <s v="0.000"/>
    <m/>
    <m/>
    <n v="0"/>
    <n v="0"/>
    <n v="0"/>
    <n v="60105"/>
    <x v="3"/>
    <s v="60105V0000"/>
    <x v="5"/>
  </r>
  <r>
    <s v="480192"/>
    <s v="BS0102 100ML INK BTL (NATURAL)"/>
    <s v="15.200 G"/>
    <x v="21"/>
    <s v="Electrical &amp; Electro"/>
    <m/>
    <m/>
    <m/>
    <m/>
    <m/>
    <m/>
    <m/>
    <m/>
    <m/>
    <m/>
    <m/>
    <m/>
    <m/>
    <m/>
    <m/>
    <n v="1552.5"/>
    <n v="517.5"/>
    <m/>
    <n v="0"/>
    <s v="15.20"/>
    <m/>
    <m/>
    <n v="517.5"/>
    <n v="517.5"/>
    <n v="517.5"/>
    <n v="60105"/>
    <x v="3"/>
    <s v="601051000B"/>
    <x v="1"/>
  </r>
  <r>
    <s v="480215"/>
    <s v="M/B BLUE PP 84800-4P"/>
    <s v="0.000 KG"/>
    <x v="6"/>
    <s v="Additives"/>
    <n v="0"/>
    <n v="0"/>
    <n v="0"/>
    <n v="0"/>
    <n v="0"/>
    <n v="0"/>
    <n v="0"/>
    <n v="0"/>
    <n v="37.005000000000003"/>
    <n v="666.09"/>
    <n v="0"/>
    <n v="0"/>
    <n v="37.005000000000003"/>
    <n v="666.09"/>
    <n v="666.09"/>
    <m/>
    <m/>
    <n v="0"/>
    <n v="37.005000000000003"/>
    <s v="0.000"/>
    <m/>
    <m/>
    <n v="0"/>
    <n v="0"/>
    <n v="0"/>
    <n v="60200"/>
    <x v="4"/>
    <s v="60200"/>
    <x v="4"/>
  </r>
  <r>
    <s v="486568"/>
    <s v="BC28-0170-D-5040-0066"/>
    <s v="27.000 G"/>
    <x v="22"/>
    <s v="Electrical &amp; Electro"/>
    <m/>
    <m/>
    <m/>
    <m/>
    <m/>
    <m/>
    <m/>
    <m/>
    <m/>
    <m/>
    <m/>
    <m/>
    <m/>
    <m/>
    <m/>
    <n v="0"/>
    <n v="0"/>
    <m/>
    <n v="0"/>
    <s v="27.00"/>
    <m/>
    <m/>
    <n v="0"/>
    <n v="0"/>
    <n v="0"/>
    <n v="60104"/>
    <x v="1"/>
    <s v="601041000B"/>
    <x v="1"/>
  </r>
  <r>
    <s v="486895"/>
    <s v="AL1537-GR- 2LTR CHOC I/C LID (GREEN)"/>
    <s v="31.000 G"/>
    <x v="5"/>
    <s v="Food &amp; Beverage"/>
    <m/>
    <m/>
    <m/>
    <m/>
    <m/>
    <m/>
    <m/>
    <m/>
    <m/>
    <m/>
    <m/>
    <m/>
    <m/>
    <m/>
    <m/>
    <n v="2662.7"/>
    <n v="887.56666666666695"/>
    <m/>
    <n v="0"/>
    <s v="31.00"/>
    <m/>
    <m/>
    <n v="887.56666666666695"/>
    <n v="887.56666666666331"/>
    <n v="887.56666666666331"/>
    <n v="60106"/>
    <x v="2"/>
    <s v="601061000C"/>
    <x v="3"/>
  </r>
  <r>
    <s v="486896"/>
    <s v="AL1537-GR- 2LTR STRAW I/C LID (GREEN)"/>
    <s v="31.000 G"/>
    <x v="5"/>
    <s v="Food &amp; Beverage"/>
    <n v="720"/>
    <n v="265.24"/>
    <n v="0"/>
    <n v="0"/>
    <n v="0"/>
    <n v="0"/>
    <n v="0"/>
    <n v="0"/>
    <n v="0"/>
    <n v="0"/>
    <n v="0"/>
    <n v="0"/>
    <n v="720"/>
    <n v="265.24"/>
    <n v="0"/>
    <n v="2652.37"/>
    <n v="884.12333333333299"/>
    <n v="9.0001017957524798"/>
    <n v="720"/>
    <s v="31.00"/>
    <m/>
    <m/>
    <n v="884.12333333333299"/>
    <n v="884.12333333332992"/>
    <n v="884.12333333332992"/>
    <n v="60106"/>
    <x v="2"/>
    <s v="601061000C"/>
    <x v="3"/>
  </r>
  <r>
    <s v="488889"/>
    <s v="M-INJ REMAFIN RED PE33449388-ZN"/>
    <s v="0.000 G"/>
    <x v="6"/>
    <s v="Additives"/>
    <n v="0"/>
    <n v="0"/>
    <n v="0"/>
    <n v="0"/>
    <n v="0"/>
    <n v="0"/>
    <n v="0.71799999999999997"/>
    <n v="121.39"/>
    <n v="0"/>
    <n v="0"/>
    <n v="0"/>
    <n v="0"/>
    <n v="0.71799999999999997"/>
    <n v="121.39"/>
    <n v="53.96"/>
    <m/>
    <m/>
    <n v="0"/>
    <n v="0"/>
    <s v="0.000"/>
    <m/>
    <m/>
    <n v="0"/>
    <n v="0"/>
    <n v="0"/>
    <n v="60200"/>
    <x v="4"/>
    <s v="60200"/>
    <x v="4"/>
  </r>
  <r>
    <s v="488982"/>
    <s v="M-INJ REMAFIN BROWN PE84449139-ZN (DB)"/>
    <s v="0.000 G"/>
    <x v="6"/>
    <s v="Additives"/>
    <n v="0"/>
    <n v="0"/>
    <n v="0"/>
    <n v="0"/>
    <n v="0"/>
    <n v="0"/>
    <n v="2.399"/>
    <n v="118.75"/>
    <n v="0"/>
    <n v="0"/>
    <n v="0"/>
    <n v="0"/>
    <n v="2.399"/>
    <n v="118.75"/>
    <n v="79.17"/>
    <m/>
    <m/>
    <n v="0"/>
    <n v="2.399"/>
    <s v="0.000"/>
    <m/>
    <m/>
    <n v="0"/>
    <n v="0"/>
    <n v="0"/>
    <n v="60200"/>
    <x v="4"/>
    <s v="60200"/>
    <x v="4"/>
  </r>
  <r>
    <s v="488984"/>
    <s v="M-INJ REMAFIN BROWN PE83449140-ZN (C)"/>
    <s v="0.000 G"/>
    <x v="6"/>
    <s v="Additives"/>
    <n v="0"/>
    <n v="0"/>
    <n v="0"/>
    <n v="0"/>
    <n v="0"/>
    <n v="0"/>
    <n v="64.808999999999997"/>
    <n v="3301.56"/>
    <n v="0"/>
    <n v="0"/>
    <n v="0"/>
    <n v="0"/>
    <n v="64.808999999999997"/>
    <n v="3301.56"/>
    <n v="1467.47"/>
    <m/>
    <m/>
    <n v="0"/>
    <n v="64.808999999999997"/>
    <s v="0.000"/>
    <m/>
    <m/>
    <n v="0"/>
    <n v="342.4566666666633"/>
    <n v="342.4566666666633"/>
    <n v="60200"/>
    <x v="4"/>
    <s v="60200"/>
    <x v="4"/>
  </r>
  <r>
    <s v="489199"/>
    <s v="LBL 2.0LTR LKT V/R CHOCOLATE"/>
    <s v="0.000 G"/>
    <x v="9"/>
    <s v="LABEL, IML, STICKER,"/>
    <n v="3600"/>
    <n v="0"/>
    <n v="0"/>
    <n v="0"/>
    <n v="0"/>
    <n v="0"/>
    <n v="0"/>
    <n v="0"/>
    <n v="0"/>
    <n v="0"/>
    <n v="0"/>
    <n v="0"/>
    <n v="3600"/>
    <n v="0"/>
    <n v="0"/>
    <m/>
    <m/>
    <n v="0"/>
    <n v="3600"/>
    <s v="0.000"/>
    <m/>
    <m/>
    <n v="0"/>
    <n v="0"/>
    <n v="0"/>
    <n v="65400"/>
    <x v="5"/>
    <s v="65400S0001"/>
    <x v="6"/>
  </r>
  <r>
    <s v="489200"/>
    <s v="LBL 2.0LTR LKT V/R DURIAN"/>
    <s v="0.000 G"/>
    <x v="9"/>
    <s v="LABEL, IML, STICKER,"/>
    <n v="0"/>
    <n v="0"/>
    <n v="0"/>
    <n v="0"/>
    <n v="0"/>
    <n v="0"/>
    <n v="0"/>
    <n v="0"/>
    <n v="1100"/>
    <n v="0"/>
    <n v="0"/>
    <n v="0"/>
    <n v="1100"/>
    <n v="0"/>
    <n v="0"/>
    <m/>
    <m/>
    <n v="0"/>
    <n v="0"/>
    <s v="0.000"/>
    <m/>
    <m/>
    <n v="0"/>
    <n v="0"/>
    <n v="0"/>
    <n v="65400"/>
    <x v="5"/>
    <s v="65400S0001"/>
    <x v="6"/>
  </r>
  <r>
    <s v="489201"/>
    <s v="LBL 2.0LTR LKT V/R STRAWBERRY"/>
    <s v="0.000 G"/>
    <x v="9"/>
    <s v="LABEL, IML, STICKER,"/>
    <n v="4080"/>
    <n v="0"/>
    <n v="0"/>
    <n v="0"/>
    <n v="0"/>
    <n v="0"/>
    <n v="0"/>
    <n v="0"/>
    <n v="0"/>
    <n v="0"/>
    <n v="0"/>
    <n v="0"/>
    <n v="4080"/>
    <n v="0"/>
    <n v="0"/>
    <m/>
    <m/>
    <n v="0"/>
    <n v="0"/>
    <s v="0.000"/>
    <m/>
    <m/>
    <n v="0"/>
    <n v="0"/>
    <n v="0"/>
    <n v="65400"/>
    <x v="5"/>
    <s v="65400S0001"/>
    <x v="6"/>
  </r>
  <r>
    <s v="489210"/>
    <s v="LBL 1.0LTR LKT V/R CHO/CHIP"/>
    <s v="0.000 G"/>
    <x v="9"/>
    <s v="LABEL, IML, STICKER,"/>
    <n v="0"/>
    <n v="0"/>
    <n v="0"/>
    <n v="0"/>
    <n v="0"/>
    <n v="0"/>
    <n v="0"/>
    <n v="0"/>
    <n v="2000"/>
    <n v="0"/>
    <n v="0"/>
    <n v="0"/>
    <n v="2000"/>
    <n v="0"/>
    <n v="0"/>
    <m/>
    <m/>
    <n v="0"/>
    <n v="0"/>
    <s v="0.000"/>
    <m/>
    <m/>
    <n v="0"/>
    <n v="0"/>
    <n v="0"/>
    <n v="65400"/>
    <x v="5"/>
    <s v="65400S0001"/>
    <x v="6"/>
  </r>
  <r>
    <s v="489211"/>
    <s v="LBL 1.0LTR LKT V/R MANGO"/>
    <s v="0.000 G"/>
    <x v="9"/>
    <s v="LABEL, IML, STICKER,"/>
    <n v="0"/>
    <n v="0"/>
    <n v="0"/>
    <n v="0"/>
    <n v="0"/>
    <n v="0"/>
    <n v="0"/>
    <n v="0"/>
    <n v="2000"/>
    <n v="0"/>
    <n v="0"/>
    <n v="0"/>
    <n v="2000"/>
    <n v="0"/>
    <n v="0"/>
    <m/>
    <m/>
    <n v="0"/>
    <n v="0"/>
    <s v="0.000"/>
    <m/>
    <m/>
    <n v="0"/>
    <n v="0"/>
    <n v="0"/>
    <n v="65400"/>
    <x v="5"/>
    <s v="65400S0001"/>
    <x v="6"/>
  </r>
  <r>
    <s v="489212"/>
    <s v="LBL 2.0LTR LKT V/R VANILLA"/>
    <s v="0.000 G"/>
    <x v="9"/>
    <s v="LABEL, IML, STICKER,"/>
    <n v="3600"/>
    <n v="0"/>
    <n v="0"/>
    <n v="0"/>
    <n v="0"/>
    <n v="0"/>
    <n v="0"/>
    <n v="0"/>
    <n v="0"/>
    <n v="0"/>
    <n v="0"/>
    <n v="0"/>
    <n v="3600"/>
    <n v="0"/>
    <n v="0"/>
    <m/>
    <m/>
    <n v="0"/>
    <n v="0"/>
    <s v="0.000"/>
    <m/>
    <m/>
    <n v="0"/>
    <n v="0"/>
    <n v="0"/>
    <n v="65400"/>
    <x v="5"/>
    <s v="65400S0001"/>
    <x v="6"/>
  </r>
  <r>
    <s v="489213"/>
    <s v="LBL 2.0LTR LKT V/R YAM"/>
    <s v="0.000 G"/>
    <x v="9"/>
    <s v="LABEL, IML, STICKER,"/>
    <n v="0"/>
    <n v="0"/>
    <n v="0"/>
    <n v="0"/>
    <n v="0"/>
    <n v="0"/>
    <n v="2550"/>
    <n v="0"/>
    <n v="3150"/>
    <n v="0"/>
    <n v="0"/>
    <n v="0"/>
    <n v="5700"/>
    <n v="0"/>
    <n v="0"/>
    <m/>
    <m/>
    <n v="0"/>
    <n v="0"/>
    <s v="0.000"/>
    <m/>
    <m/>
    <n v="0"/>
    <n v="0"/>
    <n v="0"/>
    <n v="65400"/>
    <x v="5"/>
    <s v="65400S0001"/>
    <x v="6"/>
  </r>
  <r>
    <s v="489242"/>
    <s v="LBL 0.5LTR LKT V/R CHOCOLATE"/>
    <s v="0.000 G"/>
    <x v="9"/>
    <s v="LABEL, IML, STICKER,"/>
    <n v="2000"/>
    <n v="0"/>
    <n v="600"/>
    <n v="0"/>
    <n v="0"/>
    <n v="0"/>
    <n v="0"/>
    <n v="0"/>
    <n v="0"/>
    <n v="0"/>
    <n v="0"/>
    <n v="0"/>
    <n v="2600"/>
    <n v="0"/>
    <n v="0"/>
    <m/>
    <m/>
    <n v="0"/>
    <n v="0"/>
    <s v="0.000"/>
    <m/>
    <m/>
    <n v="0"/>
    <n v="0"/>
    <n v="0"/>
    <n v="65400"/>
    <x v="5"/>
    <s v="65400S0001"/>
    <x v="6"/>
  </r>
  <r>
    <s v="489243"/>
    <s v="LBL 0.5LTR LKT V/R STRAWBERRY"/>
    <s v="0.000 G"/>
    <x v="9"/>
    <s v="LABEL, IML, STICKER,"/>
    <n v="0"/>
    <n v="0"/>
    <n v="1700"/>
    <n v="0"/>
    <n v="0"/>
    <n v="0"/>
    <n v="0"/>
    <n v="0"/>
    <n v="0"/>
    <n v="0"/>
    <n v="0"/>
    <n v="0"/>
    <n v="1700"/>
    <n v="0"/>
    <n v="0"/>
    <m/>
    <m/>
    <n v="0"/>
    <n v="0"/>
    <s v="0.000"/>
    <m/>
    <m/>
    <n v="0"/>
    <n v="0"/>
    <n v="0"/>
    <n v="65400"/>
    <x v="5"/>
    <s v="65400S0001"/>
    <x v="6"/>
  </r>
  <r>
    <s v="489244"/>
    <s v="LBL 0.5LTR LKT V/R VANILLA"/>
    <s v="0.000 G"/>
    <x v="9"/>
    <s v="LABEL, IML, STICKER,"/>
    <n v="2200"/>
    <n v="0"/>
    <n v="0"/>
    <n v="0"/>
    <n v="0"/>
    <n v="0"/>
    <n v="0"/>
    <n v="0"/>
    <n v="0"/>
    <n v="0"/>
    <n v="0"/>
    <n v="0"/>
    <n v="2200"/>
    <n v="0"/>
    <n v="0"/>
    <m/>
    <m/>
    <n v="0"/>
    <n v="0"/>
    <s v="0.000"/>
    <m/>
    <m/>
    <n v="0"/>
    <n v="0"/>
    <n v="0"/>
    <n v="65400"/>
    <x v="5"/>
    <s v="65400S0001"/>
    <x v="6"/>
  </r>
  <r>
    <s v="489245"/>
    <s v="LBL 0.5LTR LKT V/R YAM"/>
    <s v="0.000 G"/>
    <x v="9"/>
    <s v="LABEL, IML, STICKER,"/>
    <n v="1400"/>
    <n v="0"/>
    <n v="0"/>
    <n v="0"/>
    <n v="0"/>
    <n v="0"/>
    <n v="0"/>
    <n v="0"/>
    <n v="0"/>
    <n v="0"/>
    <n v="0"/>
    <n v="0"/>
    <n v="1400"/>
    <n v="0"/>
    <n v="0"/>
    <m/>
    <m/>
    <n v="0"/>
    <n v="0"/>
    <s v="0.000"/>
    <m/>
    <m/>
    <n v="0"/>
    <n v="0"/>
    <n v="0"/>
    <n v="65400"/>
    <x v="5"/>
    <s v="65400S0001"/>
    <x v="6"/>
  </r>
  <r>
    <s v="489247"/>
    <s v="AL1537-GR- 2LTR VANILLA I/C LID (GREEN)"/>
    <s v="31.000 G"/>
    <x v="5"/>
    <s v="Food &amp; Beverage"/>
    <m/>
    <m/>
    <m/>
    <m/>
    <m/>
    <m/>
    <m/>
    <m/>
    <m/>
    <m/>
    <m/>
    <m/>
    <m/>
    <m/>
    <m/>
    <n v="2663.52"/>
    <n v="887.84"/>
    <m/>
    <n v="0"/>
    <s v="31.00"/>
    <m/>
    <m/>
    <n v="887.84"/>
    <n v="887.84"/>
    <n v="887.84"/>
    <n v="60106"/>
    <x v="2"/>
    <s v="601061000C"/>
    <x v="3"/>
  </r>
  <r>
    <s v="489249"/>
    <s v="LBL 2.0LTR LKT V/R FRUITCAKE &amp; RAISIN"/>
    <s v="0.000 G"/>
    <x v="9"/>
    <s v="LABEL, IML, STICKER,"/>
    <n v="0"/>
    <n v="0"/>
    <n v="0"/>
    <n v="0"/>
    <n v="0"/>
    <n v="0"/>
    <n v="0"/>
    <n v="0"/>
    <n v="1500"/>
    <n v="0"/>
    <n v="0"/>
    <n v="0"/>
    <n v="1500"/>
    <n v="0"/>
    <n v="0"/>
    <m/>
    <m/>
    <n v="0"/>
    <n v="0"/>
    <s v="0.000"/>
    <m/>
    <m/>
    <n v="0"/>
    <n v="0"/>
    <n v="0"/>
    <n v="65400"/>
    <x v="5"/>
    <s v="65400S0001"/>
    <x v="6"/>
  </r>
  <r>
    <s v="489250"/>
    <s v="LBL 2.0LTR LKT V/R PECAN NUT"/>
    <s v="0.000 G"/>
    <x v="9"/>
    <s v="LABEL, IML, STICKER,"/>
    <n v="0"/>
    <n v="0"/>
    <n v="0"/>
    <n v="0"/>
    <n v="0"/>
    <n v="0"/>
    <n v="0"/>
    <n v="0"/>
    <n v="1800"/>
    <n v="0"/>
    <n v="0"/>
    <n v="0"/>
    <n v="1800"/>
    <n v="0"/>
    <n v="0"/>
    <m/>
    <m/>
    <n v="0"/>
    <n v="0"/>
    <s v="0.000"/>
    <m/>
    <m/>
    <n v="0"/>
    <n v="0"/>
    <n v="0"/>
    <n v="65400"/>
    <x v="5"/>
    <s v="65400S0001"/>
    <x v="6"/>
  </r>
  <r>
    <s v="489251"/>
    <s v="LBL 2.0LTR LKT V/R PISTACHIO ALMOND"/>
    <s v="0.000 G"/>
    <x v="9"/>
    <s v="LABEL, IML, STICKER,"/>
    <n v="0"/>
    <n v="0"/>
    <n v="0"/>
    <n v="0"/>
    <n v="0"/>
    <n v="0"/>
    <n v="0"/>
    <n v="0"/>
    <n v="1800"/>
    <n v="0"/>
    <n v="0"/>
    <n v="0"/>
    <n v="1800"/>
    <n v="0"/>
    <n v="0"/>
    <m/>
    <m/>
    <n v="0"/>
    <n v="1800"/>
    <s v="0.000"/>
    <m/>
    <m/>
    <n v="0"/>
    <n v="0"/>
    <n v="0"/>
    <n v="65400"/>
    <x v="5"/>
    <s v="65400S0001"/>
    <x v="6"/>
  </r>
  <r>
    <s v="489261"/>
    <s v="LBL 2.0LTR LKT V/R SWEET CORN"/>
    <s v="0.000 G"/>
    <x v="9"/>
    <s v="LABEL, IML, STICKER,"/>
    <n v="0"/>
    <n v="0"/>
    <n v="0"/>
    <n v="0"/>
    <n v="0"/>
    <n v="0"/>
    <n v="0"/>
    <n v="0"/>
    <n v="6000"/>
    <n v="0"/>
    <n v="0"/>
    <n v="0"/>
    <n v="6000"/>
    <n v="0"/>
    <n v="0"/>
    <m/>
    <m/>
    <n v="0"/>
    <n v="6000"/>
    <s v="0.000"/>
    <m/>
    <m/>
    <n v="0"/>
    <n v="0"/>
    <n v="0"/>
    <n v="65400"/>
    <x v="5"/>
    <s v="65400S0001"/>
    <x v="6"/>
  </r>
  <r>
    <s v="492555"/>
    <s v="T-P.PALLET WN4-1210 GREEN 1200 X 1000MM"/>
    <s v="0.000 G"/>
    <x v="13"/>
    <s v="Logistic &amp; Other Sup"/>
    <n v="0"/>
    <n v="0"/>
    <n v="0"/>
    <n v="0"/>
    <n v="0"/>
    <n v="0"/>
    <n v="31"/>
    <n v="0"/>
    <n v="5"/>
    <n v="0"/>
    <n v="20"/>
    <n v="0"/>
    <n v="56"/>
    <n v="0"/>
    <n v="0"/>
    <m/>
    <m/>
    <n v="0"/>
    <n v="0"/>
    <s v="0.000"/>
    <m/>
    <m/>
    <n v="0"/>
    <n v="0"/>
    <n v="0"/>
    <n v="65000"/>
    <x v="6"/>
    <s v="65000L0000"/>
    <x v="7"/>
  </r>
  <r>
    <s v="503940"/>
    <s v="AL0556-0500-I/C-S-WH-L CHOC (ASEM)"/>
    <s v="14.400 G"/>
    <x v="5"/>
    <s v="Food &amp; Beverage"/>
    <m/>
    <m/>
    <m/>
    <m/>
    <m/>
    <m/>
    <m/>
    <m/>
    <m/>
    <m/>
    <m/>
    <m/>
    <m/>
    <m/>
    <m/>
    <n v="484.48"/>
    <n v="161.493333333333"/>
    <m/>
    <n v="0"/>
    <s v="14.40"/>
    <m/>
    <m/>
    <n v="161.493333333333"/>
    <n v="161.49333333333334"/>
    <n v="161.49333333333334"/>
    <n v="60106"/>
    <x v="2"/>
    <s v="601061000C"/>
    <x v="3"/>
  </r>
  <r>
    <s v="503974"/>
    <s v="AL0556-0500-I/C-S-WH-L VANILLA (ASEM)"/>
    <s v="14.400 G"/>
    <x v="5"/>
    <s v="Food &amp; Beverage"/>
    <m/>
    <m/>
    <m/>
    <m/>
    <m/>
    <m/>
    <m/>
    <m/>
    <m/>
    <m/>
    <m/>
    <m/>
    <m/>
    <m/>
    <m/>
    <n v="484.48"/>
    <n v="161.493333333333"/>
    <m/>
    <n v="0"/>
    <s v="14.40"/>
    <m/>
    <m/>
    <n v="161.493333333333"/>
    <n v="161.49333333333334"/>
    <n v="161.49333333333334"/>
    <n v="60106"/>
    <x v="2"/>
    <s v="601061000C"/>
    <x v="3"/>
  </r>
  <r>
    <s v="503980"/>
    <s v="AL0556-WH-L 500ML I/C LID YAM (ASEM)"/>
    <s v="14.400 G"/>
    <x v="5"/>
    <s v="Food &amp; Beverage"/>
    <m/>
    <m/>
    <m/>
    <m/>
    <m/>
    <m/>
    <m/>
    <m/>
    <m/>
    <m/>
    <m/>
    <m/>
    <m/>
    <m/>
    <m/>
    <n v="484.48"/>
    <n v="161.493333333333"/>
    <m/>
    <n v="0"/>
    <s v="14.40"/>
    <m/>
    <m/>
    <n v="161.493333333333"/>
    <n v="161.49333333333334"/>
    <n v="161.493333333333"/>
    <n v="60106"/>
    <x v="2"/>
    <s v="601061000C"/>
    <x v="3"/>
  </r>
  <r>
    <s v="507127"/>
    <s v="M/B GREEN PP 93576R-3P"/>
    <s v="0.000 KG"/>
    <x v="6"/>
    <s v="Additives"/>
    <n v="85.739000000000004"/>
    <n v="2314.9499999999998"/>
    <n v="0"/>
    <n v="0"/>
    <n v="0"/>
    <n v="0"/>
    <n v="0"/>
    <n v="0"/>
    <n v="0"/>
    <n v="0"/>
    <n v="0"/>
    <n v="0"/>
    <n v="85.739000000000004"/>
    <n v="2314.9499999999998"/>
    <n v="0"/>
    <m/>
    <m/>
    <n v="0"/>
    <n v="85.739000000000004"/>
    <s v="0.000"/>
    <m/>
    <m/>
    <n v="0"/>
    <n v="448.69333333332997"/>
    <n v="448.69333333332997"/>
    <n v="60200"/>
    <x v="4"/>
    <s v="60200"/>
    <x v="4"/>
  </r>
  <r>
    <s v="507565"/>
    <s v="M-INJ REMAFIN BROWN PE83449141-ZN"/>
    <s v="0.000 G"/>
    <x v="6"/>
    <s v="Additives"/>
    <n v="0"/>
    <n v="0"/>
    <n v="25"/>
    <n v="1091.56"/>
    <n v="15.868"/>
    <n v="692.83"/>
    <n v="0"/>
    <n v="0"/>
    <n v="0"/>
    <n v="0"/>
    <n v="0"/>
    <n v="0"/>
    <n v="40.868000000000002"/>
    <n v="1784.39"/>
    <n v="153.97999999999999"/>
    <m/>
    <m/>
    <n v="0"/>
    <n v="40.868000000000002"/>
    <s v="0.000"/>
    <m/>
    <m/>
    <n v="0"/>
    <n v="78.796666666666326"/>
    <n v="78.796666666666326"/>
    <n v="60200"/>
    <x v="4"/>
    <s v="60200"/>
    <x v="4"/>
  </r>
  <r>
    <s v="509852"/>
    <s v="AL0556-WH-L 500ML I/C LID DURIAN (ASEM)"/>
    <s v="14.400 G"/>
    <x v="5"/>
    <s v="Food &amp; Beverage"/>
    <m/>
    <m/>
    <m/>
    <m/>
    <m/>
    <m/>
    <m/>
    <m/>
    <m/>
    <m/>
    <m/>
    <m/>
    <m/>
    <m/>
    <m/>
    <n v="484.48"/>
    <n v="161.493333333333"/>
    <m/>
    <n v="0"/>
    <s v="14.40"/>
    <m/>
    <m/>
    <n v="161.493333333333"/>
    <n v="161.49333333333334"/>
    <n v="161.49333333333334"/>
    <n v="60106"/>
    <x v="2"/>
    <s v="601061000C"/>
    <x v="3"/>
  </r>
  <r>
    <s v="509876"/>
    <s v="AL0556-WH-L 500ML I/C LID S/CORN (ASEM)"/>
    <s v="14.400 G"/>
    <x v="5"/>
    <s v="Food &amp; Beverage"/>
    <m/>
    <m/>
    <m/>
    <m/>
    <m/>
    <m/>
    <m/>
    <m/>
    <m/>
    <m/>
    <m/>
    <m/>
    <m/>
    <m/>
    <m/>
    <n v="484.48"/>
    <n v="161.493333333333"/>
    <m/>
    <n v="0"/>
    <s v="14.40"/>
    <m/>
    <m/>
    <n v="161.493333333333"/>
    <n v="161.49333333333334"/>
    <n v="161.49333333333334"/>
    <n v="60106"/>
    <x v="2"/>
    <s v="601061000C"/>
    <x v="3"/>
  </r>
  <r>
    <s v="518888"/>
    <s v="LBL 0.5LTR LKT V/R SWEET CORN"/>
    <s v="0.000 G"/>
    <x v="9"/>
    <s v="LABEL, IML, STICKER,"/>
    <n v="1400"/>
    <n v="0"/>
    <n v="0"/>
    <n v="0"/>
    <n v="0"/>
    <n v="0"/>
    <n v="0"/>
    <n v="0"/>
    <n v="0"/>
    <n v="0"/>
    <n v="0"/>
    <n v="0"/>
    <n v="1400"/>
    <n v="0"/>
    <n v="0"/>
    <m/>
    <m/>
    <n v="0"/>
    <n v="0"/>
    <s v="0.000"/>
    <m/>
    <m/>
    <n v="0"/>
    <n v="0"/>
    <n v="0"/>
    <n v="65400"/>
    <x v="5"/>
    <s v="65400S0001"/>
    <x v="6"/>
  </r>
  <r>
    <s v="518889"/>
    <s v="LBL 0.5LTR LKT V/R DURIAN"/>
    <s v="0.000 G"/>
    <x v="9"/>
    <s v="LABEL, IML, STICKER,"/>
    <n v="1400"/>
    <n v="0"/>
    <n v="0"/>
    <n v="0"/>
    <n v="0"/>
    <n v="0"/>
    <n v="0"/>
    <n v="0"/>
    <n v="0"/>
    <n v="0"/>
    <n v="0"/>
    <n v="0"/>
    <n v="1400"/>
    <n v="0"/>
    <n v="0"/>
    <m/>
    <m/>
    <n v="0"/>
    <n v="0"/>
    <s v="0.000"/>
    <m/>
    <m/>
    <n v="0"/>
    <n v="0"/>
    <n v="0"/>
    <n v="65400"/>
    <x v="5"/>
    <s v="65400S0001"/>
    <x v="6"/>
  </r>
  <r>
    <s v="519060"/>
    <s v="Z-ONE PIECE ALUMINIUM INDUCTION LINER"/>
    <s v="0.000 G"/>
    <x v="9"/>
    <s v="LABEL, IML, STICKER,"/>
    <n v="0"/>
    <n v="0"/>
    <n v="0"/>
    <n v="0"/>
    <n v="0"/>
    <n v="0"/>
    <n v="4563.41"/>
    <n v="4152.7"/>
    <n v="0"/>
    <n v="0"/>
    <n v="0"/>
    <n v="0"/>
    <n v="4563.41"/>
    <n v="4152.7"/>
    <n v="1845.79"/>
    <m/>
    <m/>
    <n v="0"/>
    <n v="0"/>
    <s v="0.000"/>
    <m/>
    <m/>
    <n v="0"/>
    <n v="0"/>
    <n v="0"/>
    <n v="65400"/>
    <x v="5"/>
    <s v="65400S0001"/>
    <x v="6"/>
  </r>
  <r>
    <s v="529004"/>
    <s v="BC28-0400-R-R-CL"/>
    <s v="31.000 G"/>
    <x v="1"/>
    <s v="Others"/>
    <n v="7200"/>
    <n v="2088"/>
    <n v="0"/>
    <n v="0"/>
    <n v="0"/>
    <n v="0"/>
    <n v="0"/>
    <n v="0"/>
    <n v="0"/>
    <n v="0"/>
    <n v="0"/>
    <n v="0"/>
    <n v="7200"/>
    <n v="2088"/>
    <n v="0"/>
    <n v="13368"/>
    <n v="4456"/>
    <n v="14.057450628366199"/>
    <n v="223.2"/>
    <s v="31.00"/>
    <m/>
    <m/>
    <n v="4456"/>
    <n v="4456"/>
    <n v="4456"/>
    <n v="60104"/>
    <x v="1"/>
    <s v="601041000B"/>
    <x v="1"/>
  </r>
  <r>
    <s v="532300"/>
    <s v="C28-C/S-FLIP TOP ORANGE 139148-18"/>
    <s v="4.850 G"/>
    <x v="3"/>
    <s v="Others"/>
    <n v="42000"/>
    <n v="3541.86"/>
    <n v="0"/>
    <n v="0"/>
    <n v="0"/>
    <n v="0"/>
    <n v="0"/>
    <n v="0"/>
    <n v="0"/>
    <n v="0"/>
    <n v="0"/>
    <n v="0"/>
    <n v="42000"/>
    <n v="3541.86"/>
    <n v="0"/>
    <n v="10613"/>
    <n v="3537.6666666666702"/>
    <n v="30.035560162065401"/>
    <n v="42000"/>
    <s v="4.850"/>
    <m/>
    <m/>
    <n v="3537.6666666666702"/>
    <n v="3537.6666666666665"/>
    <n v="3537.6666666666665"/>
    <n v="60106"/>
    <x v="2"/>
    <s v="601061000C"/>
    <x v="3"/>
  </r>
  <r>
    <s v="532948"/>
    <s v="M-INJ ORANGE 139148-18 (PE23449148-ZT)"/>
    <s v="0.000 G"/>
    <x v="6"/>
    <s v="Additives"/>
    <n v="71"/>
    <n v="3523.67"/>
    <n v="0"/>
    <n v="0"/>
    <n v="14.776"/>
    <n v="733.32"/>
    <n v="0"/>
    <n v="0"/>
    <n v="0"/>
    <n v="0"/>
    <n v="0"/>
    <n v="0"/>
    <n v="85.775999999999996"/>
    <n v="4256.99"/>
    <n v="122.23"/>
    <m/>
    <m/>
    <n v="0"/>
    <n v="85.775999999999996"/>
    <s v="0.000"/>
    <m/>
    <m/>
    <n v="0"/>
    <n v="324.78000000000003"/>
    <n v="324.78000000000003"/>
    <n v="60200"/>
    <x v="4"/>
    <s v="60200"/>
    <x v="4"/>
  </r>
  <r>
    <s v="532981"/>
    <s v="JG63-0175-R-R-AM"/>
    <s v="24.000 G"/>
    <x v="2"/>
    <s v="Others"/>
    <n v="23315"/>
    <n v="5595.6"/>
    <n v="0"/>
    <n v="0"/>
    <n v="0"/>
    <n v="0"/>
    <n v="0"/>
    <n v="0"/>
    <n v="0"/>
    <n v="0"/>
    <n v="0"/>
    <n v="0"/>
    <n v="23315"/>
    <n v="5595.6"/>
    <n v="0"/>
    <m/>
    <m/>
    <n v="0"/>
    <n v="559.55999999999995"/>
    <s v="24.00"/>
    <m/>
    <m/>
    <n v="0"/>
    <n v="11999.463333333299"/>
    <n v="11999.463333333299"/>
    <n v="60104"/>
    <x v="1"/>
    <s v="601041000J"/>
    <x v="2"/>
  </r>
  <r>
    <s v="533341"/>
    <s v="LBL 2.0LTR LKT V/R MOCHA"/>
    <s v="0.000 G"/>
    <x v="9"/>
    <s v="LABEL, IML, STICKER,"/>
    <n v="0"/>
    <n v="0"/>
    <n v="0"/>
    <n v="0"/>
    <n v="0"/>
    <n v="0"/>
    <n v="0"/>
    <n v="0"/>
    <n v="600"/>
    <n v="0"/>
    <n v="0"/>
    <n v="0"/>
    <n v="600"/>
    <n v="0"/>
    <n v="0"/>
    <m/>
    <m/>
    <n v="0"/>
    <n v="600"/>
    <s v="0.000"/>
    <m/>
    <m/>
    <n v="0"/>
    <n v="0"/>
    <n v="0"/>
    <n v="65400"/>
    <x v="5"/>
    <s v="65400S0001"/>
    <x v="6"/>
  </r>
  <r>
    <s v="539101"/>
    <s v="BC28-0750-D-R1-CL-NO LOGO"/>
    <s v="68.000 G"/>
    <x v="1"/>
    <s v="Others"/>
    <n v="10192"/>
    <n v="4892.16"/>
    <n v="0"/>
    <n v="0"/>
    <n v="0"/>
    <n v="0"/>
    <n v="0"/>
    <n v="0"/>
    <n v="0"/>
    <n v="0"/>
    <n v="0"/>
    <n v="0"/>
    <n v="10192"/>
    <n v="4892.16"/>
    <n v="0"/>
    <n v="12077.52"/>
    <n v="4025.84"/>
    <n v="36.455696202531598"/>
    <n v="693.05600000000004"/>
    <s v="68.00"/>
    <m/>
    <m/>
    <n v="4025.84"/>
    <n v="4025.84"/>
    <n v="4025.84"/>
    <n v="60104"/>
    <x v="1"/>
    <s v="601041000B"/>
    <x v="1"/>
  </r>
  <r>
    <s v="540340"/>
    <s v="SL-TELLY ROASTED SESAME MAYO 1 LITRE"/>
    <s v="0.000 G"/>
    <x v="9"/>
    <s v="LABEL, IML, STICKER,"/>
    <n v="0"/>
    <n v="0"/>
    <n v="0"/>
    <n v="0"/>
    <n v="0"/>
    <n v="0"/>
    <n v="0"/>
    <n v="0"/>
    <n v="8750"/>
    <n v="87.5"/>
    <n v="0"/>
    <n v="0"/>
    <n v="8750"/>
    <n v="87.5"/>
    <n v="87.5"/>
    <m/>
    <m/>
    <n v="0"/>
    <n v="0"/>
    <s v="0.000"/>
    <m/>
    <m/>
    <n v="0"/>
    <n v="0"/>
    <n v="0"/>
    <n v="65400"/>
    <x v="5"/>
    <s v="65400S0001"/>
    <x v="6"/>
  </r>
  <r>
    <s v="540600"/>
    <s v="C63-D/C 7H RED-ACTIVATED SEAL (ASSEM)"/>
    <s v="13.900 G"/>
    <x v="5"/>
    <s v="Food &amp; Beverage"/>
    <n v="25200"/>
    <n v="10733.44"/>
    <n v="0"/>
    <n v="0"/>
    <n v="0"/>
    <n v="0"/>
    <n v="0"/>
    <n v="0"/>
    <n v="0"/>
    <n v="0"/>
    <n v="0"/>
    <n v="0"/>
    <n v="25200"/>
    <n v="10733.44"/>
    <n v="0"/>
    <m/>
    <m/>
    <n v="0"/>
    <n v="350.28"/>
    <s v="13.90"/>
    <m/>
    <m/>
    <n v="0"/>
    <n v="0"/>
    <n v="0"/>
    <n v="60106"/>
    <x v="2"/>
    <s v="601061000C"/>
    <x v="3"/>
  </r>
  <r>
    <s v="541381"/>
    <s v="BC28-1200-K-R-CL"/>
    <s v="55.000 G"/>
    <x v="12"/>
    <s v="Food &amp; Beverage"/>
    <n v="70700"/>
    <n v="28280"/>
    <n v="0"/>
    <n v="0"/>
    <n v="0"/>
    <n v="0"/>
    <n v="0"/>
    <n v="0"/>
    <n v="0"/>
    <n v="0"/>
    <n v="0"/>
    <n v="0"/>
    <n v="70700"/>
    <n v="28280"/>
    <n v="0"/>
    <n v="104720"/>
    <n v="34906.666666666701"/>
    <n v="24.304812834224599"/>
    <n v="3888.5"/>
    <s v="55.00"/>
    <m/>
    <m/>
    <n v="34906.666666666701"/>
    <n v="34906.666666666664"/>
    <n v="34906.666666666701"/>
    <n v="60104"/>
    <x v="1"/>
    <s v="601041000B"/>
    <x v="1"/>
  </r>
  <r>
    <s v="541707"/>
    <s v="PP SB-520Y RESIN"/>
    <s v="0.000 KG"/>
    <x v="7"/>
    <s v="Virgin grade"/>
    <n v="39007.891000000003"/>
    <n v="253363.28"/>
    <n v="0"/>
    <n v="0"/>
    <n v="0"/>
    <n v="0"/>
    <n v="0"/>
    <n v="0"/>
    <n v="0"/>
    <n v="0"/>
    <n v="0"/>
    <n v="0"/>
    <n v="39007.891000000003"/>
    <n v="253363.28"/>
    <n v="0"/>
    <m/>
    <m/>
    <n v="0"/>
    <n v="39007.891000000003"/>
    <s v="0.000"/>
    <m/>
    <m/>
    <n v="0"/>
    <n v="274138.57666666637"/>
    <n v="274138.57666666637"/>
    <n v="60106"/>
    <x v="2"/>
    <s v="60106V0000"/>
    <x v="5"/>
  </r>
  <r>
    <s v="543590"/>
    <s v="BC28-0130-R-R-AM"/>
    <s v="19.000 G"/>
    <x v="1"/>
    <s v="Others"/>
    <n v="50512"/>
    <n v="9597.2800000000007"/>
    <n v="0"/>
    <n v="0"/>
    <n v="0"/>
    <n v="0"/>
    <n v="0"/>
    <n v="0"/>
    <n v="0"/>
    <n v="0"/>
    <n v="0"/>
    <n v="0"/>
    <n v="50512"/>
    <n v="9597.2800000000007"/>
    <n v="0"/>
    <n v="53955.44"/>
    <n v="17985.1466666667"/>
    <n v="16.008676789587899"/>
    <n v="959.72799999999995"/>
    <s v="19.00"/>
    <m/>
    <m/>
    <n v="17985.1466666667"/>
    <n v="17985.146666666667"/>
    <n v="17985.1466666667"/>
    <n v="60104"/>
    <x v="1"/>
    <s v="601041000B"/>
    <x v="1"/>
  </r>
  <r>
    <s v="545429"/>
    <s v="C63-T/E-R/S-VIOLET 2.0"/>
    <s v="7.300 G"/>
    <x v="4"/>
    <s v="Others"/>
    <n v="0"/>
    <n v="0"/>
    <n v="8500"/>
    <n v="877.71"/>
    <n v="0"/>
    <n v="0"/>
    <n v="0"/>
    <n v="0"/>
    <n v="0"/>
    <n v="0"/>
    <n v="0"/>
    <n v="0"/>
    <n v="8500"/>
    <n v="877.71"/>
    <n v="0"/>
    <n v="1445.68"/>
    <n v="481.89333333333298"/>
    <n v="54.641345249294503"/>
    <n v="8500"/>
    <s v="7.300"/>
    <m/>
    <m/>
    <n v="481.89333333333298"/>
    <n v="481.89333333333337"/>
    <n v="481.89333333333337"/>
    <n v="60105"/>
    <x v="3"/>
    <s v="601051000C"/>
    <x v="3"/>
  </r>
  <r>
    <s v="545476"/>
    <s v="M/B VIOLET PE 52062-3P"/>
    <s v="0.000 KG"/>
    <x v="6"/>
    <s v="Additives"/>
    <n v="0"/>
    <n v="0"/>
    <n v="0"/>
    <n v="0"/>
    <n v="25"/>
    <n v="1025.01"/>
    <n v="0"/>
    <n v="0"/>
    <n v="5.774"/>
    <n v="236.74"/>
    <n v="0"/>
    <n v="0"/>
    <n v="30.774000000000001"/>
    <n v="1261.74"/>
    <n v="293.68"/>
    <m/>
    <m/>
    <n v="0"/>
    <n v="30.774000000000001"/>
    <s v="0.000"/>
    <m/>
    <m/>
    <n v="0"/>
    <n v="0"/>
    <n v="0"/>
    <n v="60200"/>
    <x v="4"/>
    <s v="60200"/>
    <x v="4"/>
  </r>
  <r>
    <s v="549292"/>
    <s v="C28-C/S-FLIP TOP NATURAL"/>
    <s v="4.850 G"/>
    <x v="3"/>
    <s v="Others"/>
    <m/>
    <m/>
    <m/>
    <m/>
    <m/>
    <m/>
    <m/>
    <m/>
    <m/>
    <m/>
    <m/>
    <m/>
    <m/>
    <m/>
    <m/>
    <n v="653.64"/>
    <n v="217.88"/>
    <m/>
    <n v="0"/>
    <s v="4.850"/>
    <m/>
    <m/>
    <n v="217.88"/>
    <n v="217.87999999999965"/>
    <n v="217.88"/>
    <n v="60106"/>
    <x v="2"/>
    <s v="601061000C"/>
    <x v="3"/>
  </r>
  <r>
    <s v="549814"/>
    <s v="BC28-0060-M-R-WH-HW"/>
    <s v="18.350 G"/>
    <x v="1"/>
    <s v="Others"/>
    <n v="0"/>
    <n v="0"/>
    <n v="4400"/>
    <n v="924"/>
    <n v="263"/>
    <n v="55.23"/>
    <n v="0"/>
    <n v="0"/>
    <n v="0"/>
    <n v="0"/>
    <n v="0"/>
    <n v="0"/>
    <n v="4663"/>
    <n v="979.23"/>
    <n v="15.34"/>
    <n v="462"/>
    <n v="154"/>
    <n v="190.75909090909099"/>
    <n v="4663"/>
    <s v="18.35"/>
    <m/>
    <m/>
    <n v="154"/>
    <n v="154"/>
    <n v="154"/>
    <n v="60104"/>
    <x v="1"/>
    <s v="601041000B"/>
    <x v="1"/>
  </r>
  <r>
    <s v="550076"/>
    <s v="BC28-0090-D-APH-5040-0735-PP-NON-LOGO"/>
    <s v="18.800 G"/>
    <x v="23"/>
    <s v="Electrical &amp; Electro"/>
    <n v="21600"/>
    <n v="4320"/>
    <n v="0"/>
    <n v="0"/>
    <n v="0"/>
    <n v="0"/>
    <n v="0"/>
    <n v="0"/>
    <n v="0"/>
    <n v="0"/>
    <n v="0"/>
    <n v="0"/>
    <n v="21600"/>
    <n v="4320"/>
    <n v="0"/>
    <n v="5400"/>
    <n v="1800"/>
    <n v="72"/>
    <n v="406.08"/>
    <s v="18.80"/>
    <m/>
    <m/>
    <n v="1800"/>
    <n v="1800"/>
    <n v="1800"/>
    <n v="60106"/>
    <x v="2"/>
    <s v="601061000B"/>
    <x v="1"/>
  </r>
  <r>
    <s v="550077"/>
    <s v="BC28-0170-D-APH-5040-0736-PP-NON-LOGO"/>
    <s v="28.000 G"/>
    <x v="23"/>
    <s v="Electrical &amp; Electro"/>
    <n v="0"/>
    <n v="0"/>
    <n v="0"/>
    <n v="0"/>
    <n v="3360"/>
    <n v="1108.8"/>
    <n v="0"/>
    <n v="0"/>
    <n v="0"/>
    <n v="0"/>
    <n v="0"/>
    <n v="0"/>
    <n v="3360"/>
    <n v="1108.8"/>
    <n v="369.63"/>
    <m/>
    <m/>
    <n v="0"/>
    <n v="3360"/>
    <s v="28.00"/>
    <m/>
    <m/>
    <n v="0"/>
    <n v="0"/>
    <n v="0"/>
    <n v="60106"/>
    <x v="2"/>
    <s v="601061000B"/>
    <x v="1"/>
  </r>
  <r>
    <s v="550381"/>
    <s v="M-INJ REMAFIN-GOLD PEG3449069-ZN"/>
    <s v="0.000 G"/>
    <x v="6"/>
    <s v="Additives"/>
    <n v="0"/>
    <n v="0"/>
    <n v="0"/>
    <n v="0"/>
    <n v="0"/>
    <n v="0"/>
    <n v="0"/>
    <n v="0"/>
    <n v="57.816000000000003"/>
    <n v="3653.97"/>
    <n v="0"/>
    <n v="0"/>
    <n v="57.816000000000003"/>
    <n v="3653.97"/>
    <n v="3653.97"/>
    <m/>
    <m/>
    <n v="0"/>
    <n v="0"/>
    <s v="0.000"/>
    <m/>
    <m/>
    <n v="0"/>
    <n v="0"/>
    <n v="0"/>
    <n v="60200"/>
    <x v="4"/>
    <s v="60200"/>
    <x v="4"/>
  </r>
  <r>
    <s v="551700"/>
    <s v=" BC28-0056-D-APH-5040-0788-rPP (SAMPLE)"/>
    <s v="12.300 G"/>
    <x v="23"/>
    <s v="Electrical &amp; Electro"/>
    <m/>
    <m/>
    <m/>
    <m/>
    <m/>
    <m/>
    <m/>
    <m/>
    <m/>
    <m/>
    <m/>
    <m/>
    <m/>
    <m/>
    <m/>
    <n v="660.73"/>
    <n v="220.243333333333"/>
    <m/>
    <n v="0"/>
    <s v="12.30"/>
    <m/>
    <m/>
    <n v="220.243333333333"/>
    <n v="70.25"/>
    <n v="220.243333333333"/>
    <n v="60106"/>
    <x v="2"/>
    <s v="601061000B"/>
    <x v="1"/>
  </r>
  <r>
    <s v="552181"/>
    <s v="BC28-0090-D-APH-5180-3538-PP"/>
    <s v="14.500 G"/>
    <x v="23"/>
    <s v="Electrical &amp; Electro"/>
    <n v="415800"/>
    <n v="79002"/>
    <n v="0"/>
    <n v="0"/>
    <n v="0"/>
    <n v="0"/>
    <n v="0"/>
    <n v="0"/>
    <n v="0"/>
    <n v="0"/>
    <n v="810"/>
    <n v="153.9"/>
    <n v="416610"/>
    <n v="79155.899999999994"/>
    <n v="0"/>
    <n v="408450.62"/>
    <n v="136150.20666666701"/>
    <n v="17.4415967345086"/>
    <n v="416610"/>
    <s v="14.50"/>
    <m/>
    <m/>
    <n v="136150.20666666701"/>
    <n v="136150.19999999966"/>
    <n v="136150.19999999966"/>
    <n v="60106"/>
    <x v="2"/>
    <s v="601061000B"/>
    <x v="1"/>
  </r>
  <r>
    <s v="555979"/>
    <s v="BC28-0170-D-APH-5180-3539-PP"/>
    <s v="28.000 G"/>
    <x v="23"/>
    <s v="Electrical &amp; Electro"/>
    <n v="533904"/>
    <n v="176188.32"/>
    <n v="0"/>
    <n v="0"/>
    <n v="0"/>
    <n v="0"/>
    <n v="0"/>
    <n v="0"/>
    <n v="0"/>
    <n v="0"/>
    <n v="0"/>
    <n v="0"/>
    <n v="533904"/>
    <n v="176188.32"/>
    <n v="0"/>
    <n v="470914.12"/>
    <n v="156971.373333333"/>
    <n v="33.672697688487197"/>
    <n v="533904"/>
    <s v="28.00"/>
    <m/>
    <m/>
    <n v="156971.373333333"/>
    <n v="156971.36000000002"/>
    <n v="156971.373333333"/>
    <n v="60106"/>
    <x v="2"/>
    <s v="601061000B"/>
    <x v="1"/>
  </r>
  <r>
    <s v="556131"/>
    <s v="R-HDPE-HDPE 1010J"/>
    <s v="0.000 G"/>
    <x v="8"/>
    <s v="Virgin grade"/>
    <n v="12789.924000000001"/>
    <n v="70782.89"/>
    <n v="0"/>
    <n v="0"/>
    <n v="0"/>
    <n v="0"/>
    <n v="1113.184"/>
    <n v="6160.66"/>
    <n v="0"/>
    <n v="0"/>
    <n v="0"/>
    <n v="0"/>
    <n v="13903.108"/>
    <n v="76943.55"/>
    <n v="2738.29"/>
    <n v="583.19000000000005"/>
    <n v="194.39666666666699"/>
    <n v="11874.208234023199"/>
    <n v="13903.108"/>
    <s v="0.000"/>
    <m/>
    <m/>
    <n v="194.39666666666699"/>
    <n v="44660.716666666332"/>
    <n v="44660.716666666332"/>
    <n v="60105"/>
    <x v="3"/>
    <s v="60105V0000"/>
    <x v="5"/>
  </r>
  <r>
    <s v="556647"/>
    <s v="M-PET M/BATCH- RENOL AMBER NE122289-13"/>
    <s v="0.000 G"/>
    <x v="6"/>
    <s v="Additives"/>
    <n v="173.18299999999999"/>
    <n v="6236.8"/>
    <n v="0"/>
    <n v="0"/>
    <n v="0"/>
    <n v="0"/>
    <n v="0"/>
    <n v="0"/>
    <n v="0"/>
    <n v="0"/>
    <n v="0"/>
    <n v="0"/>
    <n v="173.18299999999999"/>
    <n v="6236.8"/>
    <n v="0"/>
    <m/>
    <m/>
    <n v="0"/>
    <n v="0"/>
    <s v="0.000"/>
    <m/>
    <m/>
    <n v="0"/>
    <n v="5237.9633333332995"/>
    <n v="5237.9633333332995"/>
    <n v="60200"/>
    <x v="4"/>
    <s v="60200"/>
    <x v="4"/>
  </r>
  <r>
    <s v="557187"/>
    <s v="BC28-0750-K4-R-CL-JAPAN"/>
    <s v="68.000 G"/>
    <x v="12"/>
    <s v="Food &amp; Beverage"/>
    <n v="27000"/>
    <n v="12960"/>
    <n v="0"/>
    <n v="0"/>
    <n v="0"/>
    <n v="0"/>
    <n v="0"/>
    <n v="0"/>
    <n v="0"/>
    <n v="0"/>
    <n v="0"/>
    <n v="0"/>
    <n v="27000"/>
    <n v="12960"/>
    <n v="0"/>
    <n v="38790"/>
    <n v="12930"/>
    <n v="30.0696055684455"/>
    <n v="27000"/>
    <s v="68.00"/>
    <m/>
    <m/>
    <n v="12930"/>
    <n v="25710"/>
    <n v="25710"/>
    <n v="60104"/>
    <x v="1"/>
    <s v="601041000B"/>
    <x v="1"/>
  </r>
  <r>
    <s v="558104"/>
    <s v="BC28-0090-D-APH-5040-0785-rPP (SAMPLE)"/>
    <s v="14.500 G"/>
    <x v="23"/>
    <s v="Electrical &amp; Electro"/>
    <m/>
    <m/>
    <m/>
    <m/>
    <m/>
    <m/>
    <m/>
    <m/>
    <m/>
    <m/>
    <m/>
    <m/>
    <m/>
    <m/>
    <m/>
    <n v="172.76"/>
    <n v="57.586666666666702"/>
    <m/>
    <n v="0"/>
    <s v="14.50"/>
    <m/>
    <m/>
    <n v="57.586666666666702"/>
    <n v="57.6"/>
    <n v="57.6"/>
    <n v="60106"/>
    <x v="2"/>
    <s v="601061000B"/>
    <x v="1"/>
  </r>
  <r>
    <s v="558106"/>
    <s v="BC28-0170-D-APH-5040-0786-rPP (SAMPLE)"/>
    <s v="28.000 G"/>
    <x v="23"/>
    <s v="Electrical &amp; Electro"/>
    <n v="1000"/>
    <n v="260"/>
    <n v="0"/>
    <n v="0"/>
    <n v="0"/>
    <n v="0"/>
    <n v="0"/>
    <n v="0"/>
    <n v="0"/>
    <n v="0"/>
    <n v="0"/>
    <n v="0"/>
    <n v="1000"/>
    <n v="260"/>
    <n v="0"/>
    <n v="518.96"/>
    <n v="172.98666666666699"/>
    <n v="45.090180360721398"/>
    <n v="28"/>
    <s v="28.00"/>
    <m/>
    <m/>
    <n v="172.98666666666699"/>
    <n v="173"/>
    <n v="172.98666666666699"/>
    <n v="60106"/>
    <x v="2"/>
    <s v="601061000B"/>
    <x v="1"/>
  </r>
  <r>
    <s v="558274"/>
    <s v="BC28-0500-D-APH-5040-0758-HDPE"/>
    <s v="86.500 G"/>
    <x v="17"/>
    <s v="Others"/>
    <m/>
    <m/>
    <m/>
    <m/>
    <m/>
    <m/>
    <m/>
    <m/>
    <m/>
    <m/>
    <m/>
    <m/>
    <m/>
    <m/>
    <m/>
    <n v="5850"/>
    <n v="1950"/>
    <m/>
    <n v="0"/>
    <s v="86.50"/>
    <m/>
    <m/>
    <n v="1950"/>
    <n v="1950"/>
    <n v="1950"/>
    <n v="60105"/>
    <x v="3"/>
    <s v="601051000B"/>
    <x v="1"/>
  </r>
  <r>
    <s v="559066"/>
    <s v="SL-MAGGI CLSSC MRIDOR S/S MIX 400G-N 2.0"/>
    <s v="0.000 G"/>
    <x v="9"/>
    <s v="LABEL, IML, STICKER,"/>
    <n v="0"/>
    <n v="0"/>
    <n v="0"/>
    <n v="0"/>
    <n v="0"/>
    <n v="0"/>
    <n v="0"/>
    <n v="0"/>
    <n v="14350"/>
    <n v="4018"/>
    <n v="0"/>
    <n v="0"/>
    <n v="14350"/>
    <n v="4018"/>
    <n v="4018"/>
    <m/>
    <m/>
    <n v="0"/>
    <n v="0"/>
    <s v="0.000"/>
    <m/>
    <m/>
    <n v="0"/>
    <n v="0"/>
    <n v="0"/>
    <n v="65400"/>
    <x v="5"/>
    <s v="65400S0001"/>
    <x v="6"/>
  </r>
  <r>
    <s v="561718"/>
    <s v="BW38-0350-SB-R-CL"/>
    <s v="31.000 G"/>
    <x v="12"/>
    <s v="Food &amp; Beverage"/>
    <n v="14400"/>
    <n v="4176"/>
    <n v="0"/>
    <n v="0"/>
    <n v="0"/>
    <n v="0"/>
    <n v="0"/>
    <n v="0"/>
    <n v="0"/>
    <n v="0"/>
    <n v="0"/>
    <n v="0"/>
    <n v="14400"/>
    <n v="4176"/>
    <n v="0"/>
    <n v="16084.8"/>
    <n v="5361.6"/>
    <n v="23.366159355416301"/>
    <n v="446.4"/>
    <s v="31.00"/>
    <m/>
    <m/>
    <n v="5361.6"/>
    <n v="5361.5999999999667"/>
    <n v="5361.6"/>
    <n v="60104"/>
    <x v="1"/>
    <s v="601041000B"/>
    <x v="1"/>
  </r>
  <r>
    <s v="561720"/>
    <s v="AL0478-BL 38MM FLIP CAP (BLUE)"/>
    <s v="6.399 G"/>
    <x v="20"/>
    <s v="Food &amp; Beverage"/>
    <n v="0"/>
    <n v="0"/>
    <n v="0"/>
    <n v="0"/>
    <n v="120"/>
    <n v="11.75"/>
    <n v="0"/>
    <n v="0"/>
    <n v="0"/>
    <n v="0"/>
    <n v="0"/>
    <n v="0"/>
    <n v="120"/>
    <n v="11.75"/>
    <n v="2.61"/>
    <m/>
    <m/>
    <n v="0"/>
    <n v="120"/>
    <s v="6.399"/>
    <m/>
    <m/>
    <n v="0"/>
    <n v="0"/>
    <n v="0"/>
    <n v="60105"/>
    <x v="3"/>
    <s v="601051000C"/>
    <x v="3"/>
  </r>
  <r>
    <s v="564903"/>
    <s v="SL-CANISTER SPREAD 200G"/>
    <s v="0.000 G"/>
    <x v="9"/>
    <s v="LABEL, IML, STICKER,"/>
    <n v="0"/>
    <n v="0"/>
    <n v="0"/>
    <n v="0"/>
    <n v="2243"/>
    <n v="213.09"/>
    <n v="0"/>
    <n v="0"/>
    <n v="0"/>
    <n v="0"/>
    <n v="0"/>
    <n v="0"/>
    <n v="2243"/>
    <n v="213.09"/>
    <n v="11.84"/>
    <m/>
    <m/>
    <n v="0"/>
    <n v="2243"/>
    <s v="0.000"/>
    <m/>
    <m/>
    <n v="0"/>
    <n v="0"/>
    <n v="0"/>
    <n v="65400"/>
    <x v="5"/>
    <s v="65400S0001"/>
    <x v="6"/>
  </r>
  <r>
    <s v="565760"/>
    <s v="SL-NIPPON PAINT-GOLD PAINT 250G"/>
    <s v="0.000 G"/>
    <x v="9"/>
    <s v="LABEL, IML, STICKER,"/>
    <n v="0"/>
    <n v="0"/>
    <n v="0"/>
    <n v="0"/>
    <n v="0"/>
    <n v="0"/>
    <n v="9467"/>
    <n v="643.76"/>
    <n v="0"/>
    <n v="0"/>
    <n v="0"/>
    <n v="0"/>
    <n v="9467"/>
    <n v="643.76"/>
    <n v="429.21"/>
    <m/>
    <m/>
    <n v="0"/>
    <n v="0"/>
    <s v="0.000"/>
    <m/>
    <m/>
    <n v="0"/>
    <n v="100.48333333333301"/>
    <n v="100.48333333333301"/>
    <n v="65400"/>
    <x v="5"/>
    <s v="65400S0001"/>
    <x v="6"/>
  </r>
  <r>
    <s v="566328"/>
    <s v="R-MARLEX HHM TR-144S"/>
    <s v="0.000 KG"/>
    <x v="8"/>
    <s v="Virgin grade"/>
    <n v="3000"/>
    <n v="15848.25"/>
    <n v="0"/>
    <n v="0"/>
    <n v="2027.8879999999999"/>
    <n v="10712.83"/>
    <n v="0"/>
    <n v="0"/>
    <n v="0"/>
    <n v="0"/>
    <n v="0"/>
    <n v="0"/>
    <n v="5027.8879999999999"/>
    <n v="26561.08"/>
    <n v="2976.02"/>
    <m/>
    <m/>
    <n v="0"/>
    <n v="5027.8879999999999"/>
    <s v="0.000"/>
    <m/>
    <m/>
    <n v="0"/>
    <n v="676.22666666666669"/>
    <n v="676.22666666666669"/>
    <n v="60105"/>
    <x v="3"/>
    <s v="60105V0000"/>
    <x v="5"/>
  </r>
  <r>
    <s v="567312"/>
    <s v="JJ63-0240-R-R-CL GOLD PAINT (ASEM)"/>
    <s v="25.000 G"/>
    <x v="24"/>
    <s v="Food &amp; Beverage"/>
    <n v="7200"/>
    <n v="2088"/>
    <n v="0"/>
    <n v="0"/>
    <n v="0"/>
    <n v="0"/>
    <n v="0"/>
    <n v="0"/>
    <n v="0"/>
    <n v="0"/>
    <n v="0"/>
    <n v="0"/>
    <n v="7200"/>
    <n v="2088"/>
    <n v="0"/>
    <m/>
    <m/>
    <n v="0"/>
    <n v="180"/>
    <s v="25.00"/>
    <m/>
    <m/>
    <n v="0"/>
    <n v="0"/>
    <n v="0"/>
    <n v="60104"/>
    <x v="1"/>
    <s v="601041000J"/>
    <x v="2"/>
  </r>
  <r>
    <s v="568498"/>
    <s v="MB WHITE PE02449097 (MYC2) PE"/>
    <s v="0.000 G"/>
    <x v="6"/>
    <s v="Additives"/>
    <n v="362.9"/>
    <n v="8716.1200000000008"/>
    <n v="0"/>
    <n v="0"/>
    <n v="0"/>
    <n v="0"/>
    <n v="0"/>
    <n v="0"/>
    <n v="0"/>
    <n v="0"/>
    <n v="0"/>
    <n v="0"/>
    <n v="362.9"/>
    <n v="8716.1200000000008"/>
    <n v="0"/>
    <m/>
    <m/>
    <n v="0"/>
    <n v="362.9"/>
    <s v="0.000"/>
    <m/>
    <m/>
    <n v="0"/>
    <n v="8182.5033333333004"/>
    <n v="8182.5033333333004"/>
    <n v="60200"/>
    <x v="4"/>
    <s v="60200"/>
    <x v="4"/>
  </r>
  <r>
    <s v="573943"/>
    <s v="EBK38-2012-K-S-WHITE-HDPE-DVG"/>
    <s v="122.000 G"/>
    <x v="19"/>
    <s v="Food &amp; Beverage"/>
    <n v="1800"/>
    <n v="2016"/>
    <n v="0"/>
    <n v="0"/>
    <n v="0"/>
    <n v="0"/>
    <n v="0"/>
    <n v="0"/>
    <n v="0"/>
    <n v="0"/>
    <n v="0"/>
    <n v="0"/>
    <n v="1800"/>
    <n v="2016"/>
    <n v="0"/>
    <n v="127832.32000000001"/>
    <n v="42610.773333333302"/>
    <n v="1.4193593607626001"/>
    <n v="219.6"/>
    <s v="122.0"/>
    <m/>
    <m/>
    <n v="42610.773333333302"/>
    <n v="42610.773333333338"/>
    <n v="42610.773333333338"/>
    <n v="60105"/>
    <x v="3"/>
    <s v="601051000B"/>
    <x v="1"/>
  </r>
  <r>
    <s v="577492"/>
    <s v="BC28-0375-K-R-Tinted Brown"/>
    <s v="35.600 G"/>
    <x v="1"/>
    <s v="Others"/>
    <n v="95680"/>
    <n v="33488"/>
    <n v="1840"/>
    <n v="644"/>
    <n v="0"/>
    <n v="0"/>
    <n v="0"/>
    <n v="0"/>
    <n v="0"/>
    <n v="0"/>
    <n v="0"/>
    <n v="0"/>
    <n v="97520"/>
    <n v="34132"/>
    <n v="0"/>
    <n v="86848"/>
    <n v="28949.333333333299"/>
    <n v="35.370762711864401"/>
    <n v="97520"/>
    <s v="35.60"/>
    <m/>
    <m/>
    <n v="28949.333333333299"/>
    <n v="28949.333333333332"/>
    <n v="28949.333333333332"/>
    <n v="60104"/>
    <x v="1"/>
    <s v="601041000B"/>
    <x v="1"/>
  </r>
  <r>
    <s v="579114"/>
    <s v="R-FG HIRO rPET Resins–Natural IV 0.80"/>
    <s v="0.000 G"/>
    <x v="25"/>
    <s v="Recycled"/>
    <n v="6148.9840000000004"/>
    <n v="39794.75"/>
    <n v="0"/>
    <n v="0"/>
    <n v="0"/>
    <n v="0"/>
    <n v="0"/>
    <n v="0"/>
    <n v="0"/>
    <n v="0"/>
    <n v="0"/>
    <n v="0"/>
    <n v="6148.9840000000004"/>
    <n v="39794.75"/>
    <n v="0"/>
    <m/>
    <m/>
    <n v="0"/>
    <n v="6148.9840000000004"/>
    <s v="0.000"/>
    <m/>
    <m/>
    <n v="0"/>
    <n v="20967.773333333334"/>
    <n v="20967.773333333334"/>
    <n v="60104"/>
    <x v="1"/>
    <s v="60104R0001"/>
    <x v="9"/>
  </r>
  <r>
    <s v="579327"/>
    <s v="M-INJ REMAFIN BROWN PE83449238-ZN"/>
    <s v="0.000 G"/>
    <x v="6"/>
    <s v="Additives"/>
    <n v="0"/>
    <n v="0"/>
    <n v="0"/>
    <n v="0"/>
    <n v="0"/>
    <n v="0"/>
    <n v="0"/>
    <n v="0"/>
    <n v="25"/>
    <n v="1450.01"/>
    <n v="0"/>
    <n v="0"/>
    <n v="25"/>
    <n v="1450.01"/>
    <n v="1450.01"/>
    <m/>
    <m/>
    <n v="0"/>
    <n v="25"/>
    <s v="0.000"/>
    <m/>
    <m/>
    <n v="0"/>
    <n v="0"/>
    <n v="0"/>
    <n v="60200"/>
    <x v="4"/>
    <s v="60200"/>
    <x v="4"/>
  </r>
  <r>
    <s v="579471"/>
    <s v="JJ63-0155-TH-R-CL"/>
    <s v="24.000 G"/>
    <x v="2"/>
    <s v="Others"/>
    <m/>
    <m/>
    <m/>
    <m/>
    <m/>
    <m/>
    <m/>
    <m/>
    <m/>
    <m/>
    <m/>
    <m/>
    <m/>
    <m/>
    <m/>
    <n v="17009.990000000002"/>
    <n v="5669.9966666666696"/>
    <m/>
    <n v="0"/>
    <s v="24.00"/>
    <m/>
    <m/>
    <n v="5669.9966666666696"/>
    <n v="5670"/>
    <n v="5670"/>
    <n v="60104"/>
    <x v="1"/>
    <s v="601041000J"/>
    <x v="2"/>
  </r>
  <r>
    <s v="580324"/>
    <s v="BC28-0060-M-R-AM-LW"/>
    <s v="11.300 G"/>
    <x v="1"/>
    <s v="Others"/>
    <n v="31050"/>
    <n v="4968"/>
    <n v="0"/>
    <n v="0"/>
    <n v="0"/>
    <n v="0"/>
    <n v="0"/>
    <n v="0"/>
    <n v="0"/>
    <n v="0"/>
    <n v="0"/>
    <n v="0"/>
    <n v="31050"/>
    <n v="4968"/>
    <n v="0"/>
    <n v="11455.36"/>
    <n v="3818.4533333333302"/>
    <n v="39.031510140231298"/>
    <n v="31050"/>
    <s v="11.30"/>
    <m/>
    <m/>
    <n v="3818.4533333333302"/>
    <n v="3818.4533333333334"/>
    <n v="3818.4533333333302"/>
    <n v="60104"/>
    <x v="1"/>
    <s v="601041000B"/>
    <x v="1"/>
  </r>
  <r>
    <s v="580564"/>
    <s v="EBK38-1017-K-S-WHITE-HDPE"/>
    <s v="62.700 G"/>
    <x v="19"/>
    <s v="Food &amp; Beverage"/>
    <n v="77760"/>
    <n v="41212.800000000003"/>
    <n v="434"/>
    <n v="230.02"/>
    <n v="0"/>
    <n v="0"/>
    <n v="0"/>
    <n v="0"/>
    <n v="0"/>
    <n v="0"/>
    <n v="0"/>
    <n v="0"/>
    <n v="78194"/>
    <n v="41442.82"/>
    <n v="0"/>
    <n v="60182.559999999998"/>
    <n v="20060.8533333333"/>
    <n v="61.975658729040397"/>
    <n v="4902.7637999999997"/>
    <s v="62.70"/>
    <m/>
    <m/>
    <n v="20060.8533333333"/>
    <n v="20060.8533333333"/>
    <n v="20060.8533333333"/>
    <n v="60105"/>
    <x v="3"/>
    <s v="601051000B"/>
    <x v="1"/>
  </r>
  <r>
    <s v="580580"/>
    <s v="EBK38-2017-K-S-WHITE-HDPE"/>
    <s v="103.000 G"/>
    <x v="19"/>
    <s v="Food &amp; Beverage"/>
    <n v="55652"/>
    <n v="53425.919999999998"/>
    <n v="0"/>
    <n v="0"/>
    <n v="0"/>
    <n v="0"/>
    <n v="0"/>
    <n v="0"/>
    <n v="0"/>
    <n v="0"/>
    <n v="0"/>
    <n v="0"/>
    <n v="55652"/>
    <n v="53425.919999999998"/>
    <n v="0"/>
    <n v="66751.28"/>
    <n v="22250.426666666699"/>
    <n v="72.033566996767703"/>
    <n v="5732.1559999999999"/>
    <s v="103.0"/>
    <m/>
    <m/>
    <n v="22250.426666666699"/>
    <n v="22250.426666666634"/>
    <n v="22250.426666666699"/>
    <n v="60105"/>
    <x v="3"/>
    <s v="601051000B"/>
    <x v="1"/>
  </r>
  <r>
    <s v="581042"/>
    <s v="ST- ISCOOP CHOC CHIP 140MMx90MM"/>
    <s v="0.000 G"/>
    <x v="9"/>
    <s v="LABEL, IML, STICKER,"/>
    <n v="0"/>
    <n v="0"/>
    <n v="0"/>
    <n v="0"/>
    <n v="0"/>
    <n v="0"/>
    <n v="5120"/>
    <n v="435.2"/>
    <n v="0"/>
    <n v="0"/>
    <n v="0"/>
    <n v="0"/>
    <n v="5120"/>
    <n v="435.2"/>
    <n v="282.42"/>
    <m/>
    <m/>
    <n v="0"/>
    <n v="0"/>
    <s v="0.000"/>
    <m/>
    <m/>
    <n v="0"/>
    <n v="0"/>
    <n v="0"/>
    <n v="65400"/>
    <x v="5"/>
    <s v="65400S0001"/>
    <x v="6"/>
  </r>
  <r>
    <s v="581433"/>
    <s v="M-INJ AMPACET GREEN 1704021-K"/>
    <s v="0.000 G"/>
    <x v="6"/>
    <s v="Additives"/>
    <n v="356.77"/>
    <n v="11598.14"/>
    <n v="0"/>
    <n v="0"/>
    <n v="0"/>
    <n v="0"/>
    <n v="5.6779999999999999"/>
    <n v="184.58"/>
    <n v="0"/>
    <n v="0"/>
    <n v="0"/>
    <n v="0"/>
    <n v="362.44799999999998"/>
    <n v="11782.72"/>
    <n v="102.56"/>
    <m/>
    <m/>
    <n v="0"/>
    <n v="362.44799999999998"/>
    <s v="0.000"/>
    <m/>
    <m/>
    <n v="0"/>
    <n v="2427.9766666666669"/>
    <n v="2427.9766666666669"/>
    <n v="60200"/>
    <x v="4"/>
    <s v="60200"/>
    <x v="4"/>
  </r>
  <r>
    <s v="581956"/>
    <s v="ST-6LTR BUDS TUB 2.0"/>
    <s v="0.000 KG"/>
    <x v="9"/>
    <s v="LABEL, IML, STICKER,"/>
    <n v="14920"/>
    <n v="1627.92"/>
    <n v="0"/>
    <n v="0"/>
    <n v="0"/>
    <n v="0"/>
    <n v="0"/>
    <n v="0"/>
    <n v="0"/>
    <n v="0"/>
    <n v="0"/>
    <n v="0"/>
    <n v="14920"/>
    <n v="1627.92"/>
    <n v="0"/>
    <m/>
    <m/>
    <n v="0"/>
    <n v="0"/>
    <s v="0.000"/>
    <m/>
    <m/>
    <n v="0"/>
    <n v="0"/>
    <n v="0"/>
    <n v="65400"/>
    <x v="5"/>
    <s v="65400S0001"/>
    <x v="6"/>
  </r>
  <r>
    <s v="584791"/>
    <s v="AL0921-BL 38MM CAP (L.BLUE) – V"/>
    <s v="5.200 G"/>
    <x v="5"/>
    <s v="Food &amp; Beverage"/>
    <n v="0"/>
    <n v="0"/>
    <n v="2000"/>
    <n v="135.63999999999999"/>
    <n v="0"/>
    <n v="0"/>
    <n v="0"/>
    <n v="0"/>
    <n v="0"/>
    <n v="0"/>
    <n v="0"/>
    <n v="0"/>
    <n v="2000"/>
    <n v="135.63999999999999"/>
    <n v="0"/>
    <n v="271.27999999999997"/>
    <n v="90.426666666666705"/>
    <n v="45"/>
    <n v="2000"/>
    <s v="5.200"/>
    <m/>
    <m/>
    <n v="90.426666666666705"/>
    <n v="90.426666666666335"/>
    <n v="90.426666666666335"/>
    <n v="60106"/>
    <x v="2"/>
    <s v="601061000C"/>
    <x v="3"/>
  </r>
  <r>
    <s v="586276"/>
    <s v="BC28-0056-D-APH-5040-0756-PP"/>
    <s v="12.300 G"/>
    <x v="23"/>
    <s v="Electrical &amp; Electro"/>
    <n v="510300"/>
    <n v="86751"/>
    <n v="0"/>
    <n v="0"/>
    <n v="24300"/>
    <n v="4131"/>
    <n v="0"/>
    <n v="0"/>
    <n v="0"/>
    <n v="0"/>
    <n v="0"/>
    <n v="0"/>
    <n v="534600"/>
    <n v="90882"/>
    <n v="229.52"/>
    <n v="483314.85"/>
    <n v="161104.95000000001"/>
    <n v="16.923502350486402"/>
    <n v="6575.58"/>
    <s v="12.30"/>
    <m/>
    <m/>
    <n v="161104.95000000001"/>
    <n v="161104.94999999966"/>
    <n v="161104.94999999966"/>
    <n v="60106"/>
    <x v="2"/>
    <s v="601061000B"/>
    <x v="1"/>
  </r>
  <r>
    <s v="588215"/>
    <s v="C28-C/S-FLIP TOP RED-T"/>
    <s v="4.600 G"/>
    <x v="3"/>
    <s v="Others"/>
    <n v="0"/>
    <n v="0"/>
    <n v="0"/>
    <n v="0"/>
    <n v="0"/>
    <n v="0"/>
    <n v="0"/>
    <n v="0"/>
    <n v="14000"/>
    <n v="2100"/>
    <n v="0"/>
    <n v="0"/>
    <n v="14000"/>
    <n v="2100"/>
    <n v="2100"/>
    <m/>
    <m/>
    <n v="0"/>
    <n v="64.399999999999991"/>
    <s v="4.600"/>
    <m/>
    <m/>
    <n v="0"/>
    <n v="0"/>
    <n v="0"/>
    <n v="60106"/>
    <x v="2"/>
    <s v="601061000C"/>
    <x v="3"/>
  </r>
  <r>
    <s v="588272"/>
    <s v="JK57-0350-R-CL-KEKO"/>
    <s v="24.600 G"/>
    <x v="24"/>
    <s v="Food &amp; Beverage"/>
    <n v="12540"/>
    <n v="2884.2"/>
    <n v="404742"/>
    <n v="93090.66"/>
    <n v="0"/>
    <n v="0"/>
    <n v="0"/>
    <n v="0"/>
    <n v="0"/>
    <n v="0"/>
    <n v="0"/>
    <n v="0"/>
    <n v="417282"/>
    <n v="95974.86"/>
    <n v="0"/>
    <n v="209304"/>
    <n v="69768"/>
    <n v="41.268859649122803"/>
    <n v="10265.137200000001"/>
    <s v="24.60"/>
    <m/>
    <m/>
    <n v="69768"/>
    <n v="69768"/>
    <n v="69768"/>
    <n v="60104"/>
    <x v="1"/>
    <s v="601041000J"/>
    <x v="2"/>
  </r>
  <r>
    <s v="588555"/>
    <s v="C28-C/S-FLIP TOP YELLOW-T"/>
    <s v="4.600 G"/>
    <x v="3"/>
    <s v="Others"/>
    <n v="0"/>
    <n v="0"/>
    <n v="0"/>
    <n v="0"/>
    <n v="0"/>
    <n v="0"/>
    <n v="0"/>
    <n v="0"/>
    <n v="22400"/>
    <n v="3360"/>
    <n v="0"/>
    <n v="0"/>
    <n v="22400"/>
    <n v="3360"/>
    <n v="3360"/>
    <m/>
    <m/>
    <n v="0"/>
    <n v="103.03999999999999"/>
    <s v="4.600"/>
    <m/>
    <m/>
    <n v="0"/>
    <n v="0"/>
    <n v="0"/>
    <n v="60106"/>
    <x v="2"/>
    <s v="601061000C"/>
    <x v="3"/>
  </r>
  <r>
    <s v="588637"/>
    <s v="PF-JK57-24-82-KEKO"/>
    <s v="24.600 G"/>
    <x v="26"/>
    <s v="Food &amp; Beverage"/>
    <n v="192915"/>
    <n v="34724.699999999997"/>
    <n v="0"/>
    <n v="0"/>
    <n v="0"/>
    <n v="0"/>
    <n v="0"/>
    <n v="0"/>
    <n v="0"/>
    <n v="0"/>
    <n v="0"/>
    <n v="0"/>
    <n v="192915"/>
    <n v="34724.699999999997"/>
    <n v="0"/>
    <m/>
    <m/>
    <n v="0"/>
    <n v="4745.7089999999998"/>
    <s v="24.60"/>
    <m/>
    <m/>
    <n v="0"/>
    <n v="57390.893333332999"/>
    <n v="57390.893333332999"/>
    <n v="60104"/>
    <x v="1"/>
    <s v="601041000P"/>
    <x v="10"/>
  </r>
  <r>
    <s v="589431"/>
    <s v="PF-JO97-114-162-G.BL-SIZE3-OUJI"/>
    <s v="114.500 G"/>
    <x v="27"/>
    <s v="Home / Personal Care"/>
    <n v="0"/>
    <n v="0"/>
    <n v="0"/>
    <n v="0"/>
    <n v="0"/>
    <n v="0"/>
    <n v="0"/>
    <n v="0"/>
    <n v="25728"/>
    <n v="0"/>
    <n v="0"/>
    <n v="0"/>
    <n v="25728"/>
    <n v="0"/>
    <n v="0"/>
    <m/>
    <m/>
    <n v="0"/>
    <n v="2945.8560000000002"/>
    <s v="114.5"/>
    <m/>
    <m/>
    <n v="0"/>
    <n v="0"/>
    <n v="0"/>
    <n v="60104"/>
    <x v="1"/>
    <s v="601041000P"/>
    <x v="10"/>
  </r>
  <r>
    <s v="589813"/>
    <s v="PF-JO97-114-162-WHITE-SIZE3-OUJI"/>
    <s v="114.500 G"/>
    <x v="27"/>
    <s v="Home / Personal Care"/>
    <n v="0"/>
    <n v="0"/>
    <n v="0"/>
    <n v="0"/>
    <n v="0"/>
    <n v="0"/>
    <n v="0"/>
    <n v="0"/>
    <n v="23520"/>
    <n v="0"/>
    <n v="0"/>
    <n v="0"/>
    <n v="23520"/>
    <n v="0"/>
    <n v="0"/>
    <m/>
    <m/>
    <n v="0"/>
    <n v="2693.04"/>
    <s v="114.5"/>
    <m/>
    <m/>
    <n v="0"/>
    <n v="0"/>
    <n v="0"/>
    <n v="60104"/>
    <x v="1"/>
    <s v="601041000P"/>
    <x v="10"/>
  </r>
  <r>
    <s v="589814"/>
    <s v="Z-SHOULDER-PLATE-WHITE-PP-OUJI"/>
    <s v="0.000 G"/>
    <x v="9"/>
    <s v="LABEL, IML, STICKER,"/>
    <n v="0"/>
    <n v="0"/>
    <n v="0"/>
    <n v="0"/>
    <n v="0"/>
    <n v="0"/>
    <n v="0"/>
    <n v="0"/>
    <n v="4617"/>
    <n v="0"/>
    <n v="0"/>
    <n v="0"/>
    <n v="4617"/>
    <n v="0"/>
    <n v="0"/>
    <m/>
    <m/>
    <n v="0"/>
    <n v="0"/>
    <s v="0.000"/>
    <m/>
    <m/>
    <n v="0"/>
    <n v="0"/>
    <n v="0"/>
    <n v="65400"/>
    <x v="5"/>
    <s v="65400S0001"/>
    <x v="6"/>
  </r>
  <r>
    <s v="591265"/>
    <s v="JG63-0175-R-R-AM KNR CHICKEN MYSG (BVI)"/>
    <s v="24.000 G"/>
    <x v="24"/>
    <s v="Food &amp; Beverage"/>
    <n v="13231"/>
    <n v="3969.3"/>
    <n v="0"/>
    <n v="0"/>
    <n v="0"/>
    <n v="0"/>
    <n v="0"/>
    <n v="0"/>
    <n v="0"/>
    <n v="0"/>
    <n v="0"/>
    <n v="0"/>
    <n v="13231"/>
    <n v="3969.3"/>
    <n v="0"/>
    <n v="34035.839999999997"/>
    <n v="11345.28"/>
    <n v="10.4959066677949"/>
    <n v="317.54399999999998"/>
    <s v="24.00"/>
    <m/>
    <m/>
    <n v="11345.28"/>
    <n v="11345.279999999968"/>
    <n v="11345.279999999968"/>
    <n v="60104"/>
    <x v="1"/>
    <s v="601041000J"/>
    <x v="2"/>
  </r>
  <r>
    <s v="591266"/>
    <s v="JG63-0175-R-R-AM KNR I.BILIS MYSG (BVI)"/>
    <s v="24.000 G"/>
    <x v="24"/>
    <s v="Food &amp; Beverage"/>
    <n v="0"/>
    <n v="0"/>
    <n v="18240"/>
    <n v="5472"/>
    <n v="0"/>
    <n v="0"/>
    <n v="0"/>
    <n v="0"/>
    <n v="0"/>
    <n v="0"/>
    <n v="0"/>
    <n v="0"/>
    <n v="18240"/>
    <n v="5472"/>
    <n v="0"/>
    <n v="5882.4"/>
    <n v="1960.8"/>
    <n v="83.720930232558104"/>
    <n v="437.76"/>
    <s v="24.00"/>
    <m/>
    <m/>
    <n v="1960.8"/>
    <n v="1960.7999999999965"/>
    <n v="1960.7999999999965"/>
    <n v="60104"/>
    <x v="1"/>
    <s v="601041000J"/>
    <x v="2"/>
  </r>
  <r>
    <s v="591268"/>
    <s v="JG63-0175-R-R-AM KNR TOMYAM MYSG (BVI)"/>
    <s v="24.000 G"/>
    <x v="24"/>
    <s v="Food &amp; Beverage"/>
    <n v="36024"/>
    <n v="10807.2"/>
    <n v="0"/>
    <n v="0"/>
    <n v="0"/>
    <n v="0"/>
    <n v="0"/>
    <n v="0"/>
    <n v="0"/>
    <n v="0"/>
    <n v="0"/>
    <n v="0"/>
    <n v="36024"/>
    <n v="10807.2"/>
    <n v="0"/>
    <n v="2295.6"/>
    <n v="765.2"/>
    <n v="423.70099320439101"/>
    <n v="864.57600000000002"/>
    <s v="24.00"/>
    <m/>
    <m/>
    <n v="765.2"/>
    <n v="765.19999999999663"/>
    <n v="765.19999999999663"/>
    <n v="60104"/>
    <x v="1"/>
    <s v="601041000J"/>
    <x v="2"/>
  </r>
  <r>
    <s v="591269"/>
    <s v="JG63-0175-R-R-AM KNR CHICKEN NAMSG (BVI)"/>
    <s v="24.000 G"/>
    <x v="24"/>
    <s v="Food &amp; Beverage"/>
    <n v="30096"/>
    <n v="9329.76"/>
    <n v="0"/>
    <n v="0"/>
    <n v="0"/>
    <n v="0"/>
    <n v="0"/>
    <n v="0"/>
    <n v="0"/>
    <n v="0"/>
    <n v="0"/>
    <n v="0"/>
    <n v="30096"/>
    <n v="9329.76"/>
    <n v="0"/>
    <n v="6411.36"/>
    <n v="2137.12"/>
    <n v="130.967283072546"/>
    <n v="30096"/>
    <s v="24.00"/>
    <m/>
    <m/>
    <n v="2137.12"/>
    <n v="2137.1199999999967"/>
    <n v="2137.1199999999967"/>
    <n v="60104"/>
    <x v="1"/>
    <s v="601041000J"/>
    <x v="2"/>
  </r>
  <r>
    <s v="591270"/>
    <s v="JG63-0175-R-R-AM KNR I.BILIS NAMSG (BVI)"/>
    <s v="24.000 G"/>
    <x v="24"/>
    <s v="Food &amp; Beverage"/>
    <n v="0"/>
    <n v="0"/>
    <n v="0"/>
    <n v="0"/>
    <n v="19152"/>
    <n v="5745.6"/>
    <n v="0"/>
    <n v="0"/>
    <n v="0"/>
    <n v="0"/>
    <n v="0"/>
    <n v="0"/>
    <n v="19152"/>
    <n v="5745.6"/>
    <n v="638.45000000000005"/>
    <n v="2954.88"/>
    <n v="984.96"/>
    <n v="175"/>
    <n v="459.64800000000002"/>
    <s v="24.00"/>
    <m/>
    <m/>
    <n v="984.96"/>
    <n v="984.96"/>
    <n v="984.96"/>
    <n v="60104"/>
    <x v="1"/>
    <s v="601041000J"/>
    <x v="2"/>
  </r>
  <r>
    <s v="591368"/>
    <s v="SL-KNORR CHICKEN POWDER MYSG 120G (BVI)"/>
    <s v="0.000 G"/>
    <x v="9"/>
    <s v="LABEL, IML, STICKER,"/>
    <n v="68790"/>
    <n v="3524.8"/>
    <n v="0"/>
    <n v="0"/>
    <n v="0"/>
    <n v="0"/>
    <n v="0"/>
    <n v="0"/>
    <n v="0"/>
    <n v="0"/>
    <n v="0"/>
    <n v="0"/>
    <n v="68790"/>
    <n v="3524.8"/>
    <n v="0"/>
    <m/>
    <m/>
    <n v="0"/>
    <n v="0"/>
    <s v="0.000"/>
    <m/>
    <m/>
    <n v="0"/>
    <n v="1107.7866666666666"/>
    <n v="1107.7866666666666"/>
    <n v="65400"/>
    <x v="5"/>
    <s v="65400S0001"/>
    <x v="6"/>
  </r>
  <r>
    <s v="591369"/>
    <s v="SL-KNORR IKAN BILIS POWDER MYSG120G(BVI)"/>
    <s v="0.000 G"/>
    <x v="9"/>
    <s v="LABEL, IML, STICKER,"/>
    <n v="30000"/>
    <n v="2387.6999999999998"/>
    <n v="42610"/>
    <n v="3391.32"/>
    <n v="0"/>
    <n v="0"/>
    <n v="0"/>
    <n v="0"/>
    <n v="0"/>
    <n v="0"/>
    <n v="0"/>
    <n v="0"/>
    <n v="72610"/>
    <n v="5779.02"/>
    <n v="0"/>
    <m/>
    <m/>
    <n v="0"/>
    <n v="0"/>
    <s v="0.000"/>
    <m/>
    <m/>
    <n v="0"/>
    <n v="0"/>
    <n v="0"/>
    <n v="65400"/>
    <x v="5"/>
    <s v="65400S0001"/>
    <x v="6"/>
  </r>
  <r>
    <s v="591370"/>
    <s v="SL-KNORR TOMYAM PASTE MYSG180G(BVI)"/>
    <s v="0.000 G"/>
    <x v="9"/>
    <s v="LABEL, IML, STICKER,"/>
    <n v="0"/>
    <n v="0"/>
    <n v="0"/>
    <n v="0"/>
    <n v="9566"/>
    <n v="478.3"/>
    <n v="0"/>
    <n v="0"/>
    <n v="0"/>
    <n v="0"/>
    <n v="0"/>
    <n v="0"/>
    <n v="9566"/>
    <n v="478.3"/>
    <n v="106.3"/>
    <m/>
    <m/>
    <n v="0"/>
    <n v="0"/>
    <s v="0.000"/>
    <m/>
    <m/>
    <n v="0"/>
    <n v="732.23333333332994"/>
    <n v="732.23333333332994"/>
    <n v="65400"/>
    <x v="5"/>
    <s v="65400S0001"/>
    <x v="6"/>
  </r>
  <r>
    <s v="592668"/>
    <s v="SL-KNORR CHICKEN POWDER NAMSG 120G (BVI)"/>
    <s v="0.000 G"/>
    <x v="9"/>
    <s v="LABEL, IML, STICKER,"/>
    <n v="59861"/>
    <n v="3663.49"/>
    <n v="0"/>
    <n v="0"/>
    <n v="0"/>
    <n v="0"/>
    <n v="0"/>
    <n v="0"/>
    <n v="0"/>
    <n v="0"/>
    <n v="0"/>
    <n v="0"/>
    <n v="59861"/>
    <n v="3663.49"/>
    <n v="0"/>
    <m/>
    <m/>
    <n v="0"/>
    <n v="0"/>
    <s v="0.000"/>
    <m/>
    <m/>
    <n v="0"/>
    <n v="1277.4933333333333"/>
    <n v="1277.4933333333333"/>
    <n v="65400"/>
    <x v="5"/>
    <s v="65400S0001"/>
    <x v="6"/>
  </r>
  <r>
    <s v="592669"/>
    <s v="SL-KNORR I.BILIS NAMSG 120G (BVI)"/>
    <s v="0.000 G"/>
    <x v="9"/>
    <s v="LABEL, IML, STICKER,"/>
    <n v="0"/>
    <n v="0"/>
    <n v="50000"/>
    <n v="2598"/>
    <n v="10117"/>
    <n v="525.67999999999995"/>
    <n v="0"/>
    <n v="0"/>
    <n v="0"/>
    <n v="0"/>
    <n v="0"/>
    <n v="0"/>
    <n v="60117"/>
    <n v="3123.68"/>
    <n v="58.41"/>
    <m/>
    <m/>
    <n v="0"/>
    <n v="0"/>
    <s v="0.000"/>
    <m/>
    <m/>
    <n v="0"/>
    <n v="0"/>
    <n v="0"/>
    <n v="65400"/>
    <x v="5"/>
    <s v="65400S0001"/>
    <x v="6"/>
  </r>
  <r>
    <s v="592951"/>
    <s v="M-PET MB-AMBER HMM5TR693A (EVOCHEM)"/>
    <s v="0.000 G"/>
    <x v="6"/>
    <s v="Additives"/>
    <n v="200"/>
    <n v="9960.01"/>
    <n v="115.209"/>
    <n v="5737.41"/>
    <n v="0"/>
    <n v="0"/>
    <n v="0"/>
    <n v="0"/>
    <n v="0"/>
    <n v="0"/>
    <n v="0"/>
    <n v="0"/>
    <n v="315.209"/>
    <n v="15697.42"/>
    <n v="0"/>
    <m/>
    <m/>
    <n v="0"/>
    <n v="0"/>
    <s v="0.000"/>
    <m/>
    <m/>
    <n v="0"/>
    <n v="1535.3233333333335"/>
    <n v="1535.3233333333335"/>
    <n v="60200"/>
    <x v="4"/>
    <s v="60200"/>
    <x v="4"/>
  </r>
  <r>
    <s v="593537"/>
    <s v="BX38-1000-RN-R-CL-rPET"/>
    <s v="55.900 G"/>
    <x v="1"/>
    <s v="Others"/>
    <n v="81650"/>
    <n v="35109.5"/>
    <n v="0"/>
    <n v="0"/>
    <n v="0"/>
    <n v="0"/>
    <n v="0"/>
    <n v="0"/>
    <n v="0"/>
    <n v="0"/>
    <n v="0"/>
    <n v="0"/>
    <n v="81650"/>
    <n v="35109.5"/>
    <n v="0"/>
    <n v="348283.25"/>
    <n v="116094.41666666701"/>
    <n v="9.0726585329613201"/>
    <n v="81650"/>
    <s v="55.90"/>
    <m/>
    <m/>
    <n v="116094.41666666701"/>
    <n v="116094.41666666667"/>
    <n v="116094.41666666667"/>
    <n v="60104"/>
    <x v="1"/>
    <s v="601041000B"/>
    <x v="1"/>
  </r>
  <r>
    <s v="593722"/>
    <s v="T-PLASTIC PALLET - OUJI"/>
    <s v="0.000 G"/>
    <x v="13"/>
    <s v="Logistic &amp; Other Sup"/>
    <n v="0"/>
    <n v="0"/>
    <n v="0"/>
    <n v="0"/>
    <n v="0"/>
    <n v="0"/>
    <n v="0"/>
    <n v="0"/>
    <n v="31"/>
    <n v="0"/>
    <n v="0"/>
    <n v="0"/>
    <n v="31"/>
    <n v="0"/>
    <n v="0"/>
    <m/>
    <m/>
    <n v="0"/>
    <n v="0"/>
    <s v="0.000"/>
    <m/>
    <m/>
    <n v="0"/>
    <n v="0"/>
    <n v="0"/>
    <n v="65000"/>
    <x v="6"/>
    <s v="65000L0000"/>
    <x v="7"/>
  </r>
  <r>
    <s v="594053"/>
    <s v="Z-27.5MM IND(1P IHS-PET CLR C 162019)"/>
    <s v="0.000 G"/>
    <x v="9"/>
    <s v="LABEL, IML, STICKER,"/>
    <n v="0"/>
    <n v="0"/>
    <n v="0"/>
    <n v="0"/>
    <n v="0"/>
    <n v="0"/>
    <n v="10000"/>
    <n v="243"/>
    <n v="0"/>
    <n v="0"/>
    <n v="0"/>
    <n v="0"/>
    <n v="10000"/>
    <n v="243"/>
    <n v="229.52"/>
    <m/>
    <m/>
    <n v="0"/>
    <n v="10000"/>
    <s v="0.000"/>
    <m/>
    <m/>
    <n v="0"/>
    <n v="0"/>
    <n v="0"/>
    <n v="65400"/>
    <x v="5"/>
    <s v="65400S0001"/>
    <x v="6"/>
  </r>
  <r>
    <s v="596735"/>
    <s v="C28-AF2 PLAIN WHITE PLASTIC CAPS(ASEM)-V"/>
    <s v="3.000 G"/>
    <x v="3"/>
    <s v="Others"/>
    <m/>
    <m/>
    <m/>
    <m/>
    <m/>
    <m/>
    <m/>
    <m/>
    <m/>
    <m/>
    <m/>
    <m/>
    <m/>
    <m/>
    <m/>
    <n v="11828.43"/>
    <n v="3942.81"/>
    <m/>
    <n v="0"/>
    <s v="3.000"/>
    <m/>
    <m/>
    <n v="3942.81"/>
    <n v="6574.9266666666335"/>
    <n v="3942.81"/>
    <n v="60106"/>
    <x v="2"/>
    <s v="601061000C"/>
    <x v="3"/>
  </r>
  <r>
    <s v="597323"/>
    <s v="SL-TANGO MOCHA CHIP 2.0 (C)"/>
    <s v="0.000 G"/>
    <x v="9"/>
    <s v="LABEL, IML, STICKER,"/>
    <n v="0"/>
    <n v="0"/>
    <n v="0"/>
    <n v="0"/>
    <n v="0"/>
    <n v="0"/>
    <n v="10448"/>
    <n v="1086.5899999999999"/>
    <n v="0"/>
    <n v="0"/>
    <n v="0"/>
    <n v="0"/>
    <n v="10448"/>
    <n v="1086.5899999999999"/>
    <n v="724.45"/>
    <m/>
    <m/>
    <n v="0"/>
    <n v="0"/>
    <s v="0.000"/>
    <m/>
    <m/>
    <n v="0"/>
    <n v="0"/>
    <n v="0"/>
    <n v="65400"/>
    <x v="5"/>
    <s v="65400S0001"/>
    <x v="6"/>
  </r>
  <r>
    <s v="597507"/>
    <s v="BX38-0250-SM-R-WH"/>
    <s v="23.000 G"/>
    <x v="1"/>
    <s v="Others"/>
    <n v="9912"/>
    <n v="1982.4"/>
    <n v="0"/>
    <n v="0"/>
    <n v="0"/>
    <n v="0"/>
    <n v="0"/>
    <n v="0"/>
    <n v="0"/>
    <n v="0"/>
    <n v="0"/>
    <n v="0"/>
    <n v="9912"/>
    <n v="1982.4"/>
    <n v="0"/>
    <m/>
    <m/>
    <n v="0"/>
    <n v="227.976"/>
    <s v="23.00"/>
    <m/>
    <m/>
    <n v="0"/>
    <n v="2309.7333333333299"/>
    <n v="2309.7333333333299"/>
    <n v="60104"/>
    <x v="1"/>
    <s v="601041000B"/>
    <x v="1"/>
  </r>
  <r>
    <s v="597508"/>
    <s v="BX38-0250-SM-R-WH-ORI (ASEM)"/>
    <s v="23.000 G"/>
    <x v="12"/>
    <s v="Food &amp; Beverage"/>
    <m/>
    <m/>
    <m/>
    <m/>
    <m/>
    <m/>
    <m/>
    <m/>
    <m/>
    <m/>
    <m/>
    <m/>
    <m/>
    <m/>
    <m/>
    <n v="1814.4"/>
    <n v="604.79999999999995"/>
    <m/>
    <n v="0"/>
    <s v="23.00"/>
    <m/>
    <m/>
    <n v="604.79999999999995"/>
    <n v="604.80000000000007"/>
    <n v="604.80000000000007"/>
    <n v="60104"/>
    <x v="1"/>
    <s v="601041000B"/>
    <x v="1"/>
  </r>
  <r>
    <s v="597510"/>
    <s v="JJ63-0310-R-R-WH (ASEM)"/>
    <s v="24.900 G"/>
    <x v="2"/>
    <s v="Others"/>
    <m/>
    <m/>
    <m/>
    <m/>
    <m/>
    <m/>
    <m/>
    <m/>
    <m/>
    <m/>
    <m/>
    <m/>
    <m/>
    <m/>
    <m/>
    <n v="1170"/>
    <n v="390"/>
    <m/>
    <n v="0"/>
    <s v="24.90"/>
    <m/>
    <m/>
    <n v="390"/>
    <n v="390"/>
    <n v="390"/>
    <n v="60104"/>
    <x v="1"/>
    <s v="601041000J"/>
    <x v="2"/>
  </r>
  <r>
    <s v="597674"/>
    <s v="BX38-0250-SM-R-WH-MANGO (ASEM)"/>
    <s v="23.000 G"/>
    <x v="12"/>
    <s v="Food &amp; Beverage"/>
    <m/>
    <m/>
    <m/>
    <m/>
    <m/>
    <m/>
    <m/>
    <m/>
    <m/>
    <m/>
    <m/>
    <m/>
    <m/>
    <m/>
    <m/>
    <n v="1814.4"/>
    <n v="604.79999999999995"/>
    <m/>
    <n v="0"/>
    <s v="23.00"/>
    <m/>
    <m/>
    <n v="604.79999999999995"/>
    <n v="604.80000000000007"/>
    <n v="604.80000000000007"/>
    <n v="60104"/>
    <x v="1"/>
    <s v="601041000B"/>
    <x v="1"/>
  </r>
  <r>
    <s v="597675"/>
    <s v="BX38-0250-SM-R-WH-MIX BERRY (ASEM)"/>
    <s v="23.000 G"/>
    <x v="12"/>
    <s v="Food &amp; Beverage"/>
    <m/>
    <m/>
    <m/>
    <m/>
    <m/>
    <m/>
    <m/>
    <m/>
    <m/>
    <m/>
    <m/>
    <m/>
    <m/>
    <m/>
    <m/>
    <n v="1814.4"/>
    <n v="604.79999999999995"/>
    <m/>
    <n v="0"/>
    <s v="23.00"/>
    <m/>
    <m/>
    <n v="604.79999999999995"/>
    <n v="604.80000000000007"/>
    <n v="604.80000000000007"/>
    <n v="60104"/>
    <x v="1"/>
    <s v="601041000B"/>
    <x v="1"/>
  </r>
  <r>
    <s v="597676"/>
    <s v="BX38-0250-SM-R-WH-STW.BERRY (ASEM)"/>
    <s v="23.000 G"/>
    <x v="12"/>
    <s v="Food &amp; Beverage"/>
    <m/>
    <m/>
    <m/>
    <m/>
    <m/>
    <m/>
    <m/>
    <m/>
    <m/>
    <m/>
    <m/>
    <m/>
    <m/>
    <m/>
    <m/>
    <n v="1814.4"/>
    <n v="604.79999999999995"/>
    <m/>
    <n v="0"/>
    <s v="23.00"/>
    <m/>
    <m/>
    <n v="604.79999999999995"/>
    <n v="604.80000000000007"/>
    <n v="604.79999999999995"/>
    <n v="60104"/>
    <x v="1"/>
    <s v="601041000B"/>
    <x v="1"/>
  </r>
  <r>
    <s v="597797"/>
    <s v="SL-YOGURT SPREAD- EBB"/>
    <s v="0.000 G"/>
    <x v="9"/>
    <s v="LABEL, IML, STICKER,"/>
    <n v="0"/>
    <n v="0"/>
    <n v="0"/>
    <n v="0"/>
    <n v="0"/>
    <n v="0"/>
    <n v="19284"/>
    <n v="0"/>
    <n v="0"/>
    <n v="0"/>
    <n v="0"/>
    <n v="0"/>
    <n v="19284"/>
    <n v="0"/>
    <n v="0"/>
    <m/>
    <m/>
    <n v="0"/>
    <n v="0"/>
    <s v="0.000"/>
    <m/>
    <m/>
    <n v="0"/>
    <n v="0"/>
    <n v="0"/>
    <n v="65400"/>
    <x v="5"/>
    <s v="65400S0001"/>
    <x v="6"/>
  </r>
  <r>
    <s v="597801"/>
    <s v="SL-STRAWBERRY YOGURT DRINK- EBB"/>
    <s v="0.000 G"/>
    <x v="9"/>
    <s v="LABEL, IML, STICKER,"/>
    <n v="0"/>
    <n v="0"/>
    <n v="0"/>
    <n v="0"/>
    <n v="10954"/>
    <n v="0"/>
    <n v="0"/>
    <n v="0"/>
    <n v="0"/>
    <n v="0"/>
    <n v="0"/>
    <n v="0"/>
    <n v="10954"/>
    <n v="0"/>
    <n v="0"/>
    <m/>
    <m/>
    <n v="0"/>
    <n v="0"/>
    <s v="0.000"/>
    <m/>
    <m/>
    <n v="0"/>
    <n v="0"/>
    <n v="0"/>
    <n v="65400"/>
    <x v="5"/>
    <s v="65400S0001"/>
    <x v="6"/>
  </r>
  <r>
    <s v="597802"/>
    <s v="SL-MIX BERRY YOGURT DRINK- EBB"/>
    <s v="0.000 G"/>
    <x v="9"/>
    <s v="LABEL, IML, STICKER,"/>
    <n v="0"/>
    <n v="0"/>
    <n v="0"/>
    <n v="0"/>
    <n v="16376"/>
    <n v="0"/>
    <n v="0"/>
    <n v="0"/>
    <n v="0"/>
    <n v="0"/>
    <n v="0"/>
    <n v="0"/>
    <n v="16376"/>
    <n v="0"/>
    <n v="0"/>
    <m/>
    <m/>
    <n v="0"/>
    <n v="16376"/>
    <s v="0.000"/>
    <m/>
    <m/>
    <n v="0"/>
    <n v="0"/>
    <n v="0"/>
    <n v="65400"/>
    <x v="5"/>
    <s v="65400S0001"/>
    <x v="6"/>
  </r>
  <r>
    <s v="597803"/>
    <s v="SL-ORIGINAL YOGURT DRINK - EBB"/>
    <s v="0.000 G"/>
    <x v="9"/>
    <s v="LABEL, IML, STICKER,"/>
    <n v="0"/>
    <n v="0"/>
    <n v="0"/>
    <n v="0"/>
    <n v="27126"/>
    <n v="0"/>
    <n v="0"/>
    <n v="0"/>
    <n v="0"/>
    <n v="0"/>
    <n v="0"/>
    <n v="0"/>
    <n v="27126"/>
    <n v="0"/>
    <n v="0"/>
    <m/>
    <m/>
    <n v="0"/>
    <n v="0"/>
    <s v="0.000"/>
    <m/>
    <m/>
    <n v="0"/>
    <n v="0"/>
    <n v="0"/>
    <n v="65400"/>
    <x v="5"/>
    <s v="65400S0001"/>
    <x v="6"/>
  </r>
  <r>
    <s v="597804"/>
    <s v="SL-MANGO YOGURT DRINK- EBB"/>
    <s v="0.000 G"/>
    <x v="9"/>
    <s v="LABEL, IML, STICKER,"/>
    <n v="0"/>
    <n v="0"/>
    <n v="0"/>
    <n v="0"/>
    <n v="17900"/>
    <n v="0"/>
    <n v="0"/>
    <n v="0"/>
    <n v="0"/>
    <n v="0"/>
    <n v="0"/>
    <n v="0"/>
    <n v="17900"/>
    <n v="0"/>
    <n v="0"/>
    <m/>
    <m/>
    <n v="0"/>
    <n v="0"/>
    <s v="0.000"/>
    <m/>
    <m/>
    <n v="0"/>
    <n v="0"/>
    <n v="0"/>
    <n v="65400"/>
    <x v="5"/>
    <s v="65400S0001"/>
    <x v="6"/>
  </r>
  <r>
    <s v="600646"/>
    <s v="BC28-0500-GS2-R-AM"/>
    <s v="44.000 G"/>
    <x v="1"/>
    <s v="Others"/>
    <n v="0"/>
    <n v="0"/>
    <n v="6283"/>
    <n v="2638.86"/>
    <n v="0"/>
    <n v="0"/>
    <n v="0"/>
    <n v="0"/>
    <n v="0"/>
    <n v="0"/>
    <n v="0"/>
    <n v="0"/>
    <n v="6283"/>
    <n v="2638.86"/>
    <n v="0"/>
    <n v="1968"/>
    <n v="656"/>
    <n v="120.679573170732"/>
    <n v="276.452"/>
    <s v="44.00"/>
    <m/>
    <m/>
    <n v="656"/>
    <n v="656"/>
    <n v="656"/>
    <n v="60104"/>
    <x v="1"/>
    <s v="601041000B"/>
    <x v="1"/>
  </r>
  <r>
    <s v="601608"/>
    <s v="BA32-0640-R2-R-CL"/>
    <s v="32.000 G"/>
    <x v="12"/>
    <s v="Food &amp; Beverage"/>
    <n v="31600"/>
    <n v="8532"/>
    <n v="0"/>
    <n v="0"/>
    <n v="0"/>
    <n v="0"/>
    <n v="0"/>
    <n v="0"/>
    <n v="0"/>
    <n v="0"/>
    <n v="0"/>
    <n v="0"/>
    <n v="31600"/>
    <n v="8532"/>
    <n v="0"/>
    <n v="7020.01"/>
    <n v="2340.0033333333299"/>
    <n v="109.384459566297"/>
    <n v="1011.2"/>
    <s v="32.00"/>
    <m/>
    <m/>
    <n v="2340.0033333333299"/>
    <n v="2340"/>
    <n v="2340.0033333333299"/>
    <n v="60104"/>
    <x v="1"/>
    <s v="601041000B"/>
    <x v="1"/>
  </r>
  <r>
    <s v="604532"/>
    <s v="R-HDPE HD 5403AA NP"/>
    <s v="0.000 KG"/>
    <x v="8"/>
    <s v="Virgin grade"/>
    <n v="0"/>
    <n v="0"/>
    <n v="0"/>
    <n v="0"/>
    <n v="0"/>
    <n v="0"/>
    <n v="1375"/>
    <n v="6462.5"/>
    <n v="0"/>
    <n v="0"/>
    <n v="0"/>
    <n v="0"/>
    <n v="1375"/>
    <n v="6462.5"/>
    <n v="2872.45"/>
    <m/>
    <m/>
    <n v="0"/>
    <n v="0"/>
    <s v="0.000"/>
    <m/>
    <m/>
    <n v="0"/>
    <n v="0"/>
    <n v="0"/>
    <n v="60105"/>
    <x v="3"/>
    <s v="60105V0000"/>
    <x v="5"/>
  </r>
  <r>
    <s v="604981"/>
    <s v="M-INJ REMAFIN GOLD PE116574-14 ZN (GOLD)"/>
    <s v="0.000 G"/>
    <x v="6"/>
    <s v="Additives"/>
    <n v="25"/>
    <n v="1246.17"/>
    <n v="0"/>
    <n v="0"/>
    <n v="5.0069999999999997"/>
    <n v="249.58"/>
    <n v="0"/>
    <n v="0"/>
    <n v="0"/>
    <n v="0"/>
    <n v="0"/>
    <n v="0"/>
    <n v="30.007000000000001"/>
    <n v="1495.75"/>
    <n v="69.33"/>
    <m/>
    <m/>
    <n v="0"/>
    <n v="0"/>
    <s v="0.000"/>
    <m/>
    <m/>
    <n v="0"/>
    <n v="0"/>
    <n v="0"/>
    <n v="60200"/>
    <x v="4"/>
    <s v="60200"/>
    <x v="4"/>
  </r>
  <r>
    <s v="605461"/>
    <s v="EBK38-0375-K-Q-NA-PP (S0376)"/>
    <s v="30.000 G"/>
    <x v="28"/>
    <s v="Food &amp; Beverage"/>
    <n v="5070"/>
    <n v="1521"/>
    <n v="0"/>
    <n v="0"/>
    <n v="0"/>
    <n v="0"/>
    <n v="0"/>
    <n v="0"/>
    <n v="0"/>
    <n v="0"/>
    <n v="0"/>
    <n v="0"/>
    <n v="5070"/>
    <n v="1521"/>
    <n v="0"/>
    <m/>
    <m/>
    <n v="0"/>
    <n v="5070"/>
    <s v="30.00"/>
    <m/>
    <m/>
    <n v="0"/>
    <n v="0"/>
    <n v="0"/>
    <n v="60106"/>
    <x v="2"/>
    <s v="601061000B"/>
    <x v="1"/>
  </r>
  <r>
    <s v="606138"/>
    <s v="Z-27.5MM 1P IHS-PET.CLR SEMI R PULL TAG"/>
    <s v="0.000 G"/>
    <x v="9"/>
    <s v="LABEL, IML, STICKER,"/>
    <n v="10200"/>
    <n v="234.6"/>
    <n v="0"/>
    <n v="0"/>
    <n v="0"/>
    <n v="0"/>
    <n v="0"/>
    <n v="0"/>
    <n v="0"/>
    <n v="0"/>
    <n v="0"/>
    <n v="0"/>
    <n v="10200"/>
    <n v="234.6"/>
    <n v="0"/>
    <m/>
    <m/>
    <n v="0"/>
    <n v="0"/>
    <s v="0.000"/>
    <m/>
    <m/>
    <n v="0"/>
    <n v="1104"/>
    <n v="1104"/>
    <n v="65400"/>
    <x v="5"/>
    <s v="65400S0001"/>
    <x v="6"/>
  </r>
  <r>
    <s v="606524"/>
    <s v="C35-R/S-F.TOP CHOC-743-02420-007-2.0ASEM"/>
    <s v="5.700 G"/>
    <x v="5"/>
    <s v="Food &amp; Beverage"/>
    <n v="68000"/>
    <n v="6120"/>
    <n v="0"/>
    <n v="0"/>
    <n v="0"/>
    <n v="0"/>
    <n v="0"/>
    <n v="0"/>
    <n v="0"/>
    <n v="0"/>
    <n v="0"/>
    <n v="0"/>
    <n v="68000"/>
    <n v="6120"/>
    <n v="0"/>
    <m/>
    <m/>
    <n v="0"/>
    <n v="68000"/>
    <s v="5.700"/>
    <m/>
    <m/>
    <n v="0"/>
    <n v="38193.333333333336"/>
    <n v="38193.333333333336"/>
    <n v="60106"/>
    <x v="2"/>
    <s v="601061000C"/>
    <x v="3"/>
  </r>
  <r>
    <s v="606528"/>
    <s v="C35-R/S-F.TOP CRM-743-01516-007-2.0ASEM"/>
    <s v="5.900 G"/>
    <x v="5"/>
    <s v="Food &amp; Beverage"/>
    <n v="136000"/>
    <n v="12240"/>
    <n v="0"/>
    <n v="0"/>
    <n v="0"/>
    <n v="0"/>
    <n v="0"/>
    <n v="0"/>
    <n v="0"/>
    <n v="0"/>
    <n v="0"/>
    <n v="0"/>
    <n v="136000"/>
    <n v="12240"/>
    <n v="0"/>
    <m/>
    <m/>
    <n v="0"/>
    <n v="136000"/>
    <s v="5.900"/>
    <m/>
    <m/>
    <n v="0"/>
    <n v="2040"/>
    <n v="2040"/>
    <n v="60106"/>
    <x v="2"/>
    <s v="601061000C"/>
    <x v="3"/>
  </r>
  <r>
    <s v="606531"/>
    <s v="C35-R/S-F.TOP STRW-743-01517-010-2.0ASEM"/>
    <s v="5.900 G"/>
    <x v="5"/>
    <s v="Food &amp; Beverage"/>
    <n v="136000"/>
    <n v="10880"/>
    <n v="0"/>
    <n v="0"/>
    <n v="0"/>
    <n v="0"/>
    <n v="0"/>
    <n v="0"/>
    <n v="0"/>
    <n v="0"/>
    <n v="0"/>
    <n v="0"/>
    <n v="136000"/>
    <n v="10880"/>
    <n v="0"/>
    <m/>
    <m/>
    <n v="0"/>
    <n v="802.4"/>
    <s v="5.900"/>
    <m/>
    <m/>
    <n v="0"/>
    <n v="0"/>
    <n v="0"/>
    <n v="60106"/>
    <x v="2"/>
    <s v="601061000C"/>
    <x v="3"/>
  </r>
  <r>
    <s v="606759"/>
    <s v="Z-SL1-PLE-240F, 30.1mm with 3 tabs"/>
    <s v="0.000 G"/>
    <x v="9"/>
    <s v="LABEL, IML, STICKER,"/>
    <n v="72591.38"/>
    <n v="45473.42"/>
    <n v="0"/>
    <n v="0"/>
    <n v="0"/>
    <n v="0"/>
    <n v="0"/>
    <n v="0"/>
    <n v="0"/>
    <n v="0"/>
    <n v="0"/>
    <n v="0"/>
    <n v="72591.38"/>
    <n v="45473.42"/>
    <n v="0"/>
    <m/>
    <m/>
    <n v="0"/>
    <n v="0"/>
    <s v="0.000"/>
    <m/>
    <m/>
    <n v="0"/>
    <n v="12143.666666666666"/>
    <n v="12143.666666666666"/>
    <n v="65400"/>
    <x v="5"/>
    <s v="65400S0001"/>
    <x v="6"/>
  </r>
  <r>
    <s v="606762"/>
    <s v="M-INJ REMAFIN BROWN PE84449257-ZN (DB)"/>
    <s v="0.000 G"/>
    <x v="6"/>
    <s v="Additives"/>
    <n v="171.10300000000001"/>
    <n v="8141.22"/>
    <n v="115.473"/>
    <n v="5494.3"/>
    <n v="0"/>
    <n v="0"/>
    <n v="0"/>
    <n v="0"/>
    <n v="0"/>
    <n v="0"/>
    <n v="0"/>
    <n v="0"/>
    <n v="286.57600000000002"/>
    <n v="13635.52"/>
    <n v="0"/>
    <m/>
    <m/>
    <n v="0"/>
    <n v="0"/>
    <s v="0.000"/>
    <m/>
    <m/>
    <n v="0"/>
    <n v="2561.3966666666634"/>
    <n v="2561.3966666666634"/>
    <n v="60200"/>
    <x v="4"/>
    <s v="60200"/>
    <x v="4"/>
  </r>
  <r>
    <s v="606765"/>
    <s v="M-INJ REMAFIN BROWN PE82449258-ZN (C)"/>
    <s v="0.000 G"/>
    <x v="6"/>
    <s v="Additives"/>
    <n v="50"/>
    <n v="2525"/>
    <n v="0"/>
    <n v="0"/>
    <n v="0"/>
    <n v="0"/>
    <n v="0"/>
    <n v="0"/>
    <n v="0"/>
    <n v="0"/>
    <n v="0"/>
    <n v="0"/>
    <n v="50"/>
    <n v="2525"/>
    <n v="0"/>
    <m/>
    <m/>
    <n v="0"/>
    <n v="0"/>
    <s v="0.000"/>
    <m/>
    <m/>
    <n v="0"/>
    <n v="0"/>
    <n v="0"/>
    <n v="60200"/>
    <x v="4"/>
    <s v="60200"/>
    <x v="4"/>
  </r>
  <r>
    <s v="606766"/>
    <s v="M-INJ REMAFIN RED PE33449738-ZN"/>
    <s v="0.000 G"/>
    <x v="6"/>
    <s v="Additives"/>
    <n v="23.661000000000001"/>
    <n v="3075.93"/>
    <n v="0"/>
    <n v="0"/>
    <n v="0"/>
    <n v="0"/>
    <n v="0"/>
    <n v="0"/>
    <n v="0"/>
    <n v="0"/>
    <n v="0"/>
    <n v="0"/>
    <n v="23.661000000000001"/>
    <n v="3075.93"/>
    <n v="0"/>
    <m/>
    <m/>
    <n v="0"/>
    <n v="23.661000000000001"/>
    <s v="0.000"/>
    <m/>
    <m/>
    <n v="0"/>
    <n v="6.3699999999999664"/>
    <n v="6.3699999999999664"/>
    <n v="60200"/>
    <x v="4"/>
    <s v="60200"/>
    <x v="4"/>
  </r>
  <r>
    <s v="606767"/>
    <s v="JJ63-0336-K-R-CL-HW"/>
    <s v="44.000 G"/>
    <x v="2"/>
    <s v="Others"/>
    <n v="200"/>
    <n v="68"/>
    <n v="0"/>
    <n v="0"/>
    <n v="0"/>
    <n v="0"/>
    <n v="0"/>
    <n v="0"/>
    <n v="0"/>
    <n v="0"/>
    <n v="0"/>
    <n v="0"/>
    <n v="200"/>
    <n v="68"/>
    <n v="0"/>
    <m/>
    <m/>
    <n v="0"/>
    <n v="200"/>
    <s v="44.00"/>
    <m/>
    <m/>
    <n v="0"/>
    <n v="0"/>
    <n v="0"/>
    <n v="60104"/>
    <x v="1"/>
    <s v="601041000J"/>
    <x v="2"/>
  </r>
  <r>
    <s v="606768"/>
    <s v="BA32-1000-R2-R-CL-KKM"/>
    <s v="32.000 G"/>
    <x v="12"/>
    <s v="Food &amp; Beverage"/>
    <n v="0"/>
    <n v="0"/>
    <n v="508"/>
    <n v="127"/>
    <n v="508"/>
    <n v="127"/>
    <n v="0"/>
    <n v="0"/>
    <n v="0"/>
    <n v="0"/>
    <n v="0"/>
    <n v="0"/>
    <n v="1016"/>
    <n v="254"/>
    <n v="7.06"/>
    <m/>
    <m/>
    <n v="0"/>
    <n v="1016"/>
    <s v="32.00"/>
    <m/>
    <m/>
    <n v="0"/>
    <n v="0"/>
    <n v="0"/>
    <n v="60104"/>
    <x v="1"/>
    <s v="601041000B"/>
    <x v="1"/>
  </r>
  <r>
    <s v="606853"/>
    <s v="SL-TANGO ALMOND CHIPS 2.0 (C)"/>
    <s v="0.000 G"/>
    <x v="9"/>
    <s v="LABEL, IML, STICKER,"/>
    <n v="0"/>
    <n v="0"/>
    <n v="0"/>
    <n v="0"/>
    <n v="417"/>
    <n v="43.37"/>
    <n v="0"/>
    <n v="0"/>
    <n v="0"/>
    <n v="0"/>
    <n v="0"/>
    <n v="0"/>
    <n v="417"/>
    <n v="43.37"/>
    <n v="7.23"/>
    <m/>
    <m/>
    <n v="0"/>
    <n v="417"/>
    <s v="0.000"/>
    <m/>
    <m/>
    <n v="0"/>
    <n v="0"/>
    <n v="0"/>
    <n v="65400"/>
    <x v="5"/>
    <s v="65400S0001"/>
    <x v="6"/>
  </r>
  <r>
    <s v="607139"/>
    <s v="Z-B300-WH PAIL&amp;COVER W/O SPOUT W/INNER"/>
    <s v="0.000 G"/>
    <x v="4"/>
    <s v="Others"/>
    <n v="20000"/>
    <n v="15400"/>
    <n v="0"/>
    <n v="0"/>
    <n v="0"/>
    <n v="0"/>
    <n v="0"/>
    <n v="0"/>
    <n v="0"/>
    <n v="0"/>
    <n v="0"/>
    <n v="0"/>
    <n v="20000"/>
    <n v="15400"/>
    <n v="0"/>
    <n v="7700"/>
    <n v="2566.6666666666702"/>
    <n v="180"/>
    <n v="20000"/>
    <s v="0.000"/>
    <m/>
    <m/>
    <n v="2566.6666666666702"/>
    <n v="2566.6666666666665"/>
    <n v="2566.6666666666665"/>
    <n v="60105"/>
    <x v="3"/>
    <s v="601051000C"/>
    <x v="3"/>
  </r>
  <r>
    <s v="607338"/>
    <s v="BC28-0200-R-R-CL-HW"/>
    <s v="24.000 G"/>
    <x v="1"/>
    <s v="Others"/>
    <n v="10920"/>
    <n v="2511.6"/>
    <n v="0"/>
    <n v="0"/>
    <n v="0"/>
    <n v="0"/>
    <n v="0"/>
    <n v="0"/>
    <n v="0"/>
    <n v="0"/>
    <n v="0"/>
    <n v="0"/>
    <n v="10920"/>
    <n v="2511.6"/>
    <n v="0"/>
    <n v="2318.4"/>
    <n v="772.8"/>
    <n v="97.5"/>
    <n v="10920"/>
    <s v="24.00"/>
    <m/>
    <m/>
    <n v="772.8"/>
    <n v="772.80000000000007"/>
    <n v="772.80000000000007"/>
    <n v="60104"/>
    <x v="1"/>
    <s v="601041000B"/>
    <x v="1"/>
  </r>
  <r>
    <s v="607481"/>
    <s v="R-HDPE MARLEX HXM 50100"/>
    <s v="0.000 KG"/>
    <x v="8"/>
    <s v="Virgin grade"/>
    <n v="31588.36"/>
    <n v="172631.96"/>
    <n v="0"/>
    <n v="0"/>
    <n v="0"/>
    <n v="0"/>
    <n v="0"/>
    <n v="0"/>
    <n v="0"/>
    <n v="0"/>
    <n v="0"/>
    <n v="0"/>
    <n v="31588.36"/>
    <n v="172631.96"/>
    <n v="0"/>
    <m/>
    <m/>
    <n v="0"/>
    <n v="0"/>
    <s v="0.000"/>
    <m/>
    <m/>
    <n v="0"/>
    <n v="26351.473333333299"/>
    <n v="26351.473333333299"/>
    <n v="60105"/>
    <x v="3"/>
    <s v="60105V0000"/>
    <x v="5"/>
  </r>
  <r>
    <s v="609312"/>
    <s v="JJ63-0550-S-Q-CL ALMOND MSI (ASEM)"/>
    <s v="34.800 G"/>
    <x v="24"/>
    <s v="Food &amp; Beverage"/>
    <m/>
    <m/>
    <m/>
    <m/>
    <m/>
    <m/>
    <m/>
    <m/>
    <m/>
    <m/>
    <m/>
    <m/>
    <m/>
    <m/>
    <m/>
    <n v="2858.88"/>
    <n v="952.96"/>
    <m/>
    <n v="0"/>
    <s v="34.80"/>
    <m/>
    <m/>
    <n v="952.96"/>
    <n v="952.96"/>
    <n v="952.96"/>
    <n v="60104"/>
    <x v="1"/>
    <s v="601041000J"/>
    <x v="2"/>
  </r>
  <r>
    <s v="609313"/>
    <s v="JJ63-0550-S-Q-CL HAZEL MSI (ASEM)"/>
    <s v="34.800 G"/>
    <x v="24"/>
    <s v="Food &amp; Beverage"/>
    <m/>
    <m/>
    <m/>
    <m/>
    <m/>
    <m/>
    <m/>
    <m/>
    <m/>
    <m/>
    <m/>
    <m/>
    <m/>
    <m/>
    <m/>
    <n v="1532.16"/>
    <n v="510.72"/>
    <m/>
    <n v="0"/>
    <s v="34.80"/>
    <m/>
    <m/>
    <n v="510.72"/>
    <n v="510.72"/>
    <n v="510.72"/>
    <n v="60104"/>
    <x v="1"/>
    <s v="601041000J"/>
    <x v="2"/>
  </r>
  <r>
    <s v="609314"/>
    <s v="JJ63-0550-S-Q-CL F&amp;NUT MSI (ASEM)"/>
    <s v="34.800 G"/>
    <x v="24"/>
    <s v="Food &amp; Beverage"/>
    <m/>
    <m/>
    <m/>
    <m/>
    <m/>
    <m/>
    <m/>
    <m/>
    <m/>
    <m/>
    <m/>
    <m/>
    <m/>
    <m/>
    <m/>
    <n v="2726.4"/>
    <n v="908.8"/>
    <m/>
    <n v="0"/>
    <s v="34.80"/>
    <m/>
    <m/>
    <n v="908.8"/>
    <n v="908.80000000000007"/>
    <n v="908.8"/>
    <n v="60104"/>
    <x v="1"/>
    <s v="601041000J"/>
    <x v="2"/>
  </r>
  <r>
    <s v="609318"/>
    <s v="R-LLDPE LL6101"/>
    <s v="0.000 G"/>
    <x v="8"/>
    <s v="Virgin grade"/>
    <n v="0"/>
    <n v="0"/>
    <n v="175"/>
    <n v="1435"/>
    <n v="0"/>
    <n v="0"/>
    <n v="0"/>
    <n v="0"/>
    <n v="0"/>
    <n v="0"/>
    <n v="0"/>
    <n v="0"/>
    <n v="175"/>
    <n v="1435"/>
    <n v="0"/>
    <m/>
    <m/>
    <n v="0"/>
    <n v="175"/>
    <s v="0.000"/>
    <m/>
    <m/>
    <n v="0"/>
    <n v="0"/>
    <n v="0"/>
    <n v="60105"/>
    <x v="3"/>
    <s v="60105V0000"/>
    <x v="5"/>
  </r>
  <r>
    <s v="609623"/>
    <s v="SL-VOCHELLE ALMOND MSI"/>
    <s v="0.000 G"/>
    <x v="9"/>
    <s v="LABEL, IML, STICKER,"/>
    <n v="4942"/>
    <n v="0"/>
    <n v="0"/>
    <n v="0"/>
    <n v="0"/>
    <n v="0"/>
    <n v="0"/>
    <n v="0"/>
    <n v="0"/>
    <n v="0"/>
    <n v="0"/>
    <n v="0"/>
    <n v="4942"/>
    <n v="0"/>
    <n v="0"/>
    <m/>
    <m/>
    <n v="0"/>
    <n v="4942"/>
    <s v="0.000"/>
    <m/>
    <m/>
    <n v="0"/>
    <n v="0"/>
    <n v="0"/>
    <n v="65400"/>
    <x v="5"/>
    <s v="65400S0001"/>
    <x v="6"/>
  </r>
  <r>
    <s v="609624"/>
    <s v="SL-VOCHELLE HAZEL MSI"/>
    <s v="0.000 G"/>
    <x v="9"/>
    <s v="LABEL, IML, STICKER,"/>
    <n v="2759"/>
    <n v="0"/>
    <n v="0"/>
    <n v="0"/>
    <n v="0"/>
    <n v="0"/>
    <n v="0"/>
    <n v="0"/>
    <n v="0"/>
    <n v="0"/>
    <n v="0"/>
    <n v="0"/>
    <n v="2759"/>
    <n v="0"/>
    <n v="0"/>
    <m/>
    <m/>
    <n v="0"/>
    <n v="0"/>
    <s v="0.000"/>
    <m/>
    <m/>
    <n v="0"/>
    <n v="0"/>
    <n v="0"/>
    <n v="65400"/>
    <x v="5"/>
    <s v="65400S0001"/>
    <x v="6"/>
  </r>
  <r>
    <s v="609625"/>
    <s v="SL-VOCHELLE F&amp;NUT MSI"/>
    <s v="0.000 G"/>
    <x v="9"/>
    <s v="LABEL, IML, STICKER,"/>
    <n v="2308"/>
    <n v="0"/>
    <n v="0"/>
    <n v="0"/>
    <n v="0"/>
    <n v="0"/>
    <n v="0"/>
    <n v="0"/>
    <n v="0"/>
    <n v="0"/>
    <n v="0"/>
    <n v="0"/>
    <n v="2308"/>
    <n v="0"/>
    <n v="0"/>
    <m/>
    <m/>
    <n v="0"/>
    <n v="0"/>
    <s v="0.000"/>
    <m/>
    <m/>
    <n v="0"/>
    <n v="0"/>
    <n v="0"/>
    <n v="65400"/>
    <x v="5"/>
    <s v="65400S0001"/>
    <x v="6"/>
  </r>
  <r>
    <s v="609634"/>
    <s v="Z-50.0MM PE LINER RING (3.0MM)"/>
    <s v="0.000 G"/>
    <x v="9"/>
    <s v="LABEL, IML, STICKER,"/>
    <n v="33460"/>
    <n v="3839.2"/>
    <n v="0"/>
    <n v="0"/>
    <n v="0"/>
    <n v="0"/>
    <n v="0"/>
    <n v="0"/>
    <n v="0"/>
    <n v="0"/>
    <n v="0"/>
    <n v="0"/>
    <n v="33460"/>
    <n v="3839.2"/>
    <n v="0"/>
    <m/>
    <m/>
    <n v="0"/>
    <n v="33460"/>
    <s v="0.000"/>
    <m/>
    <m/>
    <n v="0"/>
    <n v="794.1"/>
    <n v="794.1"/>
    <n v="65400"/>
    <x v="5"/>
    <s v="65400S0001"/>
    <x v="6"/>
  </r>
  <r>
    <s v="610124"/>
    <s v="AL0478-RED 38MM FLIP CAP (RED) - V"/>
    <s v="6.400 G"/>
    <x v="20"/>
    <s v="Food &amp; Beverage"/>
    <n v="4000"/>
    <n v="430.72"/>
    <n v="0"/>
    <n v="0"/>
    <n v="0"/>
    <n v="0"/>
    <n v="0"/>
    <n v="0"/>
    <n v="0"/>
    <n v="0"/>
    <n v="0"/>
    <n v="0"/>
    <n v="4000"/>
    <n v="430.72"/>
    <n v="0"/>
    <m/>
    <m/>
    <n v="0"/>
    <n v="25.6"/>
    <s v="6.400"/>
    <m/>
    <m/>
    <n v="0"/>
    <n v="0"/>
    <n v="0"/>
    <n v="60105"/>
    <x v="3"/>
    <s v="601051000C"/>
    <x v="3"/>
  </r>
  <r>
    <s v="610392"/>
    <s v="SL-MAGGI CLSSC MRIDOR S/S MIX 400G-N 3.0"/>
    <s v="0.000 G"/>
    <x v="9"/>
    <s v="LABEL, IML, STICKER,"/>
    <n v="0"/>
    <n v="0"/>
    <n v="0"/>
    <n v="0"/>
    <n v="17550"/>
    <n v="6142.5"/>
    <n v="0"/>
    <n v="0"/>
    <n v="0"/>
    <n v="0"/>
    <n v="0"/>
    <n v="0"/>
    <n v="17550"/>
    <n v="6142.5"/>
    <n v="341.27"/>
    <m/>
    <m/>
    <n v="0"/>
    <n v="17550"/>
    <s v="0.000"/>
    <m/>
    <m/>
    <n v="0"/>
    <n v="0"/>
    <n v="0"/>
    <n v="65400"/>
    <x v="5"/>
    <s v="65400S0001"/>
    <x v="6"/>
  </r>
  <r>
    <s v="610600"/>
    <s v="CC10370128BG ANTI SCRATCHES"/>
    <s v="0.000 G"/>
    <x v="6"/>
    <s v="Additives"/>
    <n v="0"/>
    <n v="0"/>
    <n v="10"/>
    <n v="500"/>
    <n v="10"/>
    <n v="500"/>
    <n v="0"/>
    <n v="0"/>
    <n v="0"/>
    <n v="0"/>
    <n v="0"/>
    <n v="0"/>
    <n v="20"/>
    <n v="1000"/>
    <n v="55.56"/>
    <m/>
    <m/>
    <n v="0"/>
    <n v="0"/>
    <s v="0.000"/>
    <m/>
    <m/>
    <n v="0"/>
    <n v="0"/>
    <n v="0"/>
    <n v="60200"/>
    <x v="4"/>
    <s v="60200"/>
    <x v="4"/>
  </r>
  <r>
    <s v="611060"/>
    <s v="JJ63-0240-RS-R-CL-HW-HIGH DOME"/>
    <s v="33.000 G"/>
    <x v="24"/>
    <s v="Food &amp; Beverage"/>
    <n v="700"/>
    <n v="189"/>
    <n v="0"/>
    <n v="0"/>
    <n v="0"/>
    <n v="0"/>
    <n v="0"/>
    <n v="0"/>
    <n v="0"/>
    <n v="0"/>
    <n v="0"/>
    <n v="0"/>
    <n v="700"/>
    <n v="189"/>
    <n v="0"/>
    <m/>
    <m/>
    <n v="0"/>
    <n v="700"/>
    <s v="33.00"/>
    <m/>
    <m/>
    <n v="0"/>
    <n v="0"/>
    <n v="0"/>
    <n v="60104"/>
    <x v="1"/>
    <s v="601041000J"/>
    <x v="2"/>
  </r>
  <r>
    <s v="611204"/>
    <s v="C38-EZY CAP GREEN W PE WAD (ASEM)"/>
    <s v="7.300 G"/>
    <x v="20"/>
    <s v="Food &amp; Beverage"/>
    <n v="8000"/>
    <n v="2158.48"/>
    <n v="0"/>
    <n v="0"/>
    <n v="0"/>
    <n v="0"/>
    <n v="0"/>
    <n v="0"/>
    <n v="0"/>
    <n v="0"/>
    <n v="0"/>
    <n v="0"/>
    <n v="8000"/>
    <n v="2158.48"/>
    <n v="0"/>
    <n v="9527.06"/>
    <n v="3175.6866666666701"/>
    <n v="20.390676662055199"/>
    <n v="58.4"/>
    <s v="7.300"/>
    <m/>
    <m/>
    <n v="3175.6866666666701"/>
    <n v="3175.6866666666633"/>
    <n v="3175.6866666666701"/>
    <n v="60105"/>
    <x v="3"/>
    <s v="601051000C"/>
    <x v="3"/>
  </r>
  <r>
    <s v="611513"/>
    <s v="Z-B500-WH PAIL&amp;COVER W/O SPOUT W/INNER"/>
    <s v="0.000 G"/>
    <x v="4"/>
    <s v="Others"/>
    <n v="2000"/>
    <n v="2000"/>
    <n v="0"/>
    <n v="0"/>
    <n v="0"/>
    <n v="0"/>
    <n v="0"/>
    <n v="0"/>
    <n v="0"/>
    <n v="0"/>
    <n v="0"/>
    <n v="0"/>
    <n v="2000"/>
    <n v="2000"/>
    <n v="0"/>
    <n v="1000"/>
    <n v="333.33333333333297"/>
    <n v="180"/>
    <n v="2000"/>
    <s v="0.000"/>
    <m/>
    <m/>
    <n v="333.33333333333297"/>
    <n v="333.33333333333331"/>
    <n v="333.33333333333297"/>
    <n v="60105"/>
    <x v="3"/>
    <s v="601051000C"/>
    <x v="3"/>
  </r>
  <r>
    <s v="611846"/>
    <s v="EF54-5000-S-NA-FMC"/>
    <s v="320.000 G"/>
    <x v="29"/>
    <s v="Pharma / Medical"/>
    <n v="31968"/>
    <n v="58181.760000000002"/>
    <n v="0"/>
    <n v="0"/>
    <n v="0"/>
    <n v="0"/>
    <n v="0"/>
    <n v="0"/>
    <n v="0"/>
    <n v="0"/>
    <n v="0"/>
    <n v="0"/>
    <n v="31968"/>
    <n v="58181.760000000002"/>
    <n v="0"/>
    <n v="22032"/>
    <n v="7344"/>
    <n v="237.67058823529399"/>
    <n v="31968"/>
    <s v="320.0"/>
    <m/>
    <m/>
    <n v="7344"/>
    <n v="7344"/>
    <n v="7344"/>
    <n v="60105"/>
    <x v="3"/>
    <s v="60105100JC"/>
    <x v="11"/>
  </r>
  <r>
    <s v="611847"/>
    <s v="CF54-0050-R-YL with PE LINER RING (ASEM)"/>
    <s v="16.100 G"/>
    <x v="20"/>
    <s v="Food &amp; Beverage"/>
    <n v="7500"/>
    <n v="2122.8000000000002"/>
    <n v="0"/>
    <n v="0"/>
    <n v="0"/>
    <n v="0"/>
    <n v="0"/>
    <n v="0"/>
    <n v="0"/>
    <n v="0"/>
    <n v="0"/>
    <n v="0"/>
    <n v="7500"/>
    <n v="2122.8000000000002"/>
    <n v="0"/>
    <n v="3666.93"/>
    <n v="1222.31"/>
    <n v="52.101349084929403"/>
    <n v="120.75000000000001"/>
    <s v="16.10"/>
    <m/>
    <m/>
    <n v="1222.31"/>
    <n v="1222.3099999999965"/>
    <n v="1222.31"/>
    <n v="60105"/>
    <x v="3"/>
    <s v="601051000C"/>
    <x v="3"/>
  </r>
  <r>
    <s v="611851"/>
    <s v="T-PLASTIC PALLET N41311SL2 BK (FMC)"/>
    <s v="0.000 G"/>
    <x v="13"/>
    <s v="Logistic &amp; Other Sup"/>
    <n v="400"/>
    <n v="0"/>
    <n v="0"/>
    <n v="0"/>
    <n v="0"/>
    <n v="0"/>
    <n v="0"/>
    <n v="0"/>
    <n v="0"/>
    <n v="0"/>
    <n v="0"/>
    <n v="0"/>
    <n v="400"/>
    <n v="0"/>
    <n v="0"/>
    <m/>
    <m/>
    <n v="0"/>
    <n v="0"/>
    <s v="0.000"/>
    <m/>
    <m/>
    <n v="0"/>
    <n v="0"/>
    <n v="0"/>
    <n v="65000"/>
    <x v="6"/>
    <s v="65000L0000"/>
    <x v="7"/>
  </r>
  <r>
    <s v="611862"/>
    <s v="M/B YELLOW 1323 PE"/>
    <s v="0.000 KG"/>
    <x v="6"/>
    <s v="Additives"/>
    <n v="116.77500000000001"/>
    <n v="2735.39"/>
    <n v="0"/>
    <n v="0"/>
    <n v="0"/>
    <n v="0"/>
    <n v="0"/>
    <n v="0"/>
    <n v="0"/>
    <n v="0"/>
    <n v="0"/>
    <n v="0"/>
    <n v="116.77500000000001"/>
    <n v="2735.39"/>
    <n v="0"/>
    <n v="46.85"/>
    <n v="15.616666666666699"/>
    <n v="5254.7513340448204"/>
    <n v="116.77500000000001"/>
    <s v="0.000"/>
    <m/>
    <m/>
    <n v="15.616666666666699"/>
    <n v="65.853333333333339"/>
    <n v="65.853333333333339"/>
    <n v="60200"/>
    <x v="4"/>
    <s v="60200"/>
    <x v="4"/>
  </r>
  <r>
    <s v="611949"/>
    <s v="BBX38-0150-R-AM"/>
    <s v="23.000 G"/>
    <x v="1"/>
    <s v="Others"/>
    <n v="54450"/>
    <n v="13068"/>
    <n v="0"/>
    <n v="0"/>
    <n v="0"/>
    <n v="0"/>
    <n v="0"/>
    <n v="0"/>
    <n v="0"/>
    <n v="0"/>
    <n v="0"/>
    <n v="0"/>
    <n v="54450"/>
    <n v="13068"/>
    <n v="0"/>
    <n v="2772"/>
    <n v="924"/>
    <n v="424.28571428571399"/>
    <n v="1252.3499999999999"/>
    <s v="23.00"/>
    <m/>
    <m/>
    <n v="924"/>
    <n v="924"/>
    <n v="924"/>
    <n v="60104"/>
    <x v="1"/>
    <s v="601041000B"/>
    <x v="1"/>
  </r>
  <r>
    <s v="612139"/>
    <s v="SL-KEFIR M.KISAH"/>
    <s v="0.000 G"/>
    <x v="9"/>
    <s v="LABEL, IML, STICKER,"/>
    <n v="0"/>
    <n v="0"/>
    <n v="2360"/>
    <n v="424.8"/>
    <n v="0"/>
    <n v="0"/>
    <n v="0"/>
    <n v="0"/>
    <n v="0"/>
    <n v="0"/>
    <n v="0"/>
    <n v="0"/>
    <n v="2360"/>
    <n v="424.8"/>
    <n v="0"/>
    <m/>
    <m/>
    <n v="0"/>
    <n v="0"/>
    <s v="0.000"/>
    <m/>
    <m/>
    <n v="0"/>
    <n v="0"/>
    <n v="0"/>
    <n v="65400"/>
    <x v="5"/>
    <s v="65400S0001"/>
    <x v="6"/>
  </r>
  <r>
    <s v="612140"/>
    <s v="SL-KEFIR W.BERRIES"/>
    <s v="0.000 G"/>
    <x v="9"/>
    <s v="LABEL, IML, STICKER,"/>
    <n v="0"/>
    <n v="0"/>
    <n v="2314"/>
    <n v="416.52"/>
    <n v="0"/>
    <n v="0"/>
    <n v="0"/>
    <n v="0"/>
    <n v="0"/>
    <n v="0"/>
    <n v="0"/>
    <n v="0"/>
    <n v="2314"/>
    <n v="416.52"/>
    <n v="0"/>
    <m/>
    <m/>
    <n v="0"/>
    <n v="2314"/>
    <s v="0.000"/>
    <m/>
    <m/>
    <n v="0"/>
    <n v="0"/>
    <n v="0"/>
    <n v="65400"/>
    <x v="5"/>
    <s v="65400S0001"/>
    <x v="6"/>
  </r>
  <r>
    <s v="612152"/>
    <s v="SL-KEFIR MANGGA PIC"/>
    <s v="0.000 G"/>
    <x v="9"/>
    <s v="LABEL, IML, STICKER,"/>
    <n v="0"/>
    <n v="0"/>
    <n v="2314"/>
    <n v="416.52"/>
    <n v="0"/>
    <n v="0"/>
    <n v="0"/>
    <n v="0"/>
    <n v="0"/>
    <n v="0"/>
    <n v="0"/>
    <n v="0"/>
    <n v="2314"/>
    <n v="416.52"/>
    <n v="0"/>
    <m/>
    <m/>
    <n v="0"/>
    <n v="2314"/>
    <s v="0.000"/>
    <m/>
    <m/>
    <n v="0"/>
    <n v="0"/>
    <n v="0"/>
    <n v="65400"/>
    <x v="5"/>
    <s v="65400S0001"/>
    <x v="6"/>
  </r>
  <r>
    <s v="612513"/>
    <s v="M-INJ REMAFIN GOLD ML51033-05 FDA/1"/>
    <s v="0.000 G"/>
    <x v="6"/>
    <s v="Additives"/>
    <n v="50.414000000000001"/>
    <n v="3125.67"/>
    <n v="0"/>
    <n v="0"/>
    <n v="0"/>
    <n v="0"/>
    <n v="0"/>
    <n v="0"/>
    <n v="0"/>
    <n v="0"/>
    <n v="0"/>
    <n v="0"/>
    <n v="50.414000000000001"/>
    <n v="3125.67"/>
    <n v="0"/>
    <m/>
    <m/>
    <n v="0"/>
    <n v="0"/>
    <s v="0.000"/>
    <m/>
    <m/>
    <n v="0"/>
    <n v="901.66666666666663"/>
    <n v="901.66666666666663"/>
    <n v="60200"/>
    <x v="4"/>
    <s v="60200"/>
    <x v="4"/>
  </r>
  <r>
    <s v="613192"/>
    <s v="Z-28.85MM (3 TABS) - HDPE"/>
    <s v="0.000 G"/>
    <x v="9"/>
    <s v="LABEL, IML, STICKER,"/>
    <n v="0"/>
    <n v="0"/>
    <n v="17500"/>
    <n v="1225"/>
    <n v="0"/>
    <n v="0"/>
    <n v="0"/>
    <n v="0"/>
    <n v="0"/>
    <n v="0"/>
    <n v="0"/>
    <n v="0"/>
    <n v="17500"/>
    <n v="1225"/>
    <n v="0"/>
    <m/>
    <m/>
    <n v="0"/>
    <n v="0"/>
    <s v="0.000"/>
    <m/>
    <m/>
    <n v="0"/>
    <n v="0"/>
    <n v="0"/>
    <n v="65400"/>
    <x v="5"/>
    <s v="65400S0001"/>
    <x v="6"/>
  </r>
  <r>
    <s v="613436"/>
    <s v="SL-CANISTER SPREAD 200G (2.0)"/>
    <s v="0.000 G"/>
    <x v="9"/>
    <s v="LABEL, IML, STICKER,"/>
    <n v="0"/>
    <n v="0"/>
    <n v="2712"/>
    <n v="257.64"/>
    <n v="0"/>
    <n v="0"/>
    <n v="0"/>
    <n v="0"/>
    <n v="0"/>
    <n v="0"/>
    <n v="0"/>
    <n v="0"/>
    <n v="2712"/>
    <n v="257.64"/>
    <n v="0"/>
    <m/>
    <m/>
    <n v="0"/>
    <n v="2712"/>
    <s v="0.000"/>
    <m/>
    <m/>
    <n v="0"/>
    <n v="0"/>
    <n v="0"/>
    <n v="65400"/>
    <x v="5"/>
    <s v="65400S0001"/>
    <x v="6"/>
  </r>
  <r>
    <s v="613955"/>
    <s v="R-PP CK91905(R50) NC022"/>
    <s v="0.000 KG"/>
    <x v="7"/>
    <s v="Virgin grade"/>
    <m/>
    <m/>
    <m/>
    <m/>
    <m/>
    <m/>
    <m/>
    <m/>
    <m/>
    <m/>
    <m/>
    <m/>
    <m/>
    <m/>
    <m/>
    <n v="39982.33"/>
    <n v="13327.4433333333"/>
    <m/>
    <n v="0"/>
    <s v="0.000"/>
    <m/>
    <m/>
    <n v="13327.4433333333"/>
    <n v="6560.4199999999664"/>
    <n v="6560.4199999999664"/>
    <n v="60106"/>
    <x v="2"/>
    <s v="60106V0000"/>
    <x v="5"/>
  </r>
  <r>
    <s v="616191"/>
    <s v="JJ63-0190-E-Q-CL-LW CRISPY (ASEM) V3"/>
    <s v="24.000 G"/>
    <x v="24"/>
    <s v="Food &amp; Beverage"/>
    <n v="2340"/>
    <n v="702"/>
    <n v="0"/>
    <n v="0"/>
    <n v="0"/>
    <n v="0"/>
    <n v="0"/>
    <n v="0"/>
    <n v="0"/>
    <n v="0"/>
    <n v="0"/>
    <n v="0"/>
    <n v="2340"/>
    <n v="702"/>
    <n v="0"/>
    <n v="12507.3"/>
    <n v="4169.1000000000004"/>
    <n v="5.05144995322732"/>
    <n v="2340"/>
    <s v="24.00"/>
    <m/>
    <m/>
    <n v="4169.1000000000004"/>
    <n v="4169.0999999999667"/>
    <n v="4169.0999999999667"/>
    <n v="60104"/>
    <x v="1"/>
    <s v="601041000J"/>
    <x v="2"/>
  </r>
  <r>
    <s v="616219"/>
    <s v="SL-CANISTER SPREAD 200G (3.0)"/>
    <s v="0.000 G"/>
    <x v="9"/>
    <s v="LABEL, IML, STICKER,"/>
    <n v="45275"/>
    <n v="3395.63"/>
    <n v="0"/>
    <n v="0"/>
    <n v="0"/>
    <n v="0"/>
    <n v="0"/>
    <n v="0"/>
    <n v="0"/>
    <n v="0"/>
    <n v="0"/>
    <n v="0"/>
    <n v="45275"/>
    <n v="3395.63"/>
    <n v="0"/>
    <m/>
    <m/>
    <n v="0"/>
    <n v="45275"/>
    <s v="0.000"/>
    <m/>
    <m/>
    <n v="0"/>
    <n v="1595.4733333333334"/>
    <n v="1595.4733333333334"/>
    <n v="65400"/>
    <x v="5"/>
    <s v="65400S0001"/>
    <x v="6"/>
  </r>
  <r>
    <s v="616635"/>
    <s v="SL-NIPPON PAINT-ANTILEAK WF 250G"/>
    <s v="0.000 G"/>
    <x v="9"/>
    <s v="LABEL, IML, STICKER,"/>
    <m/>
    <m/>
    <m/>
    <m/>
    <m/>
    <m/>
    <m/>
    <m/>
    <m/>
    <m/>
    <m/>
    <m/>
    <m/>
    <m/>
    <m/>
    <n v="2300"/>
    <n v="766.66666666666697"/>
    <m/>
    <n v="0"/>
    <s v="0.000"/>
    <m/>
    <m/>
    <n v="766.66666666666697"/>
    <n v="766.66666666666663"/>
    <n v="766.66666666666697"/>
    <n v="65400"/>
    <x v="5"/>
    <s v="65400S0001"/>
    <x v="6"/>
  </r>
  <r>
    <s v="616879"/>
    <s v="JJ63-0750-R-R-CL-LW CK 3.0C-ALMD (ASEM)"/>
    <s v="34.500 G"/>
    <x v="24"/>
    <s v="Food &amp; Beverage"/>
    <m/>
    <m/>
    <m/>
    <m/>
    <m/>
    <m/>
    <m/>
    <m/>
    <m/>
    <m/>
    <m/>
    <m/>
    <m/>
    <m/>
    <m/>
    <n v="4125.42"/>
    <n v="1375.14"/>
    <m/>
    <n v="0"/>
    <s v="34.50"/>
    <m/>
    <m/>
    <n v="1375.14"/>
    <n v="1375.14"/>
    <n v="1375.14"/>
    <n v="60104"/>
    <x v="1"/>
    <s v="601041000J"/>
    <x v="2"/>
  </r>
  <r>
    <s v="616981"/>
    <s v="SL-TANGO ALMOND CHIPS 3.0 (C)"/>
    <s v="0.000 G"/>
    <x v="9"/>
    <s v="LABEL, IML, STICKER,"/>
    <n v="14609"/>
    <n v="1680.04"/>
    <n v="0"/>
    <n v="0"/>
    <n v="0"/>
    <n v="0"/>
    <n v="0"/>
    <n v="0"/>
    <n v="0"/>
    <n v="0"/>
    <n v="0"/>
    <n v="0"/>
    <n v="14609"/>
    <n v="1680.04"/>
    <n v="0"/>
    <m/>
    <m/>
    <n v="0"/>
    <n v="0"/>
    <s v="0.000"/>
    <m/>
    <m/>
    <n v="0"/>
    <n v="431.67333333333335"/>
    <n v="431.67333333333335"/>
    <n v="65400"/>
    <x v="5"/>
    <s v="65400S0001"/>
    <x v="6"/>
  </r>
  <r>
    <s v="617192"/>
    <s v="EBK38-2017-K-S-BEIGE-HDPE"/>
    <s v="103.000 G"/>
    <x v="19"/>
    <s v="Food &amp; Beverage"/>
    <n v="31540"/>
    <n v="29647.599999999999"/>
    <n v="0"/>
    <n v="0"/>
    <n v="0"/>
    <n v="0"/>
    <n v="0"/>
    <n v="0"/>
    <n v="0"/>
    <n v="0"/>
    <n v="0"/>
    <n v="0"/>
    <n v="31540"/>
    <n v="29647.599999999999"/>
    <n v="0"/>
    <n v="44964.160000000003"/>
    <n v="14988.053333333301"/>
    <n v="59.342462974956099"/>
    <n v="3248.62"/>
    <s v="103.0"/>
    <m/>
    <m/>
    <n v="14988.053333333301"/>
    <n v="14988.053333333335"/>
    <n v="14988.053333333301"/>
    <n v="60105"/>
    <x v="3"/>
    <s v="601051000B"/>
    <x v="1"/>
  </r>
  <r>
    <s v="617268"/>
    <s v="AL0921-PK 38MM CAP (PINK) - V"/>
    <s v="4.200 G"/>
    <x v="5"/>
    <s v="Food &amp; Beverage"/>
    <n v="2000"/>
    <n v="130.96"/>
    <n v="0"/>
    <n v="0"/>
    <n v="0"/>
    <n v="0"/>
    <n v="0"/>
    <n v="0"/>
    <n v="0"/>
    <n v="0"/>
    <n v="0"/>
    <n v="0"/>
    <n v="2000"/>
    <n v="130.96"/>
    <n v="0"/>
    <n v="1178.56"/>
    <n v="392.85333333333301"/>
    <n v="10.000678794461001"/>
    <n v="8.4"/>
    <s v="4.200"/>
    <m/>
    <m/>
    <n v="392.85333333333301"/>
    <n v="392.85333333333"/>
    <n v="392.85333333333301"/>
    <n v="60106"/>
    <x v="2"/>
    <s v="601061000C"/>
    <x v="3"/>
  </r>
  <r>
    <s v="617299"/>
    <s v="M/B BEIGE PE 63803R-4.5P"/>
    <s v="0.000 KG"/>
    <x v="6"/>
    <s v="Additives"/>
    <n v="183.76599999999999"/>
    <n v="6248"/>
    <n v="0"/>
    <n v="0"/>
    <n v="0"/>
    <n v="0"/>
    <n v="0"/>
    <n v="0"/>
    <n v="0"/>
    <n v="0"/>
    <n v="0"/>
    <n v="0"/>
    <n v="183.76599999999999"/>
    <n v="6248"/>
    <n v="0"/>
    <m/>
    <m/>
    <n v="0"/>
    <n v="0"/>
    <s v="0.000"/>
    <m/>
    <m/>
    <n v="0"/>
    <n v="2360.4299999999998"/>
    <n v="2360.4299999999998"/>
    <n v="60200"/>
    <x v="4"/>
    <s v="60200"/>
    <x v="4"/>
  </r>
  <r>
    <s v="617309"/>
    <s v="AL0921-PK 38MM CAP (PINK)-S"/>
    <s v="4.200 G"/>
    <x v="5"/>
    <s v="Food &amp; Beverage"/>
    <m/>
    <m/>
    <m/>
    <m/>
    <m/>
    <m/>
    <m/>
    <m/>
    <m/>
    <m/>
    <m/>
    <m/>
    <m/>
    <m/>
    <m/>
    <n v="980"/>
    <n v="326.66666666666703"/>
    <m/>
    <n v="0"/>
    <s v="4.200"/>
    <m/>
    <m/>
    <n v="326.66666666666703"/>
    <n v="326.66666666666669"/>
    <n v="326.66666666666703"/>
    <n v="60106"/>
    <x v="2"/>
    <s v="601061000C"/>
    <x v="3"/>
  </r>
  <r>
    <s v="618217"/>
    <s v="BX38-2000-HR-R-CL(GREEN)(ASEM)"/>
    <s v="72.000 G"/>
    <x v="12"/>
    <s v="Food &amp; Beverage"/>
    <m/>
    <m/>
    <m/>
    <m/>
    <m/>
    <m/>
    <m/>
    <m/>
    <m/>
    <m/>
    <m/>
    <m/>
    <m/>
    <m/>
    <m/>
    <n v="3984"/>
    <n v="1328"/>
    <m/>
    <n v="0"/>
    <s v="72.00"/>
    <m/>
    <m/>
    <n v="1328"/>
    <n v="1328"/>
    <n v="1328"/>
    <n v="60104"/>
    <x v="1"/>
    <s v="601041000B"/>
    <x v="1"/>
  </r>
  <r>
    <s v="618480"/>
    <s v="Z-26.3MM PP INDUCTION SEAL"/>
    <s v="0.000 G"/>
    <x v="9"/>
    <s v="LABEL, IML, STICKER,"/>
    <n v="62000"/>
    <n v="1550"/>
    <n v="0"/>
    <n v="0"/>
    <n v="0"/>
    <n v="0"/>
    <n v="0"/>
    <n v="0"/>
    <n v="0"/>
    <n v="0"/>
    <n v="0"/>
    <n v="0"/>
    <n v="62000"/>
    <n v="1550"/>
    <n v="0"/>
    <m/>
    <m/>
    <n v="0"/>
    <n v="62000"/>
    <s v="0.000"/>
    <m/>
    <m/>
    <n v="0"/>
    <n v="333.33333333333331"/>
    <n v="333.33333333333331"/>
    <n v="65400"/>
    <x v="5"/>
    <s v="65400S0001"/>
    <x v="6"/>
  </r>
  <r>
    <s v="618580"/>
    <s v="EBK38-2000-K-R-WH-PE-R2-M&amp;G"/>
    <s v="130.000 G"/>
    <x v="19"/>
    <s v="Food &amp; Beverage"/>
    <m/>
    <m/>
    <m/>
    <m/>
    <m/>
    <m/>
    <m/>
    <m/>
    <m/>
    <m/>
    <m/>
    <m/>
    <m/>
    <m/>
    <m/>
    <n v="6566.4"/>
    <n v="2188.8000000000002"/>
    <m/>
    <n v="0"/>
    <s v="130.0"/>
    <m/>
    <m/>
    <n v="2188.8000000000002"/>
    <n v="2188.7999999999965"/>
    <n v="2188.8000000000002"/>
    <n v="60105"/>
    <x v="3"/>
    <s v="601051000B"/>
    <x v="1"/>
  </r>
  <r>
    <s v="618683"/>
    <s v="ST-POWER MAX-STAINLESS STEEL CLEANER 2.0"/>
    <s v="0.000 G"/>
    <x v="9"/>
    <s v="LABEL, IML, STICKER,"/>
    <m/>
    <m/>
    <m/>
    <m/>
    <m/>
    <m/>
    <m/>
    <m/>
    <m/>
    <m/>
    <m/>
    <m/>
    <m/>
    <m/>
    <m/>
    <n v="3928"/>
    <n v="1309.3333333333301"/>
    <m/>
    <n v="0"/>
    <s v="0.000"/>
    <m/>
    <m/>
    <n v="1309.3333333333301"/>
    <n v="1309.3333333333333"/>
    <n v="1309.3333333333301"/>
    <n v="65400"/>
    <x v="5"/>
    <s v="65400S0001"/>
    <x v="6"/>
  </r>
  <r>
    <s v="619095"/>
    <s v="C28-EZY R/S CAP YEL W NPP IND SEAL(ASEM)"/>
    <s v="6.400 G"/>
    <x v="20"/>
    <s v="Food &amp; Beverage"/>
    <m/>
    <m/>
    <m/>
    <m/>
    <m/>
    <m/>
    <m/>
    <m/>
    <m/>
    <m/>
    <m/>
    <m/>
    <m/>
    <m/>
    <m/>
    <n v="8804.76"/>
    <n v="2934.92"/>
    <m/>
    <n v="0"/>
    <s v="6.400"/>
    <m/>
    <m/>
    <n v="2934.92"/>
    <n v="2934.92"/>
    <n v="2934.92"/>
    <n v="60105"/>
    <x v="3"/>
    <s v="601051000C"/>
    <x v="3"/>
  </r>
  <r>
    <s v="619711"/>
    <s v="BCY28-0400-T-R-WH PWR MAX 2.0 (ASEM)"/>
    <s v="39.100 G"/>
    <x v="30"/>
    <s v="Home / Personal Care"/>
    <n v="15990"/>
    <n v="8954.4"/>
    <n v="0"/>
    <n v="0"/>
    <n v="0"/>
    <n v="0"/>
    <n v="0"/>
    <n v="0"/>
    <n v="0"/>
    <n v="0"/>
    <n v="0"/>
    <n v="0"/>
    <n v="15990"/>
    <n v="8954.4"/>
    <n v="0"/>
    <n v="1377.6"/>
    <n v="459.2"/>
    <n v="585"/>
    <n v="625.20899999999995"/>
    <s v="39.10"/>
    <m/>
    <m/>
    <n v="459.2"/>
    <n v="459.19999999999663"/>
    <n v="459.2"/>
    <n v="60104"/>
    <x v="1"/>
    <s v="601041000B"/>
    <x v="1"/>
  </r>
  <r>
    <s v="620173"/>
    <s v="C38-T/E-I/L-C/S-WHITE (E) - V"/>
    <s v="3.870 G"/>
    <x v="31"/>
    <s v="Pharma / Medical"/>
    <n v="46200"/>
    <n v="2796.49"/>
    <n v="0"/>
    <n v="0"/>
    <n v="0"/>
    <n v="0"/>
    <n v="0"/>
    <n v="0"/>
    <n v="0"/>
    <n v="0"/>
    <n v="0"/>
    <n v="0"/>
    <n v="46200"/>
    <n v="2796.49"/>
    <n v="0"/>
    <n v="667.31"/>
    <n v="222.43666666666701"/>
    <n v="377.162188488109"/>
    <n v="178.79400000000001"/>
    <s v="3.870"/>
    <m/>
    <m/>
    <n v="222.43666666666701"/>
    <n v="222.43666666666635"/>
    <n v="222.43666666666701"/>
    <n v="60105"/>
    <x v="3"/>
    <s v="601051000C"/>
    <x v="3"/>
  </r>
  <r>
    <s v="Overall Result"/>
    <m/>
    <m/>
    <x v="32"/>
    <m/>
    <s v="**"/>
    <n v="3904764.15"/>
    <s v="**"/>
    <n v="220235.41"/>
    <s v="**"/>
    <n v="68938.75"/>
    <s v="**"/>
    <n v="53657.55"/>
    <s v="**"/>
    <n v="31135.79"/>
    <s v="**"/>
    <n v="380782.21"/>
    <s v="**"/>
    <n v="4659513.839999998"/>
    <n v="75753.039999999979"/>
    <n v="5531262.5800000001"/>
    <n v="1843754.1933333301"/>
    <n v="75.815645982223501"/>
    <m/>
    <m/>
    <m/>
    <m/>
    <m/>
    <m/>
    <m/>
    <s v=""/>
    <x v="0"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97">
  <r>
    <x v="0"/>
    <x v="0"/>
    <x v="0"/>
    <n v="198110.7"/>
    <n v="0"/>
    <n v="0"/>
    <n v="141065.31"/>
    <n v="0.71205295827030035"/>
    <n v="26844.25"/>
    <n v="0.13550126267788665"/>
    <n v="7389.75"/>
    <n v="3.7301114982683924E-2"/>
    <n v="12191.15"/>
    <n v="6.1537059835738296E-2"/>
    <n v="10620.24"/>
    <n v="5.360760423339072E-2"/>
    <n v="18598.389999999996"/>
    <n v="38505.423333333238"/>
    <n v="9.3878775856124863E-2"/>
    <n v="154.35023135702048"/>
  </r>
  <r>
    <x v="0"/>
    <x v="1"/>
    <x v="1"/>
    <n v="348760"/>
    <n v="348760"/>
    <n v="1"/>
    <n v="0"/>
    <n v="0"/>
    <n v="0"/>
    <n v="0"/>
    <n v="0"/>
    <n v="0"/>
    <n v="0"/>
    <n v="0"/>
    <n v="0"/>
    <n v="0"/>
    <n v="0"/>
    <n v="99515.603333333303"/>
    <n v="0"/>
    <n v="105.13728148694676"/>
  </r>
  <r>
    <x v="0"/>
    <x v="2"/>
    <x v="2"/>
    <n v="87501.440000000002"/>
    <n v="0"/>
    <n v="0"/>
    <n v="85124.98"/>
    <n v="0.97284090410397805"/>
    <n v="441.09999999999997"/>
    <n v="5.0410598957000017E-3"/>
    <n v="1935.36"/>
    <n v="2.2118036000321823E-2"/>
    <n v="0"/>
    <n v="0"/>
    <n v="0"/>
    <n v="0"/>
    <n v="107.53"/>
    <n v="116793.03333333331"/>
    <n v="1.2288940616291572E-3"/>
    <n v="22.476025539194552"/>
  </r>
  <r>
    <x v="0"/>
    <x v="2"/>
    <x v="3"/>
    <n v="199796.53"/>
    <n v="0"/>
    <n v="0"/>
    <n v="188659.28"/>
    <n v="0.94425703989954179"/>
    <n v="6568.97"/>
    <n v="3.2878298737220313E-2"/>
    <n v="3058.05"/>
    <n v="1.5305821377378277E-2"/>
    <n v="1033.23"/>
    <n v="5.1714111351183131E-3"/>
    <n v="477"/>
    <n v="2.3874288507413017E-3"/>
    <n v="2011.21"/>
    <n v="151537.09333333332"/>
    <n v="1.0066290941088917E-2"/>
    <n v="39.553984890124156"/>
  </r>
  <r>
    <x v="0"/>
    <x v="2"/>
    <x v="4"/>
    <n v="15020.64"/>
    <n v="0"/>
    <n v="0"/>
    <n v="15020.64"/>
    <n v="1"/>
    <n v="0"/>
    <n v="0"/>
    <n v="0"/>
    <n v="0"/>
    <n v="0"/>
    <n v="0"/>
    <n v="0"/>
    <n v="0"/>
    <n v="0"/>
    <n v="4723.2"/>
    <n v="0"/>
    <n v="95.405487804878049"/>
  </r>
  <r>
    <x v="0"/>
    <x v="2"/>
    <x v="5"/>
    <n v="553555.01"/>
    <n v="0"/>
    <n v="0"/>
    <n v="467691.23"/>
    <n v="0.84488663556671628"/>
    <n v="56898.8"/>
    <n v="0.10278797765736056"/>
    <n v="11330.5"/>
    <n v="2.0468607085680608E-2"/>
    <n v="14126.84"/>
    <n v="2.5520209816184303E-2"/>
    <n v="3507.64"/>
    <n v="6.3365698740582253E-3"/>
    <n v="11519.949999999999"/>
    <n v="139695.04666666628"/>
    <n v="2.0810849494434163E-2"/>
    <n v="118.87787503035811"/>
  </r>
  <r>
    <x v="0"/>
    <x v="3"/>
    <x v="2"/>
    <n v="513467.78999999992"/>
    <n v="0"/>
    <n v="0"/>
    <n v="479836.04000000004"/>
    <n v="0.93450076001846216"/>
    <n v="16175.02"/>
    <n v="3.1501528070533892E-2"/>
    <n v="102.03"/>
    <n v="1.987076930375711E-4"/>
    <n v="17232.599999999999"/>
    <n v="3.356120936037682E-2"/>
    <n v="122.1"/>
    <n v="2.3779485758980133E-4"/>
    <n v="12455.46"/>
    <n v="685418.31666666688"/>
    <n v="2.4257529376867048E-2"/>
    <n v="22.473916038475668"/>
  </r>
  <r>
    <x v="0"/>
    <x v="3"/>
    <x v="6"/>
    <n v="325367.07000000007"/>
    <n v="0"/>
    <n v="0"/>
    <n v="249635.37000000005"/>
    <n v="0.76724227193612438"/>
    <n v="62527.020000000004"/>
    <n v="0.19217378083160042"/>
    <n v="10964.7"/>
    <n v="3.3699476717173618E-2"/>
    <n v="216.3"/>
    <n v="6.6478761971824614E-4"/>
    <n v="2023.68"/>
    <n v="6.2196828953833576E-3"/>
    <n v="3219.16"/>
    <n v="205978.26"/>
    <n v="9.893933027703139E-3"/>
    <n v="47.388554986336914"/>
  </r>
  <r>
    <x v="0"/>
    <x v="3"/>
    <x v="7"/>
    <n v="35554.14"/>
    <n v="0"/>
    <n v="0"/>
    <n v="35554.14"/>
    <n v="1"/>
    <n v="0"/>
    <n v="0"/>
    <n v="0"/>
    <n v="0"/>
    <n v="0"/>
    <n v="0"/>
    <n v="0"/>
    <n v="0"/>
    <n v="0"/>
    <n v="58072.403333333001"/>
    <n v="0"/>
    <n v="18.36714409558056"/>
  </r>
  <r>
    <x v="0"/>
    <x v="3"/>
    <x v="8"/>
    <n v="60085.87"/>
    <n v="0"/>
    <n v="0"/>
    <n v="60085.87"/>
    <n v="1"/>
    <n v="0"/>
    <n v="0"/>
    <n v="0"/>
    <n v="0"/>
    <n v="0"/>
    <n v="0"/>
    <n v="0"/>
    <n v="0"/>
    <n v="0"/>
    <n v="20640.276666666668"/>
    <n v="0"/>
    <n v="87.332942727027387"/>
  </r>
  <r>
    <x v="0"/>
    <x v="3"/>
    <x v="5"/>
    <n v="750671.75"/>
    <n v="0"/>
    <n v="0"/>
    <n v="740379.79"/>
    <n v="0.98628966655532202"/>
    <n v="0"/>
    <n v="0"/>
    <n v="10291.950000000001"/>
    <n v="1.3710320123276254E-2"/>
    <n v="0.01"/>
    <n v="1.332140179778978E-8"/>
    <n v="0"/>
    <n v="0"/>
    <n v="1143.6500000000001"/>
    <n v="474365.14333332999"/>
    <n v="1.5235021166042284E-3"/>
    <n v="47.47429868424247"/>
  </r>
  <r>
    <x v="0"/>
    <x v="4"/>
    <x v="2"/>
    <n v="365184.62"/>
    <n v="11241.9"/>
    <n v="3.0784155148702592E-2"/>
    <n v="348702.92000000004"/>
    <n v="0.95486748593081505"/>
    <n v="4131"/>
    <n v="1.1312086472864054E-2"/>
    <n v="1108.8"/>
    <n v="3.0362724476184128E-3"/>
    <n v="0"/>
    <n v="0"/>
    <n v="0"/>
    <n v="0"/>
    <n v="308.02"/>
    <n v="445025.0599999993"/>
    <n v="8.4346378004637756E-4"/>
    <n v="24.617801523356949"/>
  </r>
  <r>
    <x v="0"/>
    <x v="4"/>
    <x v="3"/>
    <n v="184403.23"/>
    <n v="0"/>
    <n v="0"/>
    <n v="159894.98000000004"/>
    <n v="0.86709424775260191"/>
    <n v="0"/>
    <n v="0"/>
    <n v="10739.869999999999"/>
    <n v="5.8241224950343867E-2"/>
    <n v="8308.380000000001"/>
    <n v="4.5055501468168432E-2"/>
    <n v="5460"/>
    <n v="2.9609025828885967E-2"/>
    <n v="13072.619999999999"/>
    <n v="137963.63333333324"/>
    <n v="7.0891491434287773E-2"/>
    <n v="40.098225643521062"/>
  </r>
  <r>
    <x v="0"/>
    <x v="4"/>
    <x v="6"/>
    <n v="30733.09"/>
    <n v="0"/>
    <n v="0"/>
    <n v="30733.09"/>
    <n v="1"/>
    <n v="0"/>
    <n v="0"/>
    <n v="0"/>
    <n v="0"/>
    <n v="0"/>
    <n v="0"/>
    <n v="0"/>
    <n v="0"/>
    <n v="0"/>
    <n v="47157.759999999966"/>
    <n v="0"/>
    <n v="19.551240347293863"/>
  </r>
  <r>
    <x v="0"/>
    <x v="4"/>
    <x v="5"/>
    <n v="425606.81"/>
    <n v="0"/>
    <n v="0"/>
    <n v="422176.14"/>
    <n v="0.9919393442036325"/>
    <n v="1987.34"/>
    <n v="4.6694271644760572E-3"/>
    <n v="0"/>
    <n v="0"/>
    <n v="103.99"/>
    <n v="2.4433349644945767E-4"/>
    <n v="1339.33"/>
    <n v="3.1468716395773835E-3"/>
    <n v="1408.66"/>
    <n v="373444.79999999993"/>
    <n v="3.3097684691652373E-3"/>
    <n v="34.190338973792116"/>
  </r>
  <r>
    <x v="0"/>
    <x v="5"/>
    <x v="9"/>
    <n v="233438.85000000003"/>
    <n v="0"/>
    <n v="0"/>
    <n v="207493.26000000004"/>
    <n v="0.8888548756987108"/>
    <n v="13209.079999999998"/>
    <n v="5.6584754422839195E-2"/>
    <n v="1116.75"/>
    <n v="4.7839080769974656E-3"/>
    <n v="7499.14"/>
    <n v="3.2124644205538191E-2"/>
    <n v="4120.62"/>
    <n v="1.7651817595914301E-2"/>
    <n v="7856.29"/>
    <n v="175979.31999999992"/>
    <n v="3.365459519698627E-2"/>
    <n v="39.795389026392442"/>
  </r>
  <r>
    <x v="0"/>
    <x v="6"/>
    <x v="1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n v="174896.2"/>
    <n v="0"/>
    <n v="0"/>
    <n v="116445.32999999997"/>
    <n v="0.66579679832952321"/>
    <n v="27936.109999999997"/>
    <n v="0.15972965679071355"/>
    <n v="9349.93"/>
    <n v="5.3459880774996825E-2"/>
    <n v="9659.7100000000009"/>
    <n v="5.5231102791255614E-2"/>
    <n v="11505.130000000001"/>
    <n v="6.5782618490281664E-2"/>
    <n v="18515.870000000003"/>
    <n v="39199.556666666569"/>
    <n v="0.10586776613785778"/>
    <n v="133.8506464401344"/>
  </r>
  <r>
    <x v="1"/>
    <x v="1"/>
    <x v="1"/>
    <n v="380628.31"/>
    <n v="380628.31"/>
    <n v="1"/>
    <n v="0"/>
    <n v="0"/>
    <n v="0"/>
    <n v="0"/>
    <n v="0"/>
    <n v="0"/>
    <n v="0"/>
    <n v="0"/>
    <n v="0"/>
    <n v="0"/>
    <n v="0"/>
    <n v="99515.603333333303"/>
    <n v="0"/>
    <n v="114.74431061581268"/>
  </r>
  <r>
    <x v="1"/>
    <x v="2"/>
    <x v="2"/>
    <n v="150156.35999999999"/>
    <n v="0"/>
    <n v="0"/>
    <n v="148033.72"/>
    <n v="0.98586380223921266"/>
    <n v="671.12"/>
    <n v="4.4694743532674875E-3"/>
    <n v="1451.52"/>
    <n v="9.6667234075200024E-3"/>
    <n v="0"/>
    <n v="0"/>
    <n v="0"/>
    <n v="0"/>
    <n v="161.29"/>
    <n v="122912.14666666664"/>
    <n v="1.0741469758590312E-3"/>
    <n v="36.649679646524767"/>
  </r>
  <r>
    <x v="1"/>
    <x v="2"/>
    <x v="3"/>
    <n v="287882.14999999991"/>
    <n v="0"/>
    <n v="0"/>
    <n v="274522.31999999989"/>
    <n v="0.95359271146196445"/>
    <n v="7380.9299999999994"/>
    <n v="2.5638720566731915E-2"/>
    <n v="4758.7"/>
    <n v="1.6530027999304583E-2"/>
    <n v="796.2"/>
    <n v="2.765715067780341E-3"/>
    <n v="424"/>
    <n v="1.472824904218619E-3"/>
    <n v="2069.3000000000002"/>
    <n v="139223.01666666666"/>
    <n v="7.1880107884424267E-3"/>
    <n v="62.033309626365636"/>
  </r>
  <r>
    <x v="1"/>
    <x v="2"/>
    <x v="4"/>
    <n v="58181.760000000002"/>
    <n v="0"/>
    <n v="0"/>
    <n v="58181.760000000002"/>
    <n v="1"/>
    <n v="0"/>
    <n v="0"/>
    <n v="0"/>
    <n v="0"/>
    <n v="0"/>
    <n v="0"/>
    <n v="0"/>
    <n v="0"/>
    <n v="0"/>
    <n v="7344"/>
    <n v="0"/>
    <n v="237.67058823529413"/>
  </r>
  <r>
    <x v="1"/>
    <x v="2"/>
    <x v="5"/>
    <n v="555388.21"/>
    <n v="0"/>
    <n v="0"/>
    <n v="495663.06999999995"/>
    <n v="0.89246235529558682"/>
    <n v="31736.639999999999"/>
    <n v="5.7143164778380877E-2"/>
    <n v="11857.7"/>
    <n v="2.1350291177409043E-2"/>
    <n v="12623.16"/>
    <n v="2.2728534334569329E-2"/>
    <n v="3507.64"/>
    <n v="6.3156544140539105E-3"/>
    <n v="12158.009999999998"/>
    <n v="156079.95999999961"/>
    <n v="2.189101205443306E-2"/>
    <n v="106.75070841894143"/>
  </r>
  <r>
    <x v="1"/>
    <x v="3"/>
    <x v="2"/>
    <n v="645557.34000000008"/>
    <n v="0"/>
    <n v="0"/>
    <n v="611600.9"/>
    <n v="0.94739980804803481"/>
    <n v="16372.710000000003"/>
    <n v="2.5362131270941789E-2"/>
    <n v="229.03"/>
    <n v="3.5477870951014197E-4"/>
    <n v="17232.599999999999"/>
    <n v="2.6694143079528762E-2"/>
    <n v="122.1"/>
    <n v="1.8913889198440525E-4"/>
    <n v="13425.63"/>
    <n v="683365.14000000025"/>
    <n v="2.0796959724755041E-2"/>
    <n v="28.340222622418224"/>
  </r>
  <r>
    <x v="1"/>
    <x v="3"/>
    <x v="6"/>
    <n v="321946.26"/>
    <n v="0"/>
    <n v="0"/>
    <n v="187806.45"/>
    <n v="0.58334720210758162"/>
    <n v="122342.73000000001"/>
    <n v="0.38000978796896107"/>
    <n v="9557.1"/>
    <n v="2.9685389108107672E-2"/>
    <n v="216.3"/>
    <n v="6.7185125865416178E-4"/>
    <n v="2023.68"/>
    <n v="6.2857695566955803E-3"/>
    <n v="3449.34"/>
    <n v="204201.88333333319"/>
    <n v="1.0714024135580889E-2"/>
    <n v="47.29823076231834"/>
  </r>
  <r>
    <x v="1"/>
    <x v="3"/>
    <x v="7"/>
    <n v="34724.699999999997"/>
    <n v="0"/>
    <n v="0"/>
    <n v="34724.699999999997"/>
    <n v="1"/>
    <n v="0"/>
    <n v="0"/>
    <n v="0"/>
    <n v="0"/>
    <n v="0"/>
    <n v="0"/>
    <n v="0"/>
    <n v="0"/>
    <n v="0"/>
    <n v="57390.893333332999"/>
    <n v="0"/>
    <n v="18.151677722621368"/>
  </r>
  <r>
    <x v="1"/>
    <x v="3"/>
    <x v="8"/>
    <n v="39794.75"/>
    <n v="0"/>
    <n v="0"/>
    <n v="39794.75"/>
    <n v="1"/>
    <n v="0"/>
    <n v="0"/>
    <n v="0"/>
    <n v="0"/>
    <n v="0"/>
    <n v="0"/>
    <n v="0"/>
    <n v="0"/>
    <n v="0"/>
    <n v="20967.773333333334"/>
    <n v="0"/>
    <n v="56.937018586618315"/>
  </r>
  <r>
    <x v="1"/>
    <x v="3"/>
    <x v="5"/>
    <n v="741415.45"/>
    <n v="0"/>
    <n v="0"/>
    <n v="731033.02"/>
    <n v="0.98599647471603147"/>
    <n v="0"/>
    <n v="0"/>
    <n v="10382.42"/>
    <n v="1.4003511796254045E-2"/>
    <n v="0.01"/>
    <n v="1.3487714613985993E-8"/>
    <n v="0"/>
    <n v="0"/>
    <n v="1730.55"/>
    <n v="492597.21333332994"/>
    <n v="2.3341164525233458E-3"/>
    <n v="45.153449710948735"/>
  </r>
  <r>
    <x v="1"/>
    <x v="4"/>
    <x v="2"/>
    <n v="366226.82"/>
    <n v="153.9"/>
    <n v="4.2023137464372492E-4"/>
    <n v="360833.12"/>
    <n v="0.98527224194011787"/>
    <n v="0"/>
    <n v="0"/>
    <n v="5239.8"/>
    <n v="1.43075266852384E-2"/>
    <n v="0"/>
    <n v="0"/>
    <n v="0"/>
    <n v="0"/>
    <n v="599.15"/>
    <n v="486580.35333333234"/>
    <n v="1.63600797997263E-3"/>
    <n v="22.579630527074485"/>
  </r>
  <r>
    <x v="1"/>
    <x v="4"/>
    <x v="3"/>
    <n v="161880.85"/>
    <n v="0"/>
    <n v="0"/>
    <n v="138986.84"/>
    <n v="0.85857493335375978"/>
    <n v="482.52"/>
    <n v="2.9807108129219729E-3"/>
    <n v="8643.1099999999988"/>
    <n v="5.3391800203668308E-2"/>
    <n v="5675.0999999999995"/>
    <n v="3.5057265884136386E-2"/>
    <n v="8093.2800000000007"/>
    <n v="4.9995289745513448E-2"/>
    <n v="13635.150000000001"/>
    <n v="138883.49333333335"/>
    <n v="8.4229542901461174E-2"/>
    <n v="34.967622022180315"/>
  </r>
  <r>
    <x v="1"/>
    <x v="4"/>
    <x v="6"/>
    <n v="33477.68"/>
    <n v="0"/>
    <n v="0"/>
    <n v="33477.68"/>
    <n v="1"/>
    <n v="0"/>
    <n v="0"/>
    <n v="0"/>
    <n v="0"/>
    <n v="0"/>
    <n v="0"/>
    <n v="0"/>
    <n v="0"/>
    <n v="0"/>
    <n v="37667.923333333303"/>
    <n v="0"/>
    <n v="26.662749393228228"/>
  </r>
  <r>
    <x v="1"/>
    <x v="4"/>
    <x v="5"/>
    <n v="435459.66"/>
    <n v="0"/>
    <n v="0"/>
    <n v="434016.74"/>
    <n v="0.99668644392915762"/>
    <n v="0"/>
    <n v="0"/>
    <n v="0"/>
    <n v="0"/>
    <n v="103.59"/>
    <n v="2.3788655876872731E-4"/>
    <n v="1339.3400000000001"/>
    <n v="3.0756924763134207E-3"/>
    <n v="1414.16"/>
    <n v="369047.03333333292"/>
    <n v="3.2475109175440042E-3"/>
    <n v="35.398712413440386"/>
  </r>
  <r>
    <x v="1"/>
    <x v="5"/>
    <x v="9"/>
    <n v="271897.34000000003"/>
    <n v="0"/>
    <n v="0"/>
    <n v="239643.75000000003"/>
    <n v="0.88137585310691158"/>
    <n v="13312.65"/>
    <n v="4.8962045748590255E-2"/>
    <n v="7469.4400000000005"/>
    <n v="2.7471544958843658E-2"/>
    <n v="7350.88"/>
    <n v="2.7035498030249207E-2"/>
    <n v="4120.62"/>
    <n v="1.5155058155405269E-2"/>
    <n v="8594.590000000002"/>
    <n v="162216.94999999998"/>
    <n v="3.160968768580083E-2"/>
    <n v="50.284019025138875"/>
  </r>
  <r>
    <x v="1"/>
    <x v="6"/>
    <x v="1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  <r>
    <x v="2"/>
    <x v="7"/>
    <x v="11"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">
  <r>
    <x v="0"/>
    <m/>
    <s v="Material"/>
    <m/>
    <s v="Net weight"/>
    <s v="PH Level1"/>
    <s v="PH Level2"/>
    <s v="PH Level3"/>
    <x v="0"/>
    <s v=""/>
    <s v=""/>
    <s v="MYR"/>
    <s v=""/>
    <s v="MYR"/>
    <s v=""/>
    <s v="MYR"/>
    <s v=""/>
    <s v="MYR"/>
    <s v=""/>
    <s v="MYR"/>
    <s v=""/>
    <s v="MYR"/>
    <s v=""/>
    <s v="MYR"/>
    <s v="MYR"/>
    <s v="MYR"/>
    <s v="MYR"/>
    <s v=""/>
    <m/>
    <s v="Net W"/>
    <m/>
    <s v="COS fr MC.5"/>
    <m/>
    <x v="0"/>
    <x v="0"/>
  </r>
  <r>
    <x v="1"/>
    <s v="FG"/>
    <n v="322382"/>
    <s v="BC28-0060-M-R-CL-LW"/>
    <s v="11.300 G"/>
    <n v="60104"/>
    <s v="601041000B"/>
    <s v="601041000B90000000"/>
    <x v="1"/>
    <s v="Others"/>
    <m/>
    <m/>
    <m/>
    <m/>
    <m/>
    <m/>
    <m/>
    <m/>
    <m/>
    <m/>
    <m/>
    <m/>
    <m/>
    <m/>
    <m/>
    <n v="1242"/>
    <n v="414"/>
    <m/>
    <n v="0"/>
    <s v="11.30"/>
    <n v="414"/>
    <n v="414"/>
    <n v="414"/>
    <x v="1"/>
    <x v="1"/>
  </r>
  <r>
    <x v="1"/>
    <s v="FG"/>
    <n v="322383"/>
    <s v="BB38-0060-R-R-CL"/>
    <s v="12.500 G"/>
    <n v="60104"/>
    <s v="601041000B"/>
    <s v="601041000B90000000"/>
    <x v="1"/>
    <s v="Others"/>
    <n v="39600"/>
    <n v="5940"/>
    <n v="0"/>
    <n v="0"/>
    <n v="0"/>
    <n v="0"/>
    <n v="0"/>
    <n v="0"/>
    <n v="0"/>
    <n v="0"/>
    <n v="0"/>
    <n v="0"/>
    <n v="39600"/>
    <n v="5940"/>
    <n v="0"/>
    <n v="9570"/>
    <n v="3190"/>
    <n v="55.862068965517203"/>
    <n v="495"/>
    <s v="12.50"/>
    <n v="3190"/>
    <n v="3190"/>
    <n v="3190"/>
    <x v="1"/>
    <x v="1"/>
  </r>
  <r>
    <x v="1"/>
    <s v="FG"/>
    <n v="322389"/>
    <s v="BB38-0090-R-R-CL"/>
    <s v="12.500 G"/>
    <n v="60104"/>
    <s v="601041000B"/>
    <s v="601041000B90000000"/>
    <x v="1"/>
    <s v="Others"/>
    <n v="56160"/>
    <n v="8424"/>
    <n v="3900"/>
    <n v="585"/>
    <n v="0"/>
    <n v="0"/>
    <n v="0"/>
    <n v="0"/>
    <n v="0"/>
    <n v="0"/>
    <n v="0"/>
    <n v="0"/>
    <n v="60060"/>
    <n v="9009"/>
    <n v="0"/>
    <n v="7675.2"/>
    <n v="2558.4"/>
    <n v="105.640243902439"/>
    <n v="750.75"/>
    <s v="12.50"/>
    <n v="2558.4"/>
    <n v="2558.4"/>
    <n v="2558.4"/>
    <x v="1"/>
    <x v="1"/>
  </r>
  <r>
    <x v="1"/>
    <s v="FG"/>
    <n v="322391"/>
    <s v="BX38-0100-BM-R-AM"/>
    <s v="20.000 G"/>
    <n v="60104"/>
    <s v="601041000B"/>
    <s v="601041000B90000000"/>
    <x v="1"/>
    <s v="Others"/>
    <m/>
    <m/>
    <m/>
    <m/>
    <m/>
    <m/>
    <m/>
    <m/>
    <m/>
    <m/>
    <m/>
    <m/>
    <m/>
    <m/>
    <m/>
    <n v="1300"/>
    <n v="433.33333333333297"/>
    <m/>
    <n v="0"/>
    <s v="20.00"/>
    <n v="433.33333333333297"/>
    <n v="433.33333333333331"/>
    <n v="433.33333333333297"/>
    <x v="1"/>
    <x v="1"/>
  </r>
  <r>
    <x v="1"/>
    <s v="FG"/>
    <n v="322394"/>
    <s v="BX38-0100-C-R-AM"/>
    <s v="20.000 G"/>
    <n v="60104"/>
    <s v="601041000B"/>
    <s v="601041000B90000000"/>
    <x v="1"/>
    <s v="Others"/>
    <n v="0"/>
    <n v="0"/>
    <n v="1440"/>
    <n v="302.39999999999998"/>
    <n v="0"/>
    <n v="0"/>
    <n v="0"/>
    <n v="0"/>
    <n v="0"/>
    <n v="0"/>
    <n v="0"/>
    <n v="0"/>
    <n v="1440"/>
    <n v="302.39999999999998"/>
    <n v="0"/>
    <m/>
    <m/>
    <n v="0"/>
    <n v="28.8"/>
    <s v="20.00"/>
    <n v="0"/>
    <n v="0"/>
    <n v="0"/>
    <x v="1"/>
    <x v="1"/>
  </r>
  <r>
    <x v="1"/>
    <s v="FG"/>
    <n v="322405"/>
    <s v="BX38-0150-C-R-CL"/>
    <s v="20.000 G"/>
    <n v="60104"/>
    <s v="601041000B"/>
    <s v="601041000B90000000"/>
    <x v="1"/>
    <s v="Others"/>
    <m/>
    <m/>
    <m/>
    <m/>
    <m/>
    <m/>
    <m/>
    <m/>
    <m/>
    <m/>
    <m/>
    <m/>
    <m/>
    <m/>
    <m/>
    <n v="883.2"/>
    <n v="294.39999999999998"/>
    <m/>
    <n v="0"/>
    <s v="20.00"/>
    <n v="294.39999999999998"/>
    <n v="294.40000000000003"/>
    <n v="294.39999999999998"/>
    <x v="1"/>
    <x v="1"/>
  </r>
  <r>
    <x v="1"/>
    <s v="FG"/>
    <n v="322409"/>
    <s v="JJ63-0190-E-Q-CL-LW"/>
    <s v="24.000 G"/>
    <n v="60104"/>
    <s v="601041000J"/>
    <s v="601041000J90000000"/>
    <x v="2"/>
    <s v="Others"/>
    <n v="47814"/>
    <n v="10040.94"/>
    <n v="0"/>
    <n v="0"/>
    <n v="0"/>
    <n v="0"/>
    <n v="0"/>
    <n v="0"/>
    <n v="0"/>
    <n v="0"/>
    <n v="0"/>
    <n v="0"/>
    <n v="47814"/>
    <n v="10040.94"/>
    <n v="0"/>
    <n v="3303.71"/>
    <n v="1101.2366666666701"/>
    <n v="273.53629707208"/>
    <n v="1147.5360000000001"/>
    <s v="24.00"/>
    <n v="1101.2366666666701"/>
    <n v="3275.98"/>
    <n v="1101.2366666666701"/>
    <x v="1"/>
    <x v="2"/>
  </r>
  <r>
    <x v="1"/>
    <s v="FG"/>
    <n v="322411"/>
    <s v="JJ63-0200-S-Q-CL"/>
    <s v="24.000 G"/>
    <n v="60104"/>
    <s v="601041000J"/>
    <s v="601041000J90000000"/>
    <x v="2"/>
    <s v="Others"/>
    <n v="0"/>
    <n v="0"/>
    <n v="0"/>
    <n v="0"/>
    <n v="9720"/>
    <n v="2041.2"/>
    <n v="0"/>
    <n v="0"/>
    <n v="0"/>
    <n v="0"/>
    <n v="0"/>
    <n v="0"/>
    <n v="9720"/>
    <n v="2041.2"/>
    <n v="453.64"/>
    <n v="1090.8"/>
    <n v="363.6"/>
    <n v="168.41584158415799"/>
    <n v="233.28"/>
    <s v="24.00"/>
    <n v="363.6"/>
    <n v="363.59999999999997"/>
    <n v="363.6"/>
    <x v="1"/>
    <x v="2"/>
  </r>
  <r>
    <x v="1"/>
    <s v="FG"/>
    <n v="322412"/>
    <s v="JJ63-0200-R-R-CL"/>
    <s v="24.000 G"/>
    <n v="60104"/>
    <s v="601041000J"/>
    <s v="601041000J90000000"/>
    <x v="2"/>
    <s v="Others"/>
    <n v="3045"/>
    <n v="639.45000000000005"/>
    <n v="412"/>
    <n v="86.52"/>
    <n v="0"/>
    <n v="0"/>
    <n v="0"/>
    <n v="0"/>
    <n v="0"/>
    <n v="0"/>
    <n v="0"/>
    <n v="0"/>
    <n v="3457"/>
    <n v="725.97"/>
    <n v="0"/>
    <n v="12799.15"/>
    <n v="4266.3833333333296"/>
    <n v="5.1048155541578897"/>
    <n v="82.968000000000004"/>
    <s v="24.00"/>
    <n v="4266.3833333333296"/>
    <n v="4266.3833333333332"/>
    <n v="4266.3833333333296"/>
    <x v="1"/>
    <x v="2"/>
  </r>
  <r>
    <x v="1"/>
    <s v="FG"/>
    <n v="322419"/>
    <s v="JJ63-0240-R-R-CL"/>
    <s v="24.800 G"/>
    <n v="60104"/>
    <s v="601041000J"/>
    <s v="601041000J90000000"/>
    <x v="2"/>
    <s v="Others"/>
    <n v="10800"/>
    <n v="2268"/>
    <n v="0"/>
    <n v="0"/>
    <n v="0"/>
    <n v="0"/>
    <n v="0"/>
    <n v="0"/>
    <n v="0"/>
    <n v="0"/>
    <n v="0"/>
    <n v="0"/>
    <n v="10800"/>
    <n v="2268"/>
    <n v="0"/>
    <n v="2196"/>
    <n v="732"/>
    <n v="92.950819672131104"/>
    <n v="267.83999999999997"/>
    <s v="24.80"/>
    <n v="732"/>
    <n v="732"/>
    <n v="732"/>
    <x v="1"/>
    <x v="2"/>
  </r>
  <r>
    <x v="1"/>
    <s v="FG"/>
    <n v="322420"/>
    <s v="JJ63-0240-RS-R-CL"/>
    <s v="24.800 G"/>
    <n v="60104"/>
    <s v="601041000J"/>
    <s v="601041000J90000000"/>
    <x v="2"/>
    <s v="Others"/>
    <m/>
    <m/>
    <m/>
    <m/>
    <m/>
    <m/>
    <m/>
    <m/>
    <m/>
    <m/>
    <m/>
    <m/>
    <m/>
    <m/>
    <m/>
    <n v="3931.21"/>
    <n v="1310.40333333333"/>
    <m/>
    <n v="0"/>
    <s v="24.80"/>
    <n v="1310.40333333333"/>
    <n v="1310.3999999999999"/>
    <n v="1310.40333333333"/>
    <x v="1"/>
    <x v="2"/>
  </r>
  <r>
    <x v="1"/>
    <s v="FG"/>
    <n v="322422"/>
    <s v="JJ63-0250-S-Q-CL-HW"/>
    <s v="34.000 G"/>
    <n v="60104"/>
    <s v="601041000J"/>
    <s v="601041000J90000000"/>
    <x v="2"/>
    <s v="Others"/>
    <n v="9000"/>
    <n v="2430"/>
    <n v="0"/>
    <n v="0"/>
    <n v="0"/>
    <n v="0"/>
    <n v="0"/>
    <n v="0"/>
    <n v="0"/>
    <n v="0"/>
    <n v="0"/>
    <n v="0"/>
    <n v="9000"/>
    <n v="2430"/>
    <n v="0"/>
    <n v="2430"/>
    <n v="810"/>
    <n v="90"/>
    <n v="306"/>
    <s v="34.00"/>
    <n v="810"/>
    <n v="810"/>
    <n v="810"/>
    <x v="1"/>
    <x v="2"/>
  </r>
  <r>
    <x v="1"/>
    <s v="FG"/>
    <n v="322424"/>
    <s v="JJ63-0270-E-Q-CL"/>
    <s v="34.500 G"/>
    <n v="60104"/>
    <s v="601041000J"/>
    <s v="601041000J90000000"/>
    <x v="2"/>
    <s v="Others"/>
    <m/>
    <m/>
    <m/>
    <m/>
    <m/>
    <m/>
    <m/>
    <m/>
    <m/>
    <m/>
    <m/>
    <m/>
    <m/>
    <m/>
    <m/>
    <n v="2520"/>
    <n v="840"/>
    <m/>
    <n v="0"/>
    <s v="34.50"/>
    <n v="840"/>
    <n v="840"/>
    <n v="840"/>
    <x v="1"/>
    <x v="2"/>
  </r>
  <r>
    <x v="1"/>
    <s v="FG"/>
    <n v="322428"/>
    <s v="BC28-0300-PC-R-CL"/>
    <s v="23.000 G"/>
    <n v="60104"/>
    <s v="601041000B"/>
    <s v="601041000B90000000"/>
    <x v="1"/>
    <s v="Others"/>
    <n v="7560"/>
    <n v="1512"/>
    <n v="0"/>
    <n v="0"/>
    <n v="0"/>
    <n v="0"/>
    <n v="0"/>
    <n v="0"/>
    <n v="0"/>
    <n v="0"/>
    <n v="0"/>
    <n v="0"/>
    <n v="7560"/>
    <n v="1512"/>
    <n v="0"/>
    <n v="5846.4"/>
    <n v="1948.8"/>
    <n v="23.275862068965498"/>
    <n v="173.88"/>
    <s v="23.00"/>
    <n v="1948.8"/>
    <n v="1948.8"/>
    <n v="1948.8"/>
    <x v="1"/>
    <x v="1"/>
  </r>
  <r>
    <x v="1"/>
    <s v="FG"/>
    <n v="322429"/>
    <s v="JJ63-0300-R-R-CL"/>
    <s v="24.000 G"/>
    <n v="60104"/>
    <s v="601041000J"/>
    <s v="601041000J90000000"/>
    <x v="2"/>
    <s v="Others"/>
    <n v="10150"/>
    <n v="2030"/>
    <n v="0"/>
    <n v="0"/>
    <n v="0"/>
    <n v="0"/>
    <n v="0"/>
    <n v="0"/>
    <n v="0"/>
    <n v="0"/>
    <n v="0"/>
    <n v="0"/>
    <n v="10150"/>
    <n v="2030"/>
    <n v="0"/>
    <n v="5653.55"/>
    <n v="1884.5166666666701"/>
    <n v="32.315978456014399"/>
    <n v="243.6"/>
    <s v="24.00"/>
    <n v="1884.5166666666701"/>
    <n v="1884.5166666666667"/>
    <n v="1884.5166666666701"/>
    <x v="1"/>
    <x v="2"/>
  </r>
  <r>
    <x v="1"/>
    <s v="FG"/>
    <n v="322435"/>
    <s v="JJ63-0350-NH-R-CL"/>
    <s v="34.500 G"/>
    <n v="60104"/>
    <s v="601041000J"/>
    <s v="601041000J90000000"/>
    <x v="2"/>
    <s v="Others"/>
    <n v="0"/>
    <n v="0"/>
    <n v="2940"/>
    <n v="793.8"/>
    <n v="0"/>
    <n v="0"/>
    <n v="0"/>
    <n v="0"/>
    <n v="0"/>
    <n v="0"/>
    <n v="0"/>
    <n v="0"/>
    <n v="2940"/>
    <n v="793.8"/>
    <n v="0"/>
    <n v="6312.6"/>
    <n v="2104.1999999999998"/>
    <n v="11.317365269461099"/>
    <n v="101.43"/>
    <s v="34.50"/>
    <n v="2104.1999999999998"/>
    <n v="2104.2000000000003"/>
    <n v="2104.1999999999998"/>
    <x v="1"/>
    <x v="2"/>
  </r>
  <r>
    <x v="1"/>
    <s v="FG"/>
    <n v="322436"/>
    <s v="JJ63-0350-R-R-CL"/>
    <s v="32.820 G"/>
    <n v="60104"/>
    <s v="601041000J"/>
    <s v="601041000J90000000"/>
    <x v="2"/>
    <s v="Others"/>
    <n v="0"/>
    <n v="0"/>
    <n v="0"/>
    <n v="0"/>
    <n v="19285"/>
    <n v="4821.25"/>
    <n v="0"/>
    <n v="0"/>
    <n v="0"/>
    <n v="0"/>
    <n v="0"/>
    <n v="0"/>
    <n v="19285"/>
    <n v="4821.25"/>
    <n v="803.61"/>
    <n v="223.3"/>
    <n v="74.433333333333394"/>
    <n v="1943.1818181818201"/>
    <n v="632.93369999999993"/>
    <s v="32.82"/>
    <n v="74.433333333333394"/>
    <n v="74.433333333333337"/>
    <n v="74.433333333333394"/>
    <x v="1"/>
    <x v="2"/>
  </r>
  <r>
    <x v="1"/>
    <s v="FG"/>
    <n v="322438"/>
    <s v="BC28-0355-A-Q-CL"/>
    <s v="23.000 G"/>
    <n v="60104"/>
    <s v="601041000B"/>
    <s v="601041000B90000000"/>
    <x v="1"/>
    <s v="Others"/>
    <n v="35532"/>
    <n v="7817.04"/>
    <n v="0"/>
    <n v="0"/>
    <n v="0"/>
    <n v="0"/>
    <n v="0"/>
    <n v="0"/>
    <n v="0"/>
    <n v="0"/>
    <n v="0"/>
    <n v="0"/>
    <n v="35532"/>
    <n v="7817.04"/>
    <n v="0"/>
    <n v="10862.65"/>
    <n v="3620.88333333333"/>
    <n v="64.766295517207993"/>
    <n v="817.23599999999999"/>
    <s v="23.00"/>
    <n v="3620.88333333333"/>
    <n v="3620.8799999999997"/>
    <n v="3620.88333333333"/>
    <x v="1"/>
    <x v="1"/>
  </r>
  <r>
    <x v="1"/>
    <s v="FG"/>
    <n v="322442"/>
    <s v="JJ63-0400-EH-R-CL"/>
    <s v="34.500 G"/>
    <n v="60104"/>
    <s v="601041000J"/>
    <s v="601041000J90000000"/>
    <x v="2"/>
    <s v="Others"/>
    <n v="0"/>
    <n v="0"/>
    <n v="0"/>
    <n v="0"/>
    <n v="0"/>
    <n v="0"/>
    <n v="6180"/>
    <n v="1545"/>
    <n v="660"/>
    <n v="165"/>
    <n v="0"/>
    <n v="0"/>
    <n v="6840"/>
    <n v="1710"/>
    <n v="1195.08"/>
    <n v="2066.4"/>
    <n v="688.8"/>
    <n v="74.477351916376307"/>
    <n v="235.98"/>
    <s v="34.50"/>
    <n v="688.8"/>
    <n v="688.80000000000007"/>
    <n v="688.8"/>
    <x v="1"/>
    <x v="2"/>
  </r>
  <r>
    <x v="1"/>
    <s v="FG"/>
    <n v="322444"/>
    <s v="JJ63-0400-RH-R-CL"/>
    <s v="34.500 G"/>
    <n v="60104"/>
    <s v="601041000J"/>
    <s v="601041000J90000000"/>
    <x v="2"/>
    <s v="Others"/>
    <n v="7476"/>
    <n v="1943.76"/>
    <n v="0"/>
    <n v="0"/>
    <n v="0"/>
    <n v="0"/>
    <n v="0"/>
    <n v="0"/>
    <n v="0"/>
    <n v="0"/>
    <n v="0"/>
    <n v="0"/>
    <n v="7476"/>
    <n v="1943.76"/>
    <n v="0"/>
    <n v="7636.44"/>
    <n v="2545.48"/>
    <n v="22.908370916290799"/>
    <n v="257.92200000000003"/>
    <s v="34.50"/>
    <n v="2545.48"/>
    <n v="2545.48"/>
    <n v="2545.48"/>
    <x v="1"/>
    <x v="2"/>
  </r>
  <r>
    <x v="1"/>
    <s v="FG"/>
    <n v="322445"/>
    <s v="JJ63-0400-SH-S-CL"/>
    <s v="33.000 G"/>
    <n v="60104"/>
    <s v="601041000J"/>
    <s v="601041000J90000000"/>
    <x v="2"/>
    <s v="Others"/>
    <n v="83700"/>
    <n v="22599"/>
    <n v="0"/>
    <n v="0"/>
    <n v="0"/>
    <n v="0"/>
    <n v="0"/>
    <n v="0"/>
    <n v="0"/>
    <n v="0"/>
    <n v="0"/>
    <n v="0"/>
    <n v="83700"/>
    <n v="22599"/>
    <n v="0"/>
    <n v="25137"/>
    <n v="8379"/>
    <n v="80.912996777658407"/>
    <n v="2762.1"/>
    <s v="33.00"/>
    <n v="8379"/>
    <n v="8379"/>
    <n v="8379"/>
    <x v="1"/>
    <x v="2"/>
  </r>
  <r>
    <x v="1"/>
    <s v="FG"/>
    <n v="322448"/>
    <s v="BCY28-0500-W-R-CL"/>
    <s v="40.600 G"/>
    <n v="60104"/>
    <s v="601041000B"/>
    <s v="601041000B90000000"/>
    <x v="1"/>
    <s v="Others"/>
    <n v="25110"/>
    <n v="8537.4"/>
    <n v="0"/>
    <n v="0"/>
    <n v="0"/>
    <n v="0"/>
    <n v="0"/>
    <n v="0"/>
    <n v="0"/>
    <n v="0"/>
    <n v="0"/>
    <n v="0"/>
    <n v="25110"/>
    <n v="8537.4"/>
    <n v="0"/>
    <n v="88063.2"/>
    <n v="29354.400000000001"/>
    <n v="8.7251655629139098"/>
    <n v="1019.466"/>
    <s v="40.60"/>
    <n v="29354.400000000001"/>
    <n v="29354.399999999998"/>
    <n v="29354.400000000001"/>
    <x v="1"/>
    <x v="1"/>
  </r>
  <r>
    <x v="1"/>
    <s v="FG"/>
    <n v="322451"/>
    <s v="BC28-0500-WNHP-R-BR"/>
    <s v="45.600 G"/>
    <n v="60104"/>
    <s v="601041000B"/>
    <s v="601041000B90000000"/>
    <x v="1"/>
    <s v="Others"/>
    <n v="0"/>
    <n v="0"/>
    <n v="4032"/>
    <n v="1653.12"/>
    <n v="0"/>
    <n v="0"/>
    <n v="0"/>
    <n v="0"/>
    <n v="0"/>
    <n v="0"/>
    <n v="0"/>
    <n v="0"/>
    <n v="4032"/>
    <n v="1653.12"/>
    <n v="0"/>
    <n v="9681.84"/>
    <n v="3227.28"/>
    <n v="15.3669963560646"/>
    <n v="183.85920000000002"/>
    <s v="45.60"/>
    <n v="3227.28"/>
    <n v="3227.28"/>
    <n v="3227.28"/>
    <x v="1"/>
    <x v="1"/>
  </r>
  <r>
    <x v="1"/>
    <s v="FG"/>
    <n v="322452"/>
    <s v="JJ63-0500-RH-R-CL"/>
    <s v="34.500 G"/>
    <n v="60104"/>
    <s v="601041000J"/>
    <s v="601041000J90000000"/>
    <x v="2"/>
    <s v="Others"/>
    <n v="29942"/>
    <n v="7485.5"/>
    <n v="0"/>
    <n v="0"/>
    <n v="0"/>
    <n v="0"/>
    <n v="0"/>
    <n v="0"/>
    <n v="0"/>
    <n v="0"/>
    <n v="0"/>
    <n v="0"/>
    <n v="29942"/>
    <n v="7485.5"/>
    <n v="0"/>
    <n v="14426.88"/>
    <n v="4808.96"/>
    <n v="46.697206880489802"/>
    <n v="1032.999"/>
    <s v="34.50"/>
    <n v="4808.96"/>
    <n v="4809.7933333333331"/>
    <n v="4808.96"/>
    <x v="1"/>
    <x v="2"/>
  </r>
  <r>
    <x v="1"/>
    <s v="FG"/>
    <n v="322454"/>
    <s v="JJ63-0500-S-Q-CL"/>
    <s v="34.500 G"/>
    <n v="60104"/>
    <s v="601041000J"/>
    <s v="601041000J90000000"/>
    <x v="2"/>
    <s v="Others"/>
    <m/>
    <m/>
    <m/>
    <m/>
    <m/>
    <m/>
    <m/>
    <m/>
    <m/>
    <m/>
    <m/>
    <m/>
    <m/>
    <m/>
    <m/>
    <n v="2772"/>
    <n v="924"/>
    <m/>
    <n v="0"/>
    <s v="34.50"/>
    <n v="924"/>
    <n v="924"/>
    <n v="924"/>
    <x v="1"/>
    <x v="2"/>
  </r>
  <r>
    <x v="1"/>
    <s v="FG"/>
    <n v="322471"/>
    <s v="JJ63-0750-HX-H-CL-LW"/>
    <s v="34.500 G"/>
    <n v="60104"/>
    <s v="601041000J"/>
    <s v="601041000J90000000"/>
    <x v="2"/>
    <s v="Others"/>
    <n v="2772"/>
    <n v="776.16"/>
    <n v="0"/>
    <n v="0"/>
    <n v="0"/>
    <n v="0"/>
    <n v="0"/>
    <n v="0"/>
    <n v="0"/>
    <n v="0"/>
    <n v="0"/>
    <n v="0"/>
    <n v="2772"/>
    <n v="776.16"/>
    <n v="0"/>
    <n v="7743.12"/>
    <n v="2581.04"/>
    <n v="9.0214797136038207"/>
    <n v="95.634"/>
    <s v="34.50"/>
    <n v="2581.04"/>
    <n v="2581.04"/>
    <n v="2581.04"/>
    <x v="1"/>
    <x v="2"/>
  </r>
  <r>
    <x v="1"/>
    <s v="FG"/>
    <n v="322474"/>
    <s v="JJ63-0850-RH-R-CL"/>
    <s v="44.000 G"/>
    <n v="60104"/>
    <s v="601041000J"/>
    <s v="601041000J90000000"/>
    <x v="2"/>
    <s v="Others"/>
    <n v="14520"/>
    <n v="5227.2"/>
    <n v="0"/>
    <n v="0"/>
    <n v="0"/>
    <n v="0"/>
    <n v="0"/>
    <n v="0"/>
    <n v="0"/>
    <n v="0"/>
    <n v="0"/>
    <n v="0"/>
    <n v="14520"/>
    <n v="5227.2"/>
    <n v="0"/>
    <n v="9932.8700000000008"/>
    <n v="3310.9566666666701"/>
    <n v="47.3627461146678"/>
    <n v="638.88"/>
    <s v="44.00"/>
    <n v="3310.9566666666701"/>
    <n v="3310.9599999999996"/>
    <n v="3310.9566666666701"/>
    <x v="1"/>
    <x v="2"/>
  </r>
  <r>
    <x v="1"/>
    <s v="FG"/>
    <n v="322477"/>
    <s v="JJ63-1000-E-R-CL"/>
    <s v="44.000 G"/>
    <n v="60104"/>
    <s v="601041000J"/>
    <s v="601041000J90000000"/>
    <x v="2"/>
    <s v="Others"/>
    <n v="37440"/>
    <n v="13104"/>
    <n v="16335"/>
    <n v="5717.25"/>
    <n v="0"/>
    <n v="0"/>
    <n v="0"/>
    <n v="0"/>
    <n v="0"/>
    <n v="0"/>
    <n v="0"/>
    <n v="0"/>
    <n v="53775"/>
    <n v="18821.25"/>
    <n v="0"/>
    <n v="20774.45"/>
    <n v="6924.8166666666702"/>
    <n v="81.538259737321596"/>
    <n v="2366.1"/>
    <s v="44.00"/>
    <n v="6924.8166666666702"/>
    <n v="6924.82"/>
    <n v="6924.8166666666702"/>
    <x v="1"/>
    <x v="2"/>
  </r>
  <r>
    <x v="1"/>
    <s v="FG"/>
    <n v="322493"/>
    <s v="BC28-0280-HD-R-CL-LW"/>
    <s v="23.000 G"/>
    <n v="60104"/>
    <s v="601041000B"/>
    <s v="601041000B90000000"/>
    <x v="1"/>
    <s v="Others"/>
    <m/>
    <m/>
    <m/>
    <m/>
    <m/>
    <m/>
    <m/>
    <m/>
    <m/>
    <m/>
    <m/>
    <m/>
    <m/>
    <m/>
    <m/>
    <n v="18972"/>
    <n v="6324"/>
    <m/>
    <n v="0"/>
    <s v="23.00"/>
    <n v="6324"/>
    <n v="6324"/>
    <n v="6324"/>
    <x v="1"/>
    <x v="1"/>
  </r>
  <r>
    <x v="1"/>
    <s v="FG"/>
    <n v="322503"/>
    <s v="BC28-0500-CSD-R-CL"/>
    <s v="44.000 G"/>
    <n v="60104"/>
    <s v="601041000B"/>
    <s v="601041000B90000000"/>
    <x v="1"/>
    <s v="Others"/>
    <n v="29584"/>
    <n v="10650.24"/>
    <n v="0"/>
    <n v="0"/>
    <n v="0"/>
    <n v="0"/>
    <n v="0"/>
    <n v="0"/>
    <n v="0"/>
    <n v="0"/>
    <n v="0"/>
    <n v="0"/>
    <n v="29584"/>
    <n v="10650.24"/>
    <n v="0"/>
    <n v="5225.3599999999997"/>
    <n v="1741.78666666667"/>
    <n v="183.43647136273901"/>
    <n v="1301.6959999999999"/>
    <s v="44.00"/>
    <n v="1741.78666666667"/>
    <n v="1741.7866666666666"/>
    <n v="1741.78666666667"/>
    <x v="1"/>
    <x v="1"/>
  </r>
  <r>
    <x v="1"/>
    <s v="FG"/>
    <n v="322506"/>
    <s v="BB38-0500-R-R-CL"/>
    <s v="32.000 G"/>
    <n v="60104"/>
    <s v="601041000B"/>
    <s v="601041000B90000000"/>
    <x v="1"/>
    <s v="Others"/>
    <n v="13860"/>
    <n v="3880.8"/>
    <n v="0"/>
    <n v="0"/>
    <n v="0"/>
    <n v="0"/>
    <n v="0"/>
    <n v="0"/>
    <n v="0"/>
    <n v="0"/>
    <n v="0"/>
    <n v="0"/>
    <n v="13860"/>
    <n v="3880.8"/>
    <n v="0"/>
    <n v="3224.76"/>
    <n v="1074.92"/>
    <n v="108.309455587393"/>
    <n v="443.52"/>
    <s v="32.00"/>
    <n v="1074.92"/>
    <n v="1074.92"/>
    <n v="1074.92"/>
    <x v="1"/>
    <x v="1"/>
  </r>
  <r>
    <x v="1"/>
    <s v="FG"/>
    <n v="322509"/>
    <s v="BB38-0500-S-S-CL"/>
    <s v="32.000 G"/>
    <n v="60104"/>
    <s v="601041000B"/>
    <s v="601041000B90000000"/>
    <x v="1"/>
    <s v="Others"/>
    <n v="0"/>
    <n v="0"/>
    <n v="0"/>
    <n v="0"/>
    <n v="37440"/>
    <n v="10483.200000000001"/>
    <n v="29952"/>
    <n v="8386.56"/>
    <n v="0"/>
    <n v="0"/>
    <n v="0"/>
    <n v="0"/>
    <n v="67392"/>
    <n v="18869.759999999998"/>
    <n v="6173.93"/>
    <n v="349.44"/>
    <n v="116.48"/>
    <n v="4860"/>
    <n v="2156.5439999999999"/>
    <s v="32.00"/>
    <n v="116.48"/>
    <n v="116.48"/>
    <n v="116.48"/>
    <x v="1"/>
    <x v="1"/>
  </r>
  <r>
    <x v="1"/>
    <s v="FG"/>
    <n v="322517"/>
    <s v="BB38-1000-HC-S-CL"/>
    <s v="45.300 G"/>
    <n v="60104"/>
    <s v="601041000B"/>
    <s v="601041000B90000000"/>
    <x v="1"/>
    <s v="Others"/>
    <n v="16250"/>
    <n v="5525"/>
    <n v="0"/>
    <n v="0"/>
    <n v="0"/>
    <n v="0"/>
    <n v="0"/>
    <n v="0"/>
    <n v="0"/>
    <n v="0"/>
    <n v="0"/>
    <n v="0"/>
    <n v="16250"/>
    <n v="5525"/>
    <n v="0"/>
    <n v="8125"/>
    <n v="2708.3333333333298"/>
    <n v="61.2"/>
    <n v="736.125"/>
    <s v="45.30"/>
    <n v="2708.3333333333298"/>
    <n v="2708.3333333333335"/>
    <n v="2708.3333333333298"/>
    <x v="1"/>
    <x v="1"/>
  </r>
  <r>
    <x v="1"/>
    <s v="FG"/>
    <n v="322527"/>
    <s v="BB38-1000-S-S-CL"/>
    <s v="45.300 G"/>
    <n v="60104"/>
    <s v="601041000B"/>
    <s v="601041000B90000000"/>
    <x v="1"/>
    <s v="Others"/>
    <n v="10780"/>
    <n v="3880.8"/>
    <n v="0"/>
    <n v="0"/>
    <n v="0"/>
    <n v="0"/>
    <n v="530"/>
    <n v="190.8"/>
    <n v="0"/>
    <n v="0"/>
    <n v="0"/>
    <n v="0"/>
    <n v="11310"/>
    <n v="4071.6"/>
    <n v="84.81"/>
    <n v="8354.5"/>
    <n v="2784.8333333333298"/>
    <n v="43.861870848046003"/>
    <n v="512.34299999999996"/>
    <s v="45.30"/>
    <n v="2784.8333333333298"/>
    <n v="2784.8333333333335"/>
    <n v="2784.8333333333298"/>
    <x v="1"/>
    <x v="1"/>
  </r>
  <r>
    <x v="1"/>
    <s v="FG"/>
    <n v="322535"/>
    <s v="Z-HANDLE - YELLOW"/>
    <s v="11.390 G"/>
    <n v="60106"/>
    <s v="601061000C"/>
    <s v="601061000C90000000"/>
    <x v="3"/>
    <s v="Others"/>
    <n v="0"/>
    <n v="0"/>
    <n v="0"/>
    <n v="0"/>
    <n v="359"/>
    <n v="40.93"/>
    <n v="0"/>
    <n v="0"/>
    <n v="0"/>
    <n v="0"/>
    <n v="0"/>
    <n v="0"/>
    <n v="359"/>
    <n v="40.93"/>
    <n v="4.55"/>
    <m/>
    <m/>
    <n v="0"/>
    <n v="4.08901"/>
    <s v="11.39"/>
    <n v="0"/>
    <n v="0"/>
    <n v="0"/>
    <x v="2"/>
    <x v="3"/>
  </r>
  <r>
    <x v="1"/>
    <s v="FG"/>
    <n v="322537"/>
    <s v="Z-HANDLE - RED"/>
    <s v="11.390 G"/>
    <n v="60106"/>
    <s v="601061000C"/>
    <s v="601061000C90000000"/>
    <x v="3"/>
    <s v="Others"/>
    <n v="0"/>
    <n v="0"/>
    <n v="0"/>
    <n v="0"/>
    <n v="38909"/>
    <n v="4478.82"/>
    <n v="0"/>
    <n v="0"/>
    <n v="0"/>
    <n v="0"/>
    <n v="0"/>
    <n v="0"/>
    <n v="38909"/>
    <n v="4478.82"/>
    <n v="325.01"/>
    <m/>
    <m/>
    <n v="0"/>
    <n v="443.17351000000002"/>
    <s v="11.39"/>
    <n v="0"/>
    <n v="0"/>
    <n v="0"/>
    <x v="2"/>
    <x v="3"/>
  </r>
  <r>
    <x v="1"/>
    <s v="FG"/>
    <n v="322540"/>
    <s v="Z-HANDLE - GREEN"/>
    <s v="11.390 G"/>
    <n v="60106"/>
    <s v="601061000C"/>
    <s v="601061000C90000000"/>
    <x v="3"/>
    <s v="Others"/>
    <n v="103507"/>
    <n v="10857.88"/>
    <n v="0"/>
    <n v="0"/>
    <n v="0"/>
    <n v="0"/>
    <n v="0"/>
    <n v="0"/>
    <n v="0"/>
    <n v="0"/>
    <n v="0"/>
    <n v="0"/>
    <n v="103507"/>
    <n v="10857.88"/>
    <n v="0"/>
    <m/>
    <m/>
    <n v="0"/>
    <n v="1178.9447299999999"/>
    <s v="11.39"/>
    <n v="0"/>
    <n v="10743.913333333334"/>
    <n v="10743.913333333334"/>
    <x v="2"/>
    <x v="3"/>
  </r>
  <r>
    <x v="1"/>
    <s v="FG"/>
    <n v="322542"/>
    <s v="Z-HANDLE - WHITE"/>
    <s v="11.390 G"/>
    <n v="60106"/>
    <s v="601061000C"/>
    <s v="601061000C90000000"/>
    <x v="3"/>
    <s v="Others"/>
    <n v="37936"/>
    <n v="4257.18"/>
    <n v="0"/>
    <n v="0"/>
    <n v="0"/>
    <n v="0"/>
    <n v="0"/>
    <n v="0"/>
    <n v="0"/>
    <n v="0"/>
    <n v="0"/>
    <n v="0"/>
    <n v="37936"/>
    <n v="4257.18"/>
    <n v="0"/>
    <m/>
    <m/>
    <n v="0"/>
    <n v="432.09104000000002"/>
    <s v="11.39"/>
    <n v="0"/>
    <n v="313.60666666666668"/>
    <n v="313.60666666666668"/>
    <x v="2"/>
    <x v="3"/>
  </r>
  <r>
    <x v="1"/>
    <s v="FG"/>
    <n v="322550"/>
    <s v="BB38-2000-K2-S-CL"/>
    <s v="74.000 G"/>
    <n v="60104"/>
    <s v="601041000B"/>
    <s v="601041000B90000000"/>
    <x v="1"/>
    <s v="Others"/>
    <n v="0"/>
    <n v="0"/>
    <n v="0"/>
    <n v="0"/>
    <n v="864"/>
    <n v="578.88"/>
    <n v="0"/>
    <n v="0"/>
    <n v="0"/>
    <n v="0"/>
    <n v="0"/>
    <n v="0"/>
    <n v="864"/>
    <n v="578.88"/>
    <n v="128.65"/>
    <n v="1615.68"/>
    <n v="538.55999999999995"/>
    <n v="32.245989304812802"/>
    <n v="63.936"/>
    <s v="74.00"/>
    <n v="538.55999999999995"/>
    <n v="538.56000000000006"/>
    <n v="538.55999999999995"/>
    <x v="1"/>
    <x v="1"/>
  </r>
  <r>
    <x v="1"/>
    <s v="FG"/>
    <n v="322551"/>
    <s v="C38-T/E-C/S-WHITE"/>
    <s v="3.700 G"/>
    <n v="60105"/>
    <s v="601051000C"/>
    <s v="601051000C90000000"/>
    <x v="4"/>
    <s v="Others"/>
    <n v="13500"/>
    <n v="946.22"/>
    <n v="0"/>
    <n v="0"/>
    <n v="0"/>
    <n v="0"/>
    <n v="0"/>
    <n v="0"/>
    <n v="0"/>
    <n v="0"/>
    <n v="0"/>
    <n v="0"/>
    <n v="13500"/>
    <n v="946.22"/>
    <n v="0"/>
    <n v="3925.11"/>
    <n v="1308.3699999999999"/>
    <n v="21.6961562860659"/>
    <n v="49.95"/>
    <s v="3.700"/>
    <n v="1308.3699999999999"/>
    <n v="1308.3700000000001"/>
    <n v="1308.3699999999999"/>
    <x v="3"/>
    <x v="3"/>
  </r>
  <r>
    <x v="1"/>
    <s v="FG"/>
    <n v="322552"/>
    <s v="C63-T/E-R/S-WHITE"/>
    <s v="7.300 G"/>
    <n v="60105"/>
    <s v="601051000C"/>
    <s v="601051000C90000000"/>
    <x v="4"/>
    <s v="Others"/>
    <n v="6500"/>
    <n v="631.54"/>
    <n v="0"/>
    <n v="0"/>
    <n v="0"/>
    <n v="0"/>
    <n v="0"/>
    <n v="0"/>
    <n v="0"/>
    <n v="0"/>
    <n v="0"/>
    <n v="0"/>
    <n v="6500"/>
    <n v="631.54"/>
    <n v="0"/>
    <n v="4424.34"/>
    <n v="1474.78"/>
    <n v="12.846797488439"/>
    <n v="47.45"/>
    <s v="7.300"/>
    <n v="1474.78"/>
    <n v="1474.78"/>
    <n v="1474.78"/>
    <x v="3"/>
    <x v="3"/>
  </r>
  <r>
    <x v="1"/>
    <s v="FG"/>
    <n v="322557"/>
    <s v="C63-T/E-R/S-WHITE WITH P.E WAD (ASEM) -V"/>
    <s v="6.500 G"/>
    <n v="60105"/>
    <s v="601051000C"/>
    <s v="601051000C90000000"/>
    <x v="4"/>
    <s v="Others"/>
    <m/>
    <m/>
    <m/>
    <m/>
    <m/>
    <m/>
    <m/>
    <m/>
    <m/>
    <m/>
    <m/>
    <m/>
    <m/>
    <m/>
    <m/>
    <n v="1100.18"/>
    <n v="366.72666666666697"/>
    <m/>
    <n v="0"/>
    <s v="6.500"/>
    <n v="366.72666666666697"/>
    <n v="366.72666666666669"/>
    <n v="366.72666666666697"/>
    <x v="3"/>
    <x v="3"/>
  </r>
  <r>
    <x v="1"/>
    <s v="FG"/>
    <n v="322558"/>
    <s v="C38-T/E-I/L-C/S-WHITE"/>
    <s v="3.750 G"/>
    <n v="60105"/>
    <s v="601051000C"/>
    <s v="601051000C90000000"/>
    <x v="4"/>
    <s v="Others"/>
    <m/>
    <m/>
    <m/>
    <m/>
    <m/>
    <m/>
    <m/>
    <m/>
    <m/>
    <m/>
    <m/>
    <m/>
    <m/>
    <m/>
    <m/>
    <n v="17458.37"/>
    <n v="5819.4566666666697"/>
    <m/>
    <n v="0"/>
    <s v="3.750"/>
    <n v="5819.4566666666697"/>
    <n v="5819.456666666666"/>
    <n v="5819.4566666666697"/>
    <x v="3"/>
    <x v="3"/>
  </r>
  <r>
    <x v="1"/>
    <s v="FG"/>
    <n v="322567"/>
    <s v="C38-T/E-C/S-YELLOW - V"/>
    <s v="3.700 G"/>
    <n v="60105"/>
    <s v="601051000C"/>
    <s v="601051000C90000000"/>
    <x v="4"/>
    <s v="Others"/>
    <n v="0"/>
    <n v="0"/>
    <n v="27000"/>
    <n v="1657.26"/>
    <n v="0"/>
    <n v="0"/>
    <n v="0"/>
    <n v="0"/>
    <n v="0"/>
    <n v="0"/>
    <n v="0"/>
    <n v="0"/>
    <n v="27000"/>
    <n v="1657.26"/>
    <n v="0"/>
    <n v="1473.18"/>
    <n v="491.06"/>
    <n v="101.24587626766601"/>
    <n v="99.9"/>
    <s v="3.700"/>
    <n v="491.06"/>
    <n v="491.06"/>
    <n v="491.06"/>
    <x v="3"/>
    <x v="3"/>
  </r>
  <r>
    <x v="1"/>
    <s v="FG"/>
    <n v="322568"/>
    <s v="C63-T/E-R/S-YELLOW"/>
    <s v="7.300 G"/>
    <n v="60105"/>
    <s v="601051000C"/>
    <s v="601051000C90000000"/>
    <x v="4"/>
    <s v="Others"/>
    <n v="123000"/>
    <n v="14211.42"/>
    <n v="0"/>
    <n v="0"/>
    <n v="0"/>
    <n v="0"/>
    <n v="0"/>
    <n v="0"/>
    <n v="0"/>
    <n v="0"/>
    <n v="0"/>
    <n v="0"/>
    <n v="123000"/>
    <n v="14211.42"/>
    <n v="0"/>
    <n v="18261.89"/>
    <n v="6087.2966666666698"/>
    <n v="70.038084776548303"/>
    <n v="897.9"/>
    <s v="7.300"/>
    <n v="6087.2966666666698"/>
    <n v="6087.293333333334"/>
    <n v="6087.2966666666698"/>
    <x v="3"/>
    <x v="3"/>
  </r>
  <r>
    <x v="1"/>
    <s v="FG"/>
    <n v="322571"/>
    <s v="C38-T/E-I/L-R/S-YELLOW – V"/>
    <s v="3.870 G"/>
    <n v="60105"/>
    <s v="601051000C"/>
    <s v="601051000C90000000"/>
    <x v="4"/>
    <s v="Others"/>
    <n v="16500"/>
    <n v="1190.81"/>
    <n v="0"/>
    <n v="0"/>
    <n v="0"/>
    <n v="0"/>
    <n v="0"/>
    <n v="0"/>
    <n v="0"/>
    <n v="0"/>
    <n v="0"/>
    <n v="0"/>
    <n v="16500"/>
    <n v="1190.81"/>
    <n v="0"/>
    <m/>
    <m/>
    <n v="0"/>
    <n v="63.854999999999997"/>
    <s v="3.870"/>
    <n v="0"/>
    <n v="0"/>
    <n v="0"/>
    <x v="3"/>
    <x v="3"/>
  </r>
  <r>
    <x v="1"/>
    <s v="FG"/>
    <n v="322573"/>
    <s v="C38-T/E-I/L-C/S-YELLOW"/>
    <s v="3.750 G"/>
    <n v="60105"/>
    <s v="601051000C"/>
    <s v="601051000C90000000"/>
    <x v="4"/>
    <s v="Others"/>
    <n v="39600"/>
    <n v="2956.14"/>
    <n v="0"/>
    <n v="0"/>
    <n v="6600"/>
    <n v="492.69"/>
    <n v="0"/>
    <n v="0"/>
    <n v="0"/>
    <n v="0"/>
    <n v="0"/>
    <n v="0"/>
    <n v="46200"/>
    <n v="3448.83"/>
    <n v="54.75"/>
    <n v="411.17"/>
    <n v="137.05666666666701"/>
    <n v="754.90599995135801"/>
    <n v="173.25"/>
    <s v="3.750"/>
    <n v="137.05666666666701"/>
    <n v="137.05666666666667"/>
    <n v="137.05666666666701"/>
    <x v="3"/>
    <x v="3"/>
  </r>
  <r>
    <x v="1"/>
    <s v="FG"/>
    <n v="322574"/>
    <s v="C38-T/E-I/L-C/S-YELLOW(24433374)NESTLE V"/>
    <s v="4.700 G"/>
    <n v="60105"/>
    <s v="601051000C"/>
    <s v="601051000C90000000"/>
    <x v="4"/>
    <s v="Others"/>
    <m/>
    <m/>
    <m/>
    <m/>
    <m/>
    <m/>
    <m/>
    <m/>
    <m/>
    <m/>
    <m/>
    <m/>
    <m/>
    <m/>
    <m/>
    <n v="49576.160000000003"/>
    <n v="16525.386666666702"/>
    <m/>
    <n v="0"/>
    <s v="4.700"/>
    <n v="16525.386666666702"/>
    <n v="17676.046666666665"/>
    <n v="16525.386666666702"/>
    <x v="3"/>
    <x v="3"/>
  </r>
  <r>
    <x v="1"/>
    <s v="FG"/>
    <n v="322580"/>
    <s v="C38-T/E-C/S-ORANGE"/>
    <s v="3.700 G"/>
    <n v="60105"/>
    <s v="601051000C"/>
    <s v="601051000C90000000"/>
    <x v="4"/>
    <s v="Others"/>
    <n v="0"/>
    <n v="0"/>
    <n v="0"/>
    <n v="0"/>
    <n v="0"/>
    <n v="0"/>
    <n v="24000"/>
    <n v="1592.4"/>
    <n v="0"/>
    <n v="0"/>
    <n v="0"/>
    <n v="0"/>
    <n v="24000"/>
    <n v="1592.4"/>
    <n v="1327.11"/>
    <n v="199.04"/>
    <n v="66.346666666666707"/>
    <n v="720.03617363343994"/>
    <n v="88.8"/>
    <s v="3.700"/>
    <n v="66.346666666666707"/>
    <n v="66.346666666666664"/>
    <n v="66.346666666666707"/>
    <x v="3"/>
    <x v="3"/>
  </r>
  <r>
    <x v="1"/>
    <s v="FG"/>
    <n v="322581"/>
    <s v="C63-T/E-R/S-ORANGE"/>
    <s v="7.300 G"/>
    <n v="60105"/>
    <s v="601051000C"/>
    <s v="601051000C90000000"/>
    <x v="4"/>
    <s v="Others"/>
    <m/>
    <m/>
    <m/>
    <m/>
    <m/>
    <m/>
    <m/>
    <m/>
    <m/>
    <m/>
    <m/>
    <m/>
    <m/>
    <m/>
    <m/>
    <n v="883.34"/>
    <n v="294.446666666667"/>
    <m/>
    <n v="0"/>
    <s v="7.300"/>
    <n v="294.446666666667"/>
    <n v="294.44666666666666"/>
    <n v="294.446666666667"/>
    <x v="3"/>
    <x v="3"/>
  </r>
  <r>
    <x v="1"/>
    <s v="FG"/>
    <n v="322583"/>
    <s v="C38-T/E-I/L-C/S-ORANGE"/>
    <s v="3.750 G"/>
    <n v="60105"/>
    <s v="601051000C"/>
    <s v="601051000C90000000"/>
    <x v="4"/>
    <s v="Others"/>
    <n v="0"/>
    <n v="0"/>
    <n v="18700"/>
    <n v="1245.6099999999999"/>
    <n v="0"/>
    <n v="0"/>
    <n v="0"/>
    <n v="0"/>
    <n v="0"/>
    <n v="0"/>
    <n v="0"/>
    <n v="0"/>
    <n v="18700"/>
    <n v="1245.6099999999999"/>
    <n v="0"/>
    <n v="219.81"/>
    <n v="73.27"/>
    <n v="510.00818889040499"/>
    <n v="70.125"/>
    <s v="3.750"/>
    <n v="73.27"/>
    <n v="73.27"/>
    <n v="73.27"/>
    <x v="3"/>
    <x v="3"/>
  </r>
  <r>
    <x v="1"/>
    <s v="FG"/>
    <n v="322593"/>
    <s v="C28-ALFA PLAIN WHITE PLASTIC CAPS"/>
    <s v="3.300 G"/>
    <n v="60105"/>
    <s v="601051000C"/>
    <s v="601051000C90000000"/>
    <x v="4"/>
    <s v="Others"/>
    <n v="0"/>
    <n v="0"/>
    <n v="0"/>
    <n v="0"/>
    <n v="0"/>
    <n v="0"/>
    <n v="0"/>
    <n v="0"/>
    <n v="15900"/>
    <n v="159"/>
    <n v="0"/>
    <n v="0"/>
    <n v="15900"/>
    <n v="159"/>
    <n v="159"/>
    <m/>
    <m/>
    <n v="0"/>
    <n v="52.47"/>
    <s v="3.300"/>
    <n v="0"/>
    <n v="0"/>
    <n v="0"/>
    <x v="3"/>
    <x v="3"/>
  </r>
  <r>
    <x v="1"/>
    <s v="FG"/>
    <n v="322595"/>
    <s v="C28-C/S-FLIP TOP RED"/>
    <s v="4.850 G"/>
    <n v="60106"/>
    <s v="601061000C"/>
    <s v="601061000C90000000"/>
    <x v="3"/>
    <s v="Others"/>
    <n v="46200"/>
    <n v="3736.66"/>
    <n v="0"/>
    <n v="0"/>
    <n v="0"/>
    <n v="0"/>
    <n v="0"/>
    <n v="0"/>
    <n v="0"/>
    <n v="0"/>
    <n v="0"/>
    <n v="0"/>
    <n v="46200"/>
    <n v="3736.66"/>
    <n v="0"/>
    <n v="10226.459999999999"/>
    <n v="3408.82"/>
    <n v="32.885221278917598"/>
    <n v="224.06999999999996"/>
    <s v="4.850"/>
    <n v="3408.82"/>
    <n v="3408.8166666666671"/>
    <n v="3408.82"/>
    <x v="2"/>
    <x v="3"/>
  </r>
  <r>
    <x v="1"/>
    <s v="FG"/>
    <n v="322597"/>
    <s v="C28-C/S-FLIP TOP YELLOW (V)"/>
    <s v="4.850 G"/>
    <n v="60106"/>
    <s v="601061000C"/>
    <s v="601061000C90000000"/>
    <x v="3"/>
    <s v="Others"/>
    <n v="46200"/>
    <n v="4034.18"/>
    <n v="0"/>
    <n v="0"/>
    <n v="0"/>
    <n v="0"/>
    <n v="0"/>
    <n v="0"/>
    <n v="0"/>
    <n v="0"/>
    <n v="0"/>
    <n v="0"/>
    <n v="46200"/>
    <n v="4034.18"/>
    <n v="0"/>
    <n v="7718.67"/>
    <n v="2572.89"/>
    <n v="47.038699672352898"/>
    <n v="224.06999999999996"/>
    <s v="4.850"/>
    <n v="2572.89"/>
    <n v="2572.89"/>
    <n v="2572.89"/>
    <x v="2"/>
    <x v="3"/>
  </r>
  <r>
    <x v="1"/>
    <s v="FG"/>
    <n v="322605"/>
    <s v="C28-C/S-FLIP TOP BLACK"/>
    <s v="4.850 G"/>
    <n v="60106"/>
    <s v="601061000C"/>
    <s v="601061000C90000000"/>
    <x v="3"/>
    <s v="Others"/>
    <n v="15400"/>
    <n v="1120.5"/>
    <n v="0"/>
    <n v="0"/>
    <n v="0"/>
    <n v="0"/>
    <n v="0"/>
    <n v="0"/>
    <n v="0"/>
    <n v="0"/>
    <n v="0"/>
    <n v="0"/>
    <n v="15400"/>
    <n v="1120.5"/>
    <n v="0"/>
    <n v="4510.53"/>
    <n v="1503.51"/>
    <n v="22.357683021729201"/>
    <n v="74.69"/>
    <s v="4.850"/>
    <n v="1503.51"/>
    <n v="1503.51"/>
    <n v="1503.51"/>
    <x v="2"/>
    <x v="3"/>
  </r>
  <r>
    <x v="1"/>
    <s v="FG"/>
    <n v="322614"/>
    <s v="C38-T/E-C/S-RED"/>
    <s v="3.700 G"/>
    <n v="60105"/>
    <s v="601051000C"/>
    <s v="601051000C90000000"/>
    <x v="4"/>
    <s v="Others"/>
    <n v="57000"/>
    <n v="4235.1000000000004"/>
    <n v="0"/>
    <n v="0"/>
    <n v="0"/>
    <n v="0"/>
    <n v="0"/>
    <n v="0"/>
    <n v="0"/>
    <n v="0"/>
    <n v="0"/>
    <n v="0"/>
    <n v="57000"/>
    <n v="4235.1000000000004"/>
    <n v="0"/>
    <n v="5453.75"/>
    <n v="1817.9166666666699"/>
    <n v="69.889342195736901"/>
    <n v="210.9"/>
    <s v="3.700"/>
    <n v="1817.9166666666699"/>
    <n v="1817.9166666666667"/>
    <n v="1817.9166666666699"/>
    <x v="3"/>
    <x v="3"/>
  </r>
  <r>
    <x v="1"/>
    <s v="FG"/>
    <n v="322617"/>
    <s v="C63-T/E-R/S-RED"/>
    <s v="7.300 G"/>
    <n v="60105"/>
    <s v="601051000C"/>
    <s v="601051000C90000000"/>
    <x v="4"/>
    <s v="Others"/>
    <n v="1500"/>
    <n v="188.41"/>
    <n v="0"/>
    <n v="0"/>
    <n v="0"/>
    <n v="0"/>
    <n v="0"/>
    <n v="0"/>
    <n v="0"/>
    <n v="0"/>
    <n v="0"/>
    <n v="0"/>
    <n v="1500"/>
    <n v="188.41"/>
    <n v="0"/>
    <n v="15666.62"/>
    <n v="5222.2066666666697"/>
    <n v="1.0823585431956599"/>
    <n v="10.95"/>
    <s v="7.300"/>
    <n v="5222.2066666666697"/>
    <n v="5238.7366666666667"/>
    <n v="5222.2066666666697"/>
    <x v="3"/>
    <x v="3"/>
  </r>
  <r>
    <x v="1"/>
    <s v="FG"/>
    <n v="322620"/>
    <s v="C38-T/E-I/L-C/S-RED"/>
    <s v="3.750 G"/>
    <n v="60105"/>
    <s v="601051000C"/>
    <s v="601051000C90000000"/>
    <x v="4"/>
    <s v="Others"/>
    <n v="0"/>
    <n v="0"/>
    <n v="9900"/>
    <n v="639.84"/>
    <n v="0"/>
    <n v="0"/>
    <n v="0"/>
    <n v="0"/>
    <n v="0"/>
    <n v="0"/>
    <n v="0"/>
    <n v="0"/>
    <n v="9900"/>
    <n v="639.84"/>
    <n v="0"/>
    <n v="355.47"/>
    <n v="118.49"/>
    <n v="161.99848088446299"/>
    <n v="37.125"/>
    <s v="3.750"/>
    <n v="118.49"/>
    <n v="118.49000000000001"/>
    <n v="118.49"/>
    <x v="3"/>
    <x v="3"/>
  </r>
  <r>
    <x v="1"/>
    <s v="FG"/>
    <n v="322623"/>
    <s v="C110-HANDLE CAP PINK"/>
    <s v="48.260 G"/>
    <n v="60105"/>
    <s v="601051000C"/>
    <s v="601051000C90000000"/>
    <x v="4"/>
    <s v="Others"/>
    <m/>
    <m/>
    <m/>
    <m/>
    <m/>
    <m/>
    <m/>
    <m/>
    <m/>
    <m/>
    <m/>
    <m/>
    <m/>
    <m/>
    <m/>
    <n v="3170.59"/>
    <n v="1056.86333333333"/>
    <m/>
    <n v="0"/>
    <s v="48.26"/>
    <n v="1056.86333333333"/>
    <n v="1056.8633333333335"/>
    <n v="1056.86333333333"/>
    <x v="3"/>
    <x v="3"/>
  </r>
  <r>
    <x v="1"/>
    <s v="FG"/>
    <n v="322632"/>
    <s v="C63-T/E-R/S-GOLD"/>
    <s v="7.300 G"/>
    <n v="60105"/>
    <s v="601051000C"/>
    <s v="601051000C90000000"/>
    <x v="4"/>
    <s v="Others"/>
    <n v="24000"/>
    <n v="2956.8"/>
    <n v="0"/>
    <n v="0"/>
    <n v="0"/>
    <n v="0"/>
    <n v="0"/>
    <n v="0"/>
    <n v="0"/>
    <n v="0"/>
    <n v="0"/>
    <n v="0"/>
    <n v="24000"/>
    <n v="2956.8"/>
    <n v="0"/>
    <n v="26010.01"/>
    <n v="8670.0033333333395"/>
    <n v="10.231137934972001"/>
    <n v="175.2"/>
    <s v="7.300"/>
    <n v="8670.0033333333395"/>
    <n v="8670.0033333333322"/>
    <n v="8670.0033333333395"/>
    <x v="3"/>
    <x v="3"/>
  </r>
  <r>
    <x v="1"/>
    <s v="FG"/>
    <n v="322635"/>
    <s v="C63-T/E-R/S-BLUE"/>
    <s v="7.300 G"/>
    <n v="60105"/>
    <s v="601051000C"/>
    <s v="601051000C90000000"/>
    <x v="4"/>
    <s v="Others"/>
    <m/>
    <m/>
    <m/>
    <m/>
    <m/>
    <m/>
    <m/>
    <m/>
    <m/>
    <m/>
    <m/>
    <m/>
    <m/>
    <m/>
    <m/>
    <n v="2218.4699999999998"/>
    <n v="739.49"/>
    <m/>
    <n v="0"/>
    <s v="7.300"/>
    <n v="739.49"/>
    <n v="739.4899999999999"/>
    <n v="739.49"/>
    <x v="3"/>
    <x v="3"/>
  </r>
  <r>
    <x v="1"/>
    <s v="FG"/>
    <n v="322639"/>
    <s v="C38-T/E-C/S-GREEN"/>
    <s v="3.700 G"/>
    <n v="60105"/>
    <s v="601051000C"/>
    <s v="601051000C90000000"/>
    <x v="4"/>
    <s v="Others"/>
    <n v="31500"/>
    <n v="1935.99"/>
    <n v="0"/>
    <n v="0"/>
    <n v="0"/>
    <n v="0"/>
    <n v="0"/>
    <n v="0"/>
    <n v="0"/>
    <n v="0"/>
    <n v="0"/>
    <n v="0"/>
    <n v="31500"/>
    <n v="1935.99"/>
    <n v="0"/>
    <n v="3318.67"/>
    <n v="1106.2233333333299"/>
    <n v="52.502689330364298"/>
    <n v="116.55"/>
    <s v="3.700"/>
    <n v="1106.2233333333299"/>
    <n v="1136.9533333333334"/>
    <n v="1106.2233333333299"/>
    <x v="3"/>
    <x v="3"/>
  </r>
  <r>
    <x v="1"/>
    <s v="FG"/>
    <n v="322640"/>
    <s v="C63-T/E-R/S-GREEN"/>
    <s v="7.300 G"/>
    <n v="60105"/>
    <s v="601051000C"/>
    <s v="601051000C90000000"/>
    <x v="4"/>
    <s v="Others"/>
    <n v="36500"/>
    <n v="4459.57"/>
    <n v="0"/>
    <n v="0"/>
    <n v="0"/>
    <n v="0"/>
    <n v="0"/>
    <n v="0"/>
    <n v="0"/>
    <n v="0"/>
    <n v="0"/>
    <n v="0"/>
    <n v="36500"/>
    <n v="4459.57"/>
    <n v="0"/>
    <n v="4227.8999999999996"/>
    <n v="1409.3"/>
    <n v="94.931597246860207"/>
    <n v="266.45"/>
    <s v="7.300"/>
    <n v="1409.3"/>
    <n v="1409.3"/>
    <n v="1409.3"/>
    <x v="3"/>
    <x v="3"/>
  </r>
  <r>
    <x v="1"/>
    <s v="FG"/>
    <n v="322643"/>
    <s v="C38-T/E-I/L-C/S-GREEN"/>
    <s v="3.750 G"/>
    <n v="60105"/>
    <s v="601051000C"/>
    <s v="601051000C90000000"/>
    <x v="4"/>
    <s v="Others"/>
    <n v="114400"/>
    <n v="6998.99"/>
    <n v="0"/>
    <n v="0"/>
    <n v="0"/>
    <n v="0"/>
    <n v="0"/>
    <n v="0"/>
    <n v="0"/>
    <n v="0"/>
    <n v="0"/>
    <n v="0"/>
    <n v="114400"/>
    <n v="6998.99"/>
    <n v="0"/>
    <n v="18630.79"/>
    <n v="6210.2633333333297"/>
    <n v="33.810112185258902"/>
    <n v="429"/>
    <s v="3.750"/>
    <n v="6210.2633333333297"/>
    <n v="6210.2633333333333"/>
    <n v="6210.2633333333297"/>
    <x v="3"/>
    <x v="3"/>
  </r>
  <r>
    <x v="1"/>
    <s v="FG"/>
    <n v="322644"/>
    <s v="C38-T/E-R/S-GREEN - V"/>
    <s v="3.300 G"/>
    <n v="60105"/>
    <s v="601051000C"/>
    <s v="601051000C90000000"/>
    <x v="4"/>
    <s v="Others"/>
    <n v="22500"/>
    <n v="1601.33"/>
    <n v="0"/>
    <n v="0"/>
    <n v="0"/>
    <n v="0"/>
    <n v="0"/>
    <n v="0"/>
    <n v="0"/>
    <n v="0"/>
    <n v="0"/>
    <n v="0"/>
    <n v="22500"/>
    <n v="1601.33"/>
    <n v="0"/>
    <m/>
    <m/>
    <n v="0"/>
    <n v="74.25"/>
    <s v="3.300"/>
    <n v="0"/>
    <n v="0"/>
    <n v="0"/>
    <x v="3"/>
    <x v="3"/>
  </r>
  <r>
    <x v="1"/>
    <s v="FG"/>
    <n v="322646"/>
    <s v="C63-D/C 7H RED"/>
    <s v="13.200 G"/>
    <n v="60106"/>
    <s v="601061000C"/>
    <s v="601061000C40000000"/>
    <x v="5"/>
    <s v="Food &amp; Beverage"/>
    <n v="14400"/>
    <n v="3072.24"/>
    <n v="0"/>
    <n v="0"/>
    <n v="1800"/>
    <n v="384.03"/>
    <n v="0"/>
    <n v="0"/>
    <n v="0"/>
    <n v="0"/>
    <n v="0"/>
    <n v="0"/>
    <n v="16200"/>
    <n v="3456.27"/>
    <n v="85.35"/>
    <m/>
    <m/>
    <n v="0"/>
    <n v="213.84"/>
    <s v="13.20"/>
    <n v="0"/>
    <n v="0"/>
    <n v="0"/>
    <x v="2"/>
    <x v="3"/>
  </r>
  <r>
    <x v="1"/>
    <s v="FG"/>
    <n v="322647"/>
    <s v="C63-D/C 7H BLACK"/>
    <s v="13.200 G"/>
    <n v="60106"/>
    <s v="601061000C"/>
    <s v="601061000C40000000"/>
    <x v="5"/>
    <s v="Food &amp; Beverage"/>
    <n v="900"/>
    <n v="186.54"/>
    <n v="0"/>
    <n v="0"/>
    <n v="0"/>
    <n v="0"/>
    <n v="0"/>
    <n v="0"/>
    <n v="0"/>
    <n v="0"/>
    <n v="0"/>
    <n v="0"/>
    <n v="900"/>
    <n v="186.54"/>
    <n v="0"/>
    <n v="6839.99"/>
    <n v="2279.9966666666701"/>
    <n v="2.4544772726275901"/>
    <n v="11.88"/>
    <s v="13.20"/>
    <n v="2279.9966666666701"/>
    <n v="2279.9900000000002"/>
    <n v="2279.9966666666701"/>
    <x v="2"/>
    <x v="3"/>
  </r>
  <r>
    <x v="1"/>
    <s v="FG"/>
    <n v="322656"/>
    <s v="C63-D/C 3H RED"/>
    <s v="15.100 G"/>
    <n v="60106"/>
    <s v="601061000C"/>
    <s v="601061000C40000000"/>
    <x v="5"/>
    <s v="Food &amp; Beverage"/>
    <n v="0"/>
    <n v="0"/>
    <n v="0"/>
    <n v="0"/>
    <n v="1800"/>
    <n v="383.96"/>
    <n v="0"/>
    <n v="0"/>
    <n v="0"/>
    <n v="0"/>
    <n v="0"/>
    <n v="0"/>
    <n v="1800"/>
    <n v="383.96"/>
    <n v="85.33"/>
    <m/>
    <m/>
    <n v="0"/>
    <n v="27.18"/>
    <s v="15.10"/>
    <n v="0"/>
    <n v="0"/>
    <n v="0"/>
    <x v="2"/>
    <x v="3"/>
  </r>
  <r>
    <x v="1"/>
    <s v="FG"/>
    <n v="322671"/>
    <s v="C38-T/E-C/S-BLACK - V"/>
    <s v="3.700 G"/>
    <n v="60105"/>
    <s v="601051000C"/>
    <s v="601051000C90000000"/>
    <x v="4"/>
    <s v="Others"/>
    <n v="0"/>
    <n v="0"/>
    <n v="0"/>
    <n v="0"/>
    <n v="30000"/>
    <n v="1827.6"/>
    <n v="0"/>
    <n v="0"/>
    <n v="0"/>
    <n v="0"/>
    <n v="0"/>
    <n v="0"/>
    <n v="30000"/>
    <n v="1827.6"/>
    <n v="609.25"/>
    <n v="1370.72"/>
    <n v="456.90666666666698"/>
    <n v="119.99824909536601"/>
    <n v="111"/>
    <s v="3.700"/>
    <n v="456.90666666666698"/>
    <n v="456.90666666666669"/>
    <n v="456.90666666666698"/>
    <x v="3"/>
    <x v="3"/>
  </r>
  <r>
    <x v="1"/>
    <s v="FG"/>
    <n v="322672"/>
    <s v="C63-T/E-R/S-BLACK"/>
    <s v="7.300 G"/>
    <n v="60105"/>
    <s v="601051000C"/>
    <s v="601051000C90000000"/>
    <x v="4"/>
    <s v="Others"/>
    <n v="20500"/>
    <n v="1864.48"/>
    <n v="0"/>
    <n v="0"/>
    <n v="0"/>
    <n v="0"/>
    <n v="0"/>
    <n v="0"/>
    <n v="0"/>
    <n v="0"/>
    <n v="0"/>
    <n v="0"/>
    <n v="20500"/>
    <n v="1864.48"/>
    <n v="0"/>
    <n v="7642.44"/>
    <n v="2547.48"/>
    <n v="21.956757266004001"/>
    <n v="149.65"/>
    <s v="7.300"/>
    <n v="2547.48"/>
    <n v="2547.48"/>
    <n v="2547.48"/>
    <x v="3"/>
    <x v="3"/>
  </r>
  <r>
    <x v="1"/>
    <s v="FG"/>
    <n v="322677"/>
    <s v="C38-T/E-I/L-C/S-BLACK"/>
    <s v="3.750 G"/>
    <n v="60105"/>
    <s v="601051000C"/>
    <s v="601051000C90000000"/>
    <x v="4"/>
    <s v="Others"/>
    <n v="0"/>
    <n v="0"/>
    <n v="0"/>
    <n v="0"/>
    <n v="53901"/>
    <n v="3286.88"/>
    <n v="0"/>
    <n v="0"/>
    <n v="0"/>
    <n v="0"/>
    <n v="0"/>
    <n v="0"/>
    <n v="53901"/>
    <n v="3286.88"/>
    <n v="380.15"/>
    <n v="1945.19"/>
    <n v="648.39666666666699"/>
    <n v="152.077277798056"/>
    <n v="202.12875"/>
    <s v="3.750"/>
    <n v="648.39666666666699"/>
    <n v="648.39666666666665"/>
    <n v="648.39666666666699"/>
    <x v="3"/>
    <x v="3"/>
  </r>
  <r>
    <x v="1"/>
    <s v="FG"/>
    <n v="322679"/>
    <s v="C63-T/E-R/S-BRONZE"/>
    <s v="7.300 G"/>
    <n v="60105"/>
    <s v="601051000C"/>
    <s v="601051000C90000000"/>
    <x v="4"/>
    <s v="Others"/>
    <n v="0"/>
    <n v="0"/>
    <n v="1000"/>
    <n v="97.87"/>
    <n v="0"/>
    <n v="0"/>
    <n v="0"/>
    <n v="0"/>
    <n v="0"/>
    <n v="0"/>
    <n v="0"/>
    <n v="0"/>
    <n v="1000"/>
    <n v="97.87"/>
    <n v="0"/>
    <n v="2300.06"/>
    <n v="766.68666666666604"/>
    <n v="3.8295957496761002"/>
    <n v="7.3"/>
    <s v="7.300"/>
    <n v="766.68666666666604"/>
    <n v="766.68666666666661"/>
    <n v="766.68666666666604"/>
    <x v="3"/>
    <x v="3"/>
  </r>
  <r>
    <x v="1"/>
    <s v="FG"/>
    <n v="322685"/>
    <s v="C28-EZY CAP YELLOW"/>
    <s v="6.400 G"/>
    <n v="60105"/>
    <s v="601051000C"/>
    <s v="601051000C90000000"/>
    <x v="4"/>
    <s v="Others"/>
    <n v="196000"/>
    <n v="32502.68"/>
    <n v="0"/>
    <n v="0"/>
    <n v="0"/>
    <n v="0"/>
    <n v="0"/>
    <n v="0"/>
    <n v="0"/>
    <n v="0"/>
    <n v="0"/>
    <n v="0"/>
    <n v="196000"/>
    <n v="32502.68"/>
    <n v="0"/>
    <n v="109694.19"/>
    <n v="36564.730000000003"/>
    <n v="26.6672391673616"/>
    <n v="1254.4000000000001"/>
    <s v="6.400"/>
    <n v="36564.730000000003"/>
    <n v="36564.73333333333"/>
    <n v="36564.730000000003"/>
    <x v="3"/>
    <x v="3"/>
  </r>
  <r>
    <x v="1"/>
    <s v="FG"/>
    <n v="322694"/>
    <s v="C63-BUNG CLEAR"/>
    <s v="2.800 G"/>
    <n v="60105"/>
    <s v="601051000C"/>
    <s v="601051000C90000000"/>
    <x v="4"/>
    <s v="Others"/>
    <n v="273000"/>
    <n v="11637.99"/>
    <n v="0"/>
    <n v="0"/>
    <n v="0"/>
    <n v="0"/>
    <n v="0"/>
    <n v="0"/>
    <n v="0"/>
    <n v="0"/>
    <n v="0"/>
    <n v="0"/>
    <n v="273000"/>
    <n v="11637.99"/>
    <n v="0"/>
    <n v="8861.19"/>
    <n v="2953.73"/>
    <n v="118.202984023591"/>
    <n v="764.4"/>
    <s v="2.800"/>
    <n v="2953.73"/>
    <n v="2953.7366666666662"/>
    <n v="2953.73"/>
    <x v="3"/>
    <x v="3"/>
  </r>
  <r>
    <x v="1"/>
    <s v="FG"/>
    <n v="322695"/>
    <s v="C63-BUNG WHITE"/>
    <s v="2.800 G"/>
    <n v="60105"/>
    <s v="601051000C"/>
    <s v="601051000C90000000"/>
    <x v="4"/>
    <s v="Others"/>
    <n v="22400"/>
    <n v="960.74"/>
    <n v="0"/>
    <n v="0"/>
    <n v="0"/>
    <n v="0"/>
    <n v="0"/>
    <n v="0"/>
    <n v="0"/>
    <n v="0"/>
    <n v="0"/>
    <n v="0"/>
    <n v="22400"/>
    <n v="960.74"/>
    <n v="0"/>
    <n v="780.66"/>
    <n v="260.22000000000003"/>
    <n v="110.760894627623"/>
    <n v="62.719999999999992"/>
    <s v="2.800"/>
    <n v="260.22000000000003"/>
    <n v="260.21666666666664"/>
    <n v="260.22000000000003"/>
    <x v="3"/>
    <x v="3"/>
  </r>
  <r>
    <x v="1"/>
    <s v="FG"/>
    <n v="322698"/>
    <s v="C63-BUNG GOLD"/>
    <s v="2.800 G"/>
    <n v="60105"/>
    <s v="601051000C"/>
    <s v="601051000C90000000"/>
    <x v="4"/>
    <s v="Others"/>
    <n v="46200"/>
    <n v="2163.5500000000002"/>
    <n v="0"/>
    <n v="0"/>
    <n v="0"/>
    <n v="0"/>
    <n v="0"/>
    <n v="0"/>
    <n v="0"/>
    <n v="0"/>
    <n v="0"/>
    <n v="0"/>
    <n v="46200"/>
    <n v="2163.5500000000002"/>
    <n v="0"/>
    <n v="1916.64"/>
    <n v="638.88"/>
    <n v="101.59419609316301"/>
    <n v="129.35999999999999"/>
    <s v="2.800"/>
    <n v="638.88"/>
    <n v="638.88"/>
    <n v="638.88"/>
    <x v="3"/>
    <x v="3"/>
  </r>
  <r>
    <x v="1"/>
    <s v="FG"/>
    <n v="322851"/>
    <s v="Z-37.5MM PE WAD (1.0MM)"/>
    <s v="0.000 G"/>
    <n v="65400"/>
    <s v="65400S0001"/>
    <s v="#"/>
    <x v="6"/>
    <s v="LABEL, IML, STICKER,"/>
    <n v="0"/>
    <n v="0"/>
    <n v="0"/>
    <n v="0"/>
    <n v="23700"/>
    <n v="823.34"/>
    <n v="0"/>
    <n v="0"/>
    <n v="0"/>
    <n v="0"/>
    <n v="0"/>
    <n v="0"/>
    <n v="23700"/>
    <n v="823.34"/>
    <n v="245.51"/>
    <m/>
    <m/>
    <n v="0"/>
    <n v="0"/>
    <s v="0.000"/>
    <n v="0"/>
    <n v="0"/>
    <n v="0"/>
    <x v="4"/>
    <x v="4"/>
  </r>
  <r>
    <x v="1"/>
    <s v="FG"/>
    <n v="322852"/>
    <s v="Z-62MM PE WAD (0.55M)"/>
    <s v="0.000 G"/>
    <n v="65400"/>
    <s v="65400S0001"/>
    <s v="#"/>
    <x v="6"/>
    <s v="LABEL, IML, STICKER,"/>
    <n v="10000"/>
    <n v="538.9"/>
    <n v="0"/>
    <n v="0"/>
    <n v="0"/>
    <n v="0"/>
    <n v="10800"/>
    <n v="582.01"/>
    <n v="0"/>
    <n v="0"/>
    <n v="0"/>
    <n v="0"/>
    <n v="20800"/>
    <n v="1120.9100000000001"/>
    <n v="291.02999999999997"/>
    <m/>
    <m/>
    <n v="0"/>
    <n v="0"/>
    <s v="0.000"/>
    <n v="0"/>
    <n v="0"/>
    <n v="0"/>
    <x v="4"/>
    <x v="4"/>
  </r>
  <r>
    <x v="1"/>
    <s v="FG"/>
    <n v="322853"/>
    <s v="Z-61.5MM PE WAD (1.0MM)"/>
    <s v="0.000 G"/>
    <n v="65400"/>
    <s v="65400S0001"/>
    <s v="#"/>
    <x v="6"/>
    <s v="LABEL, IML, STICKER,"/>
    <n v="33600"/>
    <n v="2419.1999999999998"/>
    <n v="0"/>
    <n v="0"/>
    <n v="0"/>
    <n v="0"/>
    <n v="0"/>
    <n v="0"/>
    <n v="0"/>
    <n v="0"/>
    <n v="0"/>
    <n v="0"/>
    <n v="33600"/>
    <n v="2419.1999999999998"/>
    <n v="0"/>
    <n v="10367.98"/>
    <n v="3455.9933333333302"/>
    <n v="21.000040509337399"/>
    <n v="0"/>
    <s v="0.000"/>
    <n v="3455.9933333333302"/>
    <n v="3455.9933333333333"/>
    <n v="3455.9933333333302"/>
    <x v="4"/>
    <x v="4"/>
  </r>
  <r>
    <x v="1"/>
    <s v="FG"/>
    <n v="322855"/>
    <s v="Z-37.5MM PE WAD (0.5MM)"/>
    <s v="0.000 G"/>
    <n v="65400"/>
    <s v="65400S0001"/>
    <s v="#"/>
    <x v="6"/>
    <s v="LABEL, IML, STICKER,"/>
    <n v="0"/>
    <n v="0"/>
    <n v="10000"/>
    <n v="281.89999999999998"/>
    <n v="17900"/>
    <n v="504.6"/>
    <n v="0"/>
    <n v="0"/>
    <n v="0"/>
    <n v="0"/>
    <n v="0"/>
    <n v="0"/>
    <n v="27900"/>
    <n v="786.5"/>
    <n v="168.21"/>
    <m/>
    <m/>
    <n v="0"/>
    <n v="0"/>
    <s v="0.000"/>
    <n v="0"/>
    <n v="0"/>
    <n v="0"/>
    <x v="4"/>
    <x v="4"/>
  </r>
  <r>
    <x v="1"/>
    <s v="FG"/>
    <n v="322858"/>
    <s v="Z-38.2MM PE WAD (0.5MM)"/>
    <s v="0.000 G"/>
    <n v="65400"/>
    <s v="65400S0001"/>
    <s v="#"/>
    <x v="6"/>
    <s v="LABEL, IML, STICKER,"/>
    <n v="0"/>
    <n v="0"/>
    <n v="0"/>
    <n v="0"/>
    <n v="0"/>
    <n v="0"/>
    <n v="20000"/>
    <n v="360"/>
    <n v="1500"/>
    <n v="27"/>
    <n v="0"/>
    <n v="0"/>
    <n v="21500"/>
    <n v="387"/>
    <n v="347.01"/>
    <m/>
    <m/>
    <n v="0"/>
    <n v="0"/>
    <s v="0.000"/>
    <n v="0"/>
    <n v="0"/>
    <n v="0"/>
    <x v="4"/>
    <x v="4"/>
  </r>
  <r>
    <x v="1"/>
    <s v="FG"/>
    <n v="322862"/>
    <s v="Z-62MM ACTIVATED SEAL WAD"/>
    <s v="0.000 G"/>
    <n v="65400"/>
    <s v="65400S0001"/>
    <s v="#"/>
    <x v="6"/>
    <s v="LABEL, IML, STICKER,"/>
    <n v="300000"/>
    <n v="48000"/>
    <n v="17400"/>
    <n v="2784"/>
    <n v="0"/>
    <n v="0"/>
    <n v="0"/>
    <n v="0"/>
    <n v="0"/>
    <n v="0"/>
    <n v="0"/>
    <n v="0"/>
    <n v="317400"/>
    <n v="50784"/>
    <n v="0"/>
    <m/>
    <m/>
    <n v="0"/>
    <n v="0"/>
    <s v="0.000"/>
    <n v="0"/>
    <n v="2736"/>
    <n v="2736"/>
    <x v="4"/>
    <x v="4"/>
  </r>
  <r>
    <x v="1"/>
    <s v="FG"/>
    <n v="322863"/>
    <s v="Z-62.2MM UNIGARD PEELABLE I/INNERSEAL"/>
    <s v="0.000 G"/>
    <n v="65400"/>
    <s v="65400S0001"/>
    <s v="#"/>
    <x v="6"/>
    <s v="LABEL, IML, STICKER,"/>
    <n v="0"/>
    <n v="0"/>
    <n v="0"/>
    <n v="0"/>
    <n v="0"/>
    <n v="0"/>
    <n v="10000"/>
    <n v="1500"/>
    <n v="5800"/>
    <n v="870"/>
    <n v="0"/>
    <n v="0"/>
    <n v="15800"/>
    <n v="2370"/>
    <n v="2370"/>
    <m/>
    <m/>
    <n v="0"/>
    <n v="0"/>
    <s v="0.000"/>
    <n v="0"/>
    <n v="0"/>
    <n v="0"/>
    <x v="4"/>
    <x v="4"/>
  </r>
  <r>
    <x v="1"/>
    <s v="FG"/>
    <n v="322864"/>
    <s v="Z-61.3MM INDUCTION SEAL W/EAR"/>
    <s v="0.000 G"/>
    <n v="65400"/>
    <s v="65400S0001"/>
    <s v="#"/>
    <x v="6"/>
    <s v="LABEL, IML, STICKER,"/>
    <n v="32100"/>
    <n v="2182.8000000000002"/>
    <n v="0"/>
    <n v="0"/>
    <n v="0"/>
    <n v="0"/>
    <n v="0"/>
    <n v="0"/>
    <n v="0"/>
    <n v="0"/>
    <n v="0"/>
    <n v="0"/>
    <n v="32100"/>
    <n v="2182.8000000000002"/>
    <n v="0"/>
    <n v="5642.57"/>
    <n v="1880.85666666667"/>
    <n v="34.816050133184"/>
    <n v="0"/>
    <s v="0.000"/>
    <n v="1880.85666666667"/>
    <n v="2209.4733333333334"/>
    <n v="1880.85666666667"/>
    <x v="4"/>
    <x v="4"/>
  </r>
  <r>
    <x v="1"/>
    <s v="FG"/>
    <n v="323017"/>
    <s v="Z-37.5MM PAPER WAD"/>
    <s v="0.000 G"/>
    <n v="65400"/>
    <s v="65400S0001"/>
    <s v="#"/>
    <x v="6"/>
    <s v="LABEL, IML, STICKER,"/>
    <n v="0"/>
    <n v="0"/>
    <n v="0"/>
    <n v="0"/>
    <n v="0"/>
    <n v="0"/>
    <n v="29750"/>
    <n v="416.5"/>
    <n v="0"/>
    <n v="0"/>
    <n v="0"/>
    <n v="0"/>
    <n v="29750"/>
    <n v="416.5"/>
    <n v="185.13"/>
    <m/>
    <m/>
    <n v="0"/>
    <n v="0"/>
    <s v="0.000"/>
    <n v="0"/>
    <n v="0"/>
    <n v="0"/>
    <x v="4"/>
    <x v="4"/>
  </r>
  <r>
    <x v="1"/>
    <s v="FG"/>
    <n v="323019"/>
    <s v="Z-62MM PAPER WAD"/>
    <s v="0.000 G"/>
    <n v="65400"/>
    <s v="65400S0001"/>
    <s v="#"/>
    <x v="6"/>
    <s v="LABEL, IML, STICKER,"/>
    <n v="10000"/>
    <n v="300"/>
    <n v="0"/>
    <n v="0"/>
    <n v="0"/>
    <n v="0"/>
    <n v="10000"/>
    <n v="300"/>
    <n v="9000"/>
    <n v="270"/>
    <n v="0"/>
    <n v="0"/>
    <n v="29000"/>
    <n v="870"/>
    <n v="386.68"/>
    <m/>
    <m/>
    <n v="0"/>
    <n v="0"/>
    <s v="0.000"/>
    <n v="0"/>
    <n v="0"/>
    <n v="0"/>
    <x v="4"/>
    <x v="4"/>
  </r>
  <r>
    <x v="1"/>
    <s v="FG"/>
    <n v="323072"/>
    <s v="JJ63-0750-R-R-CL-LW"/>
    <s v="34.500 G"/>
    <n v="60104"/>
    <s v="601041000J"/>
    <s v="601041000J90000000"/>
    <x v="2"/>
    <s v="Others"/>
    <n v="14573"/>
    <n v="4080.44"/>
    <n v="0"/>
    <n v="0"/>
    <n v="0"/>
    <n v="0"/>
    <n v="0"/>
    <n v="0"/>
    <n v="0"/>
    <n v="0"/>
    <n v="0"/>
    <n v="0"/>
    <n v="14573"/>
    <n v="4080.44"/>
    <n v="0"/>
    <n v="309.60000000000002"/>
    <n v="103.2"/>
    <n v="1186.1744186046501"/>
    <n v="502.76850000000002"/>
    <s v="34.50"/>
    <n v="103.2"/>
    <n v="1477.5633333333333"/>
    <n v="103.2"/>
    <x v="1"/>
    <x v="2"/>
  </r>
  <r>
    <x v="1"/>
    <s v="FG"/>
    <n v="323091"/>
    <s v="BX38-1000-RH-R-CL(GREEN) (ASEM)"/>
    <s v="60.000 G"/>
    <n v="60104"/>
    <s v="601041000B"/>
    <s v="601041000B90000000"/>
    <x v="1"/>
    <s v="Others"/>
    <n v="17850"/>
    <n v="8746.5"/>
    <n v="0"/>
    <n v="0"/>
    <n v="0"/>
    <n v="0"/>
    <n v="0"/>
    <n v="0"/>
    <n v="0"/>
    <n v="0"/>
    <n v="0"/>
    <n v="0"/>
    <n v="17850"/>
    <n v="8746.5"/>
    <n v="0"/>
    <n v="17638.439999999999"/>
    <n v="5879.48"/>
    <n v="44.628946777606203"/>
    <n v="1071"/>
    <s v="60.00"/>
    <n v="5879.48"/>
    <n v="5879.48"/>
    <n v="5879.48"/>
    <x v="1"/>
    <x v="1"/>
  </r>
  <r>
    <x v="1"/>
    <s v="FG"/>
    <n v="323092"/>
    <s v="BX38-1000-GH-R-CL(GREEN) (ASEM)"/>
    <s v="47.800 G"/>
    <n v="60104"/>
    <s v="601041000B"/>
    <s v="601041000B90000000"/>
    <x v="1"/>
    <s v="Others"/>
    <n v="27825"/>
    <n v="12799.5"/>
    <n v="0"/>
    <n v="0"/>
    <n v="0"/>
    <n v="0"/>
    <n v="0"/>
    <n v="0"/>
    <n v="0"/>
    <n v="0"/>
    <n v="0"/>
    <n v="0"/>
    <n v="27825"/>
    <n v="12799.5"/>
    <n v="0"/>
    <n v="34753.699999999997"/>
    <n v="11584.5666666667"/>
    <n v="33.146254931129597"/>
    <n v="1330.0350000000001"/>
    <s v="47.80"/>
    <n v="11584.5666666667"/>
    <n v="11584.566666666666"/>
    <n v="11584.5666666667"/>
    <x v="1"/>
    <x v="1"/>
  </r>
  <r>
    <x v="1"/>
    <s v="FG"/>
    <n v="323102"/>
    <s v="BX38-1500-H-R-CL-LW(GREEN) (ASEM)"/>
    <s v="55.000 G"/>
    <n v="60104"/>
    <s v="601041000B"/>
    <s v="601041000B90000000"/>
    <x v="1"/>
    <s v="Others"/>
    <m/>
    <m/>
    <m/>
    <m/>
    <m/>
    <m/>
    <m/>
    <m/>
    <m/>
    <m/>
    <m/>
    <m/>
    <m/>
    <m/>
    <m/>
    <n v="29315.32"/>
    <n v="9771.7733333333308"/>
    <m/>
    <n v="0"/>
    <s v="55.00"/>
    <n v="9771.7733333333308"/>
    <n v="9771.7733333333326"/>
    <n v="9771.7733333333308"/>
    <x v="1"/>
    <x v="1"/>
  </r>
  <r>
    <x v="1"/>
    <s v="FG"/>
    <n v="323107"/>
    <s v="BB38-2000-HR-R-CL(RED) (ASEM)"/>
    <s v="55.000 G"/>
    <n v="60104"/>
    <s v="601041000B"/>
    <s v="601041000B90000000"/>
    <x v="1"/>
    <s v="Others"/>
    <m/>
    <m/>
    <m/>
    <m/>
    <m/>
    <m/>
    <m/>
    <m/>
    <m/>
    <m/>
    <m/>
    <m/>
    <m/>
    <m/>
    <m/>
    <n v="9945.6"/>
    <n v="3315.2"/>
    <m/>
    <n v="0"/>
    <s v="55.00"/>
    <n v="3315.2"/>
    <n v="3315.2000000000003"/>
    <n v="3315.2"/>
    <x v="1"/>
    <x v="1"/>
  </r>
  <r>
    <x v="1"/>
    <s v="FG"/>
    <n v="323111"/>
    <s v="BB38-2000-H-R-CL(WHITE) (ASEM)"/>
    <s v="72.000 G"/>
    <n v="60104"/>
    <s v="601041000B"/>
    <s v="601041000B90000000"/>
    <x v="1"/>
    <s v="Others"/>
    <m/>
    <m/>
    <m/>
    <m/>
    <m/>
    <m/>
    <m/>
    <m/>
    <m/>
    <m/>
    <m/>
    <m/>
    <m/>
    <m/>
    <m/>
    <n v="4084.8"/>
    <n v="1361.6"/>
    <m/>
    <n v="0"/>
    <s v="72.00"/>
    <n v="1361.6"/>
    <n v="1361.6000000000001"/>
    <n v="1361.6"/>
    <x v="1"/>
    <x v="1"/>
  </r>
  <r>
    <x v="1"/>
    <s v="FG"/>
    <n v="323133"/>
    <s v="BX38-2000-RH-R-CL(GREEN) (ASEM)"/>
    <s v="78.000 G"/>
    <n v="60104"/>
    <s v="601041000B"/>
    <s v="601041000B90000000"/>
    <x v="1"/>
    <s v="Others"/>
    <n v="13248"/>
    <n v="8611.2000000000007"/>
    <n v="0"/>
    <n v="0"/>
    <n v="0"/>
    <n v="0"/>
    <n v="0"/>
    <n v="0"/>
    <n v="0"/>
    <n v="0"/>
    <n v="0"/>
    <n v="0"/>
    <n v="13248"/>
    <n v="8611.2000000000007"/>
    <n v="0"/>
    <n v="43707.08"/>
    <n v="14569.026666666699"/>
    <n v="17.731864036673201"/>
    <n v="1033.3440000000001"/>
    <s v="78.00"/>
    <n v="14569.026666666699"/>
    <n v="14569.026666666667"/>
    <n v="14569.026666666699"/>
    <x v="1"/>
    <x v="1"/>
  </r>
  <r>
    <x v="1"/>
    <s v="FG"/>
    <n v="323509"/>
    <s v="C28-C/S-FLIP TOP GREEN"/>
    <s v="4.850 G"/>
    <n v="60106"/>
    <s v="601061000C"/>
    <s v="601061000C90000000"/>
    <x v="3"/>
    <s v="Others"/>
    <m/>
    <m/>
    <m/>
    <m/>
    <m/>
    <m/>
    <m/>
    <m/>
    <m/>
    <m/>
    <m/>
    <m/>
    <m/>
    <m/>
    <m/>
    <n v="2553.8000000000002"/>
    <n v="851.26666666666699"/>
    <m/>
    <n v="0"/>
    <s v="4.850"/>
    <n v="851.26666666666699"/>
    <n v="851.26666666666677"/>
    <n v="851.26666666666699"/>
    <x v="2"/>
    <x v="3"/>
  </r>
  <r>
    <x v="1"/>
    <s v="FG"/>
    <n v="324156"/>
    <s v="C63-T/E-R/S-BROWN"/>
    <s v="7.300 G"/>
    <n v="60105"/>
    <s v="601051000C"/>
    <s v="601051000C90000000"/>
    <x v="4"/>
    <s v="Others"/>
    <n v="26000"/>
    <n v="2813.46"/>
    <n v="0"/>
    <n v="0"/>
    <n v="0"/>
    <n v="0"/>
    <n v="0"/>
    <n v="0"/>
    <n v="0"/>
    <n v="0"/>
    <n v="0"/>
    <n v="0"/>
    <n v="26000"/>
    <n v="2813.46"/>
    <n v="0"/>
    <n v="3246.25"/>
    <n v="1082.0833333333301"/>
    <n v="78.001201386214902"/>
    <n v="189.8"/>
    <s v="7.300"/>
    <n v="1082.0833333333301"/>
    <n v="1082.0833333333333"/>
    <n v="1082.0833333333301"/>
    <x v="3"/>
    <x v="3"/>
  </r>
  <r>
    <x v="1"/>
    <s v="FG"/>
    <n v="324163"/>
    <s v="BC28-0265-A-Q-CL"/>
    <s v="23.500 G"/>
    <n v="60104"/>
    <s v="601041000B"/>
    <s v="601041000B90000000"/>
    <x v="1"/>
    <s v="Others"/>
    <n v="8763"/>
    <n v="1927.86"/>
    <n v="0"/>
    <n v="0"/>
    <n v="0"/>
    <n v="0"/>
    <n v="0"/>
    <n v="0"/>
    <n v="0"/>
    <n v="0"/>
    <n v="0"/>
    <n v="0"/>
    <n v="8763"/>
    <n v="1927.86"/>
    <n v="0"/>
    <n v="24086.83"/>
    <n v="8028.94333333333"/>
    <n v="7.2034136496998604"/>
    <n v="205.93049999999999"/>
    <s v="23.50"/>
    <n v="8028.94333333333"/>
    <n v="8028.94"/>
    <n v="8028.94333333333"/>
    <x v="1"/>
    <x v="1"/>
  </r>
  <r>
    <x v="1"/>
    <s v="FG"/>
    <n v="324165"/>
    <s v="JJ63-0400-SH-S-WH"/>
    <s v="33.000 G"/>
    <n v="60104"/>
    <s v="601041000J"/>
    <s v="601041000J90000000"/>
    <x v="2"/>
    <s v="Others"/>
    <n v="3552"/>
    <n v="1065.5999999999999"/>
    <n v="0"/>
    <n v="0"/>
    <n v="0"/>
    <n v="0"/>
    <n v="0"/>
    <n v="0"/>
    <n v="0"/>
    <n v="0"/>
    <n v="0"/>
    <n v="0"/>
    <n v="3552"/>
    <n v="1065.5999999999999"/>
    <n v="0"/>
    <n v="100892.2"/>
    <n v="33630.733333333301"/>
    <n v="0.95055911160624895"/>
    <n v="117.21599999999999"/>
    <s v="33.00"/>
    <n v="33630.733333333301"/>
    <n v="33630.720000000001"/>
    <n v="33630.733333333301"/>
    <x v="1"/>
    <x v="2"/>
  </r>
  <r>
    <x v="1"/>
    <s v="FG"/>
    <n v="324173"/>
    <s v="JJ63-0600-RH-R-CL"/>
    <s v="34.500 G"/>
    <n v="60104"/>
    <s v="601041000J"/>
    <s v="601041000J90000000"/>
    <x v="2"/>
    <s v="Others"/>
    <n v="30450"/>
    <n v="8221.5"/>
    <n v="0"/>
    <n v="0"/>
    <n v="0"/>
    <n v="0"/>
    <n v="0"/>
    <n v="0"/>
    <n v="0"/>
    <n v="0"/>
    <n v="0"/>
    <n v="0"/>
    <n v="30450"/>
    <n v="8221.5"/>
    <n v="0"/>
    <n v="9145.5"/>
    <n v="3048.5"/>
    <n v="80.907003444316899"/>
    <n v="1050.5250000000001"/>
    <s v="34.50"/>
    <n v="3048.5"/>
    <n v="3048.5"/>
    <n v="3048.5"/>
    <x v="1"/>
    <x v="2"/>
  </r>
  <r>
    <x v="1"/>
    <s v="FG"/>
    <n v="324174"/>
    <s v="JJ63-0250-R-R-CL"/>
    <s v="24.000 G"/>
    <n v="60104"/>
    <s v="601041000J"/>
    <s v="601041000J90000000"/>
    <x v="2"/>
    <s v="Others"/>
    <n v="8120"/>
    <n v="1705.2"/>
    <n v="0"/>
    <n v="0"/>
    <n v="0"/>
    <n v="0"/>
    <n v="0"/>
    <n v="0"/>
    <n v="0"/>
    <n v="0"/>
    <n v="0"/>
    <n v="0"/>
    <n v="8120"/>
    <n v="1705.2"/>
    <n v="0"/>
    <n v="12291.64"/>
    <n v="4097.2133333333304"/>
    <n v="12.4855592907049"/>
    <n v="194.88"/>
    <s v="24.00"/>
    <n v="4097.2133333333304"/>
    <n v="4097.2166666666662"/>
    <n v="4097.2133333333304"/>
    <x v="1"/>
    <x v="2"/>
  </r>
  <r>
    <x v="1"/>
    <s v="FG"/>
    <n v="324177"/>
    <s v="JJ63-0350-EH-R-CL"/>
    <s v="34.500 G"/>
    <n v="60104"/>
    <s v="601041000J"/>
    <s v="601041000J90000000"/>
    <x v="2"/>
    <s v="Others"/>
    <n v="45880"/>
    <n v="12387.6"/>
    <n v="0"/>
    <n v="0"/>
    <n v="0"/>
    <n v="0"/>
    <n v="0"/>
    <n v="0"/>
    <n v="0"/>
    <n v="0"/>
    <n v="0"/>
    <n v="0"/>
    <n v="45880"/>
    <n v="12387.6"/>
    <n v="0"/>
    <n v="6903"/>
    <n v="2301"/>
    <n v="161.507170795306"/>
    <n v="1582.86"/>
    <s v="34.50"/>
    <n v="2301"/>
    <n v="4090.0400000000004"/>
    <n v="2301"/>
    <x v="1"/>
    <x v="2"/>
  </r>
  <r>
    <x v="1"/>
    <s v="FG"/>
    <n v="324198"/>
    <s v="BX38-0100-C-R-CL"/>
    <s v="20.000 G"/>
    <n v="60104"/>
    <s v="601041000B"/>
    <s v="601041000B90000000"/>
    <x v="1"/>
    <s v="Others"/>
    <n v="7920"/>
    <n v="1504.8"/>
    <n v="0"/>
    <n v="0"/>
    <n v="0"/>
    <n v="0"/>
    <n v="0"/>
    <n v="0"/>
    <n v="0"/>
    <n v="0"/>
    <n v="0"/>
    <n v="0"/>
    <n v="7920"/>
    <n v="1504.8"/>
    <n v="0"/>
    <n v="4975.2"/>
    <n v="1658.4"/>
    <n v="27.221418234442801"/>
    <n v="158.4"/>
    <s v="20.00"/>
    <n v="1658.4"/>
    <n v="1658.3999999999999"/>
    <n v="1658.4"/>
    <x v="1"/>
    <x v="1"/>
  </r>
  <r>
    <x v="1"/>
    <s v="FG"/>
    <n v="324203"/>
    <s v="BX38-0300-C-R-AM"/>
    <s v="36.000 G"/>
    <n v="60104"/>
    <s v="601041000B"/>
    <s v="601041000B90000000"/>
    <x v="1"/>
    <s v="Others"/>
    <n v="6200"/>
    <n v="1798"/>
    <n v="0"/>
    <n v="0"/>
    <n v="0"/>
    <n v="0"/>
    <n v="0"/>
    <n v="0"/>
    <n v="0"/>
    <n v="0"/>
    <n v="0"/>
    <n v="0"/>
    <n v="6200"/>
    <n v="1798"/>
    <n v="0"/>
    <n v="359.6"/>
    <n v="119.866666666667"/>
    <n v="450"/>
    <n v="223.2"/>
    <s v="36.00"/>
    <n v="119.866666666667"/>
    <n v="119.86666666666667"/>
    <n v="119.866666666667"/>
    <x v="1"/>
    <x v="1"/>
  </r>
  <r>
    <x v="1"/>
    <s v="FG"/>
    <n v="324206"/>
    <s v="BX38-1000-HC-S-CL"/>
    <s v="48.000 G"/>
    <n v="60104"/>
    <s v="601041000B"/>
    <s v="601041000B90000000"/>
    <x v="1"/>
    <s v="Others"/>
    <n v="0"/>
    <n v="0"/>
    <n v="10400"/>
    <n v="3640"/>
    <n v="0"/>
    <n v="0"/>
    <n v="0"/>
    <n v="0"/>
    <n v="0"/>
    <n v="0"/>
    <n v="0"/>
    <n v="0"/>
    <n v="10400"/>
    <n v="3640"/>
    <n v="0"/>
    <n v="4381"/>
    <n v="1460.3333333333301"/>
    <n v="74.777448071216597"/>
    <n v="499.2"/>
    <s v="48.00"/>
    <n v="1460.3333333333301"/>
    <n v="1460.3333333333333"/>
    <n v="1460.3333333333301"/>
    <x v="1"/>
    <x v="1"/>
  </r>
  <r>
    <x v="1"/>
    <s v="FG"/>
    <n v="324212"/>
    <s v="BB38-0250-S-S-CL"/>
    <s v="16.000 G"/>
    <n v="60104"/>
    <s v="601041000B"/>
    <s v="601041000B90000000"/>
    <x v="1"/>
    <s v="Others"/>
    <m/>
    <m/>
    <m/>
    <m/>
    <m/>
    <m/>
    <m/>
    <m/>
    <m/>
    <m/>
    <m/>
    <m/>
    <m/>
    <m/>
    <m/>
    <n v="1536"/>
    <n v="512"/>
    <m/>
    <n v="0"/>
    <s v="16.00"/>
    <n v="512"/>
    <n v="512"/>
    <n v="512"/>
    <x v="1"/>
    <x v="1"/>
  </r>
  <r>
    <x v="1"/>
    <s v="FG"/>
    <n v="324216"/>
    <s v="JW110-4100-R-R-AM"/>
    <s v="150.150 G"/>
    <n v="60104"/>
    <s v="601041000J"/>
    <s v="601041000J90000000"/>
    <x v="2"/>
    <s v="Others"/>
    <n v="6048"/>
    <n v="9011.52"/>
    <n v="0"/>
    <n v="0"/>
    <n v="0"/>
    <n v="0"/>
    <n v="0"/>
    <n v="0"/>
    <n v="0"/>
    <n v="0"/>
    <n v="0"/>
    <n v="0"/>
    <n v="6048"/>
    <n v="9011.52"/>
    <n v="0"/>
    <n v="8678.8799999999992"/>
    <n v="2892.96"/>
    <n v="93.4494773519164"/>
    <n v="907.80479999999989"/>
    <s v="150.1"/>
    <n v="2892.96"/>
    <n v="2892.9599999999996"/>
    <n v="2892.96"/>
    <x v="1"/>
    <x v="2"/>
  </r>
  <r>
    <x v="1"/>
    <s v="FG"/>
    <n v="324523"/>
    <s v="FREIGHT COST/TRANSPORT COST"/>
    <s v="0.000 G"/>
    <n v="65400"/>
    <s v="65400S0001"/>
    <s v="#"/>
    <x v="6"/>
    <s v="LABEL, IML, STICKER,"/>
    <m/>
    <m/>
    <m/>
    <m/>
    <m/>
    <m/>
    <m/>
    <m/>
    <m/>
    <m/>
    <m/>
    <m/>
    <m/>
    <m/>
    <m/>
    <n v="0"/>
    <n v="0"/>
    <m/>
    <n v="0"/>
    <s v="0.000"/>
    <n v="0"/>
    <n v="121805.30333333333"/>
    <n v="121805.30333333333"/>
    <x v="4"/>
    <x v="4"/>
  </r>
  <r>
    <x v="1"/>
    <s v="FG"/>
    <n v="324638"/>
    <s v="BX38-2000-GH-R-CL (GREEN) (ASEM)"/>
    <s v="77.500 G"/>
    <n v="60104"/>
    <s v="601041000B"/>
    <s v="601041000B90000000"/>
    <x v="1"/>
    <s v="Others"/>
    <n v="26496"/>
    <n v="17222.400000000001"/>
    <n v="0"/>
    <n v="0"/>
    <n v="0"/>
    <n v="0"/>
    <n v="0"/>
    <n v="0"/>
    <n v="0"/>
    <n v="0"/>
    <n v="0"/>
    <n v="0"/>
    <n v="26496"/>
    <n v="17222.400000000001"/>
    <n v="0"/>
    <n v="50319.74"/>
    <n v="16773.246666666699"/>
    <n v="30.8033388089843"/>
    <n v="2053.44"/>
    <s v="77.50"/>
    <n v="16773.246666666699"/>
    <n v="16773.246666666666"/>
    <n v="16773.246666666699"/>
    <x v="1"/>
    <x v="1"/>
  </r>
  <r>
    <x v="1"/>
    <s v="FG"/>
    <n v="324682"/>
    <s v="BB38-0500-R-R-WH"/>
    <s v="33.000 G"/>
    <n v="60104"/>
    <s v="601041000B"/>
    <s v="601041000B90000000"/>
    <x v="1"/>
    <s v="Others"/>
    <n v="9240"/>
    <n v="2864.4"/>
    <n v="0"/>
    <n v="0"/>
    <n v="0"/>
    <n v="0"/>
    <n v="0"/>
    <n v="0"/>
    <n v="0"/>
    <n v="0"/>
    <n v="0"/>
    <n v="0"/>
    <n v="9240"/>
    <n v="2864.4"/>
    <n v="0"/>
    <n v="5082"/>
    <n v="1694"/>
    <n v="50.727272727272698"/>
    <n v="304.92"/>
    <s v="33.00"/>
    <n v="1694"/>
    <n v="1694"/>
    <n v="1694"/>
    <x v="1"/>
    <x v="1"/>
  </r>
  <r>
    <x v="1"/>
    <s v="FG"/>
    <n v="324730"/>
    <s v="INSURANCE &amp; OTHERS"/>
    <s v="0.000 G"/>
    <n v="65400"/>
    <s v="65400S0001"/>
    <s v="#"/>
    <x v="6"/>
    <s v="LABEL, IML, STICKER,"/>
    <m/>
    <m/>
    <m/>
    <m/>
    <m/>
    <m/>
    <m/>
    <m/>
    <m/>
    <m/>
    <m/>
    <m/>
    <m/>
    <m/>
    <m/>
    <n v="0"/>
    <n v="0"/>
    <m/>
    <n v="0"/>
    <s v="0.000"/>
    <n v="0"/>
    <n v="25.066666666666666"/>
    <n v="25.066666666666666"/>
    <x v="4"/>
    <x v="4"/>
  </r>
  <r>
    <x v="1"/>
    <s v="FG"/>
    <n v="325511"/>
    <s v="BC28-0060-M-R-CL-HW"/>
    <s v="18.350 G"/>
    <n v="60104"/>
    <s v="601041000B"/>
    <s v="601041000B90000000"/>
    <x v="1"/>
    <s v="Others"/>
    <n v="0"/>
    <n v="0"/>
    <n v="0"/>
    <n v="0"/>
    <n v="5500"/>
    <n v="990"/>
    <n v="0"/>
    <n v="0"/>
    <n v="0"/>
    <n v="0"/>
    <n v="0"/>
    <n v="0"/>
    <n v="5500"/>
    <n v="990"/>
    <n v="165.01"/>
    <n v="880.01"/>
    <n v="293.33666666666699"/>
    <n v="101.248849444893"/>
    <n v="100.92500000000001"/>
    <s v="18.35"/>
    <n v="293.33666666666699"/>
    <n v="293.33333333333331"/>
    <n v="293.33666666666699"/>
    <x v="1"/>
    <x v="1"/>
  </r>
  <r>
    <x v="1"/>
    <s v="FG"/>
    <n v="329667"/>
    <s v="BB38-1000-R-R-WH-HW"/>
    <s v="56.000 G"/>
    <n v="60104"/>
    <s v="601041000B"/>
    <s v="601041000B90000000"/>
    <x v="1"/>
    <s v="Others"/>
    <m/>
    <m/>
    <m/>
    <m/>
    <m/>
    <m/>
    <m/>
    <m/>
    <m/>
    <m/>
    <m/>
    <m/>
    <m/>
    <m/>
    <m/>
    <n v="3036"/>
    <n v="1012"/>
    <m/>
    <n v="0"/>
    <s v="56.00"/>
    <n v="1012"/>
    <n v="1012"/>
    <n v="1012"/>
    <x v="1"/>
    <x v="1"/>
  </r>
  <r>
    <x v="1"/>
    <s v="FG"/>
    <n v="337468"/>
    <s v="C28-AF2 PLAIN BLACK 004 PLASTIC CAPS"/>
    <s v="3.300 G"/>
    <n v="60106"/>
    <s v="601061000C"/>
    <s v="601061000C90000000"/>
    <x v="3"/>
    <s v="Others"/>
    <n v="0"/>
    <n v="0"/>
    <n v="0"/>
    <n v="0"/>
    <n v="72000"/>
    <n v="4179.6000000000004"/>
    <n v="0"/>
    <n v="0"/>
    <n v="0"/>
    <n v="0"/>
    <n v="0"/>
    <n v="0"/>
    <n v="72000"/>
    <n v="4179.6000000000004"/>
    <n v="232.22"/>
    <n v="1950.48"/>
    <n v="650.16"/>
    <n v="192.857142857143"/>
    <n v="237.6"/>
    <s v="3.300"/>
    <n v="650.16"/>
    <n v="650.16"/>
    <n v="650.16"/>
    <x v="2"/>
    <x v="3"/>
  </r>
  <r>
    <x v="1"/>
    <s v="FG"/>
    <n v="340460"/>
    <s v="BC28-0150-A3-Q-CL"/>
    <s v="15.050 G"/>
    <n v="60104"/>
    <s v="601041000B"/>
    <s v="601041000B90000000"/>
    <x v="1"/>
    <s v="Others"/>
    <n v="81200"/>
    <n v="13804"/>
    <n v="0"/>
    <n v="0"/>
    <n v="0"/>
    <n v="0"/>
    <n v="0"/>
    <n v="0"/>
    <n v="0"/>
    <n v="0"/>
    <n v="0"/>
    <n v="0"/>
    <n v="81200"/>
    <n v="13804"/>
    <n v="0"/>
    <n v="9744"/>
    <n v="3248"/>
    <n v="127.5"/>
    <n v="1222.06"/>
    <s v="15.05"/>
    <n v="3248"/>
    <n v="3248"/>
    <n v="3248"/>
    <x v="1"/>
    <x v="1"/>
  </r>
  <r>
    <x v="1"/>
    <s v="FG"/>
    <n v="341157"/>
    <s v="C28-AF2 PLAIN WHITE PLASTIC CAPS"/>
    <s v="3.000 G"/>
    <n v="60106"/>
    <s v="601061000C"/>
    <s v="601061000C90000000"/>
    <x v="3"/>
    <s v="Others"/>
    <n v="590400"/>
    <n v="31001.9"/>
    <n v="0"/>
    <n v="0"/>
    <n v="0"/>
    <n v="0"/>
    <n v="0"/>
    <n v="0"/>
    <n v="0"/>
    <n v="0"/>
    <n v="0"/>
    <n v="0"/>
    <n v="590400"/>
    <n v="31001.9"/>
    <n v="0"/>
    <n v="20733.59"/>
    <n v="6911.1966666666704"/>
    <n v="134.57249805750001"/>
    <n v="1771.2"/>
    <s v="3.000"/>
    <n v="6911.1966666666704"/>
    <n v="6911.1966666666667"/>
    <n v="6911.1966666666704"/>
    <x v="2"/>
    <x v="3"/>
  </r>
  <r>
    <x v="1"/>
    <s v="FG"/>
    <n v="347623"/>
    <s v="BC28-0375-K-R-CL"/>
    <s v="35.600 G"/>
    <n v="60104"/>
    <s v="601041000B"/>
    <s v="601041000B90000000"/>
    <x v="1"/>
    <s v="Others"/>
    <n v="20240"/>
    <n v="6072"/>
    <n v="0"/>
    <n v="0"/>
    <n v="0"/>
    <n v="0"/>
    <n v="0"/>
    <n v="0"/>
    <n v="0"/>
    <n v="0"/>
    <n v="0"/>
    <n v="0"/>
    <n v="20240"/>
    <n v="6072"/>
    <n v="0"/>
    <n v="23680.799999999999"/>
    <n v="7893.6"/>
    <n v="23.076923076923102"/>
    <n v="720.54399999999998"/>
    <s v="35.60"/>
    <n v="7893.6"/>
    <n v="7893.5999999999995"/>
    <n v="7893.6"/>
    <x v="1"/>
    <x v="1"/>
  </r>
  <r>
    <x v="1"/>
    <s v="FG"/>
    <n v="365091"/>
    <s v="JX63-1000-E-R-CL"/>
    <s v="44.000 G"/>
    <n v="60104"/>
    <s v="601041000J"/>
    <s v="601041000J90000000"/>
    <x v="2"/>
    <s v="Others"/>
    <n v="17010"/>
    <n v="5953.5"/>
    <n v="0"/>
    <n v="0"/>
    <n v="0"/>
    <n v="0"/>
    <n v="0"/>
    <n v="0"/>
    <n v="0"/>
    <n v="0"/>
    <n v="0"/>
    <n v="0"/>
    <n v="17010"/>
    <n v="5953.5"/>
    <n v="0"/>
    <n v="16228.83"/>
    <n v="5409.61"/>
    <n v="33.016243315137302"/>
    <n v="748.44"/>
    <s v="44.00"/>
    <n v="5409.61"/>
    <n v="5409.5999999999995"/>
    <n v="5409.61"/>
    <x v="1"/>
    <x v="2"/>
  </r>
  <r>
    <x v="1"/>
    <s v="FG"/>
    <n v="365134"/>
    <s v="C63-D/C 7H BLUE W ACT SEAL (ASEM)"/>
    <s v="12.000 G"/>
    <n v="60106"/>
    <s v="601061000C"/>
    <s v="601061000C40000000"/>
    <x v="5"/>
    <s v="Food &amp; Beverage"/>
    <n v="17100"/>
    <n v="7028.44"/>
    <n v="0"/>
    <n v="0"/>
    <n v="0"/>
    <n v="0"/>
    <n v="0"/>
    <n v="0"/>
    <n v="0"/>
    <n v="0"/>
    <n v="0"/>
    <n v="0"/>
    <n v="17100"/>
    <n v="7028.44"/>
    <n v="0"/>
    <n v="21101.09"/>
    <n v="7033.6966666666704"/>
    <n v="29.977579357274902"/>
    <n v="205.2"/>
    <s v="12.00"/>
    <n v="7033.6966666666704"/>
    <n v="7033.7"/>
    <n v="7033.6966666666704"/>
    <x v="2"/>
    <x v="3"/>
  </r>
  <r>
    <x v="1"/>
    <s v="FG"/>
    <n v="369308"/>
    <s v="BW38-0280-LS-R-RED"/>
    <s v="28.000 G"/>
    <n v="60104"/>
    <s v="601041000B"/>
    <s v="601041000B40000000"/>
    <x v="7"/>
    <s v="Food &amp; Beverage"/>
    <n v="17280"/>
    <n v="5356.8"/>
    <n v="0"/>
    <n v="0"/>
    <n v="0"/>
    <n v="0"/>
    <n v="0"/>
    <n v="0"/>
    <n v="0"/>
    <n v="0"/>
    <n v="0"/>
    <n v="0"/>
    <n v="17280"/>
    <n v="5356.8"/>
    <n v="0"/>
    <n v="5011.2"/>
    <n v="1670.4"/>
    <n v="96.2068965517241"/>
    <n v="483.84"/>
    <s v="28.00"/>
    <n v="1670.4"/>
    <n v="1670.3999999999999"/>
    <n v="1670.4"/>
    <x v="1"/>
    <x v="1"/>
  </r>
  <r>
    <x v="1"/>
    <s v="FG"/>
    <n v="384007"/>
    <s v="C28-EZY R/S CAP YELLOW"/>
    <s v="6.400 G"/>
    <n v="60105"/>
    <s v="601051000C"/>
    <s v="601051000C90000000"/>
    <x v="4"/>
    <s v="Others"/>
    <n v="50000"/>
    <n v="8997"/>
    <n v="0"/>
    <n v="0"/>
    <n v="0"/>
    <n v="0"/>
    <n v="0"/>
    <n v="0"/>
    <n v="0"/>
    <n v="0"/>
    <n v="0"/>
    <n v="0"/>
    <n v="50000"/>
    <n v="8997"/>
    <n v="0"/>
    <m/>
    <m/>
    <n v="0"/>
    <n v="320"/>
    <s v="6.400"/>
    <n v="0"/>
    <n v="0"/>
    <n v="0"/>
    <x v="3"/>
    <x v="3"/>
  </r>
  <r>
    <x v="1"/>
    <s v="FG"/>
    <n v="387467"/>
    <s v="C63-D/C 6H D.GREEN"/>
    <s v="12.840 G"/>
    <n v="60106"/>
    <s v="601061000C"/>
    <s v="601061000C40000000"/>
    <x v="5"/>
    <s v="Food &amp; Beverage"/>
    <m/>
    <m/>
    <m/>
    <m/>
    <m/>
    <m/>
    <m/>
    <m/>
    <m/>
    <m/>
    <m/>
    <m/>
    <m/>
    <m/>
    <m/>
    <n v="515.77"/>
    <n v="171.92333333333301"/>
    <m/>
    <n v="0"/>
    <s v="12.84"/>
    <n v="171.92333333333301"/>
    <n v="171.92666666666665"/>
    <n v="171.92333333333301"/>
    <x v="2"/>
    <x v="3"/>
  </r>
  <r>
    <x v="1"/>
    <s v="FG"/>
    <n v="400860"/>
    <s v="BX38-0250-RJ-R-CL-HW"/>
    <s v="29.000 G"/>
    <n v="60104"/>
    <s v="601041000B"/>
    <s v="601041000B90000000"/>
    <x v="1"/>
    <s v="Others"/>
    <n v="39501"/>
    <n v="9480.24"/>
    <n v="0"/>
    <n v="0"/>
    <n v="0"/>
    <n v="0"/>
    <n v="0"/>
    <n v="0"/>
    <n v="0"/>
    <n v="0"/>
    <n v="0"/>
    <n v="0"/>
    <n v="39501"/>
    <n v="9480.24"/>
    <n v="0"/>
    <n v="3614.94"/>
    <n v="1204.98"/>
    <n v="236.02649006622499"/>
    <n v="1145.529"/>
    <s v="29.00"/>
    <n v="1204.98"/>
    <n v="1204.98"/>
    <n v="1204.98"/>
    <x v="1"/>
    <x v="1"/>
  </r>
  <r>
    <x v="1"/>
    <s v="FG"/>
    <n v="401602"/>
    <s v="BC28-0280-HD-R-CL-HW"/>
    <s v="30.000 G"/>
    <n v="60104"/>
    <s v="601041000B"/>
    <s v="601041000B90000000"/>
    <x v="1"/>
    <s v="Others"/>
    <n v="0"/>
    <n v="0"/>
    <n v="0"/>
    <n v="0"/>
    <n v="0"/>
    <n v="0"/>
    <n v="0"/>
    <n v="0"/>
    <n v="413"/>
    <n v="128.03"/>
    <n v="0"/>
    <n v="0"/>
    <n v="413"/>
    <n v="128.03"/>
    <n v="128.03"/>
    <n v="11322"/>
    <n v="3774"/>
    <n v="1.0177265500794901"/>
    <n v="12.39"/>
    <s v="30.00"/>
    <n v="3774"/>
    <n v="3774"/>
    <n v="3774"/>
    <x v="1"/>
    <x v="1"/>
  </r>
  <r>
    <x v="1"/>
    <s v="FG"/>
    <n v="402305"/>
    <s v="BX38-0500-S-S-CL-LW"/>
    <s v="29.000 G"/>
    <n v="60104"/>
    <s v="601041000B"/>
    <s v="601041000B90000000"/>
    <x v="1"/>
    <s v="Others"/>
    <n v="24960"/>
    <n v="5990.4"/>
    <n v="0"/>
    <n v="0"/>
    <n v="0"/>
    <n v="0"/>
    <n v="0"/>
    <n v="0"/>
    <n v="0"/>
    <n v="0"/>
    <n v="0"/>
    <n v="0"/>
    <n v="24960"/>
    <n v="5990.4"/>
    <n v="0"/>
    <n v="19818.240000000002"/>
    <n v="6606.08"/>
    <n v="27.204030226700201"/>
    <n v="723.84"/>
    <s v="29.00"/>
    <n v="6606.08"/>
    <n v="6606.0800000000008"/>
    <n v="6606.08"/>
    <x v="1"/>
    <x v="1"/>
  </r>
  <r>
    <x v="1"/>
    <s v="FG"/>
    <n v="409780"/>
    <s v="BX38-0330-LJ-R-CL"/>
    <s v="29.000 G"/>
    <n v="60104"/>
    <s v="601041000B"/>
    <s v="601041000B90000000"/>
    <x v="1"/>
    <s v="Others"/>
    <n v="7050"/>
    <n v="1762.5"/>
    <n v="0"/>
    <n v="0"/>
    <n v="0"/>
    <n v="0"/>
    <n v="0"/>
    <n v="0"/>
    <n v="251"/>
    <n v="62.75"/>
    <n v="0"/>
    <n v="0"/>
    <n v="7301"/>
    <n v="1825.25"/>
    <n v="62.75"/>
    <n v="7095.12"/>
    <n v="2365.04"/>
    <n v="23.152885363461099"/>
    <n v="211.72900000000001"/>
    <s v="29.00"/>
    <n v="2365.04"/>
    <n v="2365.04"/>
    <n v="2365.04"/>
    <x v="1"/>
    <x v="1"/>
  </r>
  <r>
    <x v="1"/>
    <s v="FG"/>
    <n v="410269"/>
    <s v="BX38-1000-RH-R-CL-WHT-ASEM"/>
    <s v="60.000 G"/>
    <n v="60104"/>
    <s v="601041000B"/>
    <s v="601041000B90000000"/>
    <x v="1"/>
    <s v="Others"/>
    <n v="0"/>
    <n v="0"/>
    <n v="14700"/>
    <n v="6762"/>
    <n v="0"/>
    <n v="0"/>
    <n v="0"/>
    <n v="0"/>
    <n v="0"/>
    <n v="0"/>
    <n v="0"/>
    <n v="0"/>
    <n v="14700"/>
    <n v="6762"/>
    <n v="0"/>
    <n v="-26.65"/>
    <n v="-8.8833333333333293"/>
    <n v="-22836.022514071301"/>
    <n v="882"/>
    <s v="60.00"/>
    <n v="-8.8833333333333293"/>
    <n v="-8.8833333333333329"/>
    <n v="-8.8833333333333293"/>
    <x v="1"/>
    <x v="1"/>
  </r>
  <r>
    <x v="1"/>
    <s v="FG"/>
    <n v="411716"/>
    <s v="C38-T/E-I/L-C/S-GOLD - V"/>
    <s v="3.750 G"/>
    <n v="60105"/>
    <s v="601051000C"/>
    <s v="601051000C90000000"/>
    <x v="4"/>
    <s v="Others"/>
    <m/>
    <m/>
    <m/>
    <m/>
    <m/>
    <m/>
    <m/>
    <m/>
    <m/>
    <m/>
    <m/>
    <m/>
    <m/>
    <m/>
    <m/>
    <n v="18058.02"/>
    <n v="6019.34"/>
    <m/>
    <n v="0"/>
    <s v="3.750"/>
    <n v="6019.34"/>
    <n v="6019.34"/>
    <n v="6019.34"/>
    <x v="3"/>
    <x v="3"/>
  </r>
  <r>
    <x v="1"/>
    <s v="FG"/>
    <n v="414439"/>
    <s v="BC28-0150-A1-Q-CL"/>
    <s v="15.000 G"/>
    <n v="60104"/>
    <s v="601041000B"/>
    <s v="601041000B90000000"/>
    <x v="1"/>
    <s v="Others"/>
    <n v="69608"/>
    <n v="8352.9599999999991"/>
    <n v="0"/>
    <n v="0"/>
    <n v="0"/>
    <n v="0"/>
    <n v="0"/>
    <n v="0"/>
    <n v="0"/>
    <n v="0"/>
    <n v="0"/>
    <n v="0"/>
    <n v="69608"/>
    <n v="8352.9599999999991"/>
    <n v="0"/>
    <n v="25816.61"/>
    <n v="8605.5366666666705"/>
    <n v="29.119485478534902"/>
    <n v="1044.1199999999999"/>
    <s v="15.00"/>
    <n v="8605.5366666666705"/>
    <n v="8605.52"/>
    <n v="8605.5366666666705"/>
    <x v="1"/>
    <x v="1"/>
  </r>
  <r>
    <x v="1"/>
    <s v="FG"/>
    <n v="423213"/>
    <s v="BC28-0265-SCC-A-Q-CL"/>
    <s v="24.000 G"/>
    <n v="60104"/>
    <s v="601041000B"/>
    <s v="601041000B90000000"/>
    <x v="1"/>
    <s v="Others"/>
    <n v="30099"/>
    <n v="6621.78"/>
    <n v="0"/>
    <n v="0"/>
    <n v="0"/>
    <n v="0"/>
    <n v="0"/>
    <n v="0"/>
    <n v="0"/>
    <n v="0"/>
    <n v="0"/>
    <n v="0"/>
    <n v="30099"/>
    <n v="6621.78"/>
    <n v="0"/>
    <n v="31158.18"/>
    <n v="10386.06"/>
    <n v="19.126925898752798"/>
    <n v="722.37599999999998"/>
    <s v="24.00"/>
    <n v="10386.06"/>
    <n v="10386.06"/>
    <n v="10386.06"/>
    <x v="1"/>
    <x v="1"/>
  </r>
  <r>
    <x v="1"/>
    <s v="FG"/>
    <n v="423215"/>
    <s v="BC28-0355-SCC-A-Q-CL"/>
    <s v="24.000 G"/>
    <n v="60104"/>
    <s v="601041000B"/>
    <s v="601041000B90000000"/>
    <x v="1"/>
    <s v="Others"/>
    <n v="60066"/>
    <n v="13214.52"/>
    <n v="0"/>
    <n v="0"/>
    <n v="0"/>
    <n v="0"/>
    <n v="0"/>
    <n v="0"/>
    <n v="0"/>
    <n v="0"/>
    <n v="0"/>
    <n v="0"/>
    <n v="60066"/>
    <n v="13214.52"/>
    <n v="0"/>
    <n v="41132.519999999997"/>
    <n v="13710.84"/>
    <n v="28.914027149321299"/>
    <n v="1441.5840000000001"/>
    <s v="24.00"/>
    <n v="13710.84"/>
    <n v="13710.839999999998"/>
    <n v="13710.84"/>
    <x v="1"/>
    <x v="1"/>
  </r>
  <r>
    <x v="1"/>
    <s v="FG"/>
    <n v="426555"/>
    <s v="BX38-0330-Z-S-CL-HW"/>
    <s v="29.000 G"/>
    <n v="60104"/>
    <s v="601041000B"/>
    <s v="601041000B90000000"/>
    <x v="1"/>
    <s v="Others"/>
    <n v="62220"/>
    <n v="15555"/>
    <n v="0"/>
    <n v="0"/>
    <n v="0"/>
    <n v="0"/>
    <n v="0"/>
    <n v="0"/>
    <n v="0"/>
    <n v="0"/>
    <n v="0"/>
    <n v="0"/>
    <n v="62220"/>
    <n v="15555"/>
    <n v="0"/>
    <n v="23347.8"/>
    <n v="7782.6"/>
    <n v="59.960681520314601"/>
    <n v="1804.38"/>
    <s v="29.00"/>
    <n v="7782.6"/>
    <n v="7782.5999999999995"/>
    <n v="7782.6"/>
    <x v="1"/>
    <x v="1"/>
  </r>
  <r>
    <x v="1"/>
    <s v="FG"/>
    <n v="432203"/>
    <s v="BC28-0500-R-R-CL"/>
    <s v="32.000 G"/>
    <n v="60104"/>
    <s v="601041000B"/>
    <s v="601041000B90000000"/>
    <x v="1"/>
    <s v="Others"/>
    <n v="12880"/>
    <n v="3606.4"/>
    <n v="0"/>
    <n v="0"/>
    <n v="0"/>
    <n v="0"/>
    <n v="0"/>
    <n v="0"/>
    <n v="0"/>
    <n v="0"/>
    <n v="0"/>
    <n v="0"/>
    <n v="12880"/>
    <n v="3606.4"/>
    <n v="0"/>
    <n v="0"/>
    <n v="0"/>
    <n v="0"/>
    <n v="412.16"/>
    <s v="32.00"/>
    <n v="0"/>
    <n v="0"/>
    <n v="0"/>
    <x v="1"/>
    <x v="1"/>
  </r>
  <r>
    <x v="1"/>
    <s v="FG"/>
    <n v="437371"/>
    <s v="MOULD CHARGES BM (6K)"/>
    <s v="0.000 G"/>
    <s v="6T800"/>
    <s v="#"/>
    <s v="#"/>
    <x v="8"/>
    <s v="Mould"/>
    <n v="0"/>
    <n v="0"/>
    <n v="0"/>
    <n v="0"/>
    <n v="0"/>
    <n v="0"/>
    <n v="0"/>
    <n v="0"/>
    <n v="0"/>
    <n v="0"/>
    <n v="6"/>
    <n v="1201517.21"/>
    <n v="6"/>
    <n v="1201517.21"/>
    <n v="0"/>
    <m/>
    <m/>
    <n v="0"/>
    <n v="0"/>
    <s v="0.000"/>
    <n v="0"/>
    <n v="0"/>
    <n v="0"/>
    <x v="5"/>
    <x v="5"/>
  </r>
  <r>
    <x v="1"/>
    <s v="FG"/>
    <n v="437808"/>
    <s v="BX38-0850-GH-R-CL HW"/>
    <s v="55.000 G"/>
    <n v="60104"/>
    <s v="601041000B"/>
    <s v="601041000B90000000"/>
    <x v="1"/>
    <s v="Others"/>
    <n v="15000"/>
    <n v="6300"/>
    <n v="0"/>
    <n v="0"/>
    <n v="0"/>
    <n v="0"/>
    <n v="0"/>
    <n v="0"/>
    <n v="0"/>
    <n v="0"/>
    <n v="0"/>
    <n v="0"/>
    <n v="15000"/>
    <n v="6300"/>
    <n v="0"/>
    <n v="1661.64"/>
    <n v="553.88"/>
    <n v="341.22914710767702"/>
    <n v="825"/>
    <s v="55.00"/>
    <n v="553.88"/>
    <n v="553.88"/>
    <n v="553.88"/>
    <x v="1"/>
    <x v="1"/>
  </r>
  <r>
    <x v="1"/>
    <s v="FG"/>
    <n v="441778"/>
    <s v="BX38-2000-RH-R-CL (WHITE) (ASEM)"/>
    <s v="76.000 G"/>
    <n v="60104"/>
    <s v="601041000B"/>
    <s v="601041000B90000000"/>
    <x v="1"/>
    <s v="Others"/>
    <n v="0"/>
    <n v="0"/>
    <n v="4140"/>
    <n v="2732.4"/>
    <n v="0"/>
    <n v="0"/>
    <n v="0"/>
    <n v="0"/>
    <n v="0"/>
    <n v="0"/>
    <n v="0"/>
    <n v="0"/>
    <n v="4140"/>
    <n v="2732.4"/>
    <n v="0"/>
    <n v="-342.2"/>
    <n v="-114.066666666667"/>
    <n v="-718.63237872589104"/>
    <n v="314.64"/>
    <s v="76.00"/>
    <n v="-114.066666666667"/>
    <n v="-114.06666666666666"/>
    <n v="-114.066666666667"/>
    <x v="1"/>
    <x v="1"/>
  </r>
  <r>
    <x v="1"/>
    <s v="FG"/>
    <n v="441809"/>
    <s v="JJ63-0550-S-Q-CL"/>
    <s v="33.670 G"/>
    <n v="60104"/>
    <s v="601041000J"/>
    <s v="601041000J90000000"/>
    <x v="2"/>
    <s v="Others"/>
    <n v="8448"/>
    <n v="2112"/>
    <n v="0"/>
    <n v="0"/>
    <n v="0"/>
    <n v="0"/>
    <n v="0"/>
    <n v="0"/>
    <n v="0"/>
    <n v="0"/>
    <n v="0"/>
    <n v="0"/>
    <n v="8448"/>
    <n v="2112"/>
    <n v="0"/>
    <m/>
    <m/>
    <n v="0"/>
    <n v="284.44416000000001"/>
    <s v="33.67"/>
    <n v="0"/>
    <n v="1020.62"/>
    <n v="1020.62"/>
    <x v="1"/>
    <x v="2"/>
  </r>
  <r>
    <x v="1"/>
    <s v="FG"/>
    <n v="442034"/>
    <s v="BC28-0250-Z-S-CL"/>
    <s v="23.000 G"/>
    <n v="60104"/>
    <s v="601041000B"/>
    <s v="601041000B90000000"/>
    <x v="1"/>
    <s v="Others"/>
    <n v="16896"/>
    <n v="3717.12"/>
    <n v="0"/>
    <n v="0"/>
    <n v="0"/>
    <n v="0"/>
    <n v="0"/>
    <n v="0"/>
    <n v="0"/>
    <n v="0"/>
    <n v="0"/>
    <n v="0"/>
    <n v="16896"/>
    <n v="3717.12"/>
    <n v="0"/>
    <n v="109025.26"/>
    <n v="36341.753333333298"/>
    <n v="3.0684705544384898"/>
    <n v="388.608"/>
    <s v="23.00"/>
    <n v="36341.753333333298"/>
    <n v="36341.760000000002"/>
    <n v="36341.753333333298"/>
    <x v="1"/>
    <x v="1"/>
  </r>
  <r>
    <x v="1"/>
    <s v="FG"/>
    <n v="442310"/>
    <s v="BC28-0750-GS-R-CL"/>
    <s v="60.000 G"/>
    <n v="60104"/>
    <s v="601041000B"/>
    <s v="601041000B90000000"/>
    <x v="1"/>
    <s v="Others"/>
    <n v="0"/>
    <n v="0"/>
    <n v="8008"/>
    <n v="3683.68"/>
    <n v="0"/>
    <n v="0"/>
    <n v="0"/>
    <n v="0"/>
    <n v="0"/>
    <n v="0"/>
    <n v="0"/>
    <n v="0"/>
    <n v="8008"/>
    <n v="3683.68"/>
    <n v="0"/>
    <m/>
    <m/>
    <n v="0"/>
    <n v="480.48"/>
    <s v="60.00"/>
    <n v="0"/>
    <n v="0"/>
    <n v="0"/>
    <x v="1"/>
    <x v="1"/>
  </r>
  <r>
    <x v="1"/>
    <s v="FG"/>
    <n v="442642"/>
    <s v="JJ63-0700-HX-H-CL"/>
    <s v="34.500 G"/>
    <n v="60104"/>
    <s v="601041000J"/>
    <s v="601041000J90000000"/>
    <x v="2"/>
    <s v="Others"/>
    <n v="9660"/>
    <n v="2704.8"/>
    <n v="0"/>
    <n v="0"/>
    <n v="10626"/>
    <n v="2975.28"/>
    <n v="0"/>
    <n v="0"/>
    <n v="0"/>
    <n v="0"/>
    <n v="0"/>
    <n v="0"/>
    <n v="20286"/>
    <n v="5680.08"/>
    <n v="330.61"/>
    <n v="483"/>
    <n v="161"/>
    <n v="1058.4000000000001"/>
    <n v="699.86699999999996"/>
    <s v="34.50"/>
    <n v="161"/>
    <n v="161"/>
    <n v="161"/>
    <x v="1"/>
    <x v="2"/>
  </r>
  <r>
    <x v="1"/>
    <s v="FG"/>
    <n v="449365"/>
    <s v="BX38-0350-RJ-R-CL"/>
    <s v="29.000 G"/>
    <n v="60104"/>
    <s v="601041000B"/>
    <s v="601041000B90000000"/>
    <x v="1"/>
    <s v="Others"/>
    <n v="0"/>
    <n v="0"/>
    <n v="0"/>
    <n v="0"/>
    <n v="534"/>
    <n v="128.16"/>
    <n v="0"/>
    <n v="0"/>
    <n v="0"/>
    <n v="0"/>
    <n v="0"/>
    <n v="0"/>
    <n v="534"/>
    <n v="128.16"/>
    <n v="35.6"/>
    <m/>
    <m/>
    <n v="0"/>
    <n v="15.486000000000001"/>
    <s v="29.00"/>
    <n v="0"/>
    <n v="0"/>
    <n v="0"/>
    <x v="1"/>
    <x v="1"/>
  </r>
  <r>
    <x v="1"/>
    <s v="FG"/>
    <n v="451191"/>
    <s v="BX38-0350-Z-C-CL"/>
    <s v="29.000 G"/>
    <n v="60104"/>
    <s v="601041000B"/>
    <s v="601041000B90000000"/>
    <x v="1"/>
    <s v="Others"/>
    <n v="18360"/>
    <n v="4590"/>
    <n v="0"/>
    <n v="0"/>
    <n v="0"/>
    <n v="0"/>
    <n v="0"/>
    <n v="0"/>
    <n v="0"/>
    <n v="0"/>
    <n v="0"/>
    <n v="0"/>
    <n v="18360"/>
    <n v="4590"/>
    <n v="0"/>
    <n v="38178.54"/>
    <n v="12726.18"/>
    <n v="10.820214707005601"/>
    <n v="532.44000000000005"/>
    <s v="29.00"/>
    <n v="12726.18"/>
    <n v="12726.18"/>
    <n v="12726.18"/>
    <x v="1"/>
    <x v="1"/>
  </r>
  <r>
    <x v="1"/>
    <s v="FG"/>
    <n v="453753"/>
    <s v="AL0512-RD 36MM CAP (RED)"/>
    <s v="3.600 G"/>
    <n v="60106"/>
    <s v="601061000C"/>
    <s v="601061000C40000000"/>
    <x v="5"/>
    <s v="Food &amp; Beverage"/>
    <n v="3900"/>
    <n v="533.67999999999995"/>
    <n v="0"/>
    <n v="0"/>
    <n v="0"/>
    <n v="0"/>
    <n v="0"/>
    <n v="0"/>
    <n v="0"/>
    <n v="0"/>
    <n v="0"/>
    <n v="0"/>
    <n v="3900"/>
    <n v="533.67999999999995"/>
    <n v="0"/>
    <n v="2134.6799999999998"/>
    <n v="711.56"/>
    <n v="22.500421608859401"/>
    <n v="14.04"/>
    <s v="3.600"/>
    <n v="711.56"/>
    <n v="711.56"/>
    <n v="711.56"/>
    <x v="2"/>
    <x v="3"/>
  </r>
  <r>
    <x v="1"/>
    <s v="FG"/>
    <n v="453792"/>
    <s v="AL1537-GR 1/1.5/2LTR I/C LID (GREEN)"/>
    <s v="32.000 G"/>
    <n v="60106"/>
    <s v="601061000C"/>
    <s v="601061000C40000000"/>
    <x v="5"/>
    <s v="Food &amp; Beverage"/>
    <n v="0"/>
    <n v="0"/>
    <n v="0"/>
    <n v="0"/>
    <n v="2160"/>
    <n v="639.36"/>
    <n v="0"/>
    <n v="0"/>
    <n v="0"/>
    <n v="0"/>
    <n v="0"/>
    <n v="0"/>
    <n v="2160"/>
    <n v="639.36"/>
    <n v="142.09"/>
    <m/>
    <m/>
    <n v="0"/>
    <n v="69.12"/>
    <s v="32.00"/>
    <n v="0"/>
    <n v="0"/>
    <n v="0"/>
    <x v="2"/>
    <x v="3"/>
  </r>
  <r>
    <x v="1"/>
    <s v="FG"/>
    <n v="453796"/>
    <s v="AL2012-BK 38MM CAP (BLACK) C/W SEAL ASEM"/>
    <s v="3.500 G"/>
    <n v="60106"/>
    <s v="601061000C"/>
    <s v="601061000C40000000"/>
    <x v="5"/>
    <s v="Food &amp; Beverage"/>
    <n v="168000"/>
    <n v="20160"/>
    <n v="0"/>
    <n v="0"/>
    <n v="0"/>
    <n v="0"/>
    <n v="0"/>
    <n v="0"/>
    <n v="0"/>
    <n v="0"/>
    <n v="0"/>
    <n v="0"/>
    <n v="168000"/>
    <n v="20160"/>
    <n v="0"/>
    <n v="108800"/>
    <n v="36266.666666666701"/>
    <n v="16.676470588235301"/>
    <n v="588"/>
    <s v="3.500"/>
    <n v="36266.666666666701"/>
    <n v="36266.666666666664"/>
    <n v="36266.666666666701"/>
    <x v="2"/>
    <x v="3"/>
  </r>
  <r>
    <x v="1"/>
    <s v="FG"/>
    <n v="453811"/>
    <s v="BS0300-NA GBB0300 HDPE BTL (NATURAL)"/>
    <s v="38.000 G"/>
    <n v="60105"/>
    <s v="601051000B"/>
    <s v="601051000B50000000"/>
    <x v="9"/>
    <s v="Pharma / Medical"/>
    <m/>
    <m/>
    <m/>
    <m/>
    <m/>
    <m/>
    <m/>
    <m/>
    <m/>
    <m/>
    <m/>
    <m/>
    <m/>
    <m/>
    <m/>
    <n v="2044.5"/>
    <n v="681.5"/>
    <m/>
    <n v="0"/>
    <s v="38.00"/>
    <n v="681.5"/>
    <n v="681.5"/>
    <n v="681.5"/>
    <x v="3"/>
    <x v="1"/>
  </r>
  <r>
    <x v="1"/>
    <s v="FG"/>
    <n v="453833"/>
    <s v="AT0556-GR 500ML I/C TUB (GREEN)"/>
    <s v="24.000 G"/>
    <n v="60106"/>
    <s v="601061000J"/>
    <s v="601061000J40000000"/>
    <x v="10"/>
    <s v="Food &amp; Beverage"/>
    <n v="0"/>
    <n v="0"/>
    <n v="720"/>
    <n v="171.42"/>
    <n v="0"/>
    <n v="0"/>
    <n v="0"/>
    <n v="0"/>
    <n v="0"/>
    <n v="0"/>
    <n v="0"/>
    <n v="0"/>
    <n v="720"/>
    <n v="171.42"/>
    <n v="0"/>
    <m/>
    <m/>
    <n v="0"/>
    <n v="17.28"/>
    <s v="24.00"/>
    <n v="0"/>
    <n v="0"/>
    <n v="0"/>
    <x v="2"/>
    <x v="2"/>
  </r>
  <r>
    <x v="1"/>
    <s v="FG"/>
    <n v="453840"/>
    <s v="AT0926-GR 1LTR I/C TUB (GREEN)"/>
    <s v="36.000 G"/>
    <n v="60106"/>
    <s v="601061000J"/>
    <s v="601061000J40000000"/>
    <x v="10"/>
    <s v="Food &amp; Beverage"/>
    <n v="0"/>
    <n v="0"/>
    <n v="0"/>
    <n v="0"/>
    <n v="3600"/>
    <n v="1220.4000000000001"/>
    <n v="0"/>
    <n v="0"/>
    <n v="0"/>
    <n v="0"/>
    <n v="0"/>
    <n v="0"/>
    <n v="3600"/>
    <n v="1220.4000000000001"/>
    <n v="203.42"/>
    <m/>
    <m/>
    <n v="0"/>
    <n v="129.6"/>
    <s v="36.00"/>
    <n v="0"/>
    <n v="0"/>
    <n v="0"/>
    <x v="2"/>
    <x v="2"/>
  </r>
  <r>
    <x v="1"/>
    <s v="FG"/>
    <n v="453888"/>
    <s v="BS0155-NA 150ML PE BTL (NATURAL)"/>
    <s v="20.000 G"/>
    <n v="60105"/>
    <s v="601051000B"/>
    <s v="601051000B90000000"/>
    <x v="11"/>
    <s v="Others"/>
    <n v="0"/>
    <n v="0"/>
    <n v="0"/>
    <n v="0"/>
    <n v="0"/>
    <n v="0"/>
    <n v="3040"/>
    <n v="456"/>
    <n v="0"/>
    <n v="0"/>
    <n v="0"/>
    <n v="0"/>
    <n v="3040"/>
    <n v="456"/>
    <n v="202.68"/>
    <m/>
    <m/>
    <n v="0"/>
    <n v="60.8"/>
    <s v="20.00"/>
    <n v="0"/>
    <n v="0"/>
    <n v="0"/>
    <x v="3"/>
    <x v="1"/>
  </r>
  <r>
    <x v="1"/>
    <s v="FG"/>
    <n v="453895"/>
    <s v="BS0217-NA 200ML PE BTL (NATURAL)"/>
    <s v="20.600 G"/>
    <n v="60105"/>
    <s v="601051000B"/>
    <s v="601051000B90000000"/>
    <x v="11"/>
    <s v="Others"/>
    <n v="10000"/>
    <n v="1600"/>
    <n v="0"/>
    <n v="0"/>
    <n v="0"/>
    <n v="0"/>
    <n v="0"/>
    <n v="0"/>
    <n v="0"/>
    <n v="0"/>
    <n v="0"/>
    <n v="0"/>
    <n v="10000"/>
    <n v="1600"/>
    <n v="0"/>
    <n v="1600"/>
    <n v="533.33333333333303"/>
    <n v="90"/>
    <n v="206"/>
    <s v="20.60"/>
    <n v="533.33333333333303"/>
    <n v="533.33333333333337"/>
    <n v="533.33333333333303"/>
    <x v="3"/>
    <x v="1"/>
  </r>
  <r>
    <x v="1"/>
    <s v="FG"/>
    <n v="453928"/>
    <s v="BS0521-NA 500ML PP BTL (NATURAL)"/>
    <s v="43.000 G"/>
    <n v="60106"/>
    <s v="601061000B"/>
    <s v="601061000B90000000"/>
    <x v="12"/>
    <s v="Others"/>
    <m/>
    <m/>
    <m/>
    <m/>
    <m/>
    <m/>
    <m/>
    <m/>
    <m/>
    <m/>
    <m/>
    <m/>
    <m/>
    <m/>
    <m/>
    <n v="5208"/>
    <n v="1736"/>
    <m/>
    <n v="0"/>
    <s v="43.00"/>
    <n v="1736"/>
    <n v="1736"/>
    <n v="1736"/>
    <x v="2"/>
    <x v="1"/>
  </r>
  <r>
    <x v="1"/>
    <s v="FG"/>
    <n v="453929"/>
    <s v="BS0571-NA 500ML PP BTL (NATURAL)"/>
    <s v="42.000 G"/>
    <n v="60106"/>
    <s v="601061000B"/>
    <s v="601061000B90000000"/>
    <x v="12"/>
    <s v="Others"/>
    <n v="28224"/>
    <n v="9031.68"/>
    <n v="0"/>
    <n v="0"/>
    <n v="0"/>
    <n v="0"/>
    <n v="0"/>
    <n v="0"/>
    <n v="0"/>
    <n v="0"/>
    <n v="0"/>
    <n v="0"/>
    <n v="28224"/>
    <n v="9031.68"/>
    <n v="0"/>
    <n v="37094.400000000001"/>
    <n v="12364.8"/>
    <n v="21.913043478260899"/>
    <n v="1185.4079999999999"/>
    <s v="42.00"/>
    <n v="12364.8"/>
    <n v="12364.800000000001"/>
    <n v="12364.8"/>
    <x v="2"/>
    <x v="1"/>
  </r>
  <r>
    <x v="1"/>
    <s v="FG"/>
    <n v="453932"/>
    <s v="EBK38-0500-K-Q-NA-PE(S0576)"/>
    <s v="39.500 G"/>
    <n v="60105"/>
    <s v="601051000B"/>
    <s v="601051000B40000000"/>
    <x v="13"/>
    <s v="Food &amp; Beverage"/>
    <n v="60480"/>
    <n v="22377.599999999999"/>
    <n v="0"/>
    <n v="0"/>
    <n v="0"/>
    <n v="0"/>
    <n v="0"/>
    <n v="0"/>
    <n v="0"/>
    <n v="0"/>
    <n v="0"/>
    <n v="0"/>
    <n v="60480"/>
    <n v="22377.599999999999"/>
    <n v="0"/>
    <n v="44755.199999999997"/>
    <n v="14918.4"/>
    <n v="45"/>
    <n v="2388.96"/>
    <s v="39.50"/>
    <n v="14918.4"/>
    <n v="14918.4"/>
    <n v="14918.4"/>
    <x v="3"/>
    <x v="1"/>
  </r>
  <r>
    <x v="1"/>
    <s v="FG"/>
    <n v="453933"/>
    <s v="EBK38-0500-K-Q-YL-PE(S0576)"/>
    <s v="39.500 G"/>
    <n v="60105"/>
    <s v="601051000B"/>
    <s v="601051000B40000000"/>
    <x v="13"/>
    <s v="Food &amp; Beverage"/>
    <n v="24480"/>
    <n v="8078.4"/>
    <n v="0"/>
    <n v="0"/>
    <n v="0"/>
    <n v="0"/>
    <n v="0"/>
    <n v="0"/>
    <n v="0"/>
    <n v="0"/>
    <n v="0"/>
    <n v="0"/>
    <n v="24480"/>
    <n v="8078.4"/>
    <n v="0"/>
    <n v="13305.6"/>
    <n v="4435.2"/>
    <n v="54.642857142857103"/>
    <n v="966.96"/>
    <s v="39.50"/>
    <n v="4435.2"/>
    <n v="4435.2"/>
    <n v="4435.2"/>
    <x v="3"/>
    <x v="1"/>
  </r>
  <r>
    <x v="1"/>
    <s v="FG"/>
    <n v="453944"/>
    <s v="BS1017-NA 1LTR HDPE BTL (NATURAL)"/>
    <s v="60.000 G"/>
    <n v="60105"/>
    <s v="601051000B"/>
    <s v="601051000B90000000"/>
    <x v="11"/>
    <s v="Others"/>
    <n v="0"/>
    <n v="0"/>
    <n v="0"/>
    <n v="0"/>
    <n v="0"/>
    <n v="0"/>
    <n v="4680"/>
    <n v="2808"/>
    <n v="0"/>
    <n v="0"/>
    <n v="0"/>
    <n v="0"/>
    <n v="4680"/>
    <n v="2808"/>
    <n v="1404.11"/>
    <n v="907.2"/>
    <n v="302.39999999999998"/>
    <n v="278.57142857142901"/>
    <n v="280.8"/>
    <s v="60.00"/>
    <n v="302.39999999999998"/>
    <n v="302.40000000000003"/>
    <n v="302.39999999999998"/>
    <x v="3"/>
    <x v="1"/>
  </r>
  <r>
    <x v="1"/>
    <s v="FG"/>
    <n v="453945"/>
    <s v="BS1017-WH 1LTR HDPE BTL (WHITE)"/>
    <s v="60.000 G"/>
    <n v="60105"/>
    <s v="601051000B"/>
    <s v="601051000B90000000"/>
    <x v="11"/>
    <s v="Others"/>
    <m/>
    <m/>
    <m/>
    <m/>
    <m/>
    <m/>
    <m/>
    <m/>
    <m/>
    <m/>
    <m/>
    <m/>
    <m/>
    <m/>
    <m/>
    <n v="5684"/>
    <n v="1894.6666666666699"/>
    <m/>
    <n v="0"/>
    <s v="60.00"/>
    <n v="1894.6666666666699"/>
    <n v="1894.6666666666667"/>
    <n v="1894.6666666666699"/>
    <x v="3"/>
    <x v="1"/>
  </r>
  <r>
    <x v="1"/>
    <s v="FG"/>
    <n v="453953"/>
    <s v="Z-INDUCTION SEAL 37.0MM DIA"/>
    <s v="0.000 KG"/>
    <n v="65400"/>
    <s v="65400S0001"/>
    <s v="#"/>
    <x v="6"/>
    <s v="LABEL, IML, STICKER,"/>
    <n v="205408"/>
    <n v="16999.57"/>
    <n v="0"/>
    <n v="0"/>
    <n v="0"/>
    <n v="0"/>
    <n v="0"/>
    <n v="0"/>
    <n v="0"/>
    <n v="0"/>
    <n v="0"/>
    <n v="0"/>
    <n v="205408"/>
    <n v="16999.57"/>
    <n v="0"/>
    <m/>
    <m/>
    <n v="0"/>
    <n v="0"/>
    <s v="0.000"/>
    <n v="0"/>
    <n v="31557.266666666666"/>
    <n v="31557.266666666666"/>
    <x v="4"/>
    <x v="4"/>
  </r>
  <r>
    <x v="1"/>
    <s v="FG"/>
    <n v="454213"/>
    <s v="AL3021-NA 3LTR LID (NATURAL)"/>
    <s v="33.000 G"/>
    <n v="60105"/>
    <s v="601051000C"/>
    <s v="601051000C40000000"/>
    <x v="14"/>
    <s v="Food &amp; Beverage"/>
    <n v="75600"/>
    <n v="25025.11"/>
    <n v="0"/>
    <n v="0"/>
    <n v="0"/>
    <n v="0"/>
    <n v="0"/>
    <n v="0"/>
    <n v="0"/>
    <n v="0"/>
    <n v="0"/>
    <n v="0"/>
    <n v="75600"/>
    <n v="25025.11"/>
    <n v="0"/>
    <n v="17730.07"/>
    <n v="5910.0233333333299"/>
    <n v="127.030513697915"/>
    <n v="2494.8000000000002"/>
    <s v="33.00"/>
    <n v="5910.0233333333299"/>
    <n v="5910.0233333333335"/>
    <n v="5910.0233333333299"/>
    <x v="3"/>
    <x v="3"/>
  </r>
  <r>
    <x v="1"/>
    <s v="FG"/>
    <n v="454215"/>
    <s v="AT3021-WH 3LTR TUB (WHITE)"/>
    <s v="118.000 G"/>
    <n v="60106"/>
    <s v="601061000J"/>
    <s v="601061000J40000000"/>
    <x v="10"/>
    <s v="Food &amp; Beverage"/>
    <n v="41760"/>
    <n v="41909.919999999998"/>
    <n v="0"/>
    <n v="0"/>
    <n v="0"/>
    <n v="0"/>
    <n v="0"/>
    <n v="0"/>
    <n v="0"/>
    <n v="0"/>
    <n v="0"/>
    <n v="0"/>
    <n v="41760"/>
    <n v="41909.919999999998"/>
    <n v="0"/>
    <n v="57160.07"/>
    <n v="19053.356666666699"/>
    <n v="65.988246690390696"/>
    <n v="4927.68"/>
    <s v="118.0"/>
    <n v="19053.356666666699"/>
    <n v="19053.356666666667"/>
    <n v="19053.356666666699"/>
    <x v="2"/>
    <x v="2"/>
  </r>
  <r>
    <x v="1"/>
    <s v="FG"/>
    <n v="454254"/>
    <s v="AT1015-NA HARWANY PLASTIC BOX (NATURAL)"/>
    <s v="87.000 G"/>
    <n v="60106"/>
    <s v="601061000J"/>
    <s v="601061000J40000000"/>
    <x v="10"/>
    <s v="Food &amp; Beverage"/>
    <m/>
    <m/>
    <m/>
    <m/>
    <m/>
    <m/>
    <m/>
    <m/>
    <m/>
    <m/>
    <m/>
    <m/>
    <m/>
    <m/>
    <m/>
    <n v="29928.57"/>
    <n v="9976.19"/>
    <m/>
    <n v="0"/>
    <s v="87.00"/>
    <n v="9976.19"/>
    <n v="9976.19"/>
    <n v="9976.19"/>
    <x v="2"/>
    <x v="2"/>
  </r>
  <r>
    <x v="1"/>
    <s v="FG"/>
    <n v="454255"/>
    <s v="AL1015-GR HARWANY PLASTIC COVER (GREEN)"/>
    <s v="38.000 G"/>
    <n v="60106"/>
    <s v="601061000C"/>
    <s v="601061000C40000000"/>
    <x v="5"/>
    <s v="Food &amp; Beverage"/>
    <m/>
    <m/>
    <m/>
    <m/>
    <m/>
    <m/>
    <m/>
    <m/>
    <m/>
    <m/>
    <m/>
    <m/>
    <m/>
    <m/>
    <m/>
    <n v="6223.97"/>
    <n v="2074.6566666666699"/>
    <m/>
    <n v="0"/>
    <s v="38.00"/>
    <n v="2074.6566666666699"/>
    <n v="2074.6566666666668"/>
    <n v="2074.6566666666699"/>
    <x v="2"/>
    <x v="3"/>
  </r>
  <r>
    <x v="1"/>
    <s v="FG"/>
    <n v="454256"/>
    <s v="AL1015-BL HARWANY PLASTIC COVER (BLUE)"/>
    <s v="38.000 G"/>
    <n v="60106"/>
    <s v="601061000C"/>
    <s v="601061000C40000000"/>
    <x v="5"/>
    <s v="Food &amp; Beverage"/>
    <m/>
    <m/>
    <m/>
    <m/>
    <m/>
    <m/>
    <m/>
    <m/>
    <m/>
    <m/>
    <m/>
    <m/>
    <m/>
    <m/>
    <m/>
    <n v="6336.75"/>
    <n v="2112.25"/>
    <m/>
    <n v="0"/>
    <s v="38.00"/>
    <n v="2112.25"/>
    <n v="2112.25"/>
    <n v="2112.25"/>
    <x v="2"/>
    <x v="3"/>
  </r>
  <r>
    <x v="1"/>
    <s v="FG"/>
    <n v="459326"/>
    <s v="Z-36.6MM PE WAD (1MM)"/>
    <s v="0.000 G"/>
    <n v="65400"/>
    <s v="65400S0001"/>
    <s v="#"/>
    <x v="6"/>
    <s v="LABEL, IML, STICKER,"/>
    <n v="80000"/>
    <n v="2001.6"/>
    <n v="4500"/>
    <n v="112.59"/>
    <n v="0"/>
    <n v="0"/>
    <n v="0"/>
    <n v="0"/>
    <n v="0"/>
    <n v="0"/>
    <n v="0"/>
    <n v="0"/>
    <n v="84500"/>
    <n v="2114.19"/>
    <n v="0"/>
    <m/>
    <m/>
    <n v="0"/>
    <n v="0"/>
    <s v="0.000"/>
    <n v="0"/>
    <n v="0"/>
    <n v="0"/>
    <x v="4"/>
    <x v="4"/>
  </r>
  <r>
    <x v="1"/>
    <s v="FG"/>
    <n v="463202"/>
    <s v="BC28-0200-SB-R-CL"/>
    <s v="23.000 G"/>
    <n v="60104"/>
    <s v="601041000B"/>
    <s v="601041000B90000000"/>
    <x v="1"/>
    <s v="Others"/>
    <m/>
    <m/>
    <m/>
    <m/>
    <m/>
    <m/>
    <m/>
    <m/>
    <m/>
    <m/>
    <m/>
    <m/>
    <m/>
    <m/>
    <m/>
    <n v="47467.199999999997"/>
    <n v="15822.4"/>
    <m/>
    <n v="0"/>
    <s v="23.00"/>
    <n v="15822.4"/>
    <n v="15822.4"/>
    <n v="15822.4"/>
    <x v="1"/>
    <x v="1"/>
  </r>
  <r>
    <x v="1"/>
    <s v="FG"/>
    <n v="464690"/>
    <s v="BC28-0375-K-R-BLACK"/>
    <s v="35.600 G"/>
    <n v="60104"/>
    <s v="601041000B"/>
    <s v="#"/>
    <x v="15"/>
    <s v="Bottle"/>
    <m/>
    <m/>
    <m/>
    <m/>
    <m/>
    <m/>
    <m/>
    <m/>
    <m/>
    <m/>
    <m/>
    <m/>
    <m/>
    <m/>
    <m/>
    <n v="14020.8"/>
    <n v="4673.6000000000004"/>
    <m/>
    <n v="0"/>
    <s v="35.60"/>
    <n v="4673.6000000000004"/>
    <n v="4673.5999999999995"/>
    <n v="4673.6000000000004"/>
    <x v="1"/>
    <x v="1"/>
  </r>
  <r>
    <x v="1"/>
    <s v="FG"/>
    <n v="473708"/>
    <s v="C28-EZY R/S CAP BLUE W PET IND SEAL-ASEM"/>
    <s v="6.300 G"/>
    <n v="60105"/>
    <s v="601051000C"/>
    <s v="601051000C90000000"/>
    <x v="4"/>
    <s v="Others"/>
    <m/>
    <m/>
    <m/>
    <m/>
    <m/>
    <m/>
    <m/>
    <m/>
    <m/>
    <m/>
    <m/>
    <m/>
    <m/>
    <m/>
    <m/>
    <n v="123147.13"/>
    <n v="41049.043333333299"/>
    <m/>
    <n v="0"/>
    <s v="6.300"/>
    <n v="41049.043333333299"/>
    <n v="41049.043333333335"/>
    <n v="41049.043333333299"/>
    <x v="3"/>
    <x v="3"/>
  </r>
  <r>
    <x v="1"/>
    <s v="FG"/>
    <n v="473712"/>
    <s v="Z-26.3MM PET INDUCTION SEAL"/>
    <s v="0.000 G"/>
    <n v="65400"/>
    <s v="65400S0001"/>
    <s v="#"/>
    <x v="6"/>
    <s v="LABEL, IML, STICKER,"/>
    <n v="378200"/>
    <n v="7942.2"/>
    <n v="0"/>
    <n v="0"/>
    <n v="0"/>
    <n v="0"/>
    <n v="0"/>
    <n v="0"/>
    <n v="0"/>
    <n v="0"/>
    <n v="0"/>
    <n v="0"/>
    <n v="378200"/>
    <n v="7942.2"/>
    <n v="0"/>
    <m/>
    <m/>
    <n v="0"/>
    <n v="0"/>
    <s v="0.000"/>
    <n v="0"/>
    <n v="4396"/>
    <n v="4396"/>
    <x v="4"/>
    <x v="4"/>
  </r>
  <r>
    <x v="1"/>
    <s v="FG"/>
    <n v="476794"/>
    <s v="AY0067-NA 60ML PLASTIC SCOOP"/>
    <s v="9.900 G"/>
    <n v="60106"/>
    <s v="601061000C"/>
    <s v="601061000C40000000"/>
    <x v="5"/>
    <s v="Food &amp; Beverage"/>
    <n v="30240"/>
    <n v="3970.51"/>
    <n v="0"/>
    <n v="0"/>
    <n v="0"/>
    <n v="0"/>
    <n v="0"/>
    <n v="0"/>
    <n v="0"/>
    <n v="0"/>
    <n v="0"/>
    <n v="0"/>
    <n v="30240"/>
    <n v="3970.51"/>
    <n v="0"/>
    <n v="3970.56"/>
    <n v="1323.52"/>
    <n v="89.998866658607398"/>
    <n v="299.37599999999998"/>
    <s v="9.900"/>
    <n v="1323.52"/>
    <n v="1323.52"/>
    <n v="1323.52"/>
    <x v="2"/>
    <x v="3"/>
  </r>
  <r>
    <x v="1"/>
    <s v="FG"/>
    <n v="478933"/>
    <s v="C63-T/E-R/S-GOLD 9048 W ACT SEAL (ASEM)"/>
    <s v="7.000 G"/>
    <n v="60105"/>
    <s v="601051000C"/>
    <s v="601051000C90000000"/>
    <x v="4"/>
    <s v="Others"/>
    <n v="9000"/>
    <n v="2714.22"/>
    <n v="0"/>
    <n v="0"/>
    <n v="0"/>
    <n v="0"/>
    <n v="0"/>
    <n v="0"/>
    <n v="0"/>
    <n v="0"/>
    <n v="0"/>
    <n v="0"/>
    <n v="9000"/>
    <n v="2714.22"/>
    <n v="0"/>
    <n v="301.58"/>
    <n v="100.526666666667"/>
    <n v="810"/>
    <n v="63"/>
    <s v="7.000"/>
    <n v="100.526666666667"/>
    <n v="100.52666666666666"/>
    <n v="100.526666666667"/>
    <x v="3"/>
    <x v="3"/>
  </r>
  <r>
    <x v="1"/>
    <s v="FG"/>
    <n v="486896"/>
    <s v="AL1537-GR- 2LTR STRAW I/C LID (GREEN)"/>
    <s v="31.000 G"/>
    <n v="60106"/>
    <s v="601061000C"/>
    <s v="601061000C40000000"/>
    <x v="5"/>
    <s v="Food &amp; Beverage"/>
    <n v="0"/>
    <n v="0"/>
    <n v="0"/>
    <n v="0"/>
    <n v="4080"/>
    <n v="1428"/>
    <n v="720"/>
    <n v="252"/>
    <n v="0"/>
    <n v="0"/>
    <n v="0"/>
    <n v="0"/>
    <n v="4800"/>
    <n v="1680"/>
    <n v="336.03"/>
    <m/>
    <m/>
    <n v="0"/>
    <n v="148.80000000000001"/>
    <s v="31.00"/>
    <n v="0"/>
    <n v="0"/>
    <n v="0"/>
    <x v="2"/>
    <x v="3"/>
  </r>
  <r>
    <x v="1"/>
    <s v="FG"/>
    <n v="489199"/>
    <s v="LBL 2.0LTR LKT V/R CHOCOLATE"/>
    <s v="0.000 G"/>
    <n v="65400"/>
    <s v="65400S0001"/>
    <s v="#"/>
    <x v="6"/>
    <s v="LABEL, IML, STICKER,"/>
    <n v="0"/>
    <n v="0"/>
    <n v="0"/>
    <n v="0"/>
    <n v="4720"/>
    <n v="0"/>
    <n v="0"/>
    <n v="0"/>
    <n v="0"/>
    <n v="0"/>
    <n v="0"/>
    <n v="0"/>
    <n v="4720"/>
    <n v="0"/>
    <n v="0"/>
    <m/>
    <m/>
    <n v="0"/>
    <n v="0"/>
    <s v="0.000"/>
    <n v="0"/>
    <n v="0"/>
    <n v="0"/>
    <x v="4"/>
    <x v="4"/>
  </r>
  <r>
    <x v="1"/>
    <s v="FG"/>
    <n v="489201"/>
    <s v="LBL 2.0LTR LKT V/R STRAWBERRY"/>
    <s v="0.000 G"/>
    <n v="65400"/>
    <s v="65400S0001"/>
    <s v="#"/>
    <x v="6"/>
    <s v="LABEL, IML, STICKER,"/>
    <n v="0"/>
    <n v="0"/>
    <n v="0"/>
    <n v="0"/>
    <n v="1200"/>
    <n v="0"/>
    <n v="0"/>
    <n v="0"/>
    <n v="0"/>
    <n v="0"/>
    <n v="0"/>
    <n v="0"/>
    <n v="1200"/>
    <n v="0"/>
    <n v="0"/>
    <m/>
    <m/>
    <n v="0"/>
    <n v="0"/>
    <s v="0.000"/>
    <n v="0"/>
    <n v="0"/>
    <n v="0"/>
    <x v="4"/>
    <x v="4"/>
  </r>
  <r>
    <x v="1"/>
    <s v="FG"/>
    <n v="489212"/>
    <s v="LBL 2.0LTR LKT V/R VANILLA"/>
    <s v="0.000 G"/>
    <n v="65400"/>
    <s v="65400S0001"/>
    <s v="#"/>
    <x v="6"/>
    <s v="LABEL, IML, STICKER,"/>
    <n v="0"/>
    <n v="0"/>
    <n v="0"/>
    <n v="0"/>
    <n v="6040"/>
    <n v="0"/>
    <n v="0"/>
    <n v="0"/>
    <n v="0"/>
    <n v="0"/>
    <n v="0"/>
    <n v="0"/>
    <n v="6040"/>
    <n v="0"/>
    <n v="0"/>
    <m/>
    <m/>
    <n v="0"/>
    <n v="0"/>
    <s v="0.000"/>
    <n v="0"/>
    <n v="0"/>
    <n v="0"/>
    <x v="4"/>
    <x v="4"/>
  </r>
  <r>
    <x v="1"/>
    <s v="FG"/>
    <n v="489242"/>
    <s v="LBL 0.5LTR LKT V/R CHOCOLATE"/>
    <s v="0.000 G"/>
    <n v="65400"/>
    <s v="65400S0001"/>
    <s v="#"/>
    <x v="6"/>
    <s v="LABEL, IML, STICKER,"/>
    <n v="0"/>
    <n v="0"/>
    <n v="1300"/>
    <n v="0"/>
    <n v="2900"/>
    <n v="0"/>
    <n v="0"/>
    <n v="0"/>
    <n v="0"/>
    <n v="0"/>
    <n v="0"/>
    <n v="0"/>
    <n v="4200"/>
    <n v="0"/>
    <n v="0"/>
    <m/>
    <m/>
    <n v="0"/>
    <n v="0"/>
    <s v="0.000"/>
    <n v="0"/>
    <n v="0"/>
    <n v="0"/>
    <x v="4"/>
    <x v="4"/>
  </r>
  <r>
    <x v="1"/>
    <s v="FG"/>
    <n v="489243"/>
    <s v="LBL 0.5LTR LKT V/R STRAWBERRY"/>
    <s v="0.000 G"/>
    <n v="65400"/>
    <s v="65400S0001"/>
    <s v="#"/>
    <x v="6"/>
    <s v="LABEL, IML, STICKER,"/>
    <n v="0"/>
    <n v="0"/>
    <n v="2000"/>
    <n v="0"/>
    <n v="1900"/>
    <n v="0"/>
    <n v="0"/>
    <n v="0"/>
    <n v="0"/>
    <n v="0"/>
    <n v="0"/>
    <n v="0"/>
    <n v="3900"/>
    <n v="0"/>
    <n v="0"/>
    <m/>
    <m/>
    <n v="0"/>
    <n v="0"/>
    <s v="0.000"/>
    <n v="0"/>
    <n v="0"/>
    <n v="0"/>
    <x v="4"/>
    <x v="4"/>
  </r>
  <r>
    <x v="1"/>
    <s v="FG"/>
    <n v="489244"/>
    <s v="LBL 0.5LTR LKT V/R VANILLA"/>
    <s v="0.000 G"/>
    <n v="65400"/>
    <s v="65400S0001"/>
    <s v="#"/>
    <x v="6"/>
    <s v="LABEL, IML, STICKER,"/>
    <n v="0"/>
    <n v="0"/>
    <n v="1000"/>
    <n v="0"/>
    <n v="2400"/>
    <n v="0"/>
    <n v="0"/>
    <n v="0"/>
    <n v="0"/>
    <n v="0"/>
    <n v="0"/>
    <n v="0"/>
    <n v="3400"/>
    <n v="0"/>
    <n v="0"/>
    <m/>
    <m/>
    <n v="0"/>
    <n v="0"/>
    <s v="0.000"/>
    <n v="0"/>
    <n v="0"/>
    <n v="0"/>
    <x v="4"/>
    <x v="4"/>
  </r>
  <r>
    <x v="1"/>
    <s v="FG"/>
    <n v="489245"/>
    <s v="LBL 0.5LTR LKT V/R YAM"/>
    <s v="0.000 G"/>
    <n v="65400"/>
    <s v="65400S0001"/>
    <s v="#"/>
    <x v="6"/>
    <s v="LABEL, IML, STICKER,"/>
    <n v="0"/>
    <n v="0"/>
    <n v="1000"/>
    <n v="0"/>
    <n v="1600"/>
    <n v="0"/>
    <n v="0"/>
    <n v="0"/>
    <n v="0"/>
    <n v="0"/>
    <n v="0"/>
    <n v="0"/>
    <n v="2600"/>
    <n v="0"/>
    <n v="0"/>
    <m/>
    <m/>
    <n v="0"/>
    <n v="0"/>
    <s v="0.000"/>
    <n v="0"/>
    <n v="0"/>
    <n v="0"/>
    <x v="4"/>
    <x v="4"/>
  </r>
  <r>
    <x v="1"/>
    <s v="FG"/>
    <n v="503976"/>
    <s v="AL0556-WH-L 500ML I/C LID S.BERRY (ASEM)"/>
    <s v="14.400 G"/>
    <n v="60106"/>
    <s v="601061000C"/>
    <s v="601061000C40000000"/>
    <x v="5"/>
    <s v="Food &amp; Beverage"/>
    <n v="0"/>
    <n v="0"/>
    <n v="600"/>
    <n v="157.46"/>
    <n v="0"/>
    <n v="0"/>
    <n v="0"/>
    <n v="0"/>
    <n v="0"/>
    <n v="0"/>
    <n v="0"/>
    <n v="0"/>
    <n v="600"/>
    <n v="157.46"/>
    <n v="0"/>
    <m/>
    <m/>
    <n v="0"/>
    <n v="8.64"/>
    <s v="14.40"/>
    <n v="0"/>
    <n v="0"/>
    <n v="0"/>
    <x v="2"/>
    <x v="3"/>
  </r>
  <r>
    <x v="1"/>
    <s v="FG"/>
    <n v="504130"/>
    <s v="C28-ZELVALVE CAP (YELLOW)"/>
    <s v="9.550 G"/>
    <n v="60106"/>
    <s v="601061000C"/>
    <s v="601061000C90000000"/>
    <x v="3"/>
    <s v="Others"/>
    <m/>
    <m/>
    <m/>
    <m/>
    <m/>
    <m/>
    <m/>
    <m/>
    <m/>
    <m/>
    <m/>
    <m/>
    <m/>
    <m/>
    <m/>
    <n v="19548.14"/>
    <n v="6516.0466666666698"/>
    <m/>
    <n v="0"/>
    <s v="9.550"/>
    <n v="6516.0466666666698"/>
    <n v="0"/>
    <n v="6516.0466666666698"/>
    <x v="2"/>
    <x v="3"/>
  </r>
  <r>
    <x v="1"/>
    <s v="FG"/>
    <n v="504598"/>
    <s v="BAA28-0265-AA-SCC-CL"/>
    <s v="28.000 G"/>
    <n v="60104"/>
    <s v="601041000B"/>
    <s v="601041000B40000000"/>
    <x v="7"/>
    <s v="Food &amp; Beverage"/>
    <m/>
    <m/>
    <m/>
    <m/>
    <m/>
    <m/>
    <m/>
    <m/>
    <m/>
    <m/>
    <m/>
    <m/>
    <m/>
    <m/>
    <m/>
    <n v="4334.3999999999996"/>
    <n v="1444.8"/>
    <m/>
    <n v="0"/>
    <s v="28.00"/>
    <n v="1444.8"/>
    <n v="1444.8"/>
    <n v="1444.8"/>
    <x v="1"/>
    <x v="1"/>
  </r>
  <r>
    <x v="1"/>
    <s v="FG"/>
    <n v="518888"/>
    <s v="LBL 0.5LTR LKT V/R SWEET CORN"/>
    <s v="0.000 G"/>
    <n v="65400"/>
    <s v="65400S0001"/>
    <s v="#"/>
    <x v="6"/>
    <s v="LABEL, IML, STICKER,"/>
    <n v="0"/>
    <n v="0"/>
    <n v="1000"/>
    <n v="0"/>
    <n v="1390"/>
    <n v="0"/>
    <n v="0"/>
    <n v="0"/>
    <n v="0"/>
    <n v="0"/>
    <n v="0"/>
    <n v="0"/>
    <n v="2390"/>
    <n v="0"/>
    <n v="0"/>
    <m/>
    <m/>
    <n v="0"/>
    <n v="0"/>
    <s v="0.000"/>
    <n v="0"/>
    <n v="0"/>
    <n v="0"/>
    <x v="4"/>
    <x v="4"/>
  </r>
  <r>
    <x v="1"/>
    <s v="FG"/>
    <n v="518889"/>
    <s v="LBL 0.5LTR LKT V/R DURIAN"/>
    <s v="0.000 G"/>
    <n v="65400"/>
    <s v="65400S0001"/>
    <s v="#"/>
    <x v="6"/>
    <s v="LABEL, IML, STICKER,"/>
    <n v="0"/>
    <n v="0"/>
    <n v="1000"/>
    <n v="0"/>
    <n v="1000"/>
    <n v="0"/>
    <n v="0"/>
    <n v="0"/>
    <n v="0"/>
    <n v="0"/>
    <n v="0"/>
    <n v="0"/>
    <n v="2000"/>
    <n v="0"/>
    <n v="0"/>
    <m/>
    <m/>
    <n v="0"/>
    <n v="0"/>
    <s v="0.000"/>
    <n v="0"/>
    <n v="0"/>
    <n v="0"/>
    <x v="4"/>
    <x v="4"/>
  </r>
  <r>
    <x v="1"/>
    <s v="FG"/>
    <n v="529004"/>
    <s v="BC28-0400-R-R-CL"/>
    <s v="31.000 G"/>
    <n v="60104"/>
    <s v="601041000B"/>
    <s v="601041000B90000000"/>
    <x v="1"/>
    <s v="Others"/>
    <n v="30000"/>
    <n v="8700"/>
    <n v="0"/>
    <n v="0"/>
    <n v="0"/>
    <n v="0"/>
    <n v="0"/>
    <n v="0"/>
    <n v="0"/>
    <n v="0"/>
    <n v="0"/>
    <n v="0"/>
    <n v="30000"/>
    <n v="8700"/>
    <n v="0"/>
    <n v="18504"/>
    <n v="6168"/>
    <n v="42.315175097276303"/>
    <n v="930"/>
    <s v="31.00"/>
    <n v="6168"/>
    <n v="6168"/>
    <n v="6168"/>
    <x v="1"/>
    <x v="1"/>
  </r>
  <r>
    <x v="1"/>
    <s v="FG"/>
    <n v="532300"/>
    <s v="C28-C/S-FLIP TOP ORANGE 139148-18"/>
    <s v="4.850 G"/>
    <n v="60106"/>
    <s v="601061000C"/>
    <s v="601061000C90000000"/>
    <x v="3"/>
    <s v="Others"/>
    <n v="42000"/>
    <n v="3480.96"/>
    <n v="0"/>
    <n v="0"/>
    <n v="0"/>
    <n v="0"/>
    <n v="0"/>
    <n v="0"/>
    <n v="0"/>
    <n v="0"/>
    <n v="0"/>
    <n v="0"/>
    <n v="42000"/>
    <n v="3480.96"/>
    <n v="0"/>
    <n v="16757.900000000001"/>
    <n v="5585.9666666666699"/>
    <n v="18.6948483998592"/>
    <n v="203.69999999999996"/>
    <s v="4.850"/>
    <n v="5585.9666666666699"/>
    <n v="5585.9666666666672"/>
    <n v="5585.9666666666699"/>
    <x v="2"/>
    <x v="3"/>
  </r>
  <r>
    <x v="1"/>
    <s v="FG"/>
    <n v="532981"/>
    <s v="JG63-0175-R-R-AM"/>
    <s v="24.000 G"/>
    <n v="60104"/>
    <s v="601041000J"/>
    <s v="601041000J90000000"/>
    <x v="2"/>
    <s v="Others"/>
    <n v="11815"/>
    <n v="2717.45"/>
    <n v="0"/>
    <n v="0"/>
    <n v="0"/>
    <n v="0"/>
    <n v="0"/>
    <n v="0"/>
    <n v="0"/>
    <n v="0"/>
    <n v="0"/>
    <n v="0"/>
    <n v="11815"/>
    <n v="2717.45"/>
    <n v="0"/>
    <m/>
    <m/>
    <n v="0"/>
    <n v="283.56"/>
    <s v="24.00"/>
    <n v="0"/>
    <n v="12091.016666666668"/>
    <n v="12091.016666666668"/>
    <x v="1"/>
    <x v="2"/>
  </r>
  <r>
    <x v="1"/>
    <s v="FG"/>
    <n v="540600"/>
    <s v="C63-D/C 7H RED-ACTIVATED SEAL (ASSEM)"/>
    <s v="13.900 G"/>
    <n v="60106"/>
    <s v="601061000C"/>
    <s v="601061000C40000000"/>
    <x v="5"/>
    <s v="Food &amp; Beverage"/>
    <m/>
    <m/>
    <m/>
    <m/>
    <m/>
    <m/>
    <m/>
    <m/>
    <m/>
    <m/>
    <m/>
    <m/>
    <m/>
    <m/>
    <m/>
    <n v="19043.53"/>
    <n v="6347.8433333333296"/>
    <m/>
    <n v="0"/>
    <s v="13.90"/>
    <n v="6347.8433333333296"/>
    <n v="6347.84"/>
    <n v="6347.8433333333296"/>
    <x v="2"/>
    <x v="3"/>
  </r>
  <r>
    <x v="1"/>
    <s v="FG"/>
    <n v="541381"/>
    <s v="BC28-1200-K-R-CL"/>
    <s v="55.000 G"/>
    <n v="60104"/>
    <s v="601041000B"/>
    <s v="601041000B40000000"/>
    <x v="7"/>
    <s v="Food &amp; Beverage"/>
    <n v="76300"/>
    <n v="30520"/>
    <n v="0"/>
    <n v="0"/>
    <n v="0"/>
    <n v="0"/>
    <n v="0"/>
    <n v="0"/>
    <n v="0"/>
    <n v="0"/>
    <n v="0"/>
    <n v="0"/>
    <n v="76300"/>
    <n v="30520"/>
    <n v="0"/>
    <n v="112840"/>
    <n v="37613.333333333299"/>
    <n v="24.3424317617866"/>
    <n v="4196.5"/>
    <s v="55.00"/>
    <n v="37613.333333333299"/>
    <n v="37613.333333333336"/>
    <n v="37613.333333333299"/>
    <x v="1"/>
    <x v="1"/>
  </r>
  <r>
    <x v="1"/>
    <s v="FG"/>
    <n v="542692"/>
    <s v="EBK38-0375-K-Q-B.YL-PE(S0376)"/>
    <s v="29.500 G"/>
    <n v="60105"/>
    <s v="601051000B"/>
    <s v="601051000B40000000"/>
    <x v="13"/>
    <s v="Food &amp; Beverage"/>
    <n v="20020"/>
    <n v="5805.8"/>
    <n v="0"/>
    <n v="0"/>
    <n v="0"/>
    <n v="0"/>
    <n v="0"/>
    <n v="0"/>
    <n v="0"/>
    <n v="0"/>
    <n v="0"/>
    <n v="0"/>
    <n v="20020"/>
    <n v="5805.8"/>
    <n v="0"/>
    <n v="3599.48"/>
    <n v="1199.82666666667"/>
    <n v="145.16596841766"/>
    <n v="590.59"/>
    <s v="29.50"/>
    <n v="1199.82666666667"/>
    <n v="1199.8266666666666"/>
    <n v="1199.82666666667"/>
    <x v="3"/>
    <x v="1"/>
  </r>
  <r>
    <x v="1"/>
    <s v="FG"/>
    <n v="543590"/>
    <s v="BC28-0130-R-R-AM"/>
    <s v="19.000 G"/>
    <n v="60104"/>
    <s v="601041000B"/>
    <s v="601041000B90000000"/>
    <x v="1"/>
    <s v="Others"/>
    <n v="120120"/>
    <n v="22822.799999999999"/>
    <n v="0"/>
    <n v="0"/>
    <n v="0"/>
    <n v="0"/>
    <n v="0"/>
    <n v="0"/>
    <n v="0"/>
    <n v="0"/>
    <n v="0"/>
    <n v="0"/>
    <n v="120120"/>
    <n v="22822.799999999999"/>
    <n v="0"/>
    <n v="47598.32"/>
    <n v="15866.106666666699"/>
    <n v="43.1538760191536"/>
    <n v="2282.2800000000002"/>
    <s v="19.00"/>
    <n v="15866.106666666699"/>
    <n v="15866.106666666667"/>
    <n v="15866.106666666699"/>
    <x v="1"/>
    <x v="1"/>
  </r>
  <r>
    <x v="1"/>
    <s v="FG"/>
    <n v="545429"/>
    <s v="C63-T/E-R/S-VIOLET 2.0"/>
    <s v="7.300 G"/>
    <n v="60105"/>
    <s v="601051000C"/>
    <s v="601051000C90000000"/>
    <x v="4"/>
    <s v="Others"/>
    <m/>
    <m/>
    <m/>
    <m/>
    <m/>
    <m/>
    <m/>
    <m/>
    <m/>
    <m/>
    <m/>
    <m/>
    <m/>
    <m/>
    <m/>
    <n v="1978.77"/>
    <n v="659.59"/>
    <m/>
    <n v="0"/>
    <s v="7.300"/>
    <n v="659.59"/>
    <n v="659.59"/>
    <n v="659.59"/>
    <x v="3"/>
    <x v="3"/>
  </r>
  <r>
    <x v="1"/>
    <s v="FG"/>
    <n v="549292"/>
    <s v="C28-C/S-FLIP TOP NATURAL"/>
    <s v="4.850 G"/>
    <n v="60106"/>
    <s v="601061000C"/>
    <s v="601061000C90000000"/>
    <x v="3"/>
    <s v="Others"/>
    <m/>
    <m/>
    <m/>
    <m/>
    <m/>
    <m/>
    <m/>
    <m/>
    <m/>
    <m/>
    <m/>
    <m/>
    <m/>
    <m/>
    <m/>
    <n v="552.94000000000005"/>
    <n v="184.31333333333299"/>
    <m/>
    <n v="0"/>
    <s v="4.850"/>
    <n v="184.31333333333299"/>
    <n v="184.31333333333336"/>
    <n v="184.31333333333299"/>
    <x v="2"/>
    <x v="3"/>
  </r>
  <r>
    <x v="1"/>
    <s v="FG"/>
    <n v="549814"/>
    <s v="BC28-0060-M-R-WH-HW"/>
    <s v="18.350 G"/>
    <n v="60104"/>
    <s v="601041000B"/>
    <s v="601041000B90000000"/>
    <x v="1"/>
    <s v="Others"/>
    <n v="0"/>
    <n v="0"/>
    <n v="5500"/>
    <n v="1100"/>
    <n v="0"/>
    <n v="0"/>
    <n v="0"/>
    <n v="0"/>
    <n v="263"/>
    <n v="52.6"/>
    <n v="0"/>
    <n v="0"/>
    <n v="5763"/>
    <n v="1152.5999999999999"/>
    <n v="52.6"/>
    <n v="835.99"/>
    <n v="278.66333333333301"/>
    <n v="124.08521633033899"/>
    <n v="105.75105000000001"/>
    <s v="18.35"/>
    <n v="278.66333333333301"/>
    <n v="278.66666666666669"/>
    <n v="278.66333333333301"/>
    <x v="1"/>
    <x v="1"/>
  </r>
  <r>
    <x v="1"/>
    <s v="FG"/>
    <n v="550076"/>
    <s v="BC28-0090-D-APH-5040-0735-PP-NON-LOGO"/>
    <s v="18.800 G"/>
    <n v="60106"/>
    <s v="601061000B"/>
    <s v="601061000B10000000"/>
    <x v="16"/>
    <s v="Electrical &amp; Electro"/>
    <m/>
    <m/>
    <m/>
    <m/>
    <m/>
    <m/>
    <m/>
    <m/>
    <m/>
    <m/>
    <m/>
    <m/>
    <m/>
    <m/>
    <m/>
    <n v="13338"/>
    <n v="4446"/>
    <m/>
    <n v="0"/>
    <s v="18.80"/>
    <n v="4446"/>
    <n v="4446"/>
    <n v="4446"/>
    <x v="2"/>
    <x v="1"/>
  </r>
  <r>
    <x v="1"/>
    <s v="FG"/>
    <n v="550077"/>
    <s v="BC28-0170-D-APH-5040-0736-PP-NON-LOGO"/>
    <s v="28.000 G"/>
    <n v="60106"/>
    <s v="601061000B"/>
    <s v="601061000B10000000"/>
    <x v="16"/>
    <s v="Electrical &amp; Electro"/>
    <n v="16800"/>
    <n v="5208"/>
    <n v="0"/>
    <n v="0"/>
    <n v="0"/>
    <n v="0"/>
    <n v="0"/>
    <n v="0"/>
    <n v="0"/>
    <n v="0"/>
    <n v="0"/>
    <n v="0"/>
    <n v="16800"/>
    <n v="5208"/>
    <n v="0"/>
    <n v="5208.01"/>
    <n v="1736.0033333333299"/>
    <n v="89.999827189271898"/>
    <n v="470.4"/>
    <s v="28.00"/>
    <n v="1736.0033333333299"/>
    <n v="1736"/>
    <n v="1736.0033333333299"/>
    <x v="2"/>
    <x v="1"/>
  </r>
  <r>
    <x v="1"/>
    <s v="FG"/>
    <n v="552181"/>
    <s v="BC28-0090-D-APH-5180-3538-PP"/>
    <s v="14.700 G"/>
    <n v="60106"/>
    <s v="601061000B"/>
    <s v="601061000B10000000"/>
    <x v="16"/>
    <s v="Electrical &amp; Electro"/>
    <n v="712800"/>
    <n v="128304"/>
    <n v="0"/>
    <n v="0"/>
    <n v="0"/>
    <n v="0"/>
    <n v="0"/>
    <n v="0"/>
    <n v="0"/>
    <n v="0"/>
    <n v="810"/>
    <n v="145.80000000000001"/>
    <n v="713610"/>
    <n v="128449.8"/>
    <n v="0"/>
    <n v="371466.06"/>
    <n v="123822.02"/>
    <n v="31.121233525345499"/>
    <n v="10490.066999999999"/>
    <s v="14.70"/>
    <n v="123822.02"/>
    <n v="123822"/>
    <n v="123822.02"/>
    <x v="2"/>
    <x v="1"/>
  </r>
  <r>
    <x v="1"/>
    <s v="FG"/>
    <n v="555979"/>
    <s v="BC28-0170-D-APH-5180-3539-PP"/>
    <s v="27.050 G"/>
    <n v="60106"/>
    <s v="601061000B"/>
    <s v="601061000B10000000"/>
    <x v="16"/>
    <s v="Electrical &amp; Electro"/>
    <n v="265104"/>
    <n v="82182.240000000005"/>
    <n v="617"/>
    <n v="191.27"/>
    <n v="0"/>
    <n v="0"/>
    <n v="0"/>
    <n v="0"/>
    <n v="0"/>
    <n v="0"/>
    <n v="0"/>
    <n v="0"/>
    <n v="265721"/>
    <n v="82373.509999999995"/>
    <n v="0"/>
    <n v="400310.43"/>
    <n v="133436.81"/>
    <n v="18.5196670993559"/>
    <n v="7187.7530500000003"/>
    <s v="27.05"/>
    <n v="133436.81"/>
    <n v="133436.80000000002"/>
    <n v="133436.81"/>
    <x v="2"/>
    <x v="1"/>
  </r>
  <r>
    <x v="1"/>
    <s v="FG"/>
    <n v="558104"/>
    <s v="BC28-0090-D-APH-5040-0785-rPP (SAMPLE)"/>
    <s v="14.500 G"/>
    <n v="60106"/>
    <s v="601061000B"/>
    <s v="601061000B10000000"/>
    <x v="16"/>
    <s v="Electrical &amp; Electro"/>
    <m/>
    <m/>
    <m/>
    <m/>
    <m/>
    <m/>
    <m/>
    <m/>
    <m/>
    <m/>
    <m/>
    <m/>
    <m/>
    <m/>
    <m/>
    <n v="2560.0100000000002"/>
    <n v="853.33666666666704"/>
    <m/>
    <n v="0"/>
    <s v="14.50"/>
    <n v="853.33666666666704"/>
    <n v="0"/>
    <n v="853.33666666666704"/>
    <x v="2"/>
    <x v="1"/>
  </r>
  <r>
    <x v="1"/>
    <s v="FG"/>
    <n v="558106"/>
    <s v="BC28-0170-D-APH-5040-0786-rPP (SAMPLE)"/>
    <s v="28.000 G"/>
    <n v="60106"/>
    <s v="601061000B"/>
    <s v="601061000B10000000"/>
    <x v="16"/>
    <s v="Electrical &amp; Electro"/>
    <m/>
    <m/>
    <m/>
    <m/>
    <m/>
    <m/>
    <m/>
    <m/>
    <m/>
    <m/>
    <m/>
    <m/>
    <m/>
    <m/>
    <m/>
    <n v="3527.49"/>
    <n v="1175.83"/>
    <m/>
    <n v="0"/>
    <s v="28.00"/>
    <n v="1175.83"/>
    <n v="0"/>
    <n v="1175.83"/>
    <x v="2"/>
    <x v="1"/>
  </r>
  <r>
    <x v="1"/>
    <s v="FG"/>
    <n v="558275"/>
    <s v="BC28-0500-D-APH-5040-0758-rHDPE"/>
    <s v="86.500 G"/>
    <n v="60105"/>
    <s v="601051000B"/>
    <s v="601051000B90000000"/>
    <x v="11"/>
    <s v="Others"/>
    <n v="0"/>
    <n v="0"/>
    <n v="0"/>
    <n v="0"/>
    <n v="100"/>
    <n v="106"/>
    <n v="0"/>
    <n v="0"/>
    <n v="0"/>
    <n v="0"/>
    <n v="0"/>
    <n v="0"/>
    <n v="100"/>
    <n v="106"/>
    <n v="5.89"/>
    <n v="1272"/>
    <n v="424"/>
    <n v="7.5"/>
    <n v="8.65"/>
    <s v="86.50"/>
    <n v="424"/>
    <n v="424"/>
    <n v="424"/>
    <x v="3"/>
    <x v="1"/>
  </r>
  <r>
    <x v="1"/>
    <s v="FG"/>
    <n v="565760"/>
    <s v="SL-NIPPON PAINT-GOLD PAINT 250G"/>
    <s v="0.000 G"/>
    <n v="65400"/>
    <s v="65400S0001"/>
    <s v="#"/>
    <x v="6"/>
    <s v="LABEL, IML, STICKER,"/>
    <n v="0"/>
    <n v="0"/>
    <n v="0"/>
    <n v="0"/>
    <n v="0"/>
    <n v="0"/>
    <n v="20900"/>
    <n v="1421.2"/>
    <n v="0"/>
    <n v="0"/>
    <n v="0"/>
    <n v="0"/>
    <n v="20900"/>
    <n v="1421.2"/>
    <n v="710.65"/>
    <m/>
    <m/>
    <n v="0"/>
    <n v="0"/>
    <s v="0.000"/>
    <n v="0"/>
    <n v="0"/>
    <n v="0"/>
    <x v="4"/>
    <x v="4"/>
  </r>
  <r>
    <x v="1"/>
    <s v="FG"/>
    <n v="573943"/>
    <s v="EBK38-2012-K-S-WHITE-HDPE-DVG"/>
    <s v="122.000 G"/>
    <n v="60105"/>
    <s v="601051000B"/>
    <s v="601051000B40000000"/>
    <x v="13"/>
    <s v="Food &amp; Beverage"/>
    <n v="14760"/>
    <n v="20368.8"/>
    <n v="0"/>
    <n v="0"/>
    <n v="0"/>
    <n v="0"/>
    <n v="0"/>
    <n v="0"/>
    <n v="0"/>
    <n v="0"/>
    <n v="0"/>
    <n v="0"/>
    <n v="14760"/>
    <n v="20368.8"/>
    <n v="0"/>
    <n v="146649.60000000001"/>
    <n v="48883.199999999997"/>
    <n v="12.5004909662215"/>
    <n v="1800.72"/>
    <s v="122.0"/>
    <n v="48883.199999999997"/>
    <n v="48883.200000000004"/>
    <n v="48883.199999999997"/>
    <x v="3"/>
    <x v="1"/>
  </r>
  <r>
    <x v="1"/>
    <s v="FG"/>
    <n v="577492"/>
    <s v="BC28-0375-K-R-Tinted Brown"/>
    <s v="35.600 G"/>
    <n v="60104"/>
    <s v="601041000B"/>
    <s v="601041000B90000000"/>
    <x v="1"/>
    <s v="Others"/>
    <m/>
    <m/>
    <m/>
    <m/>
    <m/>
    <m/>
    <m/>
    <m/>
    <m/>
    <m/>
    <m/>
    <m/>
    <m/>
    <m/>
    <m/>
    <n v="72256.800000000003"/>
    <n v="24085.599999999999"/>
    <m/>
    <n v="0"/>
    <s v="35.60"/>
    <n v="24085.599999999999"/>
    <n v="24085.600000000002"/>
    <n v="24085.599999999999"/>
    <x v="1"/>
    <x v="1"/>
  </r>
  <r>
    <x v="1"/>
    <s v="FG"/>
    <n v="579471"/>
    <s v="JJ63-0155-TH-R-CL"/>
    <s v="24.000 G"/>
    <n v="60104"/>
    <s v="601041000J"/>
    <s v="601041000J90000000"/>
    <x v="2"/>
    <s v="Others"/>
    <m/>
    <m/>
    <m/>
    <m/>
    <m/>
    <m/>
    <m/>
    <m/>
    <m/>
    <m/>
    <m/>
    <m/>
    <m/>
    <m/>
    <m/>
    <n v="7938.01"/>
    <n v="2646.0033333333299"/>
    <m/>
    <n v="0"/>
    <s v="24.00"/>
    <n v="2646.0033333333299"/>
    <n v="2646"/>
    <n v="2646.0033333333299"/>
    <x v="1"/>
    <x v="2"/>
  </r>
  <r>
    <x v="1"/>
    <s v="FG"/>
    <n v="580324"/>
    <s v="BC28-0060-M-R-AM-LW"/>
    <s v="11.300 G"/>
    <n v="60104"/>
    <s v="601041000B"/>
    <s v="601041000B90000000"/>
    <x v="1"/>
    <s v="Others"/>
    <n v="0"/>
    <n v="0"/>
    <n v="100050"/>
    <n v="15007.5"/>
    <n v="0"/>
    <n v="0"/>
    <n v="0"/>
    <n v="0"/>
    <n v="0"/>
    <n v="0"/>
    <n v="0"/>
    <n v="0"/>
    <n v="100050"/>
    <n v="15007.5"/>
    <n v="0"/>
    <n v="3565"/>
    <n v="1188.3333333333301"/>
    <n v="378.870967741936"/>
    <n v="1130.5650000000001"/>
    <s v="11.30"/>
    <n v="1188.3333333333301"/>
    <n v="1188.3333333333333"/>
    <n v="1188.3333333333301"/>
    <x v="1"/>
    <x v="1"/>
  </r>
  <r>
    <x v="1"/>
    <s v="FG"/>
    <n v="580580"/>
    <s v="EBK38-2017-K-S-WHITE-HDPE"/>
    <s v="103.000 G"/>
    <n v="60105"/>
    <s v="601051000B"/>
    <s v="601051000B40000000"/>
    <x v="13"/>
    <s v="Food &amp; Beverage"/>
    <n v="40040"/>
    <n v="47647.6"/>
    <n v="0"/>
    <n v="0"/>
    <n v="0"/>
    <n v="0"/>
    <n v="0"/>
    <n v="0"/>
    <n v="0"/>
    <n v="0"/>
    <n v="0"/>
    <n v="0"/>
    <n v="40040"/>
    <n v="47647.6"/>
    <n v="0"/>
    <n v="36027.199999999997"/>
    <n v="12009.0666666667"/>
    <n v="119.02906692721101"/>
    <n v="4124.12"/>
    <s v="103.0"/>
    <n v="12009.0666666667"/>
    <n v="12009.066666666666"/>
    <n v="12009.0666666667"/>
    <x v="3"/>
    <x v="1"/>
  </r>
  <r>
    <x v="1"/>
    <s v="FG"/>
    <n v="581042"/>
    <s v="ST- ISCOOP CHOC CHIP 140MMx90MM"/>
    <s v="0.000 G"/>
    <n v="65400"/>
    <s v="65400S0001"/>
    <s v="#"/>
    <x v="6"/>
    <s v="LABEL, IML, STICKER,"/>
    <n v="0"/>
    <n v="0"/>
    <n v="0"/>
    <n v="0"/>
    <n v="0"/>
    <n v="0"/>
    <n v="0"/>
    <n v="0"/>
    <n v="2620"/>
    <n v="222.7"/>
    <n v="0"/>
    <n v="0"/>
    <n v="2620"/>
    <n v="222.7"/>
    <n v="222.7"/>
    <m/>
    <m/>
    <n v="0"/>
    <n v="0"/>
    <s v="0.000"/>
    <n v="0"/>
    <n v="0"/>
    <n v="0"/>
    <x v="4"/>
    <x v="4"/>
  </r>
  <r>
    <x v="1"/>
    <s v="FG"/>
    <n v="581956"/>
    <s v="ST-6LTR BUDS TUB 2.0"/>
    <s v="0.000 KG"/>
    <n v="65400"/>
    <s v="65400S0001"/>
    <s v="#"/>
    <x v="6"/>
    <s v="LABEL, IML, STICKER,"/>
    <n v="0"/>
    <n v="0"/>
    <n v="0"/>
    <n v="0"/>
    <n v="0"/>
    <n v="0"/>
    <n v="13560"/>
    <n v="1487.26"/>
    <n v="0"/>
    <n v="0"/>
    <n v="0"/>
    <n v="0"/>
    <n v="13560"/>
    <n v="1487.26"/>
    <n v="991.59"/>
    <m/>
    <m/>
    <n v="0"/>
    <n v="0"/>
    <s v="0.000"/>
    <n v="0"/>
    <n v="0"/>
    <n v="0"/>
    <x v="4"/>
    <x v="4"/>
  </r>
  <r>
    <x v="1"/>
    <s v="FG"/>
    <n v="586276"/>
    <s v="BC28-0056-D-APH-5040-0756-PP"/>
    <s v="12.300 G"/>
    <n v="60106"/>
    <s v="601061000B"/>
    <s v="601061000B10000000"/>
    <x v="16"/>
    <s v="Electrical &amp; Electro"/>
    <n v="24300"/>
    <n v="3888"/>
    <n v="0"/>
    <n v="0"/>
    <n v="0"/>
    <n v="0"/>
    <n v="0"/>
    <n v="0"/>
    <n v="0"/>
    <n v="0"/>
    <n v="0"/>
    <n v="0"/>
    <n v="24300"/>
    <n v="3888"/>
    <n v="0"/>
    <n v="490779.21"/>
    <n v="163593.07"/>
    <n v="0.71298863698810699"/>
    <n v="298.89"/>
    <s v="12.30"/>
    <n v="163593.07"/>
    <n v="163593"/>
    <n v="163593.07"/>
    <x v="2"/>
    <x v="1"/>
  </r>
  <r>
    <x v="1"/>
    <s v="FG"/>
    <n v="588272"/>
    <s v="JK57-0350-R-CL-KEKO"/>
    <s v="24.600 G"/>
    <n v="60104"/>
    <s v="601041000J"/>
    <s v="601041000J40000000"/>
    <x v="17"/>
    <s v="Food &amp; Beverage"/>
    <n v="177480"/>
    <n v="40820.400000000001"/>
    <n v="0"/>
    <n v="0"/>
    <n v="0"/>
    <n v="0"/>
    <n v="0"/>
    <n v="0"/>
    <n v="0"/>
    <n v="0"/>
    <n v="0"/>
    <n v="0"/>
    <n v="177480"/>
    <n v="40820.400000000001"/>
    <n v="0"/>
    <n v="211140"/>
    <n v="70380"/>
    <n v="17.399999999999999"/>
    <n v="4366.0079999999998"/>
    <s v="24.60"/>
    <n v="70380"/>
    <n v="70380"/>
    <n v="70380"/>
    <x v="1"/>
    <x v="2"/>
  </r>
  <r>
    <x v="1"/>
    <s v="FG"/>
    <n v="591265"/>
    <s v="JG63-0175-R-R-AM KNR CHICKEN MYSG (BVI)"/>
    <s v="24.000 G"/>
    <n v="60104"/>
    <s v="601041000J"/>
    <s v="601041000J40000000"/>
    <x v="17"/>
    <s v="Food &amp; Beverage"/>
    <n v="16416"/>
    <n v="4924.8"/>
    <n v="0"/>
    <n v="0"/>
    <n v="0"/>
    <n v="0"/>
    <n v="0"/>
    <n v="0"/>
    <n v="0"/>
    <n v="0"/>
    <n v="0"/>
    <n v="0"/>
    <n v="16416"/>
    <n v="4924.8"/>
    <n v="0"/>
    <n v="20465.28"/>
    <n v="6821.76"/>
    <n v="21.6577540106952"/>
    <n v="393.98399999999998"/>
    <s v="24.00"/>
    <n v="6821.76"/>
    <n v="6821.7599999999993"/>
    <n v="6821.76"/>
    <x v="1"/>
    <x v="2"/>
  </r>
  <r>
    <x v="1"/>
    <s v="FG"/>
    <n v="591266"/>
    <s v="JG63-0175-R-R-AM KNR I.BILIS MYSG (BVI)"/>
    <s v="24.000 G"/>
    <n v="60104"/>
    <s v="601041000J"/>
    <s v="601041000J40000000"/>
    <x v="17"/>
    <s v="Food &amp; Beverage"/>
    <n v="5472"/>
    <n v="1641.6"/>
    <n v="0"/>
    <n v="0"/>
    <n v="0"/>
    <n v="0"/>
    <n v="0"/>
    <n v="0"/>
    <n v="0"/>
    <n v="0"/>
    <n v="0"/>
    <n v="0"/>
    <n v="5472"/>
    <n v="1641.6"/>
    <n v="0"/>
    <n v="11108.16"/>
    <n v="3702.72"/>
    <n v="13.3004926108374"/>
    <n v="131.328"/>
    <s v="24.00"/>
    <n v="3702.72"/>
    <n v="3702.72"/>
    <n v="3702.72"/>
    <x v="1"/>
    <x v="2"/>
  </r>
  <r>
    <x v="1"/>
    <s v="FG"/>
    <n v="591268"/>
    <s v="JG63-0175-R-R-AM KNR TOMYAM MYSG (BVI)"/>
    <s v="24.000 G"/>
    <n v="60104"/>
    <s v="601041000J"/>
    <s v="601041000J40000000"/>
    <x v="17"/>
    <s v="Food &amp; Beverage"/>
    <n v="0"/>
    <n v="0"/>
    <n v="27360"/>
    <n v="9849.6"/>
    <n v="0"/>
    <n v="0"/>
    <n v="0"/>
    <n v="0"/>
    <n v="0"/>
    <n v="0"/>
    <n v="0"/>
    <n v="0"/>
    <n v="27360"/>
    <n v="9849.6"/>
    <n v="0"/>
    <n v="1805.76"/>
    <n v="601.91999999999996"/>
    <n v="490.90909090909099"/>
    <n v="656.64"/>
    <s v="24.00"/>
    <n v="601.91999999999996"/>
    <n v="601.91999999999996"/>
    <n v="601.91999999999996"/>
    <x v="1"/>
    <x v="2"/>
  </r>
  <r>
    <x v="1"/>
    <s v="FG"/>
    <n v="591269"/>
    <s v="JG63-0175-R-R-AM KNR CHICKEN NAMSG (BVI)"/>
    <s v="24.000 G"/>
    <n v="60104"/>
    <s v="601041000J"/>
    <s v="601041000J40000000"/>
    <x v="17"/>
    <s v="Food &amp; Beverage"/>
    <m/>
    <m/>
    <m/>
    <m/>
    <m/>
    <m/>
    <m/>
    <m/>
    <m/>
    <m/>
    <m/>
    <m/>
    <m/>
    <m/>
    <m/>
    <n v="16142.4"/>
    <n v="5380.8"/>
    <m/>
    <n v="0"/>
    <s v="24.00"/>
    <n v="5380.8"/>
    <n v="5380.8"/>
    <n v="5380.8"/>
    <x v="1"/>
    <x v="2"/>
  </r>
  <r>
    <x v="1"/>
    <s v="FG"/>
    <n v="591270"/>
    <s v="JG63-0175-R-R-AM KNR I.BILIS NAMSG (BVI)"/>
    <s v="24.000 G"/>
    <n v="60104"/>
    <s v="601041000J"/>
    <s v="601041000J40000000"/>
    <x v="17"/>
    <s v="Food &amp; Beverage"/>
    <n v="0"/>
    <n v="0"/>
    <n v="0"/>
    <n v="0"/>
    <n v="0"/>
    <n v="0"/>
    <n v="10944"/>
    <n v="3283.2"/>
    <n v="0"/>
    <n v="0"/>
    <n v="0"/>
    <n v="0"/>
    <n v="10944"/>
    <n v="3283.2"/>
    <n v="1459.32"/>
    <n v="3064.32"/>
    <n v="1021.44"/>
    <n v="96.428571428571402"/>
    <n v="262.65600000000001"/>
    <s v="24.00"/>
    <n v="1021.44"/>
    <n v="1021.44"/>
    <n v="1021.44"/>
    <x v="1"/>
    <x v="2"/>
  </r>
  <r>
    <x v="1"/>
    <s v="FG"/>
    <n v="591368"/>
    <s v="SL-KNORR CHICKEN POWDER MYSG 120G (BVI)"/>
    <s v="0.000 G"/>
    <n v="65400"/>
    <s v="65400S0001"/>
    <s v="#"/>
    <x v="6"/>
    <s v="LABEL, IML, STICKER,"/>
    <n v="123000"/>
    <n v="6392.31"/>
    <n v="4742"/>
    <n v="246.44"/>
    <n v="0"/>
    <n v="0"/>
    <n v="0"/>
    <n v="0"/>
    <n v="0"/>
    <n v="0"/>
    <n v="0"/>
    <n v="0"/>
    <n v="127742"/>
    <n v="6638.75"/>
    <n v="0"/>
    <m/>
    <m/>
    <n v="0"/>
    <n v="0"/>
    <s v="0.000"/>
    <n v="0"/>
    <n v="949.84666666666669"/>
    <n v="949.84666666666669"/>
    <x v="4"/>
    <x v="4"/>
  </r>
  <r>
    <x v="1"/>
    <s v="FG"/>
    <n v="591369"/>
    <s v="SL-KNORR IKAN BILIS POWDER MYSG120G(BVI)"/>
    <s v="0.000 G"/>
    <n v="65400"/>
    <s v="65400S0001"/>
    <s v="#"/>
    <x v="6"/>
    <s v="LABEL, IML, STICKER,"/>
    <n v="50000"/>
    <n v="2728"/>
    <n v="37254"/>
    <n v="2032.58"/>
    <n v="0"/>
    <n v="0"/>
    <n v="0"/>
    <n v="0"/>
    <n v="0"/>
    <n v="0"/>
    <n v="0"/>
    <n v="0"/>
    <n v="87254"/>
    <n v="4760.58"/>
    <n v="0"/>
    <m/>
    <m/>
    <n v="0"/>
    <n v="0"/>
    <s v="0.000"/>
    <n v="0"/>
    <n v="423.94666666666666"/>
    <n v="423.94666666666666"/>
    <x v="4"/>
    <x v="4"/>
  </r>
  <r>
    <x v="1"/>
    <s v="FG"/>
    <n v="591370"/>
    <s v="SL-KNORR TOMYAM PASTE MYSG180G(BVI)"/>
    <s v="0.000 G"/>
    <n v="65400"/>
    <s v="65400S0001"/>
    <s v="#"/>
    <x v="6"/>
    <s v="LABEL, IML, STICKER,"/>
    <n v="48068"/>
    <n v="5482.16"/>
    <n v="0"/>
    <n v="0"/>
    <n v="0"/>
    <n v="0"/>
    <n v="0"/>
    <n v="0"/>
    <n v="0"/>
    <n v="0"/>
    <n v="0"/>
    <n v="0"/>
    <n v="48068"/>
    <n v="5482.16"/>
    <n v="0"/>
    <m/>
    <m/>
    <n v="0"/>
    <n v="0"/>
    <s v="0.000"/>
    <n v="0"/>
    <n v="1095.3166666666666"/>
    <n v="1095.3166666666666"/>
    <x v="4"/>
    <x v="4"/>
  </r>
  <r>
    <x v="1"/>
    <s v="FG"/>
    <n v="592668"/>
    <s v="SL-KNORR CHICKEN POWDER NAMSG 120G (BVI)"/>
    <s v="0.000 G"/>
    <n v="65400"/>
    <s v="65400S0001"/>
    <s v="#"/>
    <x v="6"/>
    <s v="LABEL, IML, STICKER,"/>
    <n v="50000"/>
    <n v="4012.5"/>
    <n v="5470"/>
    <n v="438.97"/>
    <n v="0"/>
    <n v="0"/>
    <n v="0"/>
    <n v="0"/>
    <n v="0"/>
    <n v="0"/>
    <n v="0"/>
    <n v="0"/>
    <n v="55470"/>
    <n v="4451.47"/>
    <n v="0"/>
    <m/>
    <m/>
    <n v="0"/>
    <n v="0"/>
    <s v="0.000"/>
    <n v="0"/>
    <n v="1438.8333333333333"/>
    <n v="1438.8333333333333"/>
    <x v="4"/>
    <x v="4"/>
  </r>
  <r>
    <x v="1"/>
    <s v="FG"/>
    <n v="592669"/>
    <s v="SL-KNORR I.BILIS NAMSG 120G (BVI)"/>
    <s v="0.000 G"/>
    <n v="65400"/>
    <s v="65400S0001"/>
    <s v="#"/>
    <x v="6"/>
    <s v="LABEL, IML, STICKER,"/>
    <n v="0"/>
    <n v="0"/>
    <n v="0"/>
    <n v="0"/>
    <n v="30000"/>
    <n v="1559.7"/>
    <n v="0"/>
    <n v="0"/>
    <n v="15350"/>
    <n v="798.05"/>
    <n v="0"/>
    <n v="0"/>
    <n v="45350"/>
    <n v="2357.75"/>
    <n v="1317.99"/>
    <m/>
    <m/>
    <n v="0"/>
    <n v="0"/>
    <s v="0.000"/>
    <n v="0"/>
    <n v="0"/>
    <n v="0"/>
    <x v="4"/>
    <x v="4"/>
  </r>
  <r>
    <x v="1"/>
    <s v="FG"/>
    <n v="593537"/>
    <s v="BX38-1000-RN-R-CL-rPET 0.2"/>
    <s v="55.900 G"/>
    <n v="60104"/>
    <s v="601041000B"/>
    <s v="601041000B90000000"/>
    <x v="1"/>
    <s v="Others"/>
    <n v="248975"/>
    <n v="102079.75"/>
    <n v="0"/>
    <n v="0"/>
    <n v="0"/>
    <n v="0"/>
    <n v="0"/>
    <n v="0"/>
    <n v="0"/>
    <n v="0"/>
    <n v="0"/>
    <n v="0"/>
    <n v="248975"/>
    <n v="102079.75"/>
    <n v="0"/>
    <n v="320022"/>
    <n v="106674"/>
    <n v="28.707956015523902"/>
    <n v="13917.702499999999"/>
    <s v="55.90"/>
    <n v="106674"/>
    <n v="106674"/>
    <n v="106674"/>
    <x v="1"/>
    <x v="1"/>
  </r>
  <r>
    <x v="1"/>
    <s v="FG"/>
    <n v="596735"/>
    <s v="C28-AF2 PLAIN WHITE PLASTIC CAPS(ASEM)-V"/>
    <s v="3.000 G"/>
    <n v="60106"/>
    <s v="601061000C"/>
    <s v="601061000C90000000"/>
    <x v="3"/>
    <s v="Others"/>
    <n v="0"/>
    <n v="0"/>
    <n v="4800"/>
    <n v="628.61"/>
    <n v="0"/>
    <n v="0"/>
    <n v="0"/>
    <n v="0"/>
    <n v="0"/>
    <n v="0"/>
    <n v="0"/>
    <n v="0"/>
    <n v="4800"/>
    <n v="628.61"/>
    <n v="0"/>
    <m/>
    <m/>
    <n v="0"/>
    <n v="14.4"/>
    <s v="3.000"/>
    <n v="0"/>
    <n v="0"/>
    <n v="0"/>
    <x v="2"/>
    <x v="3"/>
  </r>
  <r>
    <x v="1"/>
    <s v="FG"/>
    <n v="597509"/>
    <s v="JJ63-0310-R-R-WH"/>
    <s v="24.900 G"/>
    <n v="60104"/>
    <s v="601041000J"/>
    <s v="601041000J90000000"/>
    <x v="2"/>
    <s v="Others"/>
    <n v="10920"/>
    <n v="2620.8000000000002"/>
    <n v="0"/>
    <n v="0"/>
    <n v="0"/>
    <n v="0"/>
    <n v="0"/>
    <n v="0"/>
    <n v="0"/>
    <n v="0"/>
    <n v="0"/>
    <n v="0"/>
    <n v="10920"/>
    <n v="2620.8000000000002"/>
    <n v="0"/>
    <m/>
    <m/>
    <n v="0"/>
    <n v="271.90800000000002"/>
    <s v="24.90"/>
    <n v="0"/>
    <n v="1657.4133333333332"/>
    <n v="1657.4133333333332"/>
    <x v="1"/>
    <x v="2"/>
  </r>
  <r>
    <x v="1"/>
    <s v="FG"/>
    <n v="598630"/>
    <s v="C63-T/E-R/S-BR-IND.SEAL-W/EAR (ASEM)-S"/>
    <s v="7.700 G"/>
    <n v="60105"/>
    <s v="601051000C"/>
    <s v="601051000C90000000"/>
    <x v="4"/>
    <s v="Others"/>
    <m/>
    <m/>
    <m/>
    <m/>
    <m/>
    <m/>
    <m/>
    <m/>
    <m/>
    <m/>
    <m/>
    <m/>
    <m/>
    <m/>
    <m/>
    <n v="2610"/>
    <n v="870"/>
    <m/>
    <n v="0"/>
    <s v="7.700"/>
    <n v="870"/>
    <n v="870"/>
    <n v="870"/>
    <x v="3"/>
    <x v="3"/>
  </r>
  <r>
    <x v="1"/>
    <s v="FG"/>
    <n v="600646"/>
    <s v="BC28-0500-GS2-R-AM"/>
    <s v="44.000 G"/>
    <n v="60104"/>
    <s v="601041000B"/>
    <s v="601041000B90000000"/>
    <x v="1"/>
    <s v="Others"/>
    <n v="7800"/>
    <n v="3276"/>
    <n v="0"/>
    <n v="0"/>
    <n v="0"/>
    <n v="0"/>
    <n v="0"/>
    <n v="0"/>
    <n v="1800"/>
    <n v="756"/>
    <n v="0"/>
    <n v="0"/>
    <n v="9600"/>
    <n v="4032"/>
    <n v="756"/>
    <m/>
    <m/>
    <n v="0"/>
    <n v="422.4"/>
    <s v="44.00"/>
    <n v="0"/>
    <n v="0"/>
    <n v="0"/>
    <x v="1"/>
    <x v="1"/>
  </r>
  <r>
    <x v="1"/>
    <s v="FG"/>
    <n v="606138"/>
    <s v="Z-27.5MM 1P IHS-PET.CLR SEMI R PULL TAG"/>
    <s v="0.000 G"/>
    <n v="65400"/>
    <s v="65400S0001"/>
    <s v="#"/>
    <x v="6"/>
    <s v="LABEL, IML, STICKER,"/>
    <n v="0"/>
    <n v="0"/>
    <n v="20000"/>
    <n v="852"/>
    <n v="0"/>
    <n v="0"/>
    <n v="9400"/>
    <n v="400.44"/>
    <n v="0"/>
    <n v="0"/>
    <n v="0"/>
    <n v="0"/>
    <n v="29400"/>
    <n v="1252.44"/>
    <n v="155.74"/>
    <m/>
    <m/>
    <n v="0"/>
    <n v="0"/>
    <s v="0.000"/>
    <n v="0"/>
    <n v="0"/>
    <n v="0"/>
    <x v="4"/>
    <x v="4"/>
  </r>
  <r>
    <x v="1"/>
    <s v="FG"/>
    <n v="606524"/>
    <s v="C35-R/S-F.TOP CHOC-743-02420-007-2.0ASEM"/>
    <s v="5.700 G"/>
    <n v="60106"/>
    <s v="601061000C"/>
    <s v="601061000C40000000"/>
    <x v="5"/>
    <s v="Food &amp; Beverage"/>
    <n v="0"/>
    <n v="0"/>
    <n v="34000"/>
    <n v="3060"/>
    <n v="0"/>
    <n v="0"/>
    <n v="0"/>
    <n v="0"/>
    <n v="0"/>
    <n v="0"/>
    <n v="0"/>
    <n v="0"/>
    <n v="34000"/>
    <n v="3060"/>
    <n v="0"/>
    <m/>
    <m/>
    <n v="0"/>
    <n v="193.8"/>
    <s v="5.700"/>
    <n v="0"/>
    <n v="10993.333333333334"/>
    <n v="10993.333333333334"/>
    <x v="2"/>
    <x v="3"/>
  </r>
  <r>
    <x v="1"/>
    <s v="FG"/>
    <n v="606759"/>
    <s v="Z-SL1-PLE-240F, 30.1mm with 3 tabs"/>
    <s v="0.000 G"/>
    <n v="65400"/>
    <s v="65400S0001"/>
    <s v="#"/>
    <x v="6"/>
    <s v="LABEL, IML, STICKER,"/>
    <n v="80000"/>
    <n v="42100.800000000003"/>
    <n v="6866.64"/>
    <n v="3613.64"/>
    <n v="0"/>
    <n v="0"/>
    <n v="0"/>
    <n v="0"/>
    <n v="0"/>
    <n v="0"/>
    <n v="0"/>
    <n v="0"/>
    <n v="86866.64"/>
    <n v="45714.44"/>
    <n v="0"/>
    <m/>
    <m/>
    <n v="0"/>
    <n v="0"/>
    <s v="0.000"/>
    <n v="0"/>
    <n v="2017.21"/>
    <n v="2017.21"/>
    <x v="4"/>
    <x v="4"/>
  </r>
  <r>
    <x v="1"/>
    <s v="FG"/>
    <n v="607139"/>
    <s v="Z-B300-WH PAIL&amp;COVER W/O SPOUT W/INNER"/>
    <s v="0.000 G"/>
    <n v="60105"/>
    <s v="601051000C"/>
    <s v="601051000C90000000"/>
    <x v="4"/>
    <s v="Others"/>
    <n v="0"/>
    <n v="0"/>
    <n v="0"/>
    <n v="0"/>
    <n v="0"/>
    <n v="0"/>
    <n v="10000"/>
    <n v="7800"/>
    <n v="0"/>
    <n v="0"/>
    <n v="0"/>
    <n v="0"/>
    <n v="10000"/>
    <n v="7800"/>
    <n v="3466.94"/>
    <m/>
    <m/>
    <n v="0"/>
    <n v="0"/>
    <s v="0.000"/>
    <n v="0"/>
    <n v="0"/>
    <n v="0"/>
    <x v="3"/>
    <x v="3"/>
  </r>
  <r>
    <x v="1"/>
    <s v="FG"/>
    <n v="607338"/>
    <s v="BC28-0200-R-R-CL-HW"/>
    <s v="24.000 G"/>
    <n v="60104"/>
    <s v="601041000B"/>
    <s v="601041000B90000000"/>
    <x v="1"/>
    <s v="Others"/>
    <n v="0"/>
    <n v="0"/>
    <n v="0"/>
    <n v="0"/>
    <n v="840"/>
    <n v="184.8"/>
    <n v="0"/>
    <n v="0"/>
    <n v="0"/>
    <n v="0"/>
    <n v="0"/>
    <n v="0"/>
    <n v="840"/>
    <n v="184.8"/>
    <n v="41.07"/>
    <m/>
    <m/>
    <n v="0"/>
    <n v="20.16"/>
    <s v="24.00"/>
    <n v="0"/>
    <n v="0"/>
    <n v="0"/>
    <x v="1"/>
    <x v="1"/>
  </r>
  <r>
    <x v="1"/>
    <s v="FG"/>
    <n v="609634"/>
    <s v="Z-50.0MM PE LINER RING (3.0MM)"/>
    <s v="0.000 G"/>
    <n v="65400"/>
    <s v="65400S0001"/>
    <s v="#"/>
    <x v="6"/>
    <s v="LABEL, IML, STICKER,"/>
    <n v="370000"/>
    <n v="30724.799999999999"/>
    <n v="21125"/>
    <n v="1754.22"/>
    <n v="5166"/>
    <n v="428.98"/>
    <n v="27453"/>
    <n v="2279.6999999999998"/>
    <n v="0"/>
    <n v="0"/>
    <n v="0"/>
    <n v="0"/>
    <n v="423744"/>
    <n v="35187.699999999997"/>
    <n v="1211.44"/>
    <m/>
    <m/>
    <n v="0"/>
    <n v="0"/>
    <s v="0.000"/>
    <n v="0"/>
    <n v="17421.54"/>
    <n v="17421.54"/>
    <x v="4"/>
    <x v="4"/>
  </r>
  <r>
    <x v="1"/>
    <s v="FG"/>
    <n v="611204"/>
    <s v="C38-EZY CAP GREEN W PE WAD (ASEM)"/>
    <s v="7.300 G"/>
    <n v="60105"/>
    <s v="601051000C"/>
    <s v="601051000C40000000"/>
    <x v="14"/>
    <s v="Food &amp; Beverage"/>
    <m/>
    <m/>
    <m/>
    <m/>
    <m/>
    <m/>
    <m/>
    <m/>
    <m/>
    <m/>
    <m/>
    <m/>
    <m/>
    <m/>
    <m/>
    <n v="4669.66"/>
    <n v="1556.5533333333301"/>
    <m/>
    <n v="0"/>
    <s v="7.300"/>
    <n v="1556.5533333333301"/>
    <n v="1556.5533333333333"/>
    <n v="1556.5533333333301"/>
    <x v="3"/>
    <x v="3"/>
  </r>
  <r>
    <x v="1"/>
    <s v="FG"/>
    <n v="611513"/>
    <s v="Z-B500-WH PAIL&amp;COVER W/O SPOUT W/INNER"/>
    <s v="0.000 G"/>
    <n v="60105"/>
    <s v="601051000C"/>
    <s v="601051000C90000000"/>
    <x v="4"/>
    <s v="Others"/>
    <n v="0"/>
    <n v="0"/>
    <n v="0"/>
    <n v="0"/>
    <n v="4000"/>
    <n v="4066.68"/>
    <n v="1000"/>
    <n v="1016.67"/>
    <n v="0"/>
    <n v="0"/>
    <n v="0"/>
    <n v="0"/>
    <n v="5000"/>
    <n v="5083.3500000000004"/>
    <n v="1864.05"/>
    <m/>
    <m/>
    <n v="0"/>
    <n v="0"/>
    <s v="0.000"/>
    <n v="0"/>
    <n v="0"/>
    <n v="0"/>
    <x v="3"/>
    <x v="3"/>
  </r>
  <r>
    <x v="1"/>
    <s v="FG"/>
    <n v="611846"/>
    <s v="EF54-5000-S-NA-FMC"/>
    <s v="320.000 G"/>
    <n v="60105"/>
    <s v="60105100JC"/>
    <s v="60105100JC50000000"/>
    <x v="18"/>
    <s v="Pharma / Medical"/>
    <n v="44928"/>
    <n v="62000.639999999999"/>
    <n v="0"/>
    <n v="0"/>
    <n v="0"/>
    <n v="0"/>
    <n v="0"/>
    <n v="0"/>
    <n v="0"/>
    <n v="0"/>
    <n v="0"/>
    <n v="0"/>
    <n v="44928"/>
    <n v="62000.639999999999"/>
    <n v="0"/>
    <n v="340208.64000000001"/>
    <n v="113402.88"/>
    <n v="16.401869158878501"/>
    <n v="14376.96"/>
    <s v="320.0"/>
    <n v="113402.88"/>
    <n v="134847.36000000002"/>
    <n v="113402.88"/>
    <x v="3"/>
    <x v="6"/>
  </r>
  <r>
    <x v="1"/>
    <s v="FG"/>
    <n v="611847"/>
    <s v="CF54-0050-R-YL with PE LINER RING (ASEM)"/>
    <s v="16.100 G"/>
    <n v="60105"/>
    <s v="601051000C"/>
    <s v="601051000C40000000"/>
    <x v="14"/>
    <s v="Food &amp; Beverage"/>
    <n v="22500"/>
    <n v="7048.12"/>
    <n v="0"/>
    <n v="0"/>
    <n v="750"/>
    <n v="234.94"/>
    <n v="0"/>
    <n v="0"/>
    <n v="0"/>
    <n v="0"/>
    <n v="0"/>
    <n v="0"/>
    <n v="23250"/>
    <n v="7283.06"/>
    <n v="13.05"/>
    <n v="65585.61"/>
    <n v="21861.87"/>
    <n v="9.9941953730399096"/>
    <n v="374.32500000000005"/>
    <s v="16.10"/>
    <n v="21861.87"/>
    <n v="27830.880000000001"/>
    <n v="21861.87"/>
    <x v="3"/>
    <x v="3"/>
  </r>
  <r>
    <x v="1"/>
    <s v="FG"/>
    <n v="611949"/>
    <s v="BBX38-0150-R-AM"/>
    <s v="23.000 G"/>
    <n v="60104"/>
    <s v="601041000B"/>
    <s v="601041000B90000000"/>
    <x v="1"/>
    <s v="Others"/>
    <n v="0"/>
    <n v="0"/>
    <n v="3300"/>
    <n v="792"/>
    <n v="0"/>
    <n v="0"/>
    <n v="388"/>
    <n v="93.12"/>
    <n v="0"/>
    <n v="0"/>
    <n v="0"/>
    <n v="0"/>
    <n v="3688"/>
    <n v="885.12"/>
    <n v="77.61"/>
    <n v="6413"/>
    <n v="2137.6666666666702"/>
    <n v="12.421768283174799"/>
    <n v="84.823999999999998"/>
    <s v="23.00"/>
    <n v="2137.6666666666702"/>
    <n v="2137.6666666666665"/>
    <n v="2137.6666666666702"/>
    <x v="1"/>
    <x v="1"/>
  </r>
  <r>
    <x v="1"/>
    <s v="FG"/>
    <n v="612139"/>
    <s v="SL-KEFIR M.KISAH"/>
    <s v="0.000 G"/>
    <n v="65400"/>
    <s v="65400S0001"/>
    <s v="#"/>
    <x v="6"/>
    <s v="LABEL, IML, STICKER,"/>
    <n v="0"/>
    <n v="0"/>
    <n v="0"/>
    <n v="0"/>
    <n v="0"/>
    <n v="0"/>
    <n v="224"/>
    <n v="40.32"/>
    <n v="0"/>
    <n v="0"/>
    <n v="0"/>
    <n v="0"/>
    <n v="224"/>
    <n v="40.32"/>
    <n v="15.68"/>
    <m/>
    <m/>
    <n v="0"/>
    <n v="0"/>
    <s v="0.000"/>
    <n v="0"/>
    <n v="0"/>
    <n v="0"/>
    <x v="4"/>
    <x v="4"/>
  </r>
  <r>
    <x v="1"/>
    <s v="FG"/>
    <n v="612140"/>
    <s v="SL-KEFIR W.BERRIES"/>
    <s v="0.000 G"/>
    <n v="65400"/>
    <s v="65400S0001"/>
    <s v="#"/>
    <x v="6"/>
    <s v="LABEL, IML, STICKER,"/>
    <n v="0"/>
    <n v="0"/>
    <n v="0"/>
    <n v="0"/>
    <n v="0"/>
    <n v="0"/>
    <n v="23"/>
    <n v="4.1399999999999997"/>
    <n v="0"/>
    <n v="0"/>
    <n v="0"/>
    <n v="0"/>
    <n v="23"/>
    <n v="4.1399999999999997"/>
    <n v="1.61"/>
    <m/>
    <m/>
    <n v="0"/>
    <n v="0"/>
    <s v="0.000"/>
    <n v="0"/>
    <n v="0"/>
    <n v="0"/>
    <x v="4"/>
    <x v="4"/>
  </r>
  <r>
    <x v="1"/>
    <s v="FG"/>
    <n v="612152"/>
    <s v="SL-KEFIR MANGGA PIC"/>
    <s v="0.000 G"/>
    <n v="65400"/>
    <s v="65400S0001"/>
    <s v="#"/>
    <x v="6"/>
    <s v="LABEL, IML, STICKER,"/>
    <n v="0"/>
    <n v="0"/>
    <n v="0"/>
    <n v="0"/>
    <n v="0"/>
    <n v="0"/>
    <n v="298"/>
    <n v="53.64"/>
    <n v="0"/>
    <n v="0"/>
    <n v="0"/>
    <n v="0"/>
    <n v="298"/>
    <n v="53.64"/>
    <n v="20.86"/>
    <m/>
    <m/>
    <n v="0"/>
    <n v="0"/>
    <s v="0.000"/>
    <n v="0"/>
    <n v="0"/>
    <n v="0"/>
    <x v="4"/>
    <x v="4"/>
  </r>
  <r>
    <x v="1"/>
    <s v="FG"/>
    <n v="613192"/>
    <s v="Z-28.85MM (3 TABS) - HDPE"/>
    <s v="0.000 G"/>
    <n v="65400"/>
    <s v="65400S0001"/>
    <s v="#"/>
    <x v="6"/>
    <s v="LABEL, IML, STICKER,"/>
    <n v="0"/>
    <n v="0"/>
    <n v="0"/>
    <n v="0"/>
    <n v="0"/>
    <n v="0"/>
    <n v="4100"/>
    <n v="287"/>
    <n v="0"/>
    <n v="0"/>
    <n v="0"/>
    <n v="0"/>
    <n v="4100"/>
    <n v="287"/>
    <n v="111.62"/>
    <m/>
    <m/>
    <n v="0"/>
    <n v="0"/>
    <s v="0.000"/>
    <n v="0"/>
    <n v="0"/>
    <n v="0"/>
    <x v="4"/>
    <x v="4"/>
  </r>
  <r>
    <x v="1"/>
    <s v="FG"/>
    <n v="616219"/>
    <s v="SL-CANISTER SPREAD 200G (3.0)"/>
    <s v="0.000 G"/>
    <n v="65400"/>
    <s v="65400S0001"/>
    <s v="#"/>
    <x v="6"/>
    <s v="LABEL, IML, STICKER,"/>
    <n v="0"/>
    <n v="0"/>
    <n v="0"/>
    <n v="0"/>
    <n v="0"/>
    <n v="0"/>
    <n v="844"/>
    <n v="63.3"/>
    <n v="0"/>
    <n v="0"/>
    <n v="0"/>
    <n v="0"/>
    <n v="844"/>
    <n v="63.3"/>
    <n v="49.24"/>
    <m/>
    <m/>
    <n v="0"/>
    <n v="0"/>
    <s v="0.000"/>
    <n v="0"/>
    <n v="0"/>
    <n v="0"/>
    <x v="4"/>
    <x v="4"/>
  </r>
  <r>
    <x v="1"/>
    <s v="FG"/>
    <n v="616879"/>
    <s v="JJ63-0750-R-R-CL-LW CK 3.0C-ALMD (ASEM)"/>
    <s v="34.500 G"/>
    <n v="60104"/>
    <s v="601041000J"/>
    <s v="601041000J40000000"/>
    <x v="17"/>
    <s v="Food &amp; Beverage"/>
    <m/>
    <m/>
    <m/>
    <m/>
    <m/>
    <m/>
    <m/>
    <m/>
    <m/>
    <m/>
    <m/>
    <m/>
    <m/>
    <m/>
    <m/>
    <n v="3973.2"/>
    <n v="1324.4"/>
    <m/>
    <n v="0"/>
    <s v="34.50"/>
    <n v="1324.4"/>
    <n v="1324.3999999999999"/>
    <n v="1324.4"/>
    <x v="1"/>
    <x v="2"/>
  </r>
  <r>
    <x v="1"/>
    <s v="FG"/>
    <n v="616880"/>
    <s v="JJ63-0750-R-R-CL-LW CK 3.0C-MOCHA (ASEM)"/>
    <s v="34.500 G"/>
    <n v="60104"/>
    <s v="601041000J"/>
    <s v="601041000J40000000"/>
    <x v="17"/>
    <s v="Food &amp; Beverage"/>
    <m/>
    <m/>
    <m/>
    <m/>
    <m/>
    <m/>
    <m/>
    <m/>
    <m/>
    <m/>
    <m/>
    <m/>
    <m/>
    <m/>
    <m/>
    <n v="2816.07"/>
    <n v="938.69"/>
    <m/>
    <n v="0"/>
    <s v="34.50"/>
    <n v="938.69"/>
    <n v="938.69"/>
    <n v="938.69"/>
    <x v="1"/>
    <x v="2"/>
  </r>
  <r>
    <x v="1"/>
    <s v="FG"/>
    <n v="616981"/>
    <s v="SL-TANGO ALMOND CHIPS 3.0 (C)"/>
    <s v="0.000 G"/>
    <n v="65400"/>
    <s v="65400S0001"/>
    <s v="#"/>
    <x v="6"/>
    <s v="LABEL, IML, STICKER,"/>
    <n v="0"/>
    <n v="0"/>
    <n v="0"/>
    <n v="0"/>
    <n v="0"/>
    <n v="0"/>
    <n v="2393"/>
    <n v="275.19"/>
    <n v="0"/>
    <n v="0"/>
    <n v="0"/>
    <n v="0"/>
    <n v="2393"/>
    <n v="275.19"/>
    <n v="122.32"/>
    <m/>
    <m/>
    <n v="0"/>
    <n v="0"/>
    <s v="0.000"/>
    <n v="0"/>
    <n v="298.96333333333331"/>
    <n v="298.96333333333331"/>
    <x v="4"/>
    <x v="4"/>
  </r>
  <r>
    <x v="1"/>
    <s v="FG"/>
    <n v="616992"/>
    <s v="SL-TANGO MOCHA CHIP 3.0 (C)"/>
    <s v="0.000 G"/>
    <n v="65400"/>
    <s v="65400S0001"/>
    <s v="#"/>
    <x v="6"/>
    <s v="LABEL, IML, STICKER,"/>
    <n v="0"/>
    <n v="0"/>
    <n v="0"/>
    <n v="0"/>
    <n v="28460"/>
    <n v="3272.9"/>
    <n v="0"/>
    <n v="0"/>
    <n v="0"/>
    <n v="0"/>
    <n v="0"/>
    <n v="0"/>
    <n v="28460"/>
    <n v="3272.9"/>
    <n v="909.21"/>
    <m/>
    <m/>
    <n v="0"/>
    <n v="0"/>
    <s v="0.000"/>
    <n v="0"/>
    <n v="309.42666666666668"/>
    <n v="309.42666666666668"/>
    <x v="4"/>
    <x v="4"/>
  </r>
  <r>
    <x v="1"/>
    <s v="FG"/>
    <n v="617187"/>
    <s v="EBK38-2012-K-S-CREAM-HDPE-DVG"/>
    <s v="122.000 G"/>
    <n v="60105"/>
    <s v="601051000B"/>
    <s v="601051000B40000000"/>
    <x v="13"/>
    <s v="Food &amp; Beverage"/>
    <m/>
    <m/>
    <m/>
    <m/>
    <m/>
    <m/>
    <m/>
    <m/>
    <m/>
    <m/>
    <m/>
    <m/>
    <m/>
    <m/>
    <m/>
    <n v="28224"/>
    <n v="9408"/>
    <m/>
    <n v="0"/>
    <s v="122.0"/>
    <n v="9408"/>
    <n v="9408"/>
    <n v="9408"/>
    <x v="3"/>
    <x v="1"/>
  </r>
  <r>
    <x v="1"/>
    <s v="FG"/>
    <n v="617192"/>
    <s v="EBK38-2017-K-S-BEIGE-HDPE"/>
    <s v="103.000 G"/>
    <n v="60105"/>
    <s v="601051000B"/>
    <s v="601051000B40000000"/>
    <x v="13"/>
    <s v="Food &amp; Beverage"/>
    <n v="0"/>
    <n v="0"/>
    <n v="0"/>
    <n v="0"/>
    <n v="484"/>
    <n v="556.6"/>
    <n v="0"/>
    <n v="0"/>
    <n v="0"/>
    <n v="0"/>
    <n v="0"/>
    <n v="0"/>
    <n v="484"/>
    <n v="556.6"/>
    <n v="154.62"/>
    <m/>
    <m/>
    <n v="0"/>
    <n v="49.851999999999997"/>
    <s v="103.0"/>
    <n v="0"/>
    <n v="0"/>
    <n v="0"/>
    <x v="3"/>
    <x v="1"/>
  </r>
  <r>
    <x v="1"/>
    <s v="FG"/>
    <n v="617268"/>
    <s v="AL0921-PK 38MM CAP (PINK) - V"/>
    <s v="4.200 G"/>
    <n v="60106"/>
    <s v="601061000C"/>
    <s v="601061000C40000000"/>
    <x v="5"/>
    <s v="Food &amp; Beverage"/>
    <n v="10000"/>
    <n v="647.79999999999995"/>
    <n v="4000"/>
    <n v="259.12"/>
    <n v="0"/>
    <n v="0"/>
    <n v="0"/>
    <n v="0"/>
    <n v="0"/>
    <n v="0"/>
    <n v="0"/>
    <n v="0"/>
    <n v="14000"/>
    <n v="906.92"/>
    <n v="0"/>
    <n v="647.78"/>
    <n v="215.92666666666699"/>
    <n v="126.003890209639"/>
    <n v="58.8"/>
    <s v="4.200"/>
    <n v="215.92666666666699"/>
    <n v="215.92666666666665"/>
    <n v="215.92666666666699"/>
    <x v="2"/>
    <x v="3"/>
  </r>
  <r>
    <x v="1"/>
    <s v="FG"/>
    <n v="618480"/>
    <s v="Z-26.3MM PP INDUCTION SEAL"/>
    <s v="0.000 G"/>
    <n v="65400"/>
    <s v="65400S0001"/>
    <s v="#"/>
    <x v="6"/>
    <s v="LABEL, IML, STICKER,"/>
    <n v="0"/>
    <n v="0"/>
    <n v="50000"/>
    <n v="2500"/>
    <n v="26000"/>
    <n v="1300"/>
    <n v="0"/>
    <n v="0"/>
    <n v="0"/>
    <n v="0"/>
    <n v="0"/>
    <n v="0"/>
    <n v="76000"/>
    <n v="3800"/>
    <n v="288.91000000000003"/>
    <m/>
    <m/>
    <n v="0"/>
    <n v="0"/>
    <s v="0.000"/>
    <n v="0"/>
    <n v="116.66666666666667"/>
    <n v="116.66666666666667"/>
    <x v="4"/>
    <x v="4"/>
  </r>
  <r>
    <x v="1"/>
    <s v="FG"/>
    <n v="618592"/>
    <s v="E22-0150-R-GY-HDPE"/>
    <s v="14.600 G"/>
    <n v="60105"/>
    <s v="601051000B"/>
    <s v="601051000B40000000"/>
    <x v="13"/>
    <s v="Food &amp; Beverage"/>
    <m/>
    <m/>
    <m/>
    <m/>
    <m/>
    <m/>
    <m/>
    <m/>
    <m/>
    <m/>
    <m/>
    <m/>
    <m/>
    <m/>
    <m/>
    <n v="7560"/>
    <n v="2520"/>
    <m/>
    <n v="0"/>
    <s v="14.60"/>
    <n v="2520"/>
    <n v="2520"/>
    <n v="2520"/>
    <x v="3"/>
    <x v="1"/>
  </r>
  <r>
    <x v="1"/>
    <s v="FG"/>
    <n v="619095"/>
    <s v="C28-EZY R/S CAP YEL W NPP IND SEAL(ASEM)"/>
    <s v="6.400 G"/>
    <n v="60105"/>
    <s v="601051000C"/>
    <s v="601051000C40000000"/>
    <x v="14"/>
    <s v="Food &amp; Beverage"/>
    <n v="20000"/>
    <n v="4979.6000000000004"/>
    <n v="0"/>
    <n v="0"/>
    <n v="0"/>
    <n v="0"/>
    <n v="0"/>
    <n v="0"/>
    <n v="0"/>
    <n v="0"/>
    <n v="0"/>
    <n v="0"/>
    <n v="20000"/>
    <n v="4979.6000000000004"/>
    <n v="0"/>
    <n v="4760.2700000000004"/>
    <n v="1586.7566666666701"/>
    <n v="94.146760582908101"/>
    <n v="128"/>
    <s v="6.400"/>
    <n v="1586.7566666666701"/>
    <n v="2693.9933333333333"/>
    <n v="1586.7566666666701"/>
    <x v="3"/>
    <x v="3"/>
  </r>
  <r>
    <x v="1"/>
    <s v="FG"/>
    <n v="619711"/>
    <s v="BCY28-0400-T-R-WH PWR MAX 2.0 (ASEM)"/>
    <s v="39.100 G"/>
    <n v="60104"/>
    <s v="601041000B"/>
    <s v="601041000B60000000"/>
    <x v="19"/>
    <s v="Home / Personal Care"/>
    <n v="0"/>
    <n v="0"/>
    <n v="0"/>
    <n v="0"/>
    <n v="0"/>
    <n v="0"/>
    <n v="61"/>
    <n v="33.549999999999997"/>
    <n v="0"/>
    <n v="0"/>
    <n v="0"/>
    <n v="0"/>
    <n v="61"/>
    <n v="33.549999999999997"/>
    <n v="27.96"/>
    <m/>
    <m/>
    <n v="0"/>
    <n v="2.3851"/>
    <s v="39.10"/>
    <n v="0"/>
    <n v="0"/>
    <n v="0"/>
    <x v="1"/>
    <x v="1"/>
  </r>
  <r>
    <x v="1"/>
    <s v="FG"/>
    <n v="620173"/>
    <s v="C38-T/E-I/L-C/S-WHITE (E) - V"/>
    <s v="3.870 G"/>
    <n v="60105"/>
    <s v="601051000C"/>
    <s v="601051000C50000000"/>
    <x v="20"/>
    <s v="Pharma / Medical"/>
    <n v="0"/>
    <n v="0"/>
    <n v="6600"/>
    <n v="419.69"/>
    <n v="0"/>
    <n v="0"/>
    <n v="0"/>
    <n v="0"/>
    <n v="0"/>
    <n v="0"/>
    <n v="0"/>
    <n v="0"/>
    <n v="6600"/>
    <n v="419.69"/>
    <n v="0"/>
    <n v="1888.55"/>
    <n v="629.51666666666699"/>
    <n v="20.000582457440899"/>
    <n v="25.542000000000002"/>
    <s v="3.870"/>
    <n v="629.51666666666699"/>
    <n v="629.51666666666665"/>
    <n v="629.51666666666699"/>
    <x v="3"/>
    <x v="3"/>
  </r>
  <r>
    <x v="1"/>
    <s v="FG"/>
    <n v="620599"/>
    <s v="BC28-0750-K4-R-CL (55g)"/>
    <s v="55.000 G"/>
    <n v="60104"/>
    <s v="601041000B"/>
    <s v="601041000B40000000"/>
    <x v="7"/>
    <s v="Food &amp; Beverage"/>
    <n v="89100"/>
    <n v="35640"/>
    <n v="0"/>
    <n v="0"/>
    <n v="0"/>
    <n v="0"/>
    <n v="0"/>
    <n v="0"/>
    <n v="0"/>
    <n v="0"/>
    <n v="0"/>
    <n v="0"/>
    <n v="89100"/>
    <n v="35640"/>
    <n v="0"/>
    <n v="306360"/>
    <n v="102120"/>
    <n v="10.4700352526439"/>
    <n v="4900.5"/>
    <s v="55.00"/>
    <n v="102120"/>
    <n v="102120"/>
    <n v="102120"/>
    <x v="1"/>
    <x v="1"/>
  </r>
  <r>
    <x v="1"/>
    <s v="FG"/>
    <n v="620994"/>
    <s v="JJ63-0400-SH-S-CL-rPET"/>
    <s v="33.000 G"/>
    <n v="60104"/>
    <s v="601041000J"/>
    <s v="601041000J90000000"/>
    <x v="2"/>
    <s v="Others"/>
    <m/>
    <m/>
    <m/>
    <m/>
    <m/>
    <m/>
    <m/>
    <m/>
    <m/>
    <m/>
    <m/>
    <m/>
    <m/>
    <m/>
    <m/>
    <n v="120606.71"/>
    <n v="40202.2366666667"/>
    <m/>
    <n v="0"/>
    <s v="33.00"/>
    <n v="40202.2366666667"/>
    <n v="40202.239999999998"/>
    <n v="40202.2366666667"/>
    <x v="1"/>
    <x v="2"/>
  </r>
  <r>
    <x v="1"/>
    <s v="FG"/>
    <n v="621080"/>
    <s v="SL-FANCY FONDANT 285GM 2.0"/>
    <s v="0.000 G"/>
    <n v="65400"/>
    <s v="65400S0001"/>
    <s v="#"/>
    <x v="6"/>
    <s v="LABEL, IML, STICKER,"/>
    <n v="0"/>
    <n v="0"/>
    <n v="30000"/>
    <n v="1950"/>
    <n v="0"/>
    <n v="0"/>
    <n v="19426"/>
    <n v="1262.69"/>
    <n v="0"/>
    <n v="0"/>
    <n v="0"/>
    <n v="0"/>
    <n v="49426"/>
    <n v="3212.69"/>
    <n v="631.39"/>
    <m/>
    <m/>
    <n v="0"/>
    <n v="0"/>
    <s v="0.000"/>
    <n v="0"/>
    <n v="0"/>
    <n v="0"/>
    <x v="4"/>
    <x v="4"/>
  </r>
  <r>
    <x v="1"/>
    <s v="FG"/>
    <n v="621407"/>
    <s v="T-0226-BR-HERS-PP"/>
    <s v="29.000 G"/>
    <n v="60106"/>
    <s v="601061000J"/>
    <s v="601061000J40000000"/>
    <x v="10"/>
    <s v="Food &amp; Beverage"/>
    <n v="50960"/>
    <n v="17836"/>
    <n v="0"/>
    <n v="0"/>
    <n v="0"/>
    <n v="0"/>
    <n v="0"/>
    <n v="0"/>
    <n v="0"/>
    <n v="0"/>
    <n v="0"/>
    <n v="0"/>
    <n v="50960"/>
    <n v="17836"/>
    <n v="0"/>
    <n v="55624.800000000003"/>
    <n v="18541.599999999999"/>
    <n v="28.858350951374199"/>
    <n v="1477.84"/>
    <s v="29.00"/>
    <n v="18541.599999999999"/>
    <n v="18541.600000000002"/>
    <n v="18541.599999999999"/>
    <x v="2"/>
    <x v="2"/>
  </r>
  <r>
    <x v="1"/>
    <s v="FG"/>
    <n v="622724"/>
    <s v="Z-38/400 WHITE DISPENSER PUMP (305MM)"/>
    <s v="0.000 G"/>
    <n v="65400"/>
    <s v="65400S0001"/>
    <s v="#"/>
    <x v="6"/>
    <s v="LABEL, IML, STICKER,"/>
    <n v="0"/>
    <n v="0"/>
    <n v="0"/>
    <n v="0"/>
    <n v="0"/>
    <n v="0"/>
    <n v="953"/>
    <n v="11016.68"/>
    <n v="0"/>
    <n v="0"/>
    <n v="0"/>
    <n v="0"/>
    <n v="953"/>
    <n v="11016.68"/>
    <n v="7345.04"/>
    <m/>
    <m/>
    <n v="0"/>
    <n v="0"/>
    <s v="0.000"/>
    <n v="0"/>
    <n v="0"/>
    <n v="0"/>
    <x v="4"/>
    <x v="4"/>
  </r>
  <r>
    <x v="1"/>
    <s v="FG"/>
    <n v="623133"/>
    <s v="JJ63-0550-S-Q-CL ALMOND D24 (ASEM)"/>
    <s v="34.800 G"/>
    <n v="60104"/>
    <s v="601041000J"/>
    <s v="601041000J40000000"/>
    <x v="17"/>
    <s v="Food &amp; Beverage"/>
    <m/>
    <m/>
    <m/>
    <m/>
    <m/>
    <m/>
    <m/>
    <m/>
    <m/>
    <m/>
    <m/>
    <m/>
    <m/>
    <m/>
    <m/>
    <n v="1898.88"/>
    <n v="632.96"/>
    <m/>
    <n v="0"/>
    <s v="34.80"/>
    <n v="632.96"/>
    <n v="632.96"/>
    <n v="632.96"/>
    <x v="1"/>
    <x v="2"/>
  </r>
  <r>
    <x v="1"/>
    <s v="FG"/>
    <n v="623134"/>
    <s v="JJ63-0550-S-Q-CL HAZEL D24 (ASEM)"/>
    <s v="34.800 G"/>
    <n v="60104"/>
    <s v="601041000J"/>
    <s v="601041000J40000000"/>
    <x v="17"/>
    <s v="Food &amp; Beverage"/>
    <m/>
    <m/>
    <m/>
    <m/>
    <m/>
    <m/>
    <m/>
    <m/>
    <m/>
    <m/>
    <m/>
    <m/>
    <m/>
    <m/>
    <m/>
    <n v="1810.56"/>
    <n v="603.52"/>
    <m/>
    <n v="0"/>
    <s v="34.80"/>
    <n v="603.52"/>
    <n v="603.52"/>
    <n v="603.52"/>
    <x v="1"/>
    <x v="2"/>
  </r>
  <r>
    <x v="1"/>
    <s v="FG"/>
    <n v="623135"/>
    <s v="JJ63-0550-S-Q-CL F&amp;NUT D24 (ASEM)"/>
    <s v="34.800 G"/>
    <n v="60104"/>
    <s v="601041000J"/>
    <s v="601041000J40000000"/>
    <x v="17"/>
    <s v="Food &amp; Beverage"/>
    <m/>
    <m/>
    <m/>
    <m/>
    <m/>
    <m/>
    <m/>
    <m/>
    <m/>
    <m/>
    <m/>
    <m/>
    <m/>
    <m/>
    <m/>
    <n v="1036.8"/>
    <n v="345.6"/>
    <m/>
    <n v="0"/>
    <s v="34.80"/>
    <n v="345.6"/>
    <n v="345.59999999999997"/>
    <n v="345.6"/>
    <x v="1"/>
    <x v="2"/>
  </r>
  <r>
    <x v="1"/>
    <s v="FG"/>
    <n v="623273"/>
    <s v="SL-VOCHELLE ALMOND D24 MSI"/>
    <s v="0.000 G"/>
    <n v="65400"/>
    <s v="65400S0001"/>
    <s v="#"/>
    <x v="6"/>
    <s v="LABEL, IML, STICKER,"/>
    <n v="0"/>
    <n v="0"/>
    <n v="0"/>
    <n v="0"/>
    <n v="0"/>
    <n v="0"/>
    <n v="466"/>
    <n v="0"/>
    <n v="0"/>
    <n v="0"/>
    <n v="0"/>
    <n v="0"/>
    <n v="466"/>
    <n v="0"/>
    <n v="0"/>
    <m/>
    <m/>
    <n v="0"/>
    <n v="0"/>
    <s v="0.000"/>
    <n v="0"/>
    <n v="0"/>
    <n v="0"/>
    <x v="4"/>
    <x v="4"/>
  </r>
  <r>
    <x v="1"/>
    <s v="FG"/>
    <n v="623274"/>
    <s v="SL-VOCHELLE HAZEL D24 MSI"/>
    <s v="0.000 G"/>
    <n v="65400"/>
    <s v="65400S0001"/>
    <s v="#"/>
    <x v="6"/>
    <s v="LABEL, IML, STICKER,"/>
    <n v="0"/>
    <n v="0"/>
    <n v="0"/>
    <n v="0"/>
    <n v="4597"/>
    <n v="0"/>
    <n v="0"/>
    <n v="0"/>
    <n v="0"/>
    <n v="0"/>
    <n v="0"/>
    <n v="0"/>
    <n v="4597"/>
    <n v="0"/>
    <n v="0"/>
    <m/>
    <m/>
    <n v="0"/>
    <n v="0"/>
    <s v="0.000"/>
    <n v="0"/>
    <n v="0"/>
    <n v="0"/>
    <x v="4"/>
    <x v="4"/>
  </r>
  <r>
    <x v="1"/>
    <s v="FG"/>
    <n v="623275"/>
    <s v="SL-VOCHELLE F&amp;NUT D24 MSI"/>
    <s v="0.000 G"/>
    <n v="65400"/>
    <s v="65400S0001"/>
    <s v="#"/>
    <x v="6"/>
    <s v="LABEL, IML, STICKER,"/>
    <n v="0"/>
    <n v="0"/>
    <n v="0"/>
    <n v="0"/>
    <n v="4295"/>
    <n v="0"/>
    <n v="0"/>
    <n v="0"/>
    <n v="0"/>
    <n v="0"/>
    <n v="0"/>
    <n v="0"/>
    <n v="4295"/>
    <n v="0"/>
    <n v="0"/>
    <m/>
    <m/>
    <n v="0"/>
    <n v="0"/>
    <s v="0.000"/>
    <n v="0"/>
    <n v="0"/>
    <n v="0"/>
    <x v="4"/>
    <x v="4"/>
  </r>
  <r>
    <x v="1"/>
    <s v="FG"/>
    <n v="623876"/>
    <s v="JJ63-0190-E-Q-CL-LW CRISPY ORI (ASEM) V4"/>
    <s v="24.000 G"/>
    <n v="60104"/>
    <s v="601041000J"/>
    <s v="601041000J40000000"/>
    <x v="17"/>
    <s v="Food &amp; Beverage"/>
    <m/>
    <m/>
    <m/>
    <m/>
    <m/>
    <m/>
    <m/>
    <m/>
    <m/>
    <m/>
    <m/>
    <m/>
    <m/>
    <m/>
    <m/>
    <n v="4106.7"/>
    <n v="1368.9"/>
    <m/>
    <n v="0"/>
    <s v="24.00"/>
    <n v="1368.9"/>
    <n v="1368.8999999999999"/>
    <n v="1368.9"/>
    <x v="1"/>
    <x v="2"/>
  </r>
  <r>
    <x v="1"/>
    <s v="FG"/>
    <n v="623880"/>
    <s v="JJ63-0190-E-Q-CL-LW HAZELNUT (ASEM)"/>
    <s v="24.000 G"/>
    <n v="60104"/>
    <s v="601041000J"/>
    <s v="601041000J40000000"/>
    <x v="17"/>
    <s v="Food &amp; Beverage"/>
    <m/>
    <m/>
    <m/>
    <m/>
    <m/>
    <m/>
    <m/>
    <m/>
    <m/>
    <m/>
    <m/>
    <m/>
    <m/>
    <m/>
    <m/>
    <n v="3100.5"/>
    <n v="1033.5"/>
    <m/>
    <n v="0"/>
    <s v="24.00"/>
    <n v="1033.5"/>
    <n v="1033.5"/>
    <n v="1033.5"/>
    <x v="1"/>
    <x v="2"/>
  </r>
  <r>
    <x v="1"/>
    <s v="FG"/>
    <n v="623882"/>
    <s v="JJ63-0190-E-Q-CL-LW SALT CML (ASEM)"/>
    <s v="24.000 G"/>
    <n v="60104"/>
    <s v="601041000J"/>
    <s v="601041000J40000000"/>
    <x v="17"/>
    <s v="Food &amp; Beverage"/>
    <m/>
    <m/>
    <m/>
    <m/>
    <m/>
    <m/>
    <m/>
    <m/>
    <m/>
    <m/>
    <m/>
    <m/>
    <m/>
    <m/>
    <m/>
    <n v="2457"/>
    <n v="819"/>
    <m/>
    <n v="0"/>
    <s v="24.00"/>
    <n v="819"/>
    <n v="819"/>
    <n v="819"/>
    <x v="1"/>
    <x v="2"/>
  </r>
  <r>
    <x v="1"/>
    <s v="FG"/>
    <n v="623885"/>
    <s v="JJ63-0350-EH-R-CL CRISPY ORI (ASEM)"/>
    <s v="33.000 G"/>
    <n v="60104"/>
    <s v="601041000J"/>
    <s v="601041000J40000000"/>
    <x v="17"/>
    <s v="Food &amp; Beverage"/>
    <m/>
    <m/>
    <m/>
    <m/>
    <m/>
    <m/>
    <m/>
    <m/>
    <m/>
    <m/>
    <m/>
    <m/>
    <m/>
    <m/>
    <m/>
    <n v="2683.2"/>
    <n v="894.4"/>
    <m/>
    <n v="0"/>
    <s v="33.00"/>
    <n v="894.4"/>
    <n v="894.4"/>
    <n v="894.4"/>
    <x v="1"/>
    <x v="2"/>
  </r>
  <r>
    <x v="1"/>
    <s v="FG"/>
    <n v="623886"/>
    <s v="JJ63-0350-EH-R-CL HAZELNUT (ASEM)"/>
    <s v="33.000 G"/>
    <n v="60104"/>
    <s v="601041000J"/>
    <s v="601041000J40000000"/>
    <x v="17"/>
    <s v="Food &amp; Beverage"/>
    <n v="5460"/>
    <n v="2184"/>
    <n v="0"/>
    <n v="0"/>
    <n v="0"/>
    <n v="0"/>
    <n v="0"/>
    <n v="0"/>
    <n v="0"/>
    <n v="0"/>
    <n v="0"/>
    <n v="0"/>
    <n v="5460"/>
    <n v="2184"/>
    <n v="0"/>
    <n v="2184"/>
    <n v="728"/>
    <n v="90"/>
    <n v="180.18"/>
    <s v="33.00"/>
    <n v="728"/>
    <n v="728"/>
    <n v="728"/>
    <x v="1"/>
    <x v="2"/>
  </r>
  <r>
    <x v="1"/>
    <s v="FG"/>
    <n v="623887"/>
    <s v="JJ63-0350-EH-R-CL SALT CML (ASEM)"/>
    <s v="33.000 G"/>
    <n v="60104"/>
    <s v="601041000J"/>
    <s v="601041000J40000000"/>
    <x v="17"/>
    <s v="Food &amp; Beverage"/>
    <m/>
    <m/>
    <m/>
    <m/>
    <m/>
    <m/>
    <m/>
    <m/>
    <m/>
    <m/>
    <m/>
    <m/>
    <m/>
    <m/>
    <m/>
    <n v="1185.5999999999999"/>
    <n v="395.2"/>
    <m/>
    <n v="0"/>
    <s v="33.00"/>
    <n v="395.2"/>
    <n v="395.2"/>
    <n v="395.2"/>
    <x v="1"/>
    <x v="2"/>
  </r>
  <r>
    <x v="1"/>
    <s v="FG"/>
    <n v="624034"/>
    <s v="SL-CANISTER SPREAD 200G (4.0)"/>
    <s v="0.000 G"/>
    <n v="65400"/>
    <s v="65400S0001"/>
    <s v="#"/>
    <x v="6"/>
    <s v="LABEL, IML, STICKER,"/>
    <n v="0"/>
    <n v="0"/>
    <n v="83524"/>
    <n v="6119.8"/>
    <n v="0"/>
    <n v="0"/>
    <n v="0"/>
    <n v="0"/>
    <n v="0"/>
    <n v="0"/>
    <n v="0"/>
    <n v="0"/>
    <n v="83524"/>
    <n v="6119.8"/>
    <n v="0"/>
    <m/>
    <m/>
    <n v="0"/>
    <n v="0"/>
    <s v="0.000"/>
    <n v="0"/>
    <n v="373.48666666666668"/>
    <n v="373.48666666666668"/>
    <x v="4"/>
    <x v="4"/>
  </r>
  <r>
    <x v="1"/>
    <s v="FG"/>
    <n v="624036"/>
    <s v="SL-CANISTER SPREAD 200G HAZELNUT"/>
    <s v="0.000 G"/>
    <n v="65400"/>
    <s v="65400S0001"/>
    <s v="#"/>
    <x v="6"/>
    <s v="LABEL, IML, STICKER,"/>
    <n v="33000"/>
    <n v="3135"/>
    <n v="0"/>
    <n v="0"/>
    <n v="0"/>
    <n v="0"/>
    <n v="5376"/>
    <n v="510.72"/>
    <n v="0"/>
    <n v="0"/>
    <n v="0"/>
    <n v="0"/>
    <n v="38376"/>
    <n v="3645.72"/>
    <n v="227.01"/>
    <m/>
    <m/>
    <n v="0"/>
    <n v="0"/>
    <s v="0.000"/>
    <n v="0"/>
    <n v="335.79333333333335"/>
    <n v="335.79333333333335"/>
    <x v="4"/>
    <x v="4"/>
  </r>
  <r>
    <x v="1"/>
    <s v="FG"/>
    <n v="624037"/>
    <s v="SL-CANISTER SPREAD 200G SALT/CRML"/>
    <s v="0.000 G"/>
    <n v="65400"/>
    <s v="65400S0001"/>
    <s v="#"/>
    <x v="6"/>
    <s v="LABEL, IML, STICKER,"/>
    <n v="32000"/>
    <n v="3040"/>
    <n v="0"/>
    <n v="0"/>
    <n v="0"/>
    <n v="0"/>
    <n v="17319"/>
    <n v="1645.31"/>
    <n v="0"/>
    <n v="0"/>
    <n v="0"/>
    <n v="0"/>
    <n v="49319"/>
    <n v="4685.3100000000004"/>
    <n v="731.31"/>
    <m/>
    <m/>
    <n v="0"/>
    <n v="0"/>
    <s v="0.000"/>
    <n v="0"/>
    <n v="261.72666666666663"/>
    <n v="261.72666666666663"/>
    <x v="4"/>
    <x v="4"/>
  </r>
  <r>
    <x v="1"/>
    <s v="FG"/>
    <n v="624038"/>
    <s v="SL-CANISTER SPREAD 350G ORI"/>
    <s v="0.000 G"/>
    <n v="65400"/>
    <s v="65400S0001"/>
    <s v="#"/>
    <x v="6"/>
    <s v="LABEL, IML, STICKER,"/>
    <n v="10000"/>
    <n v="1655.6"/>
    <n v="0"/>
    <n v="0"/>
    <n v="0"/>
    <n v="0"/>
    <n v="8370"/>
    <n v="1385.74"/>
    <n v="0"/>
    <n v="0"/>
    <n v="0"/>
    <n v="0"/>
    <n v="18370"/>
    <n v="3041.34"/>
    <n v="769.92"/>
    <m/>
    <m/>
    <n v="0"/>
    <n v="0"/>
    <s v="0.000"/>
    <n v="0"/>
    <n v="350.55"/>
    <n v="350.55"/>
    <x v="4"/>
    <x v="4"/>
  </r>
  <r>
    <x v="1"/>
    <s v="FG"/>
    <n v="624039"/>
    <s v="SL-CANISTER SPREAD 350G HAZELNUT"/>
    <s v="0.000 G"/>
    <n v="65400"/>
    <s v="65400S0001"/>
    <s v="#"/>
    <x v="6"/>
    <s v="LABEL, IML, STICKER,"/>
    <n v="0"/>
    <n v="0"/>
    <n v="0"/>
    <n v="0"/>
    <n v="37699"/>
    <n v="4335.38"/>
    <n v="0"/>
    <n v="0"/>
    <n v="0"/>
    <n v="0"/>
    <n v="0"/>
    <n v="0"/>
    <n v="37699"/>
    <n v="4335.38"/>
    <n v="1253.56"/>
    <m/>
    <m/>
    <n v="0"/>
    <n v="0"/>
    <s v="0.000"/>
    <n v="0"/>
    <n v="418.59999999999997"/>
    <n v="418.59999999999997"/>
    <x v="4"/>
    <x v="4"/>
  </r>
  <r>
    <x v="1"/>
    <s v="FG"/>
    <n v="624040"/>
    <s v="SL-CANISTER SPREAD 350G SALT CRML"/>
    <s v="0.000 G"/>
    <n v="65400"/>
    <s v="65400S0001"/>
    <s v="#"/>
    <x v="6"/>
    <s v="LABEL, IML, STICKER,"/>
    <n v="0"/>
    <n v="0"/>
    <n v="0"/>
    <n v="0"/>
    <n v="49848"/>
    <n v="5732.52"/>
    <n v="0"/>
    <n v="0"/>
    <n v="0"/>
    <n v="0"/>
    <n v="0"/>
    <n v="0"/>
    <n v="49848"/>
    <n v="5732.52"/>
    <n v="1719.31"/>
    <m/>
    <m/>
    <n v="0"/>
    <n v="0"/>
    <s v="0.000"/>
    <n v="0"/>
    <n v="120.82666666666667"/>
    <n v="120.82666666666667"/>
    <x v="4"/>
    <x v="4"/>
  </r>
  <r>
    <x v="1"/>
    <s v="FG"/>
    <n v="624822"/>
    <s v="C28-R/S-FLIP TOP GOLD (ASEM)"/>
    <s v="4.700 G"/>
    <n v="60106"/>
    <s v="601061000C"/>
    <s v="601061000C90000000"/>
    <x v="3"/>
    <s v="Others"/>
    <n v="84000"/>
    <n v="12034.68"/>
    <n v="0"/>
    <n v="0"/>
    <n v="0"/>
    <n v="0"/>
    <n v="0"/>
    <n v="0"/>
    <n v="0"/>
    <n v="0"/>
    <n v="0"/>
    <n v="0"/>
    <n v="84000"/>
    <n v="12034.68"/>
    <n v="0"/>
    <m/>
    <m/>
    <n v="0"/>
    <n v="394.8"/>
    <s v="4.700"/>
    <n v="0"/>
    <n v="0"/>
    <n v="0"/>
    <x v="2"/>
    <x v="3"/>
  </r>
  <r>
    <x v="1"/>
    <s v="FG"/>
    <n v="626029"/>
    <s v="BBX38-0750-R-WH"/>
    <s v="48.000 G"/>
    <n v="60104"/>
    <s v="601041000B"/>
    <s v="601041000B90000000"/>
    <x v="1"/>
    <s v="Others"/>
    <n v="33037"/>
    <n v="13545.17"/>
    <n v="0"/>
    <n v="0"/>
    <n v="0"/>
    <n v="0"/>
    <n v="0"/>
    <n v="0"/>
    <n v="0"/>
    <n v="0"/>
    <n v="0"/>
    <n v="0"/>
    <n v="33037"/>
    <n v="13545.17"/>
    <n v="0"/>
    <m/>
    <m/>
    <n v="0"/>
    <n v="1585.7760000000001"/>
    <s v="48.00"/>
    <n v="0"/>
    <n v="5072.833333333333"/>
    <n v="5072.833333333333"/>
    <x v="1"/>
    <x v="1"/>
  </r>
  <r>
    <x v="1"/>
    <s v="FG"/>
    <n v="644323"/>
    <s v="C63-T/E-R/S-VIOLET 2.0 (E)-V"/>
    <s v="7.600 G"/>
    <n v="60105"/>
    <s v="601051000C"/>
    <s v="601051000C90000000"/>
    <x v="4"/>
    <s v="Others"/>
    <n v="0"/>
    <n v="0"/>
    <n v="0"/>
    <n v="0"/>
    <n v="24000"/>
    <n v="2370.48"/>
    <n v="0"/>
    <n v="0"/>
    <n v="0"/>
    <n v="0"/>
    <n v="0"/>
    <n v="0"/>
    <n v="24000"/>
    <n v="2370.48"/>
    <n v="658.52"/>
    <m/>
    <m/>
    <n v="0"/>
    <n v="182.4"/>
    <s v="7.600"/>
    <n v="0"/>
    <n v="0"/>
    <n v="0"/>
    <x v="3"/>
    <x v="3"/>
  </r>
  <r>
    <x v="1"/>
    <s v="FG"/>
    <n v="645097"/>
    <s v="E44-7800-S-NA-FMC-HDPE"/>
    <s v="280.000 G"/>
    <n v="60105"/>
    <s v="60105100JC"/>
    <s v="60105100JC50000000"/>
    <x v="18"/>
    <s v="Pharma / Medical"/>
    <n v="0"/>
    <n v="0"/>
    <n v="0"/>
    <n v="0"/>
    <n v="0"/>
    <n v="0"/>
    <n v="675"/>
    <n v="1397.25"/>
    <n v="0"/>
    <n v="0"/>
    <n v="0"/>
    <n v="0"/>
    <n v="675"/>
    <n v="1397.25"/>
    <n v="543.41999999999996"/>
    <m/>
    <m/>
    <n v="0"/>
    <n v="189"/>
    <s v="280.0"/>
    <n v="0"/>
    <n v="0"/>
    <n v="0"/>
    <x v="3"/>
    <x v="6"/>
  </r>
  <r>
    <x v="1"/>
    <s v="FG"/>
    <n v="645098"/>
    <s v="BC28-0035-D-LEO-5040-0858-PP"/>
    <s v="0.000 G"/>
    <n v="60106"/>
    <s v="601061000B"/>
    <s v="601061000B10000000"/>
    <x v="16"/>
    <s v="Electrical &amp; Electro"/>
    <m/>
    <m/>
    <m/>
    <m/>
    <m/>
    <m/>
    <m/>
    <m/>
    <m/>
    <m/>
    <m/>
    <m/>
    <m/>
    <m/>
    <m/>
    <n v="12581.99"/>
    <n v="4193.9966666666696"/>
    <m/>
    <n v="0"/>
    <s v="0.000"/>
    <n v="4193.9966666666696"/>
    <n v="4194"/>
    <n v="4193.9966666666696"/>
    <x v="2"/>
    <x v="1"/>
  </r>
  <r>
    <x v="1"/>
    <s v="FG"/>
    <n v="647556"/>
    <s v="JJ63-0650HD-CL-PET"/>
    <s v="33.000 G"/>
    <n v="60104"/>
    <s v="601041000J"/>
    <s v="601041000J90000000"/>
    <x v="2"/>
    <s v="Others"/>
    <n v="13860"/>
    <n v="3603.6"/>
    <n v="0"/>
    <n v="0"/>
    <n v="0"/>
    <n v="0"/>
    <n v="0"/>
    <n v="0"/>
    <n v="0"/>
    <n v="0"/>
    <n v="0"/>
    <n v="0"/>
    <n v="13860"/>
    <n v="3603.6"/>
    <n v="0"/>
    <n v="15800.4"/>
    <n v="5266.8"/>
    <n v="20.526315789473699"/>
    <n v="457.38"/>
    <s v="33.00"/>
    <n v="5266.8"/>
    <n v="5266.8"/>
    <n v="5266.8"/>
    <x v="1"/>
    <x v="2"/>
  </r>
  <r>
    <x v="1"/>
    <s v="FG"/>
    <n v="647596"/>
    <s v="KK57-0300R-CL-JJ-PET"/>
    <s v="24.000 G"/>
    <n v="60104"/>
    <s v="601041000J"/>
    <s v="601041000J40000000"/>
    <x v="17"/>
    <s v="Food &amp; Beverage"/>
    <n v="0"/>
    <n v="0"/>
    <n v="0"/>
    <n v="0"/>
    <n v="63360"/>
    <n v="14572.8"/>
    <n v="0"/>
    <n v="0"/>
    <n v="0"/>
    <n v="0"/>
    <n v="0"/>
    <n v="0"/>
    <n v="63360"/>
    <n v="14572.8"/>
    <n v="2428.9899999999998"/>
    <m/>
    <m/>
    <n v="0"/>
    <n v="1520.64"/>
    <s v="24.00"/>
    <n v="0"/>
    <n v="0"/>
    <n v="0"/>
    <x v="1"/>
    <x v="2"/>
  </r>
  <r>
    <x v="1"/>
    <s v="FG"/>
    <n v="647684"/>
    <s v="JJ63-0600OT-CL-HCSB-PET"/>
    <s v="33.000 G"/>
    <n v="60104"/>
    <s v="601041000J"/>
    <s v="601041000J40000000"/>
    <x v="17"/>
    <s v="Food &amp; Beverage"/>
    <m/>
    <m/>
    <m/>
    <m/>
    <m/>
    <m/>
    <m/>
    <m/>
    <m/>
    <m/>
    <m/>
    <m/>
    <m/>
    <m/>
    <m/>
    <n v="5605.6"/>
    <n v="1868.5333333333299"/>
    <m/>
    <n v="0"/>
    <s v="33.00"/>
    <n v="1868.5333333333299"/>
    <n v="1868.5333333333335"/>
    <n v="1868.5333333333299"/>
    <x v="1"/>
    <x v="2"/>
  </r>
  <r>
    <x v="1"/>
    <s v="FG"/>
    <n v="649108"/>
    <s v="AL0921-BK 38MM CAP (BLACK) C/W SEAL ASEM"/>
    <s v="4.200 G"/>
    <n v="60106"/>
    <s v="601061000C"/>
    <s v="601061000C40000000"/>
    <x v="5"/>
    <s v="Food &amp; Beverage"/>
    <n v="14000"/>
    <n v="2100"/>
    <n v="0"/>
    <n v="0"/>
    <n v="26000"/>
    <n v="3900"/>
    <n v="0"/>
    <n v="0"/>
    <n v="0"/>
    <n v="0"/>
    <n v="0"/>
    <n v="0"/>
    <n v="40000"/>
    <n v="6000"/>
    <n v="866.74"/>
    <n v="1500"/>
    <n v="500"/>
    <n v="360"/>
    <n v="168"/>
    <s v="4.200"/>
    <n v="500"/>
    <n v="500"/>
    <n v="500"/>
    <x v="2"/>
    <x v="3"/>
  </r>
  <r>
    <x v="1"/>
    <s v="FG"/>
    <n v="649770"/>
    <s v="C38-T/E-I/L-C/S-PURPLE"/>
    <s v="3.750 G"/>
    <n v="60105"/>
    <s v="601051000C"/>
    <s v="601051000C90000000"/>
    <x v="4"/>
    <s v="Others"/>
    <m/>
    <m/>
    <m/>
    <m/>
    <m/>
    <m/>
    <m/>
    <m/>
    <m/>
    <m/>
    <m/>
    <m/>
    <m/>
    <m/>
    <m/>
    <n v="6160.31"/>
    <n v="2053.4366666666701"/>
    <m/>
    <n v="0"/>
    <s v="3.750"/>
    <n v="2053.4366666666701"/>
    <n v="2053.436666666667"/>
    <n v="2053.4366666666701"/>
    <x v="3"/>
    <x v="3"/>
  </r>
  <r>
    <x v="1"/>
    <s v="FG"/>
    <n v="650112"/>
    <s v="JJ63-0310-R-R-WH-Cheese (ASEM)"/>
    <s v="24.900 G"/>
    <n v="60104"/>
    <s v="601041000J"/>
    <s v="601041000J90000000"/>
    <x v="2"/>
    <s v="Others"/>
    <m/>
    <m/>
    <m/>
    <m/>
    <m/>
    <m/>
    <m/>
    <m/>
    <m/>
    <m/>
    <m/>
    <m/>
    <m/>
    <m/>
    <m/>
    <n v="5070"/>
    <n v="1690"/>
    <m/>
    <n v="0"/>
    <s v="24.90"/>
    <n v="1690"/>
    <n v="1690"/>
    <n v="1690"/>
    <x v="1"/>
    <x v="2"/>
  </r>
  <r>
    <x v="1"/>
    <s v="FG"/>
    <n v="650289"/>
    <s v="SL- CREAM CHEESE YOGURT SPREAD - EBB"/>
    <s v="0.000 G"/>
    <n v="65400"/>
    <s v="65400S0001"/>
    <s v="#"/>
    <x v="6"/>
    <s v="LABEL, IML, STICKER,"/>
    <n v="31008"/>
    <n v="0"/>
    <n v="0"/>
    <n v="0"/>
    <n v="0"/>
    <n v="0"/>
    <n v="0"/>
    <n v="0"/>
    <n v="0"/>
    <n v="0"/>
    <n v="0"/>
    <n v="0"/>
    <n v="31008"/>
    <n v="0"/>
    <n v="0"/>
    <m/>
    <m/>
    <n v="0"/>
    <n v="0"/>
    <s v="0.000"/>
    <n v="0"/>
    <n v="0"/>
    <n v="0"/>
    <x v="4"/>
    <x v="4"/>
  </r>
  <r>
    <x v="1"/>
    <s v="FG"/>
    <n v="650368"/>
    <s v="BX38-1500-H-R-CL-LW(WHITE) (ASEM)"/>
    <s v="55.000 G"/>
    <n v="60104"/>
    <s v="601041000B"/>
    <s v="601041000B90000000"/>
    <x v="1"/>
    <s v="Others"/>
    <m/>
    <m/>
    <m/>
    <m/>
    <m/>
    <m/>
    <m/>
    <m/>
    <m/>
    <m/>
    <m/>
    <m/>
    <m/>
    <m/>
    <m/>
    <n v="6952.05"/>
    <n v="2317.35"/>
    <m/>
    <n v="0"/>
    <s v="55.00"/>
    <n v="2317.35"/>
    <n v="2317.35"/>
    <n v="2317.35"/>
    <x v="1"/>
    <x v="1"/>
  </r>
  <r>
    <x v="1"/>
    <s v="FG"/>
    <n v="650369"/>
    <s v="IN-CUP-5.0-ORANGE-KMY-PA66"/>
    <s v="0.236 G"/>
    <n v="60106"/>
    <s v="601061000J"/>
    <s v="601061000J90000000"/>
    <x v="21"/>
    <s v="Others"/>
    <m/>
    <m/>
    <m/>
    <m/>
    <m/>
    <m/>
    <m/>
    <m/>
    <m/>
    <m/>
    <m/>
    <m/>
    <m/>
    <m/>
    <m/>
    <n v="30"/>
    <n v="10"/>
    <m/>
    <n v="0"/>
    <s v="0.236"/>
    <n v="10"/>
    <n v="10"/>
    <n v="10"/>
    <x v="2"/>
    <x v="2"/>
  </r>
  <r>
    <x v="1"/>
    <s v="FG"/>
    <n v="650542"/>
    <s v="IN-CUP-5.0-YELLOW-KMY-PA66"/>
    <s v="0.236 G"/>
    <n v="60107"/>
    <n v="6010720000"/>
    <s v="601072000020000000"/>
    <x v="22"/>
    <s v="Automotive / Aerospa"/>
    <m/>
    <m/>
    <m/>
    <m/>
    <m/>
    <m/>
    <m/>
    <m/>
    <m/>
    <m/>
    <m/>
    <m/>
    <m/>
    <m/>
    <m/>
    <n v="30"/>
    <n v="10"/>
    <m/>
    <n v="0"/>
    <s v="0.236"/>
    <n v="10"/>
    <n v="10"/>
    <n v="10"/>
    <x v="6"/>
    <x v="7"/>
  </r>
  <r>
    <x v="1"/>
    <s v="FG"/>
    <n v="650545"/>
    <s v="IN-CUP-5.0-PURPLE-KMY-PA66"/>
    <s v="0.236 G"/>
    <n v="60107"/>
    <n v="6010720000"/>
    <s v="601072000020000000"/>
    <x v="22"/>
    <s v="Automotive / Aerospa"/>
    <m/>
    <m/>
    <m/>
    <m/>
    <m/>
    <m/>
    <m/>
    <m/>
    <m/>
    <m/>
    <m/>
    <m/>
    <m/>
    <m/>
    <m/>
    <n v="30"/>
    <n v="10"/>
    <m/>
    <n v="0"/>
    <s v="0.236"/>
    <n v="10"/>
    <n v="10"/>
    <n v="10"/>
    <x v="6"/>
    <x v="7"/>
  </r>
  <r>
    <x v="1"/>
    <s v="FG"/>
    <n v="650582"/>
    <s v="IN-CUP-5.0-WHITE-KMY-PA66"/>
    <s v="0.236 G"/>
    <n v="60107"/>
    <n v="6010720000"/>
    <s v="601072000020000000"/>
    <x v="22"/>
    <s v="Automotive / Aerospa"/>
    <m/>
    <m/>
    <m/>
    <m/>
    <m/>
    <m/>
    <m/>
    <m/>
    <m/>
    <m/>
    <m/>
    <m/>
    <m/>
    <m/>
    <m/>
    <n v="30"/>
    <n v="10"/>
    <m/>
    <n v="0"/>
    <s v="0.236"/>
    <n v="10"/>
    <n v="10"/>
    <n v="10"/>
    <x v="6"/>
    <x v="7"/>
  </r>
  <r>
    <x v="1"/>
    <s v="FG"/>
    <n v="650584"/>
    <s v="IN-CUP-5.0-PINK-KMY-PA66"/>
    <s v="0.236 G"/>
    <n v="60107"/>
    <n v="6010720000"/>
    <s v="601072000020000000"/>
    <x v="22"/>
    <s v="Automotive / Aerospa"/>
    <m/>
    <m/>
    <m/>
    <m/>
    <m/>
    <m/>
    <m/>
    <m/>
    <m/>
    <m/>
    <m/>
    <m/>
    <m/>
    <m/>
    <m/>
    <n v="30"/>
    <n v="10"/>
    <m/>
    <n v="0"/>
    <s v="0.236"/>
    <n v="10"/>
    <n v="10"/>
    <n v="10"/>
    <x v="6"/>
    <x v="7"/>
  </r>
  <r>
    <x v="1"/>
    <s v="FG"/>
    <n v="650585"/>
    <s v="IN-CUP-5.0-NATURE-KMY-PA66"/>
    <s v="0.236 G"/>
    <n v="60107"/>
    <n v="6010720000"/>
    <s v="601072000020000000"/>
    <x v="22"/>
    <s v="Automotive / Aerospa"/>
    <m/>
    <m/>
    <m/>
    <m/>
    <m/>
    <m/>
    <m/>
    <m/>
    <m/>
    <m/>
    <m/>
    <m/>
    <m/>
    <m/>
    <m/>
    <n v="30"/>
    <n v="10"/>
    <m/>
    <n v="0"/>
    <s v="0.236"/>
    <n v="10"/>
    <n v="10"/>
    <n v="10"/>
    <x v="6"/>
    <x v="7"/>
  </r>
  <r>
    <x v="1"/>
    <s v="FG"/>
    <n v="652202"/>
    <s v="BBX38-0750-R-WH-STW.BERRY (ASEM)"/>
    <s v="48.000 G"/>
    <n v="60104"/>
    <s v="601041000B"/>
    <s v="601041000B40000000"/>
    <x v="7"/>
    <s v="Food &amp; Beverage"/>
    <n v="2496"/>
    <n v="1073.28"/>
    <n v="0"/>
    <n v="0"/>
    <n v="0"/>
    <n v="0"/>
    <n v="0"/>
    <n v="0"/>
    <n v="0"/>
    <n v="0"/>
    <n v="0"/>
    <n v="0"/>
    <n v="2496"/>
    <n v="1073.28"/>
    <n v="0"/>
    <n v="4942.08"/>
    <n v="1647.36"/>
    <n v="19.545454545454501"/>
    <n v="119.80800000000001"/>
    <s v="48.00"/>
    <n v="1647.36"/>
    <n v="1647.36"/>
    <n v="1647.36"/>
    <x v="1"/>
    <x v="1"/>
  </r>
  <r>
    <x v="1"/>
    <s v="FG"/>
    <n v="652203"/>
    <s v="BBX38-0750-R-WH-MIX BERRY (ASEM)"/>
    <s v="48.000 G"/>
    <n v="60104"/>
    <s v="601041000B"/>
    <s v="601041000B40000000"/>
    <x v="7"/>
    <s v="Food &amp; Beverage"/>
    <n v="2496"/>
    <n v="1073.28"/>
    <n v="0"/>
    <n v="0"/>
    <n v="0"/>
    <n v="0"/>
    <n v="0"/>
    <n v="0"/>
    <n v="0"/>
    <n v="0"/>
    <n v="0"/>
    <n v="0"/>
    <n v="2496"/>
    <n v="1073.28"/>
    <n v="0"/>
    <n v="4917.12"/>
    <n v="1639.04"/>
    <n v="19.644670050761398"/>
    <n v="119.80800000000001"/>
    <s v="48.00"/>
    <n v="1639.04"/>
    <n v="1639.04"/>
    <n v="1639.04"/>
    <x v="1"/>
    <x v="1"/>
  </r>
  <r>
    <x v="1"/>
    <s v="FG"/>
    <n v="652204"/>
    <s v="BBX38-0750-R-WH-MANGO (ASEM)"/>
    <s v="48.000 G"/>
    <n v="60104"/>
    <s v="601041000B"/>
    <s v="601041000B40000000"/>
    <x v="7"/>
    <s v="Food &amp; Beverage"/>
    <n v="2496"/>
    <n v="1073.28"/>
    <n v="0"/>
    <n v="0"/>
    <n v="0"/>
    <n v="0"/>
    <n v="0"/>
    <n v="0"/>
    <n v="0"/>
    <n v="0"/>
    <n v="0"/>
    <n v="0"/>
    <n v="2496"/>
    <n v="1073.28"/>
    <n v="0"/>
    <n v="4661.28"/>
    <n v="1553.76"/>
    <n v="20.722891566265101"/>
    <n v="119.80800000000001"/>
    <s v="48.00"/>
    <n v="1553.76"/>
    <n v="1553.76"/>
    <n v="1553.76"/>
    <x v="1"/>
    <x v="1"/>
  </r>
  <r>
    <x v="1"/>
    <s v="FG"/>
    <n v="652829"/>
    <s v="SL-STRAWBERRY YOGURT DRINK- EBB - 750ML"/>
    <s v="0.000 G"/>
    <n v="65400"/>
    <s v="65400S0001"/>
    <s v="#"/>
    <x v="6"/>
    <s v="LABEL, IML, STICKER,"/>
    <n v="33700"/>
    <n v="0"/>
    <n v="0"/>
    <n v="0"/>
    <n v="352"/>
    <n v="0"/>
    <n v="0"/>
    <n v="0"/>
    <n v="0"/>
    <n v="0"/>
    <n v="0"/>
    <n v="0"/>
    <n v="34052"/>
    <n v="0"/>
    <n v="0"/>
    <m/>
    <m/>
    <n v="0"/>
    <n v="0"/>
    <s v="0.000"/>
    <n v="0"/>
    <n v="0"/>
    <n v="0"/>
    <x v="4"/>
    <x v="4"/>
  </r>
  <r>
    <x v="1"/>
    <s v="FG"/>
    <n v="652843"/>
    <s v="SL-MIX BERRY YOGURT DRINK- EBB - 750ML"/>
    <s v="0.000 G"/>
    <n v="65400"/>
    <s v="65400S0001"/>
    <s v="#"/>
    <x v="6"/>
    <s v="LABEL, IML, STICKER,"/>
    <n v="35000"/>
    <n v="0"/>
    <n v="0"/>
    <n v="0"/>
    <n v="1300"/>
    <n v="0"/>
    <n v="0"/>
    <n v="0"/>
    <n v="0"/>
    <n v="0"/>
    <n v="0"/>
    <n v="0"/>
    <n v="36300"/>
    <n v="0"/>
    <n v="0"/>
    <m/>
    <m/>
    <n v="0"/>
    <n v="0"/>
    <s v="0.000"/>
    <n v="0"/>
    <n v="0"/>
    <n v="0"/>
    <x v="4"/>
    <x v="4"/>
  </r>
  <r>
    <x v="1"/>
    <s v="FG"/>
    <n v="652844"/>
    <s v="SL-MANGO YOGURT DRINK- EBB - 750ML"/>
    <s v="0.000 G"/>
    <n v="65400"/>
    <s v="65400S0001"/>
    <s v="#"/>
    <x v="6"/>
    <s v="LABEL, IML, STICKER,"/>
    <n v="36300"/>
    <n v="0"/>
    <n v="0"/>
    <n v="0"/>
    <n v="177"/>
    <n v="0"/>
    <n v="0"/>
    <n v="0"/>
    <n v="0"/>
    <n v="0"/>
    <n v="0"/>
    <n v="0"/>
    <n v="36477"/>
    <n v="0"/>
    <n v="0"/>
    <m/>
    <m/>
    <n v="0"/>
    <n v="0"/>
    <s v="0.000"/>
    <n v="0"/>
    <n v="0"/>
    <n v="0"/>
    <x v="4"/>
    <x v="4"/>
  </r>
  <r>
    <x v="1"/>
    <s v="FG"/>
    <n v="653092"/>
    <s v="L-0226-BR-HERS-PP (V)"/>
    <s v="6.000 G"/>
    <n v="60106"/>
    <s v="601061000C"/>
    <s v="601061000C40000000"/>
    <x v="5"/>
    <s v="Food &amp; Beverage"/>
    <n v="58800"/>
    <n v="7047.18"/>
    <n v="0"/>
    <n v="0"/>
    <n v="0"/>
    <n v="0"/>
    <n v="0"/>
    <n v="0"/>
    <n v="0"/>
    <n v="0"/>
    <n v="0"/>
    <n v="0"/>
    <n v="58800"/>
    <n v="7047.18"/>
    <n v="0"/>
    <n v="19954.78"/>
    <n v="6651.5933333333296"/>
    <n v="31.784174017453498"/>
    <n v="352.8"/>
    <s v="6.000"/>
    <n v="6651.5933333333296"/>
    <n v="6651.5933333333332"/>
    <n v="6651.5933333333296"/>
    <x v="2"/>
    <x v="3"/>
  </r>
  <r>
    <x v="1"/>
    <s v="FG"/>
    <n v="653153"/>
    <s v="BC28-0090-D-NGB-130001-rPP-T (SAMPLE)"/>
    <s v="14.500 G"/>
    <n v="60106"/>
    <s v="601061000B"/>
    <s v="601061000B10000000"/>
    <x v="16"/>
    <s v="Electrical &amp; Electro"/>
    <m/>
    <m/>
    <m/>
    <m/>
    <m/>
    <m/>
    <m/>
    <m/>
    <m/>
    <m/>
    <m/>
    <m/>
    <m/>
    <m/>
    <m/>
    <n v="0"/>
    <n v="0"/>
    <m/>
    <n v="0"/>
    <s v="14.50"/>
    <n v="0"/>
    <n v="0"/>
    <n v="0"/>
    <x v="2"/>
    <x v="1"/>
  </r>
  <r>
    <x v="1"/>
    <s v="FG"/>
    <n v="657111"/>
    <s v="C32-KKM-2PIECE-TOP RED &amp; BTM  RED"/>
    <s v="6.200 G"/>
    <n v="60105"/>
    <s v="601051000C"/>
    <s v="601051000C90000000"/>
    <x v="4"/>
    <s v="Others"/>
    <n v="0"/>
    <n v="0"/>
    <n v="6000"/>
    <n v="1128"/>
    <n v="0"/>
    <n v="0"/>
    <n v="0"/>
    <n v="0"/>
    <n v="0"/>
    <n v="0"/>
    <n v="0"/>
    <n v="0"/>
    <n v="6000"/>
    <n v="1128"/>
    <n v="0"/>
    <m/>
    <m/>
    <n v="0"/>
    <n v="37.200000000000003"/>
    <s v="6.200"/>
    <n v="0"/>
    <n v="0"/>
    <n v="0"/>
    <x v="3"/>
    <x v="3"/>
  </r>
  <r>
    <x v="1"/>
    <s v="FG"/>
    <n v="657223"/>
    <s v="C63-T/E-R/S-ORANGE (E)-V"/>
    <s v="7.600 G"/>
    <n v="60105"/>
    <s v="601051000C"/>
    <s v="601051000C90000000"/>
    <x v="4"/>
    <s v="Others"/>
    <n v="18500"/>
    <n v="2385.39"/>
    <n v="0"/>
    <n v="0"/>
    <n v="0"/>
    <n v="0"/>
    <n v="0"/>
    <n v="0"/>
    <n v="0"/>
    <n v="0"/>
    <n v="0"/>
    <n v="0"/>
    <n v="18500"/>
    <n v="2385.39"/>
    <n v="0"/>
    <n v="1535.91"/>
    <n v="511.97"/>
    <n v="139.77713537902599"/>
    <n v="140.6"/>
    <s v="7.600"/>
    <n v="511.97"/>
    <n v="511.97666666666669"/>
    <n v="511.97"/>
    <x v="3"/>
    <x v="3"/>
  </r>
  <r>
    <x v="1"/>
    <s v="FG"/>
    <n v="657982"/>
    <s v="BX38-0250-SM-R-WH-ORI AYRAN (ASEM)"/>
    <s v="23.000 G"/>
    <n v="60104"/>
    <s v="601041000B"/>
    <s v="601041000B40000000"/>
    <x v="7"/>
    <s v="Food &amp; Beverage"/>
    <m/>
    <m/>
    <m/>
    <m/>
    <m/>
    <m/>
    <m/>
    <m/>
    <m/>
    <m/>
    <m/>
    <m/>
    <m/>
    <m/>
    <m/>
    <n v="8537.76"/>
    <n v="2845.92"/>
    <m/>
    <n v="0"/>
    <s v="23.00"/>
    <n v="2845.92"/>
    <n v="2845.92"/>
    <n v="2845.92"/>
    <x v="1"/>
    <x v="1"/>
  </r>
  <r>
    <x v="1"/>
    <s v="FG"/>
    <n v="657983"/>
    <s v="SL-ORIGINAL YOGURT DRINK AYRAN - EBB"/>
    <s v="0.000 G"/>
    <n v="65400"/>
    <s v="65400S0001"/>
    <s v="#"/>
    <x v="6"/>
    <s v="LABEL, IML, STICKER,"/>
    <n v="42600"/>
    <n v="0"/>
    <n v="0"/>
    <n v="0"/>
    <n v="0"/>
    <n v="0"/>
    <n v="0"/>
    <n v="0"/>
    <n v="0"/>
    <n v="0"/>
    <n v="0"/>
    <n v="0"/>
    <n v="42600"/>
    <n v="0"/>
    <n v="0"/>
    <m/>
    <m/>
    <n v="0"/>
    <n v="0"/>
    <s v="0.000"/>
    <n v="0"/>
    <n v="0"/>
    <n v="0"/>
    <x v="4"/>
    <x v="4"/>
  </r>
  <r>
    <x v="1"/>
    <s v="FG"/>
    <n v="658124"/>
    <s v="BX38-0250-SM-R-WH-MIXBERRY V2(ASEM)"/>
    <s v="23.000 G"/>
    <n v="60104"/>
    <s v="601041000B"/>
    <s v="601041000B40000000"/>
    <x v="7"/>
    <s v="Food &amp; Beverage"/>
    <m/>
    <m/>
    <m/>
    <m/>
    <m/>
    <m/>
    <m/>
    <m/>
    <m/>
    <m/>
    <m/>
    <m/>
    <m/>
    <m/>
    <m/>
    <n v="8904.2800000000007"/>
    <n v="2968.0933333333301"/>
    <m/>
    <n v="0"/>
    <s v="23.00"/>
    <n v="2968.0933333333301"/>
    <n v="2968.0933333333337"/>
    <n v="2968.0933333333301"/>
    <x v="1"/>
    <x v="1"/>
  </r>
  <r>
    <x v="1"/>
    <s v="FG"/>
    <n v="658125"/>
    <s v="SL-MIX BERRY YOGURT DRINK V2- EBB"/>
    <s v="0.000 G"/>
    <n v="65400"/>
    <s v="65400S0001"/>
    <s v="#"/>
    <x v="6"/>
    <s v="LABEL, IML, STICKER,"/>
    <n v="36800"/>
    <n v="0"/>
    <n v="0"/>
    <n v="0"/>
    <n v="0"/>
    <n v="0"/>
    <n v="0"/>
    <n v="0"/>
    <n v="0"/>
    <n v="0"/>
    <n v="0"/>
    <n v="0"/>
    <n v="36800"/>
    <n v="0"/>
    <n v="0"/>
    <m/>
    <m/>
    <n v="0"/>
    <n v="0"/>
    <s v="0.000"/>
    <n v="0"/>
    <n v="0"/>
    <n v="0"/>
    <x v="4"/>
    <x v="4"/>
  </r>
  <r>
    <x v="1"/>
    <s v="FG"/>
    <n v="658159"/>
    <s v="BX38-0250-SM-R-WH-MANGO V2(ASEM)"/>
    <s v="23.000 G"/>
    <n v="60104"/>
    <s v="601041000B"/>
    <s v="601041000B40000000"/>
    <x v="7"/>
    <s v="Food &amp; Beverage"/>
    <m/>
    <m/>
    <m/>
    <m/>
    <m/>
    <m/>
    <m/>
    <m/>
    <m/>
    <m/>
    <m/>
    <m/>
    <m/>
    <m/>
    <m/>
    <n v="10715.32"/>
    <n v="3571.7733333333299"/>
    <m/>
    <n v="0"/>
    <s v="23.00"/>
    <n v="3571.7733333333299"/>
    <n v="3571.7733333333331"/>
    <n v="3571.7733333333299"/>
    <x v="1"/>
    <x v="1"/>
  </r>
  <r>
    <x v="1"/>
    <s v="FG"/>
    <n v="658161"/>
    <s v="BX38-0250-SM-R-WH-STWBERRY V2(ASEM)"/>
    <s v="23.000 G"/>
    <n v="60104"/>
    <s v="601041000B"/>
    <s v="601041000B40000000"/>
    <x v="7"/>
    <s v="Food &amp; Beverage"/>
    <n v="4312"/>
    <n v="1078"/>
    <n v="0"/>
    <n v="0"/>
    <n v="0"/>
    <n v="0"/>
    <n v="0"/>
    <n v="0"/>
    <n v="0"/>
    <n v="0"/>
    <n v="0"/>
    <n v="0"/>
    <n v="4312"/>
    <n v="1078"/>
    <n v="0"/>
    <n v="8904.2800000000007"/>
    <n v="2968.0933333333301"/>
    <n v="10.8958837772397"/>
    <n v="99.176000000000002"/>
    <s v="23.00"/>
    <n v="2968.0933333333301"/>
    <n v="2968.0933333333337"/>
    <n v="2968.0933333333301"/>
    <x v="1"/>
    <x v="1"/>
  </r>
  <r>
    <x v="1"/>
    <s v="FG"/>
    <n v="658162"/>
    <s v="SL-STRAWBERRY YOGURT DRINK V2- EBB"/>
    <s v="0.000 G"/>
    <n v="65400"/>
    <s v="65400S0001"/>
    <s v="#"/>
    <x v="6"/>
    <s v="LABEL, IML, STICKER,"/>
    <n v="31130"/>
    <n v="0"/>
    <n v="0"/>
    <n v="0"/>
    <n v="0"/>
    <n v="0"/>
    <n v="0"/>
    <n v="0"/>
    <n v="0"/>
    <n v="0"/>
    <n v="0"/>
    <n v="0"/>
    <n v="31130"/>
    <n v="0"/>
    <n v="0"/>
    <m/>
    <m/>
    <n v="0"/>
    <n v="0"/>
    <s v="0.000"/>
    <n v="0"/>
    <n v="0"/>
    <n v="0"/>
    <x v="4"/>
    <x v="4"/>
  </r>
  <r>
    <x v="1"/>
    <s v="FG"/>
    <n v="658163"/>
    <s v="SL-MANGO YOGURT DRINK V2- EBB"/>
    <s v="0.000 G"/>
    <n v="65400"/>
    <s v="65400S0001"/>
    <s v="#"/>
    <x v="6"/>
    <s v="LABEL, IML, STICKER,"/>
    <n v="50609"/>
    <n v="0"/>
    <n v="0"/>
    <n v="0"/>
    <n v="0"/>
    <n v="0"/>
    <n v="0"/>
    <n v="0"/>
    <n v="0"/>
    <n v="0"/>
    <n v="0"/>
    <n v="0"/>
    <n v="50609"/>
    <n v="0"/>
    <n v="0"/>
    <m/>
    <m/>
    <n v="0"/>
    <n v="0"/>
    <s v="0.000"/>
    <n v="0"/>
    <n v="0"/>
    <n v="0"/>
    <x v="4"/>
    <x v="4"/>
  </r>
  <r>
    <x v="1"/>
    <s v="FG"/>
    <n v="661980"/>
    <s v="JJ63-0310-R-R-BR"/>
    <s v="24.900 G"/>
    <n v="60104"/>
    <s v="601041000J"/>
    <s v="601041000J40000000"/>
    <x v="17"/>
    <s v="Food &amp; Beverage"/>
    <m/>
    <m/>
    <m/>
    <m/>
    <m/>
    <m/>
    <m/>
    <m/>
    <m/>
    <m/>
    <m/>
    <m/>
    <m/>
    <m/>
    <m/>
    <n v="3744"/>
    <n v="1248"/>
    <m/>
    <n v="0"/>
    <s v="24.90"/>
    <n v="1248"/>
    <n v="1248"/>
    <n v="1248"/>
    <x v="1"/>
    <x v="2"/>
  </r>
  <r>
    <x v="1"/>
    <s v="FG"/>
    <n v="663215"/>
    <s v="C28-EZY R/S CAP WHT W PET IND SEAL(ASEM)"/>
    <s v="6.300 G"/>
    <n v="60105"/>
    <s v="601051000C"/>
    <s v="601051000C90000000"/>
    <x v="4"/>
    <s v="Others"/>
    <m/>
    <m/>
    <m/>
    <m/>
    <m/>
    <m/>
    <m/>
    <m/>
    <m/>
    <m/>
    <m/>
    <m/>
    <m/>
    <m/>
    <m/>
    <n v="11245.07"/>
    <n v="3748.3566666666702"/>
    <m/>
    <n v="0"/>
    <s v="6.300"/>
    <n v="3748.3566666666702"/>
    <n v="3748.35"/>
    <n v="3748.3566666666702"/>
    <x v="3"/>
    <x v="3"/>
  </r>
  <r>
    <x v="1"/>
    <s v="FG"/>
    <n v="663634"/>
    <s v="Z-INDUCTION SEAL 37.0MM DIA (CHINA)"/>
    <s v="0.000 KG"/>
    <n v="65400"/>
    <s v="65400S0001"/>
    <s v="#"/>
    <x v="6"/>
    <s v="LABEL, IML, STICKER,"/>
    <n v="500000"/>
    <n v="27500"/>
    <n v="0"/>
    <n v="0"/>
    <n v="0"/>
    <n v="0"/>
    <n v="0"/>
    <n v="0"/>
    <n v="0"/>
    <n v="0"/>
    <n v="0"/>
    <n v="0"/>
    <n v="500000"/>
    <n v="27500"/>
    <n v="0"/>
    <m/>
    <m/>
    <n v="0"/>
    <n v="0"/>
    <s v="0.000"/>
    <n v="0"/>
    <n v="0"/>
    <n v="0"/>
    <x v="4"/>
    <x v="4"/>
  </r>
  <r>
    <x v="2"/>
    <s v="PK"/>
    <n v="339253"/>
    <s v="T-TOP TRAY-K 980(L)x765(W)x55(H)MM"/>
    <s v="0.000 G"/>
    <n v="65000"/>
    <s v="65000L0000"/>
    <s v="#"/>
    <x v="23"/>
    <s v="Logistic &amp; Other Sup"/>
    <n v="0"/>
    <n v="0"/>
    <n v="0"/>
    <n v="0"/>
    <n v="7786"/>
    <n v="0"/>
    <n v="0"/>
    <n v="0"/>
    <n v="0"/>
    <n v="0"/>
    <n v="0"/>
    <n v="0"/>
    <n v="7786"/>
    <n v="0"/>
    <n v="0"/>
    <m/>
    <m/>
    <n v="0"/>
    <n v="0"/>
    <s v="0.000"/>
    <n v="0"/>
    <n v="0"/>
    <n v="0"/>
    <x v="7"/>
    <x v="8"/>
  </r>
  <r>
    <x v="2"/>
    <s v="PK"/>
    <n v="340302"/>
    <s v="T-PLASTIC PALLET N4111SL-BLACK-(K)"/>
    <s v="0.000 G"/>
    <n v="65000"/>
    <s v="65000L0000"/>
    <s v="#"/>
    <x v="23"/>
    <s v="Logistic &amp; Other Sup"/>
    <n v="1000"/>
    <n v="0"/>
    <n v="800"/>
    <n v="0"/>
    <n v="1600"/>
    <n v="0"/>
    <n v="2440"/>
    <n v="0"/>
    <n v="6461"/>
    <n v="0"/>
    <n v="0"/>
    <n v="0"/>
    <n v="12301"/>
    <n v="0"/>
    <n v="0"/>
    <m/>
    <m/>
    <n v="0"/>
    <n v="0"/>
    <s v="0.000"/>
    <n v="0"/>
    <n v="0"/>
    <n v="0"/>
    <x v="7"/>
    <x v="8"/>
  </r>
  <r>
    <x v="2"/>
    <s v="PK"/>
    <n v="340979"/>
    <s v="T-CORNER GUIDE"/>
    <s v="0.000 G"/>
    <n v="65000"/>
    <s v="65000L0000"/>
    <s v="#"/>
    <x v="23"/>
    <s v="Logistic &amp; Other Sup"/>
    <n v="1800"/>
    <n v="0"/>
    <n v="0"/>
    <n v="0"/>
    <n v="2911"/>
    <n v="0"/>
    <n v="0"/>
    <n v="0"/>
    <n v="0"/>
    <n v="0"/>
    <n v="0"/>
    <n v="0"/>
    <n v="4711"/>
    <n v="0"/>
    <n v="0"/>
    <m/>
    <m/>
    <n v="0"/>
    <n v="0"/>
    <s v="0.000"/>
    <n v="0"/>
    <n v="0"/>
    <n v="0"/>
    <x v="7"/>
    <x v="8"/>
  </r>
  <r>
    <x v="2"/>
    <s v="PK"/>
    <n v="380849"/>
    <s v="T-P.PALLET N41208SL-BLACK 1200X800MM"/>
    <s v="0.000 G"/>
    <n v="65000"/>
    <s v="65000L0000"/>
    <s v="#"/>
    <x v="23"/>
    <s v="Logistic &amp; Other Sup"/>
    <n v="0"/>
    <n v="0"/>
    <n v="800"/>
    <n v="0"/>
    <n v="300"/>
    <n v="0"/>
    <n v="0"/>
    <n v="0"/>
    <n v="996"/>
    <n v="0"/>
    <n v="0"/>
    <n v="0"/>
    <n v="2096"/>
    <n v="0"/>
    <n v="0"/>
    <m/>
    <m/>
    <n v="0"/>
    <n v="0"/>
    <s v="0.000"/>
    <n v="0"/>
    <n v="0"/>
    <n v="0"/>
    <x v="7"/>
    <x v="8"/>
  </r>
  <r>
    <x v="2"/>
    <s v="PK"/>
    <n v="492555"/>
    <s v="T-P.PALLET WN4-1210 GREEN 1200 X 1000MM"/>
    <s v="0.000 G"/>
    <n v="65000"/>
    <s v="65000L0000"/>
    <s v="#"/>
    <x v="23"/>
    <s v="Logistic &amp; Other Sup"/>
    <n v="0"/>
    <n v="0"/>
    <n v="0"/>
    <n v="0"/>
    <n v="400"/>
    <n v="0"/>
    <n v="0"/>
    <n v="0"/>
    <n v="56"/>
    <n v="0"/>
    <n v="0"/>
    <n v="0"/>
    <n v="456"/>
    <n v="0"/>
    <n v="0"/>
    <m/>
    <m/>
    <n v="0"/>
    <n v="0"/>
    <s v="0.000"/>
    <n v="0"/>
    <n v="0"/>
    <n v="0"/>
    <x v="7"/>
    <x v="8"/>
  </r>
  <r>
    <x v="2"/>
    <s v="PK"/>
    <n v="611851"/>
    <s v="T-PLASTIC PALLET N41311SL2 BK (FMC)"/>
    <s v="0.000 G"/>
    <n v="65000"/>
    <s v="65000L0000"/>
    <s v="#"/>
    <x v="23"/>
    <s v="Logistic &amp; Other Sup"/>
    <n v="0"/>
    <n v="0"/>
    <n v="0"/>
    <n v="0"/>
    <n v="0"/>
    <n v="0"/>
    <n v="529"/>
    <n v="0"/>
    <n v="0"/>
    <n v="0"/>
    <n v="0"/>
    <n v="0"/>
    <n v="529"/>
    <n v="0"/>
    <n v="0"/>
    <m/>
    <m/>
    <n v="0"/>
    <n v="0"/>
    <s v="0.000"/>
    <n v="0"/>
    <n v="0"/>
    <n v="0"/>
    <x v="7"/>
    <x v="8"/>
  </r>
  <r>
    <x v="3"/>
    <s v="RM"/>
    <n v="322720"/>
    <s v="M-INJ ORANGE MP30373-05"/>
    <s v="0.000 G"/>
    <n v="60200"/>
    <s v="#"/>
    <s v="#"/>
    <x v="24"/>
    <s v="Additives"/>
    <n v="42"/>
    <n v="2665.31"/>
    <n v="24"/>
    <n v="1523.03"/>
    <n v="29.922000000000001"/>
    <n v="1898.84"/>
    <n v="0"/>
    <n v="0"/>
    <n v="0"/>
    <n v="0"/>
    <n v="0"/>
    <n v="0"/>
    <n v="95.921999999999997"/>
    <n v="6087.18"/>
    <n v="422"/>
    <m/>
    <m/>
    <n v="0"/>
    <n v="95.921999999999997"/>
    <s v="0.000"/>
    <n v="0"/>
    <n v="114.52333333333333"/>
    <n v="114.52333333333333"/>
    <x v="8"/>
    <x v="9"/>
  </r>
  <r>
    <x v="3"/>
    <s v="RM"/>
    <n v="322732"/>
    <s v="M-PET RENOL BLUE 20897-35(MYA)"/>
    <s v="0.000 G"/>
    <n v="60200"/>
    <s v="#"/>
    <s v="#"/>
    <x v="24"/>
    <s v="Additives"/>
    <n v="0"/>
    <n v="0"/>
    <n v="0"/>
    <n v="0"/>
    <n v="0"/>
    <n v="0"/>
    <n v="0"/>
    <n v="0"/>
    <n v="1.038"/>
    <n v="0.01"/>
    <n v="0"/>
    <n v="0"/>
    <n v="1.038"/>
    <n v="0.01"/>
    <n v="0.01"/>
    <m/>
    <m/>
    <n v="0"/>
    <n v="1.038"/>
    <s v="0.000"/>
    <n v="0"/>
    <n v="0"/>
    <n v="0"/>
    <x v="8"/>
    <x v="9"/>
  </r>
  <r>
    <x v="3"/>
    <s v="RM"/>
    <n v="322734"/>
    <s v="M-INJ REMAFIN YELLOW M1013 (FP)"/>
    <s v="0.000 G"/>
    <n v="60200"/>
    <s v="#"/>
    <s v="#"/>
    <x v="24"/>
    <s v="Additives"/>
    <n v="83.942999999999998"/>
    <n v="5395.43"/>
    <n v="4.0000000000000001E-3"/>
    <n v="0.26"/>
    <n v="0"/>
    <n v="0"/>
    <n v="0"/>
    <n v="0"/>
    <n v="0"/>
    <n v="0"/>
    <n v="0"/>
    <n v="0"/>
    <n v="83.947000000000003"/>
    <n v="5395.69"/>
    <n v="0"/>
    <m/>
    <m/>
    <n v="0"/>
    <n v="83.947000000000003"/>
    <s v="0.000"/>
    <n v="0"/>
    <n v="1762.4233333333334"/>
    <n v="1762.4233333333334"/>
    <x v="8"/>
    <x v="9"/>
  </r>
  <r>
    <x v="3"/>
    <s v="RM"/>
    <n v="322762"/>
    <s v="M-INJ REMAFIN GREEN-ML66243-05"/>
    <s v="0.000 G"/>
    <n v="60200"/>
    <s v="#"/>
    <s v="#"/>
    <x v="24"/>
    <s v="Additives"/>
    <n v="0"/>
    <n v="0"/>
    <n v="0"/>
    <n v="0"/>
    <n v="0"/>
    <n v="0"/>
    <n v="0"/>
    <n v="0"/>
    <n v="22.382999999999999"/>
    <n v="1231.06"/>
    <n v="0"/>
    <n v="0"/>
    <n v="22.382999999999999"/>
    <n v="1231.06"/>
    <n v="1231.06"/>
    <m/>
    <m/>
    <n v="0"/>
    <n v="22.382999999999999"/>
    <s v="0.000"/>
    <n v="0"/>
    <n v="0"/>
    <n v="0"/>
    <x v="8"/>
    <x v="9"/>
  </r>
  <r>
    <x v="3"/>
    <s v="RM"/>
    <n v="322764"/>
    <s v="M-INJ MASTER BATCH-YELLOW (EVO)-2204"/>
    <s v="0.000 G"/>
    <n v="60200"/>
    <s v="#"/>
    <s v="#"/>
    <x v="24"/>
    <s v="Additives"/>
    <n v="137.12799999999999"/>
    <n v="3606.49"/>
    <n v="0"/>
    <n v="0"/>
    <n v="0"/>
    <n v="0"/>
    <n v="0"/>
    <n v="0"/>
    <n v="0"/>
    <n v="0"/>
    <n v="0"/>
    <n v="0"/>
    <n v="137.12799999999999"/>
    <n v="3606.49"/>
    <n v="0"/>
    <m/>
    <m/>
    <n v="0"/>
    <n v="137.12799999999999"/>
    <s v="0.000"/>
    <n v="0"/>
    <n v="1740.18"/>
    <n v="1740.18"/>
    <x v="8"/>
    <x v="9"/>
  </r>
  <r>
    <x v="3"/>
    <s v="RM"/>
    <n v="322765"/>
    <s v="M-INJ MASTER BATCH-RED (EVO)-31381"/>
    <s v="0.000 G"/>
    <n v="60200"/>
    <s v="#"/>
    <s v="#"/>
    <x v="24"/>
    <s v="Additives"/>
    <n v="50"/>
    <n v="1469.68"/>
    <n v="33.694000000000003"/>
    <n v="990.39"/>
    <n v="0"/>
    <n v="0"/>
    <n v="0"/>
    <n v="0"/>
    <n v="0"/>
    <n v="0"/>
    <n v="0"/>
    <n v="0"/>
    <n v="83.694000000000003"/>
    <n v="2460.0700000000002"/>
    <n v="0"/>
    <m/>
    <m/>
    <n v="0"/>
    <n v="83.694000000000003"/>
    <s v="0.000"/>
    <n v="0"/>
    <n v="384.17666666666668"/>
    <n v="384.17666666666668"/>
    <x v="8"/>
    <x v="9"/>
  </r>
  <r>
    <x v="3"/>
    <s v="RM"/>
    <n v="322779"/>
    <s v="M-PET MASTERBATCH-BROWN(N) (EVOCHEM)"/>
    <s v="0.000 G"/>
    <n v="60200"/>
    <s v="#"/>
    <s v="#"/>
    <x v="24"/>
    <s v="Additives"/>
    <n v="75"/>
    <n v="2812.84"/>
    <n v="7.5810000000000004"/>
    <n v="284.32"/>
    <n v="0"/>
    <n v="0"/>
    <n v="0"/>
    <n v="0"/>
    <n v="0"/>
    <n v="0"/>
    <n v="0"/>
    <n v="0"/>
    <n v="82.581000000000003"/>
    <n v="3097.16"/>
    <n v="0"/>
    <m/>
    <m/>
    <n v="0"/>
    <n v="82.581000000000003"/>
    <s v="0.000"/>
    <n v="0"/>
    <n v="0"/>
    <n v="0"/>
    <x v="8"/>
    <x v="9"/>
  </r>
  <r>
    <x v="3"/>
    <s v="RM"/>
    <n v="322792"/>
    <s v="R-PP-PP COPO 2300K"/>
    <s v="0.000 G"/>
    <n v="60106"/>
    <s v="60106V0000"/>
    <s v="#"/>
    <x v="25"/>
    <s v="Virgin grade"/>
    <n v="4259.9309999999996"/>
    <n v="19458.849999999999"/>
    <n v="0"/>
    <n v="0"/>
    <n v="0"/>
    <n v="0"/>
    <n v="0"/>
    <n v="0"/>
    <n v="17.332999999999998"/>
    <n v="79.180000000000007"/>
    <n v="0"/>
    <n v="0"/>
    <n v="4277.2640000000001"/>
    <n v="19538.03"/>
    <n v="79.180000000000007"/>
    <m/>
    <m/>
    <n v="0"/>
    <n v="4277.2640000000001"/>
    <s v="0.000"/>
    <n v="0"/>
    <n v="6997.0166666666664"/>
    <n v="6997.0166666666664"/>
    <x v="2"/>
    <x v="10"/>
  </r>
  <r>
    <x v="3"/>
    <s v="RM"/>
    <n v="322795"/>
    <s v="R-LLDPE LL6201"/>
    <s v="0.000 G"/>
    <n v="60105"/>
    <s v="60105V0000"/>
    <s v="#"/>
    <x v="26"/>
    <s v="Virgin grade"/>
    <n v="0"/>
    <n v="0"/>
    <n v="0"/>
    <n v="0"/>
    <n v="615.55399999999997"/>
    <n v="3746.95"/>
    <n v="0"/>
    <n v="0"/>
    <n v="0"/>
    <n v="0"/>
    <n v="0"/>
    <n v="0"/>
    <n v="615.55399999999997"/>
    <n v="3746.95"/>
    <n v="624.54"/>
    <m/>
    <m/>
    <n v="0"/>
    <n v="615.55399999999997"/>
    <s v="0.000"/>
    <n v="0"/>
    <n v="-744.84333333333336"/>
    <n v="-744.84333333333336"/>
    <x v="3"/>
    <x v="10"/>
  </r>
  <r>
    <x v="3"/>
    <s v="RM"/>
    <n v="322799"/>
    <s v="R-PP-PP TITAN PRO SM398"/>
    <s v="0.000 G"/>
    <n v="60106"/>
    <s v="60106V0000"/>
    <s v="#"/>
    <x v="25"/>
    <s v="Virgin grade"/>
    <n v="14056.088"/>
    <n v="90014.77"/>
    <n v="112.371"/>
    <n v="719.62"/>
    <n v="0"/>
    <n v="0"/>
    <n v="0"/>
    <n v="0"/>
    <n v="0"/>
    <n v="0"/>
    <n v="0"/>
    <n v="0"/>
    <n v="14168.459000000001"/>
    <n v="90734.39"/>
    <n v="0"/>
    <m/>
    <m/>
    <n v="0"/>
    <n v="14168.459000000001"/>
    <s v="0.000"/>
    <n v="0"/>
    <n v="20298.846666666668"/>
    <n v="20298.846666666668"/>
    <x v="2"/>
    <x v="10"/>
  </r>
  <r>
    <x v="3"/>
    <s v="RM"/>
    <n v="324493"/>
    <s v="M-INJ MASTERBATCH BRONZE 3626A"/>
    <s v="0.000 G"/>
    <n v="60200"/>
    <s v="#"/>
    <s v="#"/>
    <x v="24"/>
    <s v="Additives"/>
    <n v="0"/>
    <n v="0"/>
    <n v="35.83"/>
    <n v="1455.7"/>
    <n v="0"/>
    <n v="0"/>
    <n v="0"/>
    <n v="0"/>
    <n v="0"/>
    <n v="0"/>
    <n v="0"/>
    <n v="0"/>
    <n v="35.83"/>
    <n v="1455.7"/>
    <n v="0"/>
    <m/>
    <m/>
    <n v="0"/>
    <n v="35.83"/>
    <s v="0.000"/>
    <n v="0"/>
    <n v="0"/>
    <n v="0"/>
    <x v="8"/>
    <x v="9"/>
  </r>
  <r>
    <x v="3"/>
    <s v="RM"/>
    <n v="330830"/>
    <s v="M-PET MASTERBATCH -WHITE"/>
    <s v="0.000 G"/>
    <n v="60200"/>
    <s v="#"/>
    <s v="#"/>
    <x v="24"/>
    <s v="Additives"/>
    <n v="122.057"/>
    <n v="4516.12"/>
    <n v="0"/>
    <n v="0"/>
    <n v="0"/>
    <n v="0"/>
    <n v="0"/>
    <n v="0"/>
    <n v="0"/>
    <n v="0"/>
    <n v="0"/>
    <n v="0"/>
    <n v="122.057"/>
    <n v="4516.12"/>
    <n v="0"/>
    <m/>
    <m/>
    <n v="0"/>
    <n v="122.057"/>
    <s v="0.000"/>
    <n v="0"/>
    <n v="6604.4966666666669"/>
    <n v="6604.4966666666669"/>
    <x v="8"/>
    <x v="9"/>
  </r>
  <r>
    <x v="3"/>
    <s v="RM"/>
    <n v="331724"/>
    <s v="R-PET-JADE BRAND PET RESIN CZ-302 IV0.80"/>
    <s v="0.000 TON"/>
    <n v="60104"/>
    <s v="60104V0000"/>
    <s v="#"/>
    <x v="27"/>
    <s v="Virgin grade"/>
    <n v="105595.716"/>
    <n v="482070.84"/>
    <n v="0"/>
    <n v="0"/>
    <n v="0"/>
    <n v="0"/>
    <n v="583.66099999999994"/>
    <n v="2664.55"/>
    <n v="0"/>
    <n v="0"/>
    <n v="0"/>
    <n v="0"/>
    <n v="106179.37699999999"/>
    <n v="484735.39"/>
    <n v="1931.43"/>
    <m/>
    <m/>
    <n v="0"/>
    <n v="106179.37699999999"/>
    <s v="0.000"/>
    <n v="0"/>
    <n v="433918.70333333337"/>
    <n v="433918.70333333337"/>
    <x v="1"/>
    <x v="10"/>
  </r>
  <r>
    <x v="3"/>
    <s v="RM"/>
    <n v="335835"/>
    <s v="M-INJ REMAFIN RED PL103605-12"/>
    <s v="0.000 G"/>
    <n v="60200"/>
    <s v="#"/>
    <s v="#"/>
    <x v="24"/>
    <s v="Additives"/>
    <n v="48"/>
    <n v="2337.7199999999998"/>
    <n v="15.618"/>
    <n v="760.63"/>
    <n v="0"/>
    <n v="0"/>
    <n v="0"/>
    <n v="0"/>
    <n v="16.241"/>
    <n v="790.98"/>
    <n v="0"/>
    <n v="0"/>
    <n v="79.858999999999995"/>
    <n v="3889.33"/>
    <n v="790.98"/>
    <m/>
    <m/>
    <n v="0"/>
    <n v="79.858999999999995"/>
    <s v="0.000"/>
    <n v="0"/>
    <n v="351.54666666666668"/>
    <n v="351.54666666666668"/>
    <x v="8"/>
    <x v="9"/>
  </r>
  <r>
    <x v="3"/>
    <s v="RM"/>
    <n v="369382"/>
    <s v="M-PET RENOL RED NE113139-09"/>
    <s v="0.000 KG"/>
    <n v="60200"/>
    <s v="#"/>
    <s v="#"/>
    <x v="24"/>
    <s v="Additives"/>
    <n v="46"/>
    <n v="3351.16"/>
    <n v="47"/>
    <n v="3424.01"/>
    <n v="30.227"/>
    <n v="2202.0700000000002"/>
    <n v="0"/>
    <n v="0"/>
    <n v="0"/>
    <n v="0"/>
    <n v="0"/>
    <n v="0"/>
    <n v="123.227"/>
    <n v="8977.24"/>
    <n v="329.32"/>
    <m/>
    <m/>
    <n v="0"/>
    <n v="123.227"/>
    <s v="0.000"/>
    <n v="0"/>
    <n v="269.37666666666667"/>
    <n v="269.37666666666667"/>
    <x v="8"/>
    <x v="9"/>
  </r>
  <r>
    <x v="3"/>
    <s v="RM"/>
    <n v="374617"/>
    <s v="R-PET-RECRON PET RESIN 6868"/>
    <s v="0.000 KG"/>
    <n v="60104"/>
    <s v="60104V0000"/>
    <s v="#"/>
    <x v="27"/>
    <s v="Virgin grade"/>
    <n v="47000"/>
    <n v="247451.71"/>
    <n v="0"/>
    <n v="0"/>
    <n v="0"/>
    <n v="0"/>
    <n v="9059.1080000000002"/>
    <n v="47695.57"/>
    <n v="0"/>
    <n v="0"/>
    <n v="0"/>
    <n v="0"/>
    <n v="56059.108"/>
    <n v="295147.28000000003"/>
    <n v="23849.69"/>
    <m/>
    <m/>
    <n v="0"/>
    <n v="56059.108"/>
    <s v="0.000"/>
    <n v="0"/>
    <n v="4195.95"/>
    <n v="4195.95"/>
    <x v="1"/>
    <x v="10"/>
  </r>
  <r>
    <x v="3"/>
    <s v="RM"/>
    <n v="379402"/>
    <s v="R-LDPE-LDPE LDF 265 YZ"/>
    <s v="0.000 KG"/>
    <n v="60105"/>
    <s v="60105V0000"/>
    <s v="#"/>
    <x v="26"/>
    <s v="Virgin grade"/>
    <n v="4567.7240000000002"/>
    <n v="30822.73"/>
    <n v="0"/>
    <n v="0"/>
    <n v="0"/>
    <n v="0"/>
    <n v="123.43"/>
    <n v="832.9"/>
    <n v="0"/>
    <n v="0"/>
    <n v="0"/>
    <n v="0"/>
    <n v="4691.1540000000005"/>
    <n v="31655.63"/>
    <n v="644.26"/>
    <m/>
    <m/>
    <n v="0"/>
    <n v="4691.1540000000005"/>
    <s v="0.000"/>
    <n v="0"/>
    <n v="9254.67"/>
    <n v="9254.67"/>
    <x v="3"/>
    <x v="10"/>
  </r>
  <r>
    <x v="3"/>
    <s v="RM"/>
    <n v="410629"/>
    <s v="M-INJ REMAFIN WHITE 70C (PC) PE02449058"/>
    <s v="0.000 G"/>
    <n v="60200"/>
    <s v="#"/>
    <s v="#"/>
    <x v="24"/>
    <s v="Additives"/>
    <n v="125"/>
    <n v="5087.45"/>
    <n v="9.7279999999999998"/>
    <n v="395.93"/>
    <n v="6.1319999999999997"/>
    <n v="249.57"/>
    <n v="0"/>
    <n v="0"/>
    <n v="0"/>
    <n v="0"/>
    <n v="0"/>
    <n v="0"/>
    <n v="140.86000000000001"/>
    <n v="5732.95"/>
    <n v="69.33"/>
    <m/>
    <m/>
    <n v="0"/>
    <n v="140.86000000000001"/>
    <s v="0.000"/>
    <n v="0"/>
    <n v="531.90666666666664"/>
    <n v="531.90666666666664"/>
    <x v="8"/>
    <x v="9"/>
  </r>
  <r>
    <x v="3"/>
    <s v="RM"/>
    <n v="411451"/>
    <s v="M-INJ REMAFIN GOLD PE103916-15"/>
    <s v="0.000 G"/>
    <n v="60200"/>
    <s v="#"/>
    <s v="#"/>
    <x v="24"/>
    <s v="Additives"/>
    <n v="50"/>
    <n v="4553.17"/>
    <n v="37.268999999999998"/>
    <n v="3393.84"/>
    <n v="0"/>
    <n v="0"/>
    <n v="0"/>
    <n v="0"/>
    <n v="0"/>
    <n v="0"/>
    <n v="0"/>
    <n v="0"/>
    <n v="87.269000000000005"/>
    <n v="7947.01"/>
    <n v="0"/>
    <m/>
    <m/>
    <n v="0"/>
    <n v="87.269000000000005"/>
    <s v="0.000"/>
    <n v="0"/>
    <n v="557.64"/>
    <n v="557.64"/>
    <x v="8"/>
    <x v="9"/>
  </r>
  <r>
    <x v="3"/>
    <s v="RM"/>
    <n v="412421"/>
    <s v="M-INJ REMAFIN BLUE PE109470-15"/>
    <s v="0.000 G"/>
    <n v="60200"/>
    <s v="#"/>
    <s v="#"/>
    <x v="24"/>
    <s v="Additives"/>
    <n v="0"/>
    <n v="0"/>
    <n v="31.46"/>
    <n v="1216.6300000000001"/>
    <n v="0"/>
    <n v="0"/>
    <n v="0"/>
    <n v="0"/>
    <n v="0"/>
    <n v="0"/>
    <n v="0"/>
    <n v="0"/>
    <n v="31.46"/>
    <n v="1216.6300000000001"/>
    <n v="0"/>
    <m/>
    <m/>
    <n v="0"/>
    <n v="31.46"/>
    <s v="0.000"/>
    <n v="0"/>
    <n v="269.73"/>
    <n v="269.73"/>
    <x v="8"/>
    <x v="9"/>
  </r>
  <r>
    <x v="3"/>
    <s v="RM"/>
    <n v="441894"/>
    <s v="M-INJ REMAFIN RED PE33449267-ZN"/>
    <s v="0.000 G"/>
    <n v="60200"/>
    <s v="#"/>
    <s v="#"/>
    <x v="24"/>
    <s v="Additives"/>
    <n v="0"/>
    <n v="0"/>
    <n v="0"/>
    <n v="0"/>
    <n v="24"/>
    <n v="1350.07"/>
    <n v="0"/>
    <n v="0"/>
    <n v="4.859"/>
    <n v="273.33999999999997"/>
    <n v="0"/>
    <n v="0"/>
    <n v="28.859000000000002"/>
    <n v="1623.41"/>
    <n v="648.39"/>
    <m/>
    <m/>
    <n v="0"/>
    <n v="28.859000000000002"/>
    <s v="0.000"/>
    <n v="0"/>
    <n v="0"/>
    <n v="0"/>
    <x v="8"/>
    <x v="9"/>
  </r>
  <r>
    <x v="3"/>
    <s v="RM"/>
    <n v="442069"/>
    <s v="M-INJ REMAFIN BLUE PE53449272-ZN"/>
    <s v="0.000 G"/>
    <n v="60200"/>
    <s v="#"/>
    <s v="#"/>
    <x v="24"/>
    <s v="Additives"/>
    <n v="99.373999999999995"/>
    <n v="6033.83"/>
    <n v="0"/>
    <n v="0"/>
    <n v="0"/>
    <n v="0"/>
    <n v="0"/>
    <n v="0"/>
    <n v="0"/>
    <n v="0"/>
    <n v="0"/>
    <n v="0"/>
    <n v="99.373999999999995"/>
    <n v="6033.83"/>
    <n v="0"/>
    <m/>
    <m/>
    <n v="0"/>
    <n v="99.373999999999995"/>
    <s v="0.000"/>
    <n v="0"/>
    <n v="1885.28"/>
    <n v="1885.28"/>
    <x v="8"/>
    <x v="9"/>
  </r>
  <r>
    <x v="3"/>
    <s v="RM"/>
    <n v="454612"/>
    <s v="R-HDPE HD 5403AA"/>
    <s v="0.000 KG"/>
    <n v="60105"/>
    <s v="60105V0000"/>
    <s v="#"/>
    <x v="26"/>
    <s v="Virgin grade"/>
    <n v="13750"/>
    <n v="83081.490000000005"/>
    <n v="11000"/>
    <n v="66465.19"/>
    <n v="2490.8420000000001"/>
    <n v="15050.4"/>
    <n v="487.72300000000001"/>
    <n v="2946.96"/>
    <n v="0"/>
    <n v="0"/>
    <n v="0"/>
    <n v="0"/>
    <n v="27728.564999999999"/>
    <n v="167544.04"/>
    <n v="6654.53"/>
    <m/>
    <m/>
    <n v="0"/>
    <n v="27728.564999999999"/>
    <s v="0.000"/>
    <n v="0"/>
    <n v="14920.64"/>
    <n v="14920.64"/>
    <x v="3"/>
    <x v="10"/>
  </r>
  <r>
    <x v="3"/>
    <s v="RM"/>
    <n v="454613"/>
    <s v="R-HDPE ASTERENE EHM 6007"/>
    <s v="0.000 KG"/>
    <n v="60105"/>
    <s v="60105V0000"/>
    <s v="#"/>
    <x v="26"/>
    <s v="Virgin grade"/>
    <n v="15738.743"/>
    <n v="116184.35"/>
    <n v="0"/>
    <n v="0"/>
    <n v="0"/>
    <n v="0"/>
    <n v="0"/>
    <n v="0"/>
    <n v="0"/>
    <n v="0"/>
    <n v="0"/>
    <n v="0"/>
    <n v="15738.743"/>
    <n v="116184.35"/>
    <n v="0"/>
    <m/>
    <m/>
    <n v="0"/>
    <n v="15738.743"/>
    <s v="0.000"/>
    <n v="0"/>
    <n v="47320.943333333329"/>
    <n v="47320.943333333329"/>
    <x v="3"/>
    <x v="10"/>
  </r>
  <r>
    <x v="3"/>
    <s v="RM"/>
    <n v="454618"/>
    <s v="M/B BLACK MB 31388-1P"/>
    <s v="0.000 KG"/>
    <n v="60200"/>
    <s v="#"/>
    <s v="#"/>
    <x v="24"/>
    <s v="Additives"/>
    <n v="249.04499999999999"/>
    <n v="3746.22"/>
    <n v="0"/>
    <n v="0"/>
    <n v="0"/>
    <n v="0"/>
    <n v="0"/>
    <n v="0"/>
    <n v="16.241"/>
    <n v="244.3"/>
    <n v="0"/>
    <n v="0"/>
    <n v="265.286"/>
    <n v="3990.52"/>
    <n v="244.3"/>
    <m/>
    <m/>
    <n v="0"/>
    <n v="265.286"/>
    <s v="0.000"/>
    <n v="0"/>
    <n v="756.29"/>
    <n v="756.29"/>
    <x v="8"/>
    <x v="9"/>
  </r>
  <r>
    <x v="3"/>
    <s v="RM"/>
    <n v="454619"/>
    <s v="M/B BLUE PE 81201-3P"/>
    <s v="0.000 KG"/>
    <n v="60200"/>
    <s v="#"/>
    <s v="#"/>
    <x v="24"/>
    <s v="Additives"/>
    <n v="0"/>
    <n v="0"/>
    <n v="0"/>
    <n v="0"/>
    <n v="0"/>
    <n v="0"/>
    <n v="0"/>
    <n v="0"/>
    <n v="31.545999999999999"/>
    <n v="626.62"/>
    <n v="0"/>
    <n v="0"/>
    <n v="31.545999999999999"/>
    <n v="626.62"/>
    <n v="626.62"/>
    <m/>
    <m/>
    <n v="0"/>
    <n v="31.545999999999999"/>
    <s v="0.000"/>
    <n v="0"/>
    <n v="0"/>
    <n v="0"/>
    <x v="8"/>
    <x v="9"/>
  </r>
  <r>
    <x v="3"/>
    <s v="RM"/>
    <n v="454626"/>
    <s v="M/B BROWN PE 71216-3P"/>
    <s v="0.000 KG"/>
    <n v="60200"/>
    <s v="#"/>
    <s v="#"/>
    <x v="24"/>
    <s v="Additives"/>
    <n v="0"/>
    <n v="0"/>
    <n v="0"/>
    <n v="0"/>
    <n v="50"/>
    <n v="1600"/>
    <n v="44.801000000000002"/>
    <n v="1433.63"/>
    <n v="0"/>
    <n v="0"/>
    <n v="0"/>
    <n v="0"/>
    <n v="94.801000000000002"/>
    <n v="3033.63"/>
    <n v="903.91"/>
    <m/>
    <m/>
    <n v="0"/>
    <n v="94.801000000000002"/>
    <s v="0.000"/>
    <n v="0"/>
    <n v="0"/>
    <n v="0"/>
    <x v="8"/>
    <x v="9"/>
  </r>
  <r>
    <x v="3"/>
    <s v="RM"/>
    <n v="454640"/>
    <s v="M/B LIGHT BROWN PE 71217-3P"/>
    <s v="0.000 KG"/>
    <n v="60200"/>
    <s v="#"/>
    <s v="#"/>
    <x v="24"/>
    <s v="Additives"/>
    <n v="50"/>
    <n v="1847.03"/>
    <n v="49.02"/>
    <n v="1810.83"/>
    <n v="0"/>
    <n v="0"/>
    <n v="0"/>
    <n v="0"/>
    <n v="0"/>
    <n v="0"/>
    <n v="0"/>
    <n v="0"/>
    <n v="99.02"/>
    <n v="3657.86"/>
    <n v="0"/>
    <m/>
    <m/>
    <n v="0"/>
    <n v="99.02"/>
    <s v="0.000"/>
    <n v="0"/>
    <n v="348.30333333333334"/>
    <n v="348.30333333333334"/>
    <x v="8"/>
    <x v="9"/>
  </r>
  <r>
    <x v="3"/>
    <s v="RM"/>
    <n v="454657"/>
    <s v="M/B WHITE 1070"/>
    <s v="0.000 KG"/>
    <n v="60200"/>
    <s v="#"/>
    <s v="#"/>
    <x v="24"/>
    <s v="Additives"/>
    <n v="288.15899999999999"/>
    <n v="3688.41"/>
    <n v="29.856999999999999"/>
    <n v="382.17"/>
    <n v="3.3929999999999998"/>
    <n v="43.43"/>
    <n v="0"/>
    <n v="0"/>
    <n v="0"/>
    <n v="0"/>
    <n v="0"/>
    <n v="0"/>
    <n v="321.40899999999999"/>
    <n v="4114.01"/>
    <n v="2.41"/>
    <m/>
    <m/>
    <n v="0"/>
    <n v="321.40899999999999"/>
    <s v="0.000"/>
    <n v="0"/>
    <n v="1610.2266666666667"/>
    <n v="1610.2266666666667"/>
    <x v="8"/>
    <x v="9"/>
  </r>
  <r>
    <x v="3"/>
    <s v="RM"/>
    <n v="454661"/>
    <s v="M/B YELLOW PP 60971-2P"/>
    <s v="0.000 KG"/>
    <n v="60200"/>
    <s v="#"/>
    <s v="#"/>
    <x v="24"/>
    <s v="Additives"/>
    <n v="0"/>
    <n v="0"/>
    <n v="0"/>
    <n v="0"/>
    <n v="0"/>
    <n v="0"/>
    <n v="0"/>
    <n v="0"/>
    <n v="2.9969999999999999"/>
    <n v="0.03"/>
    <n v="0"/>
    <n v="0"/>
    <n v="2.9969999999999999"/>
    <n v="0.03"/>
    <n v="0.03"/>
    <m/>
    <m/>
    <n v="0"/>
    <n v="2.9969999999999999"/>
    <s v="0.000"/>
    <n v="0"/>
    <n v="0"/>
    <n v="0"/>
    <x v="8"/>
    <x v="9"/>
  </r>
  <r>
    <x v="3"/>
    <s v="RM"/>
    <n v="454671"/>
    <s v="R-PP 6331"/>
    <s v="0.000 KG"/>
    <n v="60106"/>
    <s v="60106V0000"/>
    <s v="#"/>
    <x v="25"/>
    <s v="Virgin grade"/>
    <n v="0"/>
    <n v="0"/>
    <n v="498.96499999999997"/>
    <n v="2609.12"/>
    <n v="213.87200000000001"/>
    <n v="1118.3499999999999"/>
    <n v="0"/>
    <n v="0"/>
    <n v="0"/>
    <n v="0"/>
    <n v="0"/>
    <n v="0"/>
    <n v="712.83699999999999"/>
    <n v="3727.47"/>
    <n v="186.4"/>
    <m/>
    <m/>
    <n v="0"/>
    <n v="712.83699999999999"/>
    <s v="0.000"/>
    <n v="0"/>
    <n v="309.47666666666663"/>
    <n v="309.47666666666663"/>
    <x v="2"/>
    <x v="10"/>
  </r>
  <r>
    <x v="3"/>
    <s v="RM"/>
    <n v="454674"/>
    <s v="R-PP PD855"/>
    <s v="0.000 KG"/>
    <n v="60106"/>
    <s v="60106V0000"/>
    <s v="#"/>
    <x v="25"/>
    <s v="Virgin grade"/>
    <n v="2500"/>
    <n v="12242.9"/>
    <n v="7699.2539999999999"/>
    <n v="37704.47"/>
    <n v="0"/>
    <n v="0"/>
    <n v="0"/>
    <n v="0"/>
    <n v="0"/>
    <n v="0"/>
    <n v="0"/>
    <n v="0"/>
    <n v="10199.254000000001"/>
    <n v="49947.37"/>
    <n v="0"/>
    <m/>
    <m/>
    <n v="0"/>
    <n v="10199.254000000001"/>
    <s v="0.000"/>
    <n v="0"/>
    <n v="6810.3633333333337"/>
    <n v="6810.3633333333337"/>
    <x v="2"/>
    <x v="10"/>
  </r>
  <r>
    <x v="3"/>
    <s v="RM"/>
    <n v="454679"/>
    <s v="R-PP SM240"/>
    <s v="0.000 KG"/>
    <n v="60106"/>
    <s v="60106V0000"/>
    <s v="#"/>
    <x v="25"/>
    <s v="Virgin grade"/>
    <n v="10089.038"/>
    <n v="67504.240000000005"/>
    <n v="2684.67"/>
    <n v="17962.72"/>
    <n v="1657.568"/>
    <n v="11090.54"/>
    <n v="0"/>
    <n v="0"/>
    <n v="0"/>
    <n v="0"/>
    <n v="0"/>
    <n v="0"/>
    <n v="14431.276"/>
    <n v="96557.5"/>
    <n v="2875.14"/>
    <n v="234.08"/>
    <n v="78.026666666666699"/>
    <n v="37124.807758031398"/>
    <n v="14431.276"/>
    <s v="0.000"/>
    <n v="78.026666666666699"/>
    <n v="27720.413333333334"/>
    <n v="78.026666666666699"/>
    <x v="2"/>
    <x v="10"/>
  </r>
  <r>
    <x v="3"/>
    <s v="RM"/>
    <n v="454698"/>
    <s v="M/B GREEN PP 93375-3P"/>
    <s v="0.000 KG"/>
    <n v="60200"/>
    <s v="#"/>
    <s v="#"/>
    <x v="24"/>
    <s v="Additives"/>
    <n v="0"/>
    <n v="0"/>
    <n v="25"/>
    <n v="500"/>
    <n v="8.9339999999999993"/>
    <n v="178.68"/>
    <n v="0"/>
    <n v="0"/>
    <n v="0"/>
    <n v="0"/>
    <n v="0"/>
    <n v="0"/>
    <n v="33.933999999999997"/>
    <n v="678.68"/>
    <n v="39.71"/>
    <m/>
    <m/>
    <n v="0"/>
    <n v="33.933999999999997"/>
    <s v="0.000"/>
    <n v="0"/>
    <n v="104.37333333333333"/>
    <n v="104.37333333333333"/>
    <x v="8"/>
    <x v="9"/>
  </r>
  <r>
    <x v="3"/>
    <s v="RM"/>
    <n v="454700"/>
    <s v="M/B BLUE PP 84036-3P"/>
    <s v="0.000 KG"/>
    <n v="60200"/>
    <s v="#"/>
    <s v="#"/>
    <x v="24"/>
    <s v="Additives"/>
    <n v="25"/>
    <n v="584.61"/>
    <n v="19.321999999999999"/>
    <n v="451.83"/>
    <n v="0"/>
    <n v="0"/>
    <n v="0"/>
    <n v="0"/>
    <n v="0"/>
    <n v="0"/>
    <n v="0"/>
    <n v="0"/>
    <n v="44.322000000000003"/>
    <n v="1036.44"/>
    <n v="0"/>
    <m/>
    <m/>
    <n v="0"/>
    <n v="44.322000000000003"/>
    <s v="0.000"/>
    <n v="0"/>
    <n v="156.56"/>
    <n v="156.56"/>
    <x v="8"/>
    <x v="9"/>
  </r>
  <r>
    <x v="3"/>
    <s v="RM"/>
    <n v="463143"/>
    <s v="M-PET RENOL BLACK NE113005-14"/>
    <s v="0.000 G"/>
    <n v="60200"/>
    <s v="#"/>
    <s v="#"/>
    <x v="24"/>
    <s v="Additives"/>
    <n v="0"/>
    <n v="0"/>
    <n v="0"/>
    <n v="0"/>
    <n v="0"/>
    <n v="0"/>
    <n v="0"/>
    <n v="0"/>
    <n v="24.617000000000001"/>
    <n v="720.78"/>
    <n v="0"/>
    <n v="0"/>
    <n v="24.617000000000001"/>
    <n v="720.78"/>
    <n v="720.78"/>
    <m/>
    <m/>
    <n v="0"/>
    <n v="24.617000000000001"/>
    <s v="0.000"/>
    <n v="0"/>
    <n v="336.55333333333334"/>
    <n v="336.55333333333334"/>
    <x v="8"/>
    <x v="9"/>
  </r>
  <r>
    <x v="3"/>
    <s v="RM"/>
    <n v="475923"/>
    <s v="M-INJ REMAFIN RED PE33449375-ZN (PINK)"/>
    <s v="0.000 G"/>
    <n v="60200"/>
    <s v="#"/>
    <s v="#"/>
    <x v="24"/>
    <s v="Additives"/>
    <n v="0"/>
    <n v="0"/>
    <n v="0"/>
    <n v="0"/>
    <n v="23"/>
    <n v="1217.74"/>
    <n v="3.1160000000000001"/>
    <n v="164.98"/>
    <n v="0"/>
    <n v="0"/>
    <n v="0"/>
    <n v="0"/>
    <n v="26.116"/>
    <n v="1382.72"/>
    <n v="177.66"/>
    <m/>
    <m/>
    <n v="0"/>
    <n v="26.116"/>
    <s v="0.000"/>
    <n v="0"/>
    <n v="83.053333333333327"/>
    <n v="83.053333333333327"/>
    <x v="8"/>
    <x v="9"/>
  </r>
  <r>
    <x v="3"/>
    <s v="RM"/>
    <n v="477632"/>
    <s v="R-HDPE ASTERENE HHM 5502"/>
    <s v="0.000 KG"/>
    <n v="60105"/>
    <s v="60105V0000"/>
    <s v="#"/>
    <x v="26"/>
    <s v="Virgin grade"/>
    <n v="0"/>
    <n v="0"/>
    <n v="3000"/>
    <n v="14366.88"/>
    <n v="3000"/>
    <n v="14366.88"/>
    <n v="2197"/>
    <n v="10521.35"/>
    <n v="0"/>
    <n v="0"/>
    <n v="0"/>
    <n v="0"/>
    <n v="8197"/>
    <n v="39255.11"/>
    <n v="8454"/>
    <m/>
    <m/>
    <n v="0"/>
    <n v="8197"/>
    <s v="0.000"/>
    <n v="0"/>
    <n v="0"/>
    <n v="0"/>
    <x v="3"/>
    <x v="10"/>
  </r>
  <r>
    <x v="3"/>
    <s v="RM"/>
    <n v="478170"/>
    <s v="M-INJ REMAFIN GOLD PEG3449048-ZN"/>
    <s v="0.000 G"/>
    <n v="60200"/>
    <s v="#"/>
    <s v="#"/>
    <x v="24"/>
    <s v="Additives"/>
    <n v="0"/>
    <n v="0"/>
    <n v="0"/>
    <n v="0"/>
    <n v="0"/>
    <n v="0"/>
    <n v="24"/>
    <n v="2058.64"/>
    <n v="4.0250000000000004"/>
    <n v="345.25"/>
    <n v="0"/>
    <n v="0"/>
    <n v="28.024999999999999"/>
    <n v="2403.89"/>
    <n v="2060.92"/>
    <m/>
    <m/>
    <n v="0"/>
    <n v="28.024999999999999"/>
    <s v="0.000"/>
    <n v="0"/>
    <n v="0"/>
    <n v="0"/>
    <x v="8"/>
    <x v="9"/>
  </r>
  <r>
    <x v="3"/>
    <s v="RM"/>
    <n v="507127"/>
    <s v="M/B GREEN PP 93576R-3P"/>
    <s v="0.000 KG"/>
    <n v="60200"/>
    <s v="#"/>
    <s v="#"/>
    <x v="24"/>
    <s v="Additives"/>
    <n v="0"/>
    <n v="0"/>
    <n v="0"/>
    <n v="0"/>
    <n v="75"/>
    <n v="2024.99"/>
    <n v="11.436999999999999"/>
    <n v="308.8"/>
    <n v="0"/>
    <n v="0"/>
    <n v="0"/>
    <n v="0"/>
    <n v="86.436999999999998"/>
    <n v="2333.79"/>
    <n v="543.4"/>
    <m/>
    <m/>
    <n v="0"/>
    <n v="86.436999999999998"/>
    <s v="0.000"/>
    <n v="0"/>
    <n v="0"/>
    <n v="0"/>
    <x v="8"/>
    <x v="9"/>
  </r>
  <r>
    <x v="3"/>
    <s v="RM"/>
    <n v="507565"/>
    <s v="M-INJ REMAFIN BROWN PE83449141-ZN"/>
    <s v="0.000 G"/>
    <n v="60200"/>
    <s v="#"/>
    <s v="#"/>
    <x v="24"/>
    <s v="Additives"/>
    <n v="0"/>
    <n v="0"/>
    <n v="0"/>
    <n v="0"/>
    <n v="32.906999999999996"/>
    <n v="1442.97"/>
    <n v="0"/>
    <n v="0"/>
    <n v="0.5"/>
    <n v="21.93"/>
    <n v="0"/>
    <n v="0"/>
    <n v="33.406999999999996"/>
    <n v="1464.9"/>
    <n v="422.79"/>
    <m/>
    <m/>
    <n v="0"/>
    <n v="33.406999999999996"/>
    <s v="0.000"/>
    <n v="0"/>
    <n v="146.72"/>
    <n v="146.72"/>
    <x v="8"/>
    <x v="9"/>
  </r>
  <r>
    <x v="3"/>
    <s v="RM"/>
    <n v="532948"/>
    <s v="M-INJ ORANGE 139148-18 (PE23449148-ZT)"/>
    <s v="0.000 G"/>
    <n v="60200"/>
    <s v="#"/>
    <s v="#"/>
    <x v="24"/>
    <s v="Additives"/>
    <n v="0"/>
    <n v="0"/>
    <n v="51.456000000000003"/>
    <n v="2548.0300000000002"/>
    <n v="0"/>
    <n v="0"/>
    <n v="0"/>
    <n v="0"/>
    <n v="0"/>
    <n v="0"/>
    <n v="0"/>
    <n v="0"/>
    <n v="51.456000000000003"/>
    <n v="2548.0300000000002"/>
    <n v="0"/>
    <m/>
    <m/>
    <n v="0"/>
    <n v="51.456000000000003"/>
    <s v="0.000"/>
    <n v="0"/>
    <n v="521.26666666666665"/>
    <n v="521.26666666666665"/>
    <x v="8"/>
    <x v="9"/>
  </r>
  <r>
    <x v="3"/>
    <s v="RM"/>
    <n v="541707"/>
    <s v="PP SB-520Y RESIN"/>
    <s v="0.000 KG"/>
    <n v="60106"/>
    <s v="60106V0000"/>
    <s v="#"/>
    <x v="25"/>
    <s v="Virgin grade"/>
    <n v="59930.313999999998"/>
    <n v="454715.26"/>
    <n v="0"/>
    <n v="0"/>
    <n v="0"/>
    <n v="0"/>
    <n v="0"/>
    <n v="0"/>
    <n v="0"/>
    <n v="0"/>
    <n v="0"/>
    <n v="0"/>
    <n v="59930.313999999998"/>
    <n v="454715.26"/>
    <n v="0"/>
    <m/>
    <m/>
    <n v="0"/>
    <n v="59930.313999999998"/>
    <s v="0.000"/>
    <n v="0"/>
    <n v="262613.73333333334"/>
    <n v="262613.73333333334"/>
    <x v="2"/>
    <x v="10"/>
  </r>
  <r>
    <x v="3"/>
    <s v="RM"/>
    <n v="542951"/>
    <s v="M-INJ REMAFIN YELLOW PE13449297-ZT/1"/>
    <s v="0.000 G"/>
    <n v="60200"/>
    <s v="#"/>
    <s v="#"/>
    <x v="24"/>
    <s v="Additives"/>
    <n v="0"/>
    <n v="0"/>
    <n v="0"/>
    <n v="0"/>
    <n v="0"/>
    <n v="0"/>
    <n v="0"/>
    <n v="0"/>
    <n v="7.4390000000000001"/>
    <n v="358.56"/>
    <n v="0"/>
    <n v="0"/>
    <n v="7.4390000000000001"/>
    <n v="358.56"/>
    <n v="358.56"/>
    <m/>
    <m/>
    <n v="0"/>
    <n v="7.4390000000000001"/>
    <s v="0.000"/>
    <n v="0"/>
    <n v="579.37666666666667"/>
    <n v="579.37666666666667"/>
    <x v="8"/>
    <x v="9"/>
  </r>
  <r>
    <x v="3"/>
    <s v="RM"/>
    <n v="545476"/>
    <s v="M/B VIOLET PE 52062-3P"/>
    <s v="0.000 KG"/>
    <n v="60200"/>
    <s v="#"/>
    <s v="#"/>
    <x v="24"/>
    <s v="Additives"/>
    <n v="0"/>
    <n v="0"/>
    <n v="25"/>
    <n v="1025"/>
    <n v="21.678000000000001"/>
    <n v="888.8"/>
    <n v="8.0459999999999994"/>
    <n v="329.89"/>
    <n v="7.9340000000000002"/>
    <n v="325.29000000000002"/>
    <n v="0"/>
    <n v="0"/>
    <n v="62.658000000000001"/>
    <n v="2568.98"/>
    <n v="779.42"/>
    <m/>
    <m/>
    <n v="0"/>
    <n v="62.658000000000001"/>
    <s v="0.000"/>
    <n v="0"/>
    <n v="0"/>
    <n v="0"/>
    <x v="8"/>
    <x v="9"/>
  </r>
  <r>
    <x v="3"/>
    <s v="RM"/>
    <n v="556131"/>
    <s v="R-HDPE-HDPE 1010J"/>
    <s v="0.000 G"/>
    <n v="60105"/>
    <s v="60105V0000"/>
    <s v="#"/>
    <x v="26"/>
    <s v="Virgin grade"/>
    <n v="23918.037"/>
    <n v="214946.86"/>
    <n v="0"/>
    <n v="0"/>
    <n v="96.066999999999993"/>
    <n v="863.34"/>
    <n v="0"/>
    <n v="0"/>
    <n v="0"/>
    <n v="0"/>
    <n v="0"/>
    <n v="0"/>
    <n v="24014.103999999999"/>
    <n v="215810.2"/>
    <n v="191.87"/>
    <n v="4493.41"/>
    <n v="1497.8033333333301"/>
    <n v="4322.5341110648696"/>
    <n v="24014.103999999999"/>
    <s v="0.000"/>
    <n v="1497.8033333333301"/>
    <n v="40122.653333333335"/>
    <n v="1497.8033333333301"/>
    <x v="3"/>
    <x v="10"/>
  </r>
  <r>
    <x v="3"/>
    <s v="RM"/>
    <n v="556647"/>
    <s v="M-PET M/BATCH- RENOL AMBER NE122289-13"/>
    <s v="0.000 G"/>
    <n v="60200"/>
    <s v="#"/>
    <s v="#"/>
    <x v="24"/>
    <s v="Additives"/>
    <n v="502.99200000000002"/>
    <n v="18307.96"/>
    <n v="0"/>
    <n v="0"/>
    <n v="0"/>
    <n v="0"/>
    <n v="0"/>
    <n v="0"/>
    <n v="0"/>
    <n v="0"/>
    <n v="0"/>
    <n v="0"/>
    <n v="502.99200000000002"/>
    <n v="18307.96"/>
    <n v="0"/>
    <m/>
    <m/>
    <n v="0"/>
    <n v="502.99200000000002"/>
    <s v="0.000"/>
    <n v="0"/>
    <n v="3213.76"/>
    <n v="3213.76"/>
    <x v="8"/>
    <x v="9"/>
  </r>
  <r>
    <x v="3"/>
    <s v="RM"/>
    <n v="566328"/>
    <s v="R-HDPE ASTERENE HHM TR-144S"/>
    <s v="0.000 KG"/>
    <n v="60105"/>
    <s v="60105V0000"/>
    <s v="#"/>
    <x v="26"/>
    <s v="Virgin grade"/>
    <n v="0"/>
    <n v="0"/>
    <n v="0"/>
    <n v="0"/>
    <n v="0"/>
    <n v="0"/>
    <n v="2758.95"/>
    <n v="14574.85"/>
    <n v="0"/>
    <n v="0"/>
    <n v="0"/>
    <n v="0"/>
    <n v="2758.95"/>
    <n v="14574.85"/>
    <n v="12146.68"/>
    <m/>
    <m/>
    <n v="0"/>
    <n v="2758.95"/>
    <s v="0.000"/>
    <n v="0"/>
    <n v="40.073333333333331"/>
    <n v="40.073333333333331"/>
    <x v="3"/>
    <x v="10"/>
  </r>
  <r>
    <x v="3"/>
    <s v="RM"/>
    <n v="568498"/>
    <s v="MB WHITE PE02449097 (MYC2) PE"/>
    <s v="0.000 G"/>
    <n v="60200"/>
    <s v="#"/>
    <s v="#"/>
    <x v="24"/>
    <s v="Additives"/>
    <n v="295.07100000000003"/>
    <n v="8380.24"/>
    <n v="0"/>
    <n v="0"/>
    <n v="0"/>
    <n v="0"/>
    <n v="0"/>
    <n v="0"/>
    <n v="0"/>
    <n v="0"/>
    <n v="0"/>
    <n v="0"/>
    <n v="295.07100000000003"/>
    <n v="8380.24"/>
    <n v="0"/>
    <m/>
    <m/>
    <n v="0"/>
    <n v="295.07100000000003"/>
    <s v="0.000"/>
    <n v="0"/>
    <n v="7280.72"/>
    <n v="7280.72"/>
    <x v="8"/>
    <x v="9"/>
  </r>
  <r>
    <x v="3"/>
    <s v="RM"/>
    <n v="578773"/>
    <s v="PPA – PROFLOW 19"/>
    <s v="0.000 G"/>
    <n v="60200"/>
    <s v="#"/>
    <s v="#"/>
    <x v="24"/>
    <s v="Additives"/>
    <n v="0"/>
    <n v="0"/>
    <n v="50"/>
    <n v="740"/>
    <n v="0"/>
    <n v="0"/>
    <n v="0"/>
    <n v="0"/>
    <n v="0"/>
    <n v="0"/>
    <n v="0"/>
    <n v="0"/>
    <n v="50"/>
    <n v="740"/>
    <n v="0"/>
    <m/>
    <m/>
    <n v="0"/>
    <n v="50"/>
    <s v="0.000"/>
    <n v="0"/>
    <n v="0"/>
    <n v="0"/>
    <x v="8"/>
    <x v="9"/>
  </r>
  <r>
    <x v="3"/>
    <s v="RM"/>
    <n v="579114"/>
    <s v="R-FG HIRO rPET Resins–Natural IV 0.80"/>
    <s v="0.000 G"/>
    <n v="60104"/>
    <s v="60104R0001"/>
    <s v="#"/>
    <x v="28"/>
    <s v="Recycled"/>
    <n v="21000"/>
    <n v="120147.51"/>
    <n v="12051.599"/>
    <n v="68950.929999999993"/>
    <n v="0"/>
    <n v="0"/>
    <n v="0"/>
    <n v="0"/>
    <n v="0"/>
    <n v="0"/>
    <n v="0"/>
    <n v="0"/>
    <n v="33051.599000000002"/>
    <n v="189098.44"/>
    <n v="0"/>
    <m/>
    <m/>
    <n v="0"/>
    <n v="33051.599000000002"/>
    <s v="0.000"/>
    <n v="0"/>
    <n v="25894.429999999997"/>
    <n v="25894.429999999997"/>
    <x v="1"/>
    <x v="11"/>
  </r>
  <r>
    <x v="3"/>
    <s v="RM"/>
    <n v="581433"/>
    <s v="M-INJ AMPACET GREEN 1704021-K"/>
    <s v="0.000 G"/>
    <n v="60200"/>
    <s v="#"/>
    <s v="#"/>
    <x v="24"/>
    <s v="Additives"/>
    <n v="0"/>
    <n v="0"/>
    <n v="176.666"/>
    <n v="5741.64"/>
    <n v="0"/>
    <n v="0"/>
    <n v="6.6890000000000001"/>
    <n v="217.39"/>
    <n v="5.5389999999999997"/>
    <n v="180.02"/>
    <n v="0"/>
    <n v="0"/>
    <n v="188.89400000000001"/>
    <n v="6139.05"/>
    <n v="324.95999999999998"/>
    <m/>
    <m/>
    <n v="0"/>
    <n v="188.89400000000001"/>
    <s v="0.000"/>
    <n v="0"/>
    <n v="1152.5666666666666"/>
    <n v="1152.5666666666666"/>
    <x v="8"/>
    <x v="9"/>
  </r>
  <r>
    <x v="3"/>
    <s v="RM"/>
    <n v="588637"/>
    <s v="PF-JK57-24-82-KEKO"/>
    <s v="24.600 G"/>
    <n v="60104"/>
    <s v="601041000P"/>
    <s v="601041000P40000000"/>
    <x v="29"/>
    <s v="Food &amp; Beverage"/>
    <n v="379509"/>
    <n v="68311.62"/>
    <n v="0"/>
    <n v="0"/>
    <n v="0"/>
    <n v="0"/>
    <n v="0"/>
    <n v="0"/>
    <n v="0"/>
    <n v="0"/>
    <n v="0"/>
    <n v="0"/>
    <n v="379509"/>
    <n v="68311.62"/>
    <n v="0"/>
    <m/>
    <m/>
    <n v="0"/>
    <n v="9335.9214000000011"/>
    <s v="24.60"/>
    <n v="0"/>
    <n v="60804.273333333338"/>
    <n v="60804.273333333338"/>
    <x v="1"/>
    <x v="12"/>
  </r>
  <r>
    <x v="3"/>
    <s v="RM"/>
    <n v="592951"/>
    <s v="M-PET MB-AMBER HMM5TR693A (EVOCHEM)"/>
    <s v="0.000 G"/>
    <n v="60200"/>
    <s v="#"/>
    <s v="#"/>
    <x v="24"/>
    <s v="Additives"/>
    <n v="100"/>
    <n v="4988.58"/>
    <n v="79.603999999999999"/>
    <n v="3971.11"/>
    <n v="0"/>
    <n v="0"/>
    <n v="0"/>
    <n v="0"/>
    <n v="0"/>
    <n v="0"/>
    <n v="0"/>
    <n v="0"/>
    <n v="179.60400000000001"/>
    <n v="8959.69"/>
    <n v="0"/>
    <m/>
    <m/>
    <n v="0"/>
    <n v="179.60400000000001"/>
    <s v="0.000"/>
    <n v="0"/>
    <n v="2643.4566666666665"/>
    <n v="2643.4566666666665"/>
    <x v="8"/>
    <x v="9"/>
  </r>
  <r>
    <x v="3"/>
    <s v="RM"/>
    <n v="604327"/>
    <s v="PF-BX38-0056-0130-CL-rPET 0.2"/>
    <s v="55.900 G"/>
    <n v="60104"/>
    <s v="601041000P"/>
    <s v="601041000P90000000"/>
    <x v="30"/>
    <s v="Others"/>
    <n v="0"/>
    <n v="0"/>
    <n v="42125"/>
    <n v="14743.75"/>
    <n v="0"/>
    <n v="0"/>
    <n v="0"/>
    <n v="0"/>
    <n v="0"/>
    <n v="0"/>
    <n v="0"/>
    <n v="0"/>
    <n v="42125"/>
    <n v="14743.75"/>
    <n v="0"/>
    <m/>
    <m/>
    <n v="0"/>
    <n v="2354.7874999999999"/>
    <s v="55.90"/>
    <n v="0"/>
    <n v="0"/>
    <n v="0"/>
    <x v="1"/>
    <x v="12"/>
  </r>
  <r>
    <x v="3"/>
    <s v="RM"/>
    <n v="604981"/>
    <s v="M-INJ REMAFIN GOLD PE116574-14 ZN (GOLD)"/>
    <s v="0.000 G"/>
    <n v="60200"/>
    <s v="#"/>
    <s v="#"/>
    <x v="24"/>
    <s v="Additives"/>
    <n v="0"/>
    <n v="0"/>
    <n v="0"/>
    <n v="0"/>
    <n v="0"/>
    <n v="0"/>
    <n v="25"/>
    <n v="1246.17"/>
    <n v="0"/>
    <n v="0"/>
    <n v="0"/>
    <n v="0"/>
    <n v="25"/>
    <n v="1246.17"/>
    <n v="1246.17"/>
    <m/>
    <m/>
    <n v="0"/>
    <n v="25"/>
    <s v="0.000"/>
    <n v="0"/>
    <n v="0"/>
    <n v="0"/>
    <x v="8"/>
    <x v="9"/>
  </r>
  <r>
    <x v="3"/>
    <s v="RM"/>
    <n v="605162"/>
    <s v="R-HDPE GH6100(R75)(r10)NC001"/>
    <s v="0.000 KG"/>
    <n v="60105"/>
    <s v="60105V0000"/>
    <s v="#"/>
    <x v="26"/>
    <s v="Virgin grade"/>
    <n v="0"/>
    <n v="0"/>
    <n v="847.09799999999996"/>
    <n v="6960.36"/>
    <n v="0"/>
    <n v="0"/>
    <n v="0"/>
    <n v="0"/>
    <n v="0"/>
    <n v="0"/>
    <n v="0"/>
    <n v="0"/>
    <n v="847.09799999999996"/>
    <n v="6960.36"/>
    <n v="0"/>
    <m/>
    <m/>
    <n v="0"/>
    <n v="847.09799999999996"/>
    <s v="0.000"/>
    <n v="0"/>
    <n v="145.44333333333333"/>
    <n v="145.44333333333333"/>
    <x v="3"/>
    <x v="10"/>
  </r>
  <r>
    <x v="3"/>
    <s v="RM"/>
    <n v="606762"/>
    <s v="M-INJ REMAFIN BROWN PE84449257-ZN (DB)"/>
    <s v="0.000 G"/>
    <n v="60200"/>
    <s v="#"/>
    <s v="#"/>
    <x v="24"/>
    <s v="Additives"/>
    <n v="75"/>
    <n v="3882.05"/>
    <n v="113.252"/>
    <n v="5862"/>
    <n v="0"/>
    <n v="0"/>
    <n v="0"/>
    <n v="0"/>
    <n v="0"/>
    <n v="0"/>
    <n v="0"/>
    <n v="0"/>
    <n v="188.25200000000001"/>
    <n v="9744.0499999999993"/>
    <n v="0"/>
    <m/>
    <m/>
    <n v="0"/>
    <n v="188.25200000000001"/>
    <s v="0.000"/>
    <n v="0"/>
    <n v="421.33666666666664"/>
    <n v="421.33666666666664"/>
    <x v="8"/>
    <x v="9"/>
  </r>
  <r>
    <x v="3"/>
    <s v="RM"/>
    <n v="606765"/>
    <s v="M-INJ REMAFIN BROWN PE82449258-ZN (C)"/>
    <s v="0.000 G"/>
    <n v="60200"/>
    <s v="#"/>
    <s v="#"/>
    <x v="24"/>
    <s v="Additives"/>
    <n v="50"/>
    <n v="2565.83"/>
    <n v="50"/>
    <n v="2565.84"/>
    <n v="5.3620000000000001"/>
    <n v="275.16000000000003"/>
    <n v="0"/>
    <n v="0"/>
    <n v="0"/>
    <n v="0"/>
    <n v="0"/>
    <n v="0"/>
    <n v="105.36199999999999"/>
    <n v="5406.83"/>
    <n v="15.29"/>
    <m/>
    <m/>
    <n v="0"/>
    <n v="105.36199999999999"/>
    <s v="0.000"/>
    <n v="0"/>
    <n v="348.1033333333333"/>
    <n v="348.1033333333333"/>
    <x v="8"/>
    <x v="9"/>
  </r>
  <r>
    <x v="3"/>
    <s v="RM"/>
    <n v="606766"/>
    <s v="M-INJ REMAFIN RED PE33449738-ZN"/>
    <s v="0.000 G"/>
    <n v="60200"/>
    <s v="#"/>
    <s v="#"/>
    <x v="24"/>
    <s v="Additives"/>
    <n v="25"/>
    <n v="4124.84"/>
    <n v="11.672000000000001"/>
    <n v="1925.81"/>
    <n v="0"/>
    <n v="0"/>
    <n v="0"/>
    <n v="0"/>
    <n v="0"/>
    <n v="0"/>
    <n v="0"/>
    <n v="0"/>
    <n v="36.671999999999997"/>
    <n v="6050.65"/>
    <n v="0"/>
    <m/>
    <m/>
    <n v="0"/>
    <n v="36.671999999999997"/>
    <s v="0.000"/>
    <n v="0"/>
    <n v="0"/>
    <n v="0"/>
    <x v="8"/>
    <x v="9"/>
  </r>
  <r>
    <x v="3"/>
    <s v="RM"/>
    <n v="607481"/>
    <s v="R-HDPE ASTERENE HXM 50100S"/>
    <s v="0.000 KG"/>
    <n v="60105"/>
    <s v="60105V0000"/>
    <s v="#"/>
    <x v="26"/>
    <s v="Virgin grade"/>
    <n v="48199.18"/>
    <n v="388637.7"/>
    <n v="0"/>
    <n v="0"/>
    <n v="0"/>
    <n v="0"/>
    <n v="0"/>
    <n v="0"/>
    <n v="0"/>
    <n v="0"/>
    <n v="0"/>
    <n v="0"/>
    <n v="48199.18"/>
    <n v="388637.7"/>
    <n v="0"/>
    <m/>
    <m/>
    <n v="0"/>
    <n v="48199.18"/>
    <s v="0.000"/>
    <n v="0"/>
    <n v="136317.81"/>
    <n v="136317.81"/>
    <x v="3"/>
    <x v="10"/>
  </r>
  <r>
    <x v="3"/>
    <s v="RM"/>
    <n v="609318"/>
    <s v="R-C4LL 20024"/>
    <s v="0.000 G"/>
    <n v="60105"/>
    <s v="60105V0000"/>
    <s v="#"/>
    <x v="26"/>
    <s v="Virgin grade"/>
    <n v="13750"/>
    <n v="115497.8"/>
    <n v="0"/>
    <n v="0"/>
    <n v="0"/>
    <n v="0"/>
    <n v="0"/>
    <n v="0"/>
    <n v="11"/>
    <n v="92.4"/>
    <n v="0"/>
    <n v="0"/>
    <n v="13761"/>
    <n v="115590.2"/>
    <n v="92.4"/>
    <m/>
    <m/>
    <n v="0"/>
    <n v="13761"/>
    <s v="0.000"/>
    <n v="0"/>
    <n v="0"/>
    <n v="0"/>
    <x v="3"/>
    <x v="10"/>
  </r>
  <r>
    <x v="3"/>
    <s v="RM"/>
    <n v="611862"/>
    <s v="M/B YELLOW 1323 PE"/>
    <s v="0.000 KG"/>
    <n v="60200"/>
    <s v="#"/>
    <s v="#"/>
    <x v="24"/>
    <s v="Additives"/>
    <n v="100"/>
    <n v="2379.15"/>
    <n v="100"/>
    <n v="2379.16"/>
    <n v="73.474000000000004"/>
    <n v="1748.06"/>
    <n v="23.701000000000001"/>
    <n v="563.89"/>
    <n v="0"/>
    <n v="0"/>
    <n v="0"/>
    <n v="0"/>
    <n v="297.17500000000001"/>
    <n v="7070.26"/>
    <n v="573.34"/>
    <m/>
    <m/>
    <n v="0"/>
    <n v="297.17500000000001"/>
    <s v="0.000"/>
    <n v="0"/>
    <n v="673.02333333333331"/>
    <n v="673.02333333333331"/>
    <x v="8"/>
    <x v="9"/>
  </r>
  <r>
    <x v="3"/>
    <s v="RM"/>
    <n v="612169"/>
    <s v="PF-JK57-24-82-KEKO (V)"/>
    <s v="24.600 G"/>
    <n v="60104"/>
    <s v="601041000P"/>
    <s v="601041000P40000000"/>
    <x v="29"/>
    <s v="Food &amp; Beverage"/>
    <n v="0"/>
    <n v="0"/>
    <n v="0"/>
    <n v="0"/>
    <n v="0"/>
    <n v="0"/>
    <n v="6965"/>
    <n v="1253.7"/>
    <n v="0"/>
    <n v="0"/>
    <n v="0"/>
    <n v="0"/>
    <n v="6965"/>
    <n v="1253.7"/>
    <n v="766.21"/>
    <m/>
    <m/>
    <n v="0"/>
    <n v="171.339"/>
    <s v="24.60"/>
    <n v="0"/>
    <n v="0"/>
    <n v="0"/>
    <x v="1"/>
    <x v="12"/>
  </r>
  <r>
    <x v="3"/>
    <s v="RM"/>
    <n v="612513"/>
    <s v="M-INJ REMAFIN GOLD ML51033-05 FDA/1"/>
    <s v="0.000 G"/>
    <n v="60200"/>
    <s v="#"/>
    <s v="#"/>
    <x v="24"/>
    <s v="Additives"/>
    <n v="0"/>
    <n v="0"/>
    <n v="20.440999999999999"/>
    <n v="1528.22"/>
    <n v="0"/>
    <n v="0"/>
    <n v="0"/>
    <n v="0"/>
    <n v="0"/>
    <n v="0"/>
    <n v="0"/>
    <n v="0"/>
    <n v="20.440999999999999"/>
    <n v="1528.22"/>
    <n v="0"/>
    <m/>
    <m/>
    <n v="0"/>
    <n v="20.440999999999999"/>
    <s v="0.000"/>
    <n v="0"/>
    <n v="1673.9166666666667"/>
    <n v="1673.9166666666667"/>
    <x v="8"/>
    <x v="9"/>
  </r>
  <r>
    <x v="3"/>
    <s v="RM"/>
    <n v="613955"/>
    <s v="R-PP CK91905(R50) NC050"/>
    <s v="0.000 KG"/>
    <n v="60106"/>
    <s v="60106V0000"/>
    <s v="#"/>
    <x v="25"/>
    <s v="Virgin grade"/>
    <n v="31700"/>
    <n v="340997.54"/>
    <n v="0"/>
    <n v="0"/>
    <n v="0"/>
    <n v="0"/>
    <n v="0"/>
    <n v="0"/>
    <n v="0"/>
    <n v="0"/>
    <n v="0"/>
    <n v="0"/>
    <n v="31700"/>
    <n v="340997.54"/>
    <n v="0"/>
    <m/>
    <m/>
    <n v="0"/>
    <n v="31700"/>
    <s v="0.000"/>
    <n v="0"/>
    <n v="2151.4066666666668"/>
    <n v="2151.4066666666668"/>
    <x v="2"/>
    <x v="10"/>
  </r>
  <r>
    <x v="3"/>
    <s v="RM"/>
    <n v="616781"/>
    <s v="PP REGRIND PD855 WHITE"/>
    <s v="0.000 KG"/>
    <n v="60106"/>
    <s v="60106R0000"/>
    <s v="#"/>
    <x v="31"/>
    <s v="Internal Regrind"/>
    <n v="275"/>
    <n v="0"/>
    <n v="0"/>
    <n v="0"/>
    <n v="0"/>
    <n v="0"/>
    <n v="0"/>
    <n v="0"/>
    <n v="0"/>
    <n v="0"/>
    <n v="0"/>
    <n v="0"/>
    <n v="275"/>
    <n v="0"/>
    <n v="0"/>
    <m/>
    <m/>
    <n v="0"/>
    <n v="275"/>
    <s v="0.000"/>
    <n v="0"/>
    <n v="0"/>
    <n v="0"/>
    <x v="2"/>
    <x v="13"/>
  </r>
  <r>
    <x v="3"/>
    <s v="RM"/>
    <n v="616782"/>
    <s v="PE REGRIND HDPE HD5403 NATURAL"/>
    <s v="0.000 G"/>
    <n v="60105"/>
    <s v="60105R0000"/>
    <s v="#"/>
    <x v="32"/>
    <s v="Internal Regrind"/>
    <n v="679"/>
    <n v="0"/>
    <n v="0"/>
    <n v="0"/>
    <n v="0"/>
    <n v="0"/>
    <n v="0"/>
    <n v="0"/>
    <n v="0"/>
    <n v="0"/>
    <n v="0"/>
    <n v="0"/>
    <n v="679"/>
    <n v="0"/>
    <n v="0"/>
    <m/>
    <m/>
    <n v="0"/>
    <n v="679"/>
    <s v="0.000"/>
    <n v="0"/>
    <n v="0"/>
    <n v="0"/>
    <x v="3"/>
    <x v="13"/>
  </r>
  <r>
    <x v="3"/>
    <s v="RM"/>
    <n v="617299"/>
    <s v="M/B BEIGE PE 63803R-4.5P"/>
    <s v="0.000 KG"/>
    <n v="60200"/>
    <s v="#"/>
    <s v="#"/>
    <x v="24"/>
    <s v="Additives"/>
    <n v="0"/>
    <n v="0"/>
    <n v="0"/>
    <n v="0"/>
    <n v="144.50800000000001"/>
    <n v="4913.3100000000004"/>
    <n v="0"/>
    <n v="0"/>
    <n v="0"/>
    <n v="0"/>
    <n v="0"/>
    <n v="0"/>
    <n v="144.50800000000001"/>
    <n v="4913.3100000000004"/>
    <n v="545.97"/>
    <m/>
    <m/>
    <n v="0"/>
    <n v="144.50800000000001"/>
    <s v="0.000"/>
    <n v="0"/>
    <n v="0"/>
    <n v="0"/>
    <x v="8"/>
    <x v="9"/>
  </r>
  <r>
    <x v="3"/>
    <s v="RM"/>
    <n v="620417"/>
    <s v="R-PP SM840"/>
    <s v="0.000 KG"/>
    <n v="60106"/>
    <s v="60106V0000"/>
    <s v="#"/>
    <x v="25"/>
    <s v="Virgin grade"/>
    <n v="10000"/>
    <n v="67697"/>
    <n v="1936.248"/>
    <n v="13107.81"/>
    <n v="0"/>
    <n v="0"/>
    <n v="0"/>
    <n v="0"/>
    <n v="0"/>
    <n v="0"/>
    <n v="0"/>
    <n v="0"/>
    <n v="11936.248"/>
    <n v="80804.81"/>
    <n v="0"/>
    <m/>
    <m/>
    <n v="0"/>
    <n v="11936.248"/>
    <s v="0.000"/>
    <n v="0"/>
    <n v="12511.943333333335"/>
    <n v="12511.943333333335"/>
    <x v="2"/>
    <x v="10"/>
  </r>
  <r>
    <x v="3"/>
    <s v="RM"/>
    <n v="624035"/>
    <s v="MB WHITE PE03449242-ZN"/>
    <s v="0.000 G"/>
    <n v="60200"/>
    <s v="#"/>
    <s v="#"/>
    <x v="24"/>
    <s v="Additives"/>
    <n v="0"/>
    <n v="0"/>
    <n v="50"/>
    <n v="2269.4499999999998"/>
    <n v="13.39"/>
    <n v="607.76"/>
    <n v="0"/>
    <n v="0"/>
    <n v="0"/>
    <n v="0"/>
    <n v="0"/>
    <n v="0"/>
    <n v="63.39"/>
    <n v="2877.21"/>
    <n v="168.84"/>
    <m/>
    <m/>
    <n v="0"/>
    <n v="63.39"/>
    <s v="0.000"/>
    <n v="0"/>
    <n v="941.05333333333328"/>
    <n v="941.05333333333328"/>
    <x v="8"/>
    <x v="9"/>
  </r>
  <r>
    <x v="3"/>
    <s v="RM"/>
    <n v="624794"/>
    <s v="R-LDPE-PETLIN LD C150Y"/>
    <s v="0.000 KG"/>
    <n v="60105"/>
    <s v="60105V0000"/>
    <s v="#"/>
    <x v="26"/>
    <s v="Virgin grade"/>
    <n v="0"/>
    <n v="0"/>
    <n v="0"/>
    <n v="0"/>
    <n v="1243.5999999999999"/>
    <n v="6753.39"/>
    <n v="0"/>
    <n v="0"/>
    <n v="0"/>
    <n v="0"/>
    <n v="0"/>
    <n v="0"/>
    <n v="1243.5999999999999"/>
    <n v="6753.39"/>
    <n v="1876.09"/>
    <m/>
    <m/>
    <n v="0"/>
    <n v="1243.5999999999999"/>
    <s v="0.000"/>
    <n v="0"/>
    <n v="0"/>
    <n v="0"/>
    <x v="3"/>
    <x v="10"/>
  </r>
  <r>
    <x v="3"/>
    <s v="RM"/>
    <n v="624962"/>
    <s v="PE REGRIND HDPE HD5403/LDF 265YZ YLW BRW"/>
    <s v="0.000 G"/>
    <n v="60105"/>
    <s v="60105R0000"/>
    <s v="#"/>
    <x v="32"/>
    <s v="Internal Regrind"/>
    <n v="591"/>
    <n v="0"/>
    <n v="0"/>
    <n v="0"/>
    <n v="0"/>
    <n v="0"/>
    <n v="0"/>
    <n v="0"/>
    <n v="0"/>
    <n v="0"/>
    <n v="0"/>
    <n v="0"/>
    <n v="591"/>
    <n v="0"/>
    <n v="0"/>
    <m/>
    <m/>
    <n v="0"/>
    <n v="591"/>
    <s v="0.000"/>
    <n v="0"/>
    <n v="0"/>
    <n v="0"/>
    <x v="3"/>
    <x v="13"/>
  </r>
  <r>
    <x v="3"/>
    <s v="RM"/>
    <n v="624963"/>
    <s v="PE REGRIND HDPE HD5403/LDF 265YZ NATURAL"/>
    <s v="0.000 G"/>
    <n v="60105"/>
    <s v="60105R0000"/>
    <s v="#"/>
    <x v="32"/>
    <s v="Internal Regrind"/>
    <n v="249"/>
    <n v="0"/>
    <n v="0"/>
    <n v="0"/>
    <n v="0"/>
    <n v="0"/>
    <n v="0"/>
    <n v="0"/>
    <n v="0"/>
    <n v="0"/>
    <n v="0"/>
    <n v="0"/>
    <n v="249"/>
    <n v="0"/>
    <n v="0"/>
    <m/>
    <m/>
    <n v="0"/>
    <n v="249"/>
    <s v="0.000"/>
    <n v="0"/>
    <n v="0"/>
    <n v="0"/>
    <x v="3"/>
    <x v="13"/>
  </r>
  <r>
    <x v="3"/>
    <s v="RM"/>
    <n v="624964"/>
    <s v="PE REGRIND MARLEX 50100 NATURAL"/>
    <s v="0.000 G"/>
    <n v="60105"/>
    <s v="60105R0000"/>
    <s v="#"/>
    <x v="32"/>
    <s v="Internal Regrind"/>
    <n v="425"/>
    <n v="0"/>
    <n v="0"/>
    <n v="0"/>
    <n v="0"/>
    <n v="0"/>
    <n v="0"/>
    <n v="0"/>
    <n v="0"/>
    <n v="0"/>
    <n v="0"/>
    <n v="0"/>
    <n v="425"/>
    <n v="0"/>
    <n v="0"/>
    <m/>
    <m/>
    <n v="0"/>
    <n v="425"/>
    <s v="0.000"/>
    <n v="0"/>
    <n v="0"/>
    <n v="0"/>
    <x v="3"/>
    <x v="13"/>
  </r>
  <r>
    <x v="3"/>
    <s v="RM"/>
    <n v="624965"/>
    <s v="PE REGRIND MARLEX 6007 WHITE"/>
    <s v="0.000 G"/>
    <n v="60105"/>
    <s v="60105R0000"/>
    <s v="#"/>
    <x v="32"/>
    <s v="Internal Regrind"/>
    <n v="357"/>
    <n v="0"/>
    <n v="0"/>
    <n v="0"/>
    <n v="0"/>
    <n v="0"/>
    <n v="0"/>
    <n v="0"/>
    <n v="0"/>
    <n v="0"/>
    <n v="0"/>
    <n v="0"/>
    <n v="357"/>
    <n v="0"/>
    <n v="0"/>
    <m/>
    <m/>
    <n v="0"/>
    <n v="357"/>
    <s v="0.000"/>
    <n v="0"/>
    <n v="0"/>
    <n v="0"/>
    <x v="3"/>
    <x v="13"/>
  </r>
  <r>
    <x v="3"/>
    <s v="RM"/>
    <n v="624966"/>
    <s v="PE REGRIND MARLEX 6007 BEIGE"/>
    <s v="0.000 G"/>
    <n v="60105"/>
    <s v="60105R0000"/>
    <s v="#"/>
    <x v="32"/>
    <s v="Internal Regrind"/>
    <n v="1050"/>
    <n v="0"/>
    <n v="0"/>
    <n v="0"/>
    <n v="0"/>
    <n v="0"/>
    <n v="0"/>
    <n v="0"/>
    <n v="0"/>
    <n v="0"/>
    <n v="0"/>
    <n v="0"/>
    <n v="1050"/>
    <n v="0"/>
    <n v="0"/>
    <m/>
    <m/>
    <n v="0"/>
    <n v="1050"/>
    <s v="0.000"/>
    <n v="0"/>
    <n v="0"/>
    <n v="0"/>
    <x v="3"/>
    <x v="13"/>
  </r>
  <r>
    <x v="3"/>
    <s v="RM"/>
    <n v="624967"/>
    <s v="PP REGRIND PD855 NATURAL"/>
    <s v="0.000 KG"/>
    <n v="60106"/>
    <s v="60106R0000"/>
    <s v="#"/>
    <x v="31"/>
    <s v="Internal Regrind"/>
    <n v="1487"/>
    <n v="0"/>
    <n v="0"/>
    <n v="0"/>
    <n v="0"/>
    <n v="0"/>
    <n v="0"/>
    <n v="0"/>
    <n v="0"/>
    <n v="0"/>
    <n v="0"/>
    <n v="0"/>
    <n v="1487"/>
    <n v="0"/>
    <n v="0"/>
    <m/>
    <m/>
    <n v="0"/>
    <n v="1487"/>
    <s v="0.000"/>
    <n v="0"/>
    <n v="0"/>
    <n v="0"/>
    <x v="2"/>
    <x v="13"/>
  </r>
  <r>
    <x v="3"/>
    <s v="RM"/>
    <n v="624968"/>
    <s v="PP REGRIND SM240 BLACK"/>
    <s v="0.000 KG"/>
    <n v="60106"/>
    <s v="60106R0000"/>
    <s v="#"/>
    <x v="31"/>
    <s v="Internal Regrind"/>
    <n v="67"/>
    <n v="0"/>
    <n v="0"/>
    <n v="0"/>
    <n v="0"/>
    <n v="0"/>
    <n v="0"/>
    <n v="0"/>
    <n v="0"/>
    <n v="0"/>
    <n v="0"/>
    <n v="0"/>
    <n v="67"/>
    <n v="0"/>
    <n v="0"/>
    <m/>
    <m/>
    <n v="0"/>
    <n v="67"/>
    <s v="0.000"/>
    <n v="0"/>
    <n v="0"/>
    <n v="0"/>
    <x v="2"/>
    <x v="13"/>
  </r>
  <r>
    <x v="3"/>
    <s v="RM"/>
    <n v="626073"/>
    <s v="ONCOLOR BROWN PE83449293-ZN"/>
    <s v="0.000 G"/>
    <n v="60200"/>
    <s v="#"/>
    <s v="#"/>
    <x v="24"/>
    <s v="Additives"/>
    <n v="366.07900000000001"/>
    <n v="13448.79"/>
    <n v="0"/>
    <n v="0"/>
    <n v="0"/>
    <n v="0"/>
    <n v="0"/>
    <n v="0"/>
    <n v="0"/>
    <n v="0"/>
    <n v="0"/>
    <n v="0"/>
    <n v="366.07900000000001"/>
    <n v="13448.79"/>
    <n v="0"/>
    <m/>
    <m/>
    <n v="0"/>
    <n v="366.07900000000001"/>
    <s v="0.000"/>
    <n v="0"/>
    <n v="1990.22"/>
    <n v="1990.22"/>
    <x v="8"/>
    <x v="9"/>
  </r>
  <r>
    <x v="3"/>
    <s v="RM"/>
    <n v="626074"/>
    <s v="ONCOLOR BROWN PE84449295-ZN/1"/>
    <s v="0.000 G"/>
    <n v="60200"/>
    <s v="#"/>
    <s v="#"/>
    <x v="24"/>
    <s v="Additives"/>
    <n v="0"/>
    <n v="0"/>
    <n v="20.152000000000001"/>
    <n v="1577.98"/>
    <n v="44.328000000000003"/>
    <n v="3471.07"/>
    <n v="0"/>
    <n v="0"/>
    <n v="0"/>
    <n v="0"/>
    <n v="0"/>
    <n v="0"/>
    <n v="64.48"/>
    <n v="5049.05"/>
    <n v="493.04"/>
    <m/>
    <m/>
    <n v="0"/>
    <n v="64.48"/>
    <s v="0.000"/>
    <n v="0"/>
    <n v="776.38666666666666"/>
    <n v="776.38666666666666"/>
    <x v="8"/>
    <x v="9"/>
  </r>
  <r>
    <x v="3"/>
    <s v="RM"/>
    <n v="645100"/>
    <s v="M-INJ REMAFIN SILVER MP21142-05"/>
    <s v="0.000 G"/>
    <n v="60200"/>
    <s v="#"/>
    <s v="#"/>
    <x v="24"/>
    <s v="Additives"/>
    <n v="0"/>
    <n v="0"/>
    <n v="50"/>
    <n v="2907.22"/>
    <n v="45.796999999999997"/>
    <n v="2662.84"/>
    <n v="0"/>
    <n v="0"/>
    <n v="0"/>
    <n v="0"/>
    <n v="0"/>
    <n v="0"/>
    <n v="95.796999999999997"/>
    <n v="5570.06"/>
    <n v="887.69"/>
    <m/>
    <m/>
    <n v="0"/>
    <n v="95.796999999999997"/>
    <s v="0.000"/>
    <n v="0"/>
    <n v="486.51"/>
    <n v="486.51"/>
    <x v="8"/>
    <x v="9"/>
  </r>
  <r>
    <x v="3"/>
    <s v="RM"/>
    <n v="645826"/>
    <s v="ONCOLOR BROWN PE83449297-ZN"/>
    <s v="0.000 G"/>
    <n v="60200"/>
    <s v="#"/>
    <s v="#"/>
    <x v="24"/>
    <s v="Additives"/>
    <n v="0"/>
    <n v="0"/>
    <n v="0"/>
    <n v="0"/>
    <n v="67.507000000000005"/>
    <n v="2673.27"/>
    <n v="0"/>
    <n v="0"/>
    <n v="0"/>
    <n v="0"/>
    <n v="0"/>
    <n v="0"/>
    <n v="67.507000000000005"/>
    <n v="2673.27"/>
    <n v="891.16"/>
    <m/>
    <m/>
    <n v="0"/>
    <n v="67.507000000000005"/>
    <s v="0.000"/>
    <n v="0"/>
    <n v="0"/>
    <n v="0"/>
    <x v="8"/>
    <x v="9"/>
  </r>
  <r>
    <x v="3"/>
    <s v="RM"/>
    <n v="649201"/>
    <s v="PE REGRIND MARLEX HM5502"/>
    <s v="0.000 G"/>
    <n v="60105"/>
    <s v="60105R0000"/>
    <s v="#"/>
    <x v="32"/>
    <s v="Internal Regrind"/>
    <n v="6200"/>
    <n v="0"/>
    <n v="0"/>
    <n v="0"/>
    <n v="0"/>
    <n v="0"/>
    <n v="0"/>
    <n v="0"/>
    <n v="0"/>
    <n v="0"/>
    <n v="0"/>
    <n v="0"/>
    <n v="6200"/>
    <n v="0"/>
    <n v="0"/>
    <m/>
    <m/>
    <n v="0"/>
    <n v="6200"/>
    <s v="0.000"/>
    <n v="0"/>
    <n v="0"/>
    <n v="0"/>
    <x v="3"/>
    <x v="13"/>
  </r>
  <r>
    <x v="3"/>
    <s v="RM"/>
    <n v="649207"/>
    <s v="PE REGRIND MARLEX 6007 SILVER"/>
    <s v="0.000 G"/>
    <n v="60105"/>
    <s v="60105R0000"/>
    <s v="#"/>
    <x v="32"/>
    <s v="Internal Regrind"/>
    <n v="400"/>
    <n v="0"/>
    <n v="0"/>
    <n v="0"/>
    <n v="0"/>
    <n v="0"/>
    <n v="0"/>
    <n v="0"/>
    <n v="0"/>
    <n v="0"/>
    <n v="0"/>
    <n v="0"/>
    <n v="400"/>
    <n v="0"/>
    <n v="0"/>
    <m/>
    <m/>
    <n v="0"/>
    <n v="400"/>
    <s v="0.000"/>
    <n v="0"/>
    <n v="0"/>
    <n v="0"/>
    <x v="3"/>
    <x v="13"/>
  </r>
  <r>
    <x v="3"/>
    <s v="RM"/>
    <n v="649222"/>
    <s v="PE REGRIND MARLEX TR144S + KINGFA R75"/>
    <s v="0.000 G"/>
    <n v="60105"/>
    <s v="60105R0000"/>
    <s v="#"/>
    <x v="32"/>
    <s v="Internal Regrind"/>
    <n v="425"/>
    <n v="0"/>
    <n v="0"/>
    <n v="0"/>
    <n v="0"/>
    <n v="0"/>
    <n v="0"/>
    <n v="0"/>
    <n v="0"/>
    <n v="0"/>
    <n v="0"/>
    <n v="0"/>
    <n v="425"/>
    <n v="0"/>
    <n v="0"/>
    <m/>
    <m/>
    <n v="0"/>
    <n v="425"/>
    <s v="0.000"/>
    <n v="0"/>
    <n v="0"/>
    <n v="0"/>
    <x v="3"/>
    <x v="13"/>
  </r>
  <r>
    <x v="3"/>
    <s v="RM"/>
    <n v="649771"/>
    <s v="ONCOLOR VIOLET PE43449279-ZN"/>
    <s v="0.000 G"/>
    <n v="60200"/>
    <s v="#"/>
    <s v="#"/>
    <x v="24"/>
    <s v="Additives"/>
    <n v="0"/>
    <n v="0"/>
    <n v="20.178000000000001"/>
    <n v="1018.99"/>
    <n v="0"/>
    <n v="0"/>
    <n v="0"/>
    <n v="0"/>
    <n v="0"/>
    <n v="0"/>
    <n v="0"/>
    <n v="0"/>
    <n v="20.178000000000001"/>
    <n v="1018.99"/>
    <n v="0"/>
    <m/>
    <m/>
    <n v="0"/>
    <n v="20.178000000000001"/>
    <s v="0.000"/>
    <n v="0"/>
    <n v="81.17"/>
    <n v="81.17"/>
    <x v="8"/>
    <x v="9"/>
  </r>
  <r>
    <x v="3"/>
    <s v="RM"/>
    <n v="650606"/>
    <s v="PE REGRIND MARLEX 6007 CREAM"/>
    <s v="0.000 G"/>
    <n v="60105"/>
    <s v="60105R0000"/>
    <s v="#"/>
    <x v="32"/>
    <s v="Internal Regrind"/>
    <n v="339"/>
    <n v="0"/>
    <n v="0"/>
    <n v="0"/>
    <n v="0"/>
    <n v="0"/>
    <n v="0"/>
    <n v="0"/>
    <n v="0"/>
    <n v="0"/>
    <n v="0"/>
    <n v="0"/>
    <n v="339"/>
    <n v="0"/>
    <n v="0"/>
    <m/>
    <m/>
    <n v="0"/>
    <n v="339"/>
    <s v="0.000"/>
    <n v="0"/>
    <n v="0"/>
    <n v="0"/>
    <x v="3"/>
    <x v="13"/>
  </r>
  <r>
    <x v="3"/>
    <s v="RM"/>
    <n v="652333"/>
    <s v="R-Vydyne 21SPC PA66"/>
    <s v="0.000 G"/>
    <n v="60107"/>
    <s v="60107V0000"/>
    <s v="#"/>
    <x v="33"/>
    <s v="Virgin grade"/>
    <n v="100"/>
    <n v="1450.01"/>
    <n v="8.5869999999999997"/>
    <n v="124.51"/>
    <n v="0"/>
    <n v="0"/>
    <n v="0"/>
    <n v="0"/>
    <n v="0"/>
    <n v="0"/>
    <n v="0"/>
    <n v="0"/>
    <n v="108.587"/>
    <n v="1574.52"/>
    <n v="0"/>
    <m/>
    <m/>
    <n v="0"/>
    <n v="108.587"/>
    <s v="0.000"/>
    <n v="0"/>
    <n v="6.8233333333333333"/>
    <n v="6.8233333333333333"/>
    <x v="6"/>
    <x v="10"/>
  </r>
  <r>
    <x v="3"/>
    <s v="RM"/>
    <n v="655990"/>
    <s v="R-C4LL 50026.XR"/>
    <s v="0.000 G"/>
    <n v="60105"/>
    <s v="60105V0000"/>
    <s v="#"/>
    <x v="26"/>
    <s v="Virgin grade"/>
    <n v="9625"/>
    <n v="66153.11"/>
    <n v="368.37"/>
    <n v="2531.83"/>
    <n v="0"/>
    <n v="0"/>
    <n v="0"/>
    <n v="0"/>
    <n v="0"/>
    <n v="0"/>
    <n v="0"/>
    <n v="0"/>
    <n v="9993.3700000000008"/>
    <n v="68684.94"/>
    <n v="0"/>
    <n v="1318.2"/>
    <n v="439.4"/>
    <n v="4689.4588074647199"/>
    <n v="9993.3700000000008"/>
    <s v="0.000"/>
    <n v="439.4"/>
    <n v="10148.253333333332"/>
    <n v="439.4"/>
    <x v="3"/>
    <x v="10"/>
  </r>
  <r>
    <x v="3"/>
    <s v="RM"/>
    <n v="657130"/>
    <s v="R-PET-JADE BRAND PET RESIN CZ-333 IV0.80"/>
    <s v="0.000 TON"/>
    <n v="60104"/>
    <s v="60104V0000"/>
    <s v="#"/>
    <x v="27"/>
    <s v="Virgin grade"/>
    <n v="0"/>
    <n v="0"/>
    <n v="2200"/>
    <n v="9240"/>
    <n v="0"/>
    <n v="0"/>
    <n v="0"/>
    <n v="0"/>
    <n v="0"/>
    <n v="0"/>
    <n v="0"/>
    <n v="0"/>
    <n v="2200"/>
    <n v="9240"/>
    <n v="0"/>
    <m/>
    <m/>
    <n v="0"/>
    <n v="2200"/>
    <s v="0.000"/>
    <n v="0"/>
    <n v="0"/>
    <n v="0"/>
    <x v="1"/>
    <x v="10"/>
  </r>
  <r>
    <x v="3"/>
    <s v="RM"/>
    <n v="663073"/>
    <s v="R-HDPE HD6070UA"/>
    <s v="0.000 KG"/>
    <n v="60105"/>
    <s v="60105V0000"/>
    <s v="#"/>
    <x v="26"/>
    <s v="Virgin grade"/>
    <n v="4375"/>
    <n v="32812.5"/>
    <n v="0"/>
    <n v="0"/>
    <n v="0"/>
    <n v="0"/>
    <n v="0"/>
    <n v="0"/>
    <n v="0"/>
    <n v="0"/>
    <n v="0"/>
    <n v="0"/>
    <n v="4375"/>
    <n v="32812.5"/>
    <n v="0"/>
    <m/>
    <m/>
    <n v="0"/>
    <n v="4375"/>
    <s v="0.000"/>
    <n v="0"/>
    <n v="0"/>
    <n v="0"/>
    <x v="3"/>
    <x v="10"/>
  </r>
  <r>
    <x v="3"/>
    <s v="RM"/>
    <n v="663577"/>
    <s v="R-HDPE C2911"/>
    <s v="0.000 KG"/>
    <n v="60105"/>
    <s v="60105V0000"/>
    <s v="#"/>
    <x v="26"/>
    <s v="Virgin grade"/>
    <n v="1300.825"/>
    <n v="10991.97"/>
    <n v="0"/>
    <n v="0"/>
    <n v="0"/>
    <n v="0"/>
    <n v="0"/>
    <n v="0"/>
    <n v="0"/>
    <n v="0"/>
    <n v="0"/>
    <n v="0"/>
    <n v="1300.825"/>
    <n v="10991.97"/>
    <n v="0"/>
    <m/>
    <m/>
    <n v="0"/>
    <n v="1300.825"/>
    <s v="0.000"/>
    <n v="0"/>
    <n v="4081.8433333333337"/>
    <n v="4081.8433333333337"/>
    <x v="3"/>
    <x v="10"/>
  </r>
  <r>
    <x v="3"/>
    <s v="RM"/>
    <n v="664457"/>
    <s v="ONCOLOR RED PL33449076-ZN"/>
    <s v="0.000 G"/>
    <n v="60200"/>
    <s v="#"/>
    <s v="#"/>
    <x v="24"/>
    <s v="Additives"/>
    <n v="25"/>
    <n v="1583.75"/>
    <n v="0"/>
    <n v="0"/>
    <n v="0"/>
    <n v="0"/>
    <n v="0"/>
    <n v="0"/>
    <n v="0"/>
    <n v="0"/>
    <n v="0"/>
    <n v="0"/>
    <n v="25"/>
    <n v="1583.75"/>
    <n v="0"/>
    <m/>
    <m/>
    <n v="0"/>
    <n v="25"/>
    <s v="0.000"/>
    <n v="0"/>
    <n v="0"/>
    <n v="0"/>
    <x v="8"/>
    <x v="9"/>
  </r>
  <r>
    <x v="3"/>
    <s v="RM"/>
    <n v="664458"/>
    <s v="MB RED 0913"/>
    <s v="0.000 G"/>
    <n v="60200"/>
    <s v="#"/>
    <s v="#"/>
    <x v="24"/>
    <s v="Additives"/>
    <n v="25"/>
    <n v="1355"/>
    <n v="0"/>
    <n v="0"/>
    <n v="0"/>
    <n v="0"/>
    <n v="0"/>
    <n v="0"/>
    <n v="0"/>
    <n v="0"/>
    <n v="0"/>
    <n v="0"/>
    <n v="25"/>
    <n v="1355"/>
    <n v="0"/>
    <m/>
    <m/>
    <n v="0"/>
    <n v="25"/>
    <s v="0.000"/>
    <n v="0"/>
    <n v="0"/>
    <n v="0"/>
    <x v="8"/>
    <x v="9"/>
  </r>
  <r>
    <x v="3"/>
    <s v="RM"/>
    <n v="664786"/>
    <s v="R-HDPE HI6178"/>
    <s v="0.000 KG"/>
    <n v="60105"/>
    <s v="60105V0000"/>
    <s v="#"/>
    <x v="26"/>
    <s v="Virgin grade"/>
    <n v="1925"/>
    <n v="11550"/>
    <n v="0"/>
    <n v="0"/>
    <n v="0"/>
    <n v="0"/>
    <n v="0"/>
    <n v="0"/>
    <n v="0"/>
    <n v="0"/>
    <n v="0"/>
    <n v="0"/>
    <n v="1925"/>
    <n v="11550"/>
    <n v="0"/>
    <m/>
    <m/>
    <n v="0"/>
    <n v="1925"/>
    <s v="0.000"/>
    <n v="0"/>
    <n v="0"/>
    <n v="0"/>
    <x v="3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B5BE3-7EA2-468C-B844-5E6327A5A3ED}" name="PivotTable1" cacheId="30" applyNumberFormats="0" applyBorderFormats="0" applyFontFormats="0" applyPatternFormats="0" applyAlignmentFormats="0" applyWidthHeightFormats="1" dataCaption="Values" errorCaption="-" showError="1" updatedVersion="8" minRefreshableVersion="3" itemPrintTitles="1" createdVersion="6" indent="0" compact="0" compactData="0" gridDropZones="1" multipleFieldFilters="0">
  <location ref="B3:U27" firstHeaderRow="1" firstDataRow="2" firstDataCol="3"/>
  <pivotFields count="43">
    <pivotField axis="axisRow" compact="0" outline="0" showAll="0">
      <items count="5">
        <item x="1"/>
        <item h="1" x="0"/>
        <item h="1" x="2"/>
        <item x="3"/>
        <item t="default"/>
      </items>
    </pivotField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35">
        <item x="0"/>
        <item x="1"/>
        <item x="2"/>
        <item x="3"/>
        <item x="4"/>
        <item x="5"/>
        <item x="24"/>
        <item x="25"/>
        <item x="26"/>
        <item x="6"/>
        <item x="27"/>
        <item x="7"/>
        <item x="23"/>
        <item x="8"/>
        <item x="9"/>
        <item x="10"/>
        <item x="11"/>
        <item x="12"/>
        <item x="13"/>
        <item x="14"/>
        <item x="16"/>
        <item x="17"/>
        <item x="28"/>
        <item x="29"/>
        <item x="18"/>
        <item x="19"/>
        <item x="20"/>
        <item x="33"/>
        <item x="30"/>
        <item x="31"/>
        <item x="32"/>
        <item x="15"/>
        <item x="21"/>
        <item x="22"/>
        <item t="default"/>
      </items>
    </pivotField>
    <pivotField compact="0" outline="0" showAll="0" defaultSubtota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9">
        <item x="8"/>
        <item x="5"/>
        <item x="3"/>
        <item x="1"/>
        <item x="2"/>
        <item x="4"/>
        <item x="7"/>
        <item x="0"/>
        <item x="6"/>
      </items>
    </pivotField>
    <pivotField axis="axisRow" compact="0" outline="0" showAll="0">
      <items count="15">
        <item x="1"/>
        <item x="3"/>
        <item x="2"/>
        <item x="6"/>
        <item x="4"/>
        <item x="8"/>
        <item x="12"/>
        <item x="11"/>
        <item x="10"/>
        <item x="0"/>
        <item x="5"/>
        <item x="9"/>
        <item x="13"/>
        <item x="7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3">
    <field x="0"/>
    <field x="33"/>
    <field x="34"/>
  </rowFields>
  <rowItems count="23">
    <i>
      <x/>
      <x v="1"/>
      <x v="10"/>
    </i>
    <i r="1">
      <x v="2"/>
      <x/>
    </i>
    <i r="2">
      <x v="1"/>
    </i>
    <i r="2">
      <x v="3"/>
    </i>
    <i r="1">
      <x v="3"/>
      <x/>
    </i>
    <i r="2">
      <x v="2"/>
    </i>
    <i r="1">
      <x v="4"/>
      <x/>
    </i>
    <i r="2">
      <x v="1"/>
    </i>
    <i r="2">
      <x v="2"/>
    </i>
    <i r="1">
      <x v="5"/>
      <x v="4"/>
    </i>
    <i r="1">
      <x v="8"/>
      <x v="13"/>
    </i>
    <i t="default">
      <x/>
    </i>
    <i>
      <x v="3"/>
      <x/>
      <x v="11"/>
    </i>
    <i r="1">
      <x v="2"/>
      <x v="8"/>
    </i>
    <i r="2">
      <x v="12"/>
    </i>
    <i r="1">
      <x v="3"/>
      <x v="6"/>
    </i>
    <i r="2">
      <x v="7"/>
    </i>
    <i r="2">
      <x v="8"/>
    </i>
    <i r="1">
      <x v="4"/>
      <x v="8"/>
    </i>
    <i r="2">
      <x v="12"/>
    </i>
    <i r="1">
      <x v="8"/>
      <x v="8"/>
    </i>
    <i t="default">
      <x v="3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Total Stock value" fld="23" baseField="2" baseItem="6"/>
    <dataField name=" Avg COS, MC.5" fld="32" baseField="0" baseItem="0"/>
    <dataField name=" T/O Days" fld="39" baseField="5" baseItem="28" numFmtId="3"/>
    <dataField name=" Total Provision" fld="24" baseField="2" baseItem="6"/>
    <dataField name=" % Prov/Stock" fld="42" baseField="25" baseItem="2" numFmtId="9"/>
    <dataField name=" Amount W/O age" fld="21" baseField="2" baseItem="6"/>
    <dataField name=" % W/O age" fld="41" baseField="5" baseItem="27" numFmtId="9"/>
    <dataField name=" Stk Val 01-03mo" fld="11" baseField="2" baseItem="6"/>
    <dataField name=" % 1-3mths" fld="40" baseField="5" baseItem="28" numFmtId="9"/>
    <dataField name=" Stk Val 04-06mo" fld="13" baseField="2" baseItem="6"/>
    <dataField name=" % 4-6mths" fld="35" baseField="2" baseItem="6" numFmtId="9"/>
    <dataField name=" Stk Val 07-12mo" fld="15" baseField="2" baseItem="6"/>
    <dataField name=" %7-12mth" fld="36" baseField="2" baseItem="6" numFmtId="9"/>
    <dataField name=" Stk Val 13-24mo" fld="17" baseField="2" baseItem="5"/>
    <dataField name=" %13-24mth" fld="37" baseField="2" baseItem="6" numFmtId="9"/>
    <dataField name=" Stk Val 1Abv24mo" fld="19" baseField="2" baseItem="6"/>
    <dataField name=" %abv 24mth" fld="38" baseField="2" baseItem="6" numFmtId="9"/>
  </dataFields>
  <formats count="128">
    <format dxfId="312">
      <pivotArea outline="0" collapsedLevelsAreSubtotals="1" fieldPosition="0"/>
    </format>
    <format dxfId="311">
      <pivotArea field="-2" type="button" dataOnly="0" labelOnly="1" outline="0" axis="axisCol" fieldPosition="0"/>
    </format>
    <format dxfId="310">
      <pivotArea type="topRight" dataOnly="0" labelOnly="1" outline="0" fieldPosition="0"/>
    </format>
    <format dxfId="309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308">
      <pivotArea outline="0" collapsedLevelsAreSubtotals="1" fieldPosition="0"/>
    </format>
    <format dxfId="307">
      <pivotArea field="-2" type="button" dataOnly="0" labelOnly="1" outline="0" axis="axisCol" fieldPosition="0"/>
    </format>
    <format dxfId="306">
      <pivotArea type="topRight" dataOnly="0" labelOnly="1" outline="0" fieldPosition="0"/>
    </format>
    <format dxfId="305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304">
      <pivotArea field="8" type="button" dataOnly="0" labelOnly="1" outline="0"/>
    </format>
    <format dxfId="303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302">
      <pivotArea field="8" type="button" dataOnly="0" labelOnly="1" outline="0"/>
    </format>
    <format dxfId="301">
      <pivotArea dataOnly="0" labelOnly="1" outline="0" fieldPosition="0">
        <references count="1">
          <reference field="4294967294" count="8">
            <x v="0"/>
            <x v="3"/>
            <x v="5"/>
            <x v="7"/>
            <x v="9"/>
            <x v="11"/>
            <x v="13"/>
            <x v="15"/>
          </reference>
        </references>
      </pivotArea>
    </format>
    <format dxfId="300">
      <pivotArea field="8" type="button" dataOnly="0" labelOnly="1" outline="0"/>
    </format>
    <format dxfId="299">
      <pivotArea dataOnly="0" labelOnly="1" outline="0" fieldPosition="0">
        <references count="1">
          <reference field="4294967294" count="8">
            <x v="0"/>
            <x v="3"/>
            <x v="5"/>
            <x v="7"/>
            <x v="9"/>
            <x v="11"/>
            <x v="13"/>
            <x v="15"/>
          </reference>
        </references>
      </pivotArea>
    </format>
    <format dxfId="298">
      <pivotArea field="8" type="button" dataOnly="0" labelOnly="1" outline="0"/>
    </format>
    <format dxfId="297">
      <pivotArea dataOnly="0" labelOnly="1" outline="0" fieldPosition="0">
        <references count="1">
          <reference field="4294967294" count="8">
            <x v="0"/>
            <x v="3"/>
            <x v="5"/>
            <x v="7"/>
            <x v="9"/>
            <x v="11"/>
            <x v="13"/>
            <x v="15"/>
          </reference>
        </references>
      </pivotArea>
    </format>
    <format dxfId="29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95">
      <pivotArea outline="0" fieldPosition="0">
        <references count="1">
          <reference field="4294967294" count="1" selected="0">
            <x v="10"/>
          </reference>
        </references>
      </pivotArea>
    </format>
    <format dxfId="294">
      <pivotArea outline="0" fieldPosition="0">
        <references count="1">
          <reference field="4294967294" count="1">
            <x v="10"/>
          </reference>
        </references>
      </pivotArea>
    </format>
    <format dxfId="293">
      <pivotArea outline="0" fieldPosition="0">
        <references count="1">
          <reference field="4294967294" count="1">
            <x v="12"/>
          </reference>
        </references>
      </pivotArea>
    </format>
    <format dxfId="292">
      <pivotArea outline="0" fieldPosition="0">
        <references count="1">
          <reference field="4294967294" count="1">
            <x v="14"/>
          </reference>
        </references>
      </pivotArea>
    </format>
    <format dxfId="291">
      <pivotArea outline="0" fieldPosition="0">
        <references count="1">
          <reference field="4294967294" count="1">
            <x v="16"/>
          </reference>
        </references>
      </pivotArea>
    </format>
    <format dxfId="290">
      <pivotArea field="8" type="button" dataOnly="0" labelOnly="1" outline="0"/>
    </format>
    <format dxfId="289">
      <pivotArea dataOnly="0" labelOnly="1" outline="0" fieldPosition="0">
        <references count="1">
          <reference field="4294967294" count="12">
            <x v="0"/>
            <x v="3"/>
            <x v="5"/>
            <x v="7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88">
      <pivotArea field="8" type="button" dataOnly="0" labelOnly="1" outline="0"/>
    </format>
    <format dxfId="287">
      <pivotArea dataOnly="0" labelOnly="1" outline="0" fieldPosition="0">
        <references count="1">
          <reference field="4294967294" count="12">
            <x v="0"/>
            <x v="3"/>
            <x v="5"/>
            <x v="7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86">
      <pivotArea outline="0" fieldPosition="0">
        <references count="1">
          <reference field="4294967294" count="2" selected="0">
            <x v="0"/>
            <x v="3"/>
          </reference>
        </references>
      </pivotArea>
    </format>
    <format dxfId="285">
      <pivotArea field="-2" type="button" dataOnly="0" labelOnly="1" outline="0" axis="axisCol" fieldPosition="0"/>
    </format>
    <format dxfId="284">
      <pivotArea type="topRight" dataOnly="0" labelOnly="1" outline="0" fieldPosition="0"/>
    </format>
    <format dxfId="283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282">
      <pivotArea field="8" type="button" dataOnly="0" labelOnly="1" outline="0"/>
    </format>
    <format dxfId="281">
      <pivotArea dataOnly="0" labelOnly="1" outline="0" fieldPosition="0">
        <references count="1">
          <reference field="4294967294" count="12">
            <x v="0"/>
            <x v="3"/>
            <x v="5"/>
            <x v="7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80">
      <pivotArea field="8" type="button" dataOnly="0" labelOnly="1" outline="0"/>
    </format>
    <format dxfId="279">
      <pivotArea dataOnly="0" labelOnly="1" outline="0" fieldPosition="0">
        <references count="1">
          <reference field="4294967294" count="12">
            <x v="0"/>
            <x v="3"/>
            <x v="5"/>
            <x v="7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78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77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76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5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274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273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272">
      <pivotArea outline="0" fieldPosition="0">
        <references count="1">
          <reference field="4294967294" count="1">
            <x v="2"/>
          </reference>
        </references>
      </pivotArea>
    </format>
    <format dxfId="271">
      <pivotArea outline="0" fieldPosition="0">
        <references count="1">
          <reference field="4294967294" count="1">
            <x v="8"/>
          </reference>
        </references>
      </pivotArea>
    </format>
    <format dxfId="270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6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68">
      <pivotArea field="8" type="button" dataOnly="0" labelOnly="1" outline="0"/>
    </format>
    <format dxfId="267">
      <pivotArea dataOnly="0" labelOnly="1" outline="0" fieldPosition="0">
        <references count="1">
          <reference field="4294967294" count="14">
            <x v="0"/>
            <x v="2"/>
            <x v="3"/>
            <x v="5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66">
      <pivotArea field="8" type="button" dataOnly="0" labelOnly="1" outline="0"/>
    </format>
    <format dxfId="265">
      <pivotArea dataOnly="0" labelOnly="1" outline="0" fieldPosition="0">
        <references count="1">
          <reference field="4294967294" count="14">
            <x v="0"/>
            <x v="2"/>
            <x v="3"/>
            <x v="5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64">
      <pivotArea field="8" type="button" dataOnly="0" labelOnly="1" outline="0"/>
    </format>
    <format dxfId="263">
      <pivotArea dataOnly="0" labelOnly="1" outline="0" fieldPosition="0">
        <references count="1">
          <reference field="4294967294" count="14">
            <x v="0"/>
            <x v="2"/>
            <x v="3"/>
            <x v="5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62">
      <pivotArea outline="0" fieldPosition="0">
        <references count="1">
          <reference field="4294967294" count="1">
            <x v="6"/>
          </reference>
        </references>
      </pivotArea>
    </format>
    <format dxfId="261">
      <pivotArea field="8" type="button" dataOnly="0" labelOnly="1" outline="0"/>
    </format>
    <format dxfId="260">
      <pivotArea dataOnly="0" labelOnly="1" outline="0" fieldPosition="0">
        <references count="1">
          <reference field="4294967294" count="15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59">
      <pivotArea field="8" type="button" dataOnly="0" labelOnly="1" outline="0"/>
    </format>
    <format dxfId="258">
      <pivotArea dataOnly="0" labelOnly="1" outline="0" fieldPosition="0">
        <references count="1">
          <reference field="4294967294" count="15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57">
      <pivotArea field="8" type="button" dataOnly="0" labelOnly="1" outline="0"/>
    </format>
    <format dxfId="256">
      <pivotArea dataOnly="0" labelOnly="1" outline="0" fieldPosition="0">
        <references count="1">
          <reference field="4294967294" count="15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55">
      <pivotArea outline="0" fieldPosition="0">
        <references count="1">
          <reference field="4294967294" count="3" selected="0">
            <x v="0"/>
            <x v="2"/>
            <x v="3"/>
          </reference>
        </references>
      </pivotArea>
    </format>
    <format dxfId="254">
      <pivotArea field="-2" type="button" dataOnly="0" labelOnly="1" outline="0" axis="axisCol" fieldPosition="0"/>
    </format>
    <format dxfId="253">
      <pivotArea type="topRight" dataOnly="0" labelOnly="1" outline="0" offset="A1:D1" fieldPosition="0"/>
    </format>
    <format dxfId="252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251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250">
      <pivotArea field="-2" type="button" dataOnly="0" labelOnly="1" outline="0" axis="axisCol" fieldPosition="0"/>
    </format>
    <format dxfId="249">
      <pivotArea field="-2" type="button" dataOnly="0" labelOnly="1" outline="0" axis="axisCol" fieldPosition="0"/>
    </format>
    <format dxfId="248">
      <pivotArea type="topRight" dataOnly="0" labelOnly="1" outline="0" offset="A1:D1" fieldPosition="0"/>
    </format>
    <format dxfId="247">
      <pivotArea outline="0" fieldPosition="0">
        <references count="1">
          <reference field="4294967294" count="1" selected="0">
            <x v="6"/>
          </reference>
        </references>
      </pivotArea>
    </format>
    <format dxfId="246">
      <pivotArea outline="0" fieldPosition="0">
        <references count="1">
          <reference field="4294967294" count="1" selected="0">
            <x v="8"/>
          </reference>
        </references>
      </pivotArea>
    </format>
    <format dxfId="245">
      <pivotArea outline="0" fieldPosition="0">
        <references count="1">
          <reference field="4294967294" count="1" selected="0">
            <x v="10"/>
          </reference>
        </references>
      </pivotArea>
    </format>
    <format dxfId="244">
      <pivotArea outline="0" fieldPosition="0">
        <references count="1">
          <reference field="4294967294" count="1" selected="0">
            <x v="12"/>
          </reference>
        </references>
      </pivotArea>
    </format>
    <format dxfId="243">
      <pivotArea outline="0" fieldPosition="0">
        <references count="1">
          <reference field="4294967294" count="1" selected="0">
            <x v="6"/>
          </reference>
        </references>
      </pivotArea>
    </format>
    <format dxfId="242">
      <pivotArea outline="0" fieldPosition="0">
        <references count="1">
          <reference field="4294967294" count="1" selected="0">
            <x v="8"/>
          </reference>
        </references>
      </pivotArea>
    </format>
    <format dxfId="241">
      <pivotArea outline="0" fieldPosition="0">
        <references count="1">
          <reference field="4294967294" count="1" selected="0">
            <x v="10"/>
          </reference>
        </references>
      </pivotArea>
    </format>
    <format dxfId="240">
      <pivotArea outline="0" fieldPosition="0">
        <references count="1">
          <reference field="4294967294" count="1" selected="0">
            <x v="12"/>
          </reference>
        </references>
      </pivotArea>
    </format>
    <format dxfId="239">
      <pivotArea outline="0" fieldPosition="0">
        <references count="1">
          <reference field="4294967294" count="1" selected="0">
            <x v="14"/>
          </reference>
        </references>
      </pivotArea>
    </format>
    <format dxfId="238">
      <pivotArea outline="0" fieldPosition="0">
        <references count="1">
          <reference field="4294967294" count="1" selected="0">
            <x v="14"/>
          </reference>
        </references>
      </pivotArea>
    </format>
    <format dxfId="237">
      <pivotArea outline="0" fieldPosition="0">
        <references count="1">
          <reference field="4294967294" count="1" selected="0">
            <x v="16"/>
          </reference>
        </references>
      </pivotArea>
    </format>
    <format dxfId="236">
      <pivotArea outline="0" fieldPosition="0">
        <references count="1">
          <reference field="4294967294" count="1" selected="0">
            <x v="16"/>
          </reference>
        </references>
      </pivotArea>
    </format>
    <format dxfId="235">
      <pivotArea field="-2" type="button" dataOnly="0" labelOnly="1" outline="0" axis="axisCol" fieldPosition="0"/>
    </format>
    <format dxfId="234">
      <pivotArea type="topRight" dataOnly="0" labelOnly="1" outline="0" offset="A1:D1" fieldPosition="0"/>
    </format>
    <format dxfId="233">
      <pivotArea field="-2" type="button" dataOnly="0" labelOnly="1" outline="0" axis="axisCol" fieldPosition="0"/>
    </format>
    <format dxfId="232">
      <pivotArea type="origin" dataOnly="0" labelOnly="1" outline="0" fieldPosition="0"/>
    </format>
    <format dxfId="231">
      <pivotArea dataOnly="0" labelOnly="1" grandRow="1" outline="0" fieldPosition="0"/>
    </format>
    <format dxfId="230">
      <pivotArea field="-2" type="button" dataOnly="0" labelOnly="1" outline="0" axis="axisCol" fieldPosition="0"/>
    </format>
    <format dxfId="229">
      <pivotArea type="topRight" dataOnly="0" labelOnly="1" outline="0" offset="A1:C1" fieldPosition="0"/>
    </format>
    <format dxfId="228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227">
      <pivotArea field="-2" type="button" dataOnly="0" labelOnly="1" outline="0" axis="axisCol" fieldPosition="0"/>
    </format>
    <format dxfId="226">
      <pivotArea type="topRight" dataOnly="0" labelOnly="1" outline="0" fieldPosition="0"/>
    </format>
    <format dxfId="225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224">
      <pivotArea field="-2" type="button" dataOnly="0" labelOnly="1" outline="0" axis="axisCol" fieldPosition="0"/>
    </format>
    <format dxfId="223">
      <pivotArea type="topRight" dataOnly="0" labelOnly="1" outline="0" offset="A1:C1" fieldPosition="0"/>
    </format>
    <format dxfId="222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221">
      <pivotArea type="topRight" dataOnly="0" labelOnly="1" outline="0" offset="D1" fieldPosition="0"/>
    </format>
    <format dxfId="220">
      <pivotArea type="topRight" dataOnly="0" labelOnly="1" outline="0" offset="D1" fieldPosition="0"/>
    </format>
    <format dxfId="2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7">
      <pivotArea outline="0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216">
      <pivotArea field="-2" type="button" dataOnly="0" labelOnly="1" outline="0" axis="axisCol" fieldPosition="0"/>
    </format>
    <format dxfId="215">
      <pivotArea type="topRight" dataOnly="0" labelOnly="1" outline="0" offset="A1:C1" fieldPosition="0"/>
    </format>
    <format dxfId="2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3">
      <pivotArea field="-2" type="button" dataOnly="0" labelOnly="1" outline="0" axis="axisCol" fieldPosition="0"/>
    </format>
    <format dxfId="212">
      <pivotArea type="topRight" dataOnly="0" labelOnly="1" outline="0" offset="A1:C1" fieldPosition="0"/>
    </format>
    <format dxfId="211">
      <pivotArea outline="0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210">
      <pivotArea field="-2" type="button" dataOnly="0" labelOnly="1" outline="0" axis="axisCol" fieldPosition="0"/>
    </format>
    <format dxfId="209">
      <pivotArea type="topRight" dataOnly="0" labelOnly="1" outline="0" offset="A1:C1" fieldPosition="0"/>
    </format>
    <format dxfId="20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6">
      <pivotArea outline="0" fieldPosition="0">
        <references count="1">
          <reference field="4294967294" count="1" selected="0">
            <x v="2"/>
          </reference>
        </references>
      </pivotArea>
    </format>
    <format dxfId="205">
      <pivotArea outline="0" fieldPosition="0">
        <references count="1">
          <reference field="4294967294" count="1">
            <x v="4"/>
          </reference>
        </references>
      </pivotArea>
    </format>
    <format dxfId="204">
      <pivotArea outline="0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203">
      <pivotArea field="-2" type="button" dataOnly="0" labelOnly="1" outline="0" axis="axisCol" fieldPosition="0"/>
    </format>
    <format dxfId="202">
      <pivotArea type="topRight" dataOnly="0" labelOnly="1" outline="0" offset="A1:D1" fieldPosition="0"/>
    </format>
    <format dxfId="20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0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9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9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9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96">
      <pivotArea outline="0" fieldPosition="0">
        <references count="1">
          <reference field="4294967294" count="1" selected="0">
            <x v="4"/>
          </reference>
        </references>
      </pivotArea>
    </format>
    <format dxfId="195">
      <pivotArea type="topRight" dataOnly="0" labelOnly="1" outline="0" offset="D1" fieldPosition="0"/>
    </format>
    <format dxfId="194">
      <pivotArea field="-2" type="button" dataOnly="0" labelOnly="1" outline="0" axis="axisCol" fieldPosition="0"/>
    </format>
    <format dxfId="193">
      <pivotArea type="topRight" dataOnly="0" labelOnly="1" outline="0" offset="A1:D1" fieldPosition="0"/>
    </format>
    <format dxfId="19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8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87">
      <pivotArea dataOnly="0" outline="0" fieldPosition="0">
        <references count="1">
          <reference field="34" count="0" defaultSubtotal="1"/>
        </references>
      </pivotArea>
    </format>
    <format dxfId="186">
      <pivotArea dataOnly="0" outline="0" fieldPosition="0">
        <references count="1">
          <reference field="0" count="0" defaultSubtotal="1"/>
        </references>
      </pivotArea>
    </format>
    <format dxfId="185">
      <pivotArea dataOnly="0" outline="0" fieldPosition="0">
        <references count="1">
          <reference field="3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4000000}" name="PivotTable6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compact="0" compactData="0" gridDropZones="1" multipleFieldFilters="0">
  <location ref="W72:AH75" firstHeaderRow="1" firstDataRow="2" firstDataCol="2" rowPageCount="1" colPageCount="1"/>
  <pivotFields count="20">
    <pivotField axis="axisRow" compact="0" outline="0" showAll="0" defaultSubtotal="0">
      <items count="10">
        <item x="0"/>
        <item h="1" m="1" x="5"/>
        <item h="1" m="1" x="8"/>
        <item h="1" m="1" x="3"/>
        <item h="1" m="1" x="9"/>
        <item h="1" m="1" x="6"/>
        <item h="1" m="1" x="7"/>
        <item h="1" m="1" x="4"/>
        <item x="1"/>
        <item h="1" x="2"/>
      </items>
    </pivotField>
    <pivotField axis="axisPage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12">
        <item x="0"/>
        <item x="2"/>
        <item x="3"/>
        <item x="6"/>
        <item x="4"/>
        <item x="9"/>
        <item x="10"/>
        <item x="1"/>
        <item x="7"/>
        <item x="8"/>
        <item x="5"/>
        <item x="11"/>
      </items>
    </pivotField>
    <pivotField dataField="1" compact="0" outline="0" showAll="0"/>
    <pivotField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dataField="1" compact="0" numFmtId="171" outline="0" showAll="0"/>
    <pivotField dataField="1" compact="0" numFmtId="9" outline="0" showAll="0"/>
    <pivotField dataField="1" compact="0" numFmtId="3" outline="0" showAll="0"/>
  </pivotFields>
  <rowFields count="2">
    <field x="2"/>
    <field x="0"/>
  </rowFields>
  <rowItems count="2">
    <i>
      <x v="5"/>
      <x/>
    </i>
    <i r="1">
      <x v="8"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" item="5" hier="-1"/>
  </pageFields>
  <dataFields count="10">
    <dataField name="Sum of Total Stock value" fld="3" baseField="1" baseItem="0" numFmtId="4"/>
    <dataField name="Sum of  Stk Val 01-03mo" fld="6" baseField="1" baseItem="0" numFmtId="175"/>
    <dataField name="Sum of  Stk Val 04-06mo" fld="8" baseField="1" baseItem="0" numFmtId="175"/>
    <dataField name="Sum of  Stk Val 07-12mo" fld="10" baseField="1" baseItem="0" numFmtId="175"/>
    <dataField name="Sum of  Stk Val 13-24mo" fld="12" baseField="1" baseItem="0" numFmtId="175"/>
    <dataField name="Sum of  Stk Val 1Abv24mo" fld="14" baseField="1" baseItem="0" numFmtId="175"/>
    <dataField name="Sum of  Total Provision" fld="16" baseField="1" baseItem="2" numFmtId="175"/>
    <dataField name="Sum of  Avg COS, MC.5" fld="17" baseField="0" baseItem="0"/>
    <dataField name="Sum of  % Prov/Stock" fld="18" baseField="0" baseItem="0" numFmtId="9"/>
    <dataField name="Sum of  T/O Days" fld="19" baseField="0" baseItem="0" numFmtId="1"/>
  </dataFields>
  <formats count="4">
    <format dxfId="160">
      <pivotArea outline="0" fieldPosition="0">
        <references count="1">
          <reference field="4294967294" count="1">
            <x v="9"/>
          </reference>
        </references>
      </pivotArea>
    </format>
    <format dxfId="159">
      <pivotArea outline="0" fieldPosition="0">
        <references count="1">
          <reference field="4294967294" count="1">
            <x v="9"/>
          </reference>
        </references>
      </pivotArea>
    </format>
    <format dxfId="158">
      <pivotArea outline="0" fieldPosition="0">
        <references count="1">
          <reference field="4294967294" count="1" selected="0">
            <x v="8"/>
          </reference>
        </references>
      </pivotArea>
    </format>
    <format dxfId="157">
      <pivotArea dataOnly="0" labelOnly="1" outline="0"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ivotTable4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compact="0" compactData="0" gridDropZones="1" multipleFieldFilters="0">
  <location ref="W39:AH50" firstHeaderRow="1" firstDataRow="2" firstDataCol="2" rowPageCount="1" colPageCount="1"/>
  <pivotFields count="20">
    <pivotField axis="axisRow" compact="0" outline="0" showAll="0" defaultSubtotal="0">
      <items count="10">
        <item x="0"/>
        <item h="1" m="1" x="5"/>
        <item h="1" m="1" x="8"/>
        <item h="1" m="1" x="3"/>
        <item h="1" m="1" x="9"/>
        <item h="1" m="1" x="6"/>
        <item h="1" m="1" x="7"/>
        <item h="1" m="1" x="4"/>
        <item x="1"/>
        <item h="1" x="2"/>
      </items>
    </pivotField>
    <pivotField axis="axisPage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12">
        <item x="0"/>
        <item x="2"/>
        <item x="3"/>
        <item x="6"/>
        <item x="4"/>
        <item x="9"/>
        <item x="10"/>
        <item x="1"/>
        <item x="7"/>
        <item x="8"/>
        <item x="5"/>
        <item x="11"/>
      </items>
    </pivotField>
    <pivotField dataField="1" compact="0" outline="0" showAll="0"/>
    <pivotField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dataField="1" compact="0" numFmtId="171" outline="0" showAll="0"/>
    <pivotField dataField="1" compact="0" numFmtId="9" outline="0" showAll="0"/>
    <pivotField dataField="1" compact="0" numFmtId="3" outline="0" showAll="0"/>
  </pivotFields>
  <rowFields count="2">
    <field x="2"/>
    <field x="0"/>
  </rowFields>
  <rowItems count="10">
    <i>
      <x v="1"/>
      <x/>
    </i>
    <i r="1">
      <x v="8"/>
    </i>
    <i>
      <x v="3"/>
      <x/>
    </i>
    <i r="1">
      <x v="8"/>
    </i>
    <i>
      <x v="8"/>
      <x/>
    </i>
    <i r="1">
      <x v="8"/>
    </i>
    <i>
      <x v="9"/>
      <x/>
    </i>
    <i r="1">
      <x v="8"/>
    </i>
    <i>
      <x v="10"/>
      <x/>
    </i>
    <i r="1">
      <x v="8"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" item="3" hier="-1"/>
  </pageFields>
  <dataFields count="10">
    <dataField name="Sum of Total Stock value" fld="3" baseField="1" baseItem="0" numFmtId="4"/>
    <dataField name="Sum of  Stk Val 01-03mo" fld="6" baseField="1" baseItem="0" numFmtId="175"/>
    <dataField name="Sum of  Stk Val 04-06mo" fld="8" baseField="1" baseItem="0" numFmtId="175"/>
    <dataField name="Sum of  Stk Val 07-12mo" fld="10" baseField="1" baseItem="0" numFmtId="175"/>
    <dataField name="Sum of  Stk Val 13-24mo" fld="12" baseField="1" baseItem="0" numFmtId="175"/>
    <dataField name="Sum of  Stk Val 1Abv24mo" fld="14" baseField="1" baseItem="0" numFmtId="175"/>
    <dataField name="Sum of  Total Provision" fld="16" baseField="1" baseItem="2" numFmtId="175"/>
    <dataField name="Sum of  Avg COS, MC.5" fld="17" baseField="0" baseItem="0"/>
    <dataField name="Sum of  % Prov/Stock" fld="18" baseField="0" baseItem="0" numFmtId="9"/>
    <dataField name="Sum of  T/O Days" fld="19" baseField="0" baseItem="0" numFmtId="1"/>
  </dataFields>
  <formats count="4">
    <format dxfId="164">
      <pivotArea outline="0" fieldPosition="0">
        <references count="1">
          <reference field="4294967294" count="1">
            <x v="9"/>
          </reference>
        </references>
      </pivotArea>
    </format>
    <format dxfId="163">
      <pivotArea outline="0" fieldPosition="0">
        <references count="1">
          <reference field="4294967294" count="1">
            <x v="9"/>
          </reference>
        </references>
      </pivotArea>
    </format>
    <format dxfId="162">
      <pivotArea outline="0" fieldPosition="0">
        <references count="1">
          <reference field="4294967294" count="1" selected="0">
            <x v="8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5000000}" name="PivotTable3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compact="0" compactData="0" gridDropZones="1" multipleFieldFilters="0">
  <location ref="W22:AH31" firstHeaderRow="1" firstDataRow="2" firstDataCol="2" rowPageCount="1" colPageCount="1"/>
  <pivotFields count="20">
    <pivotField axis="axisRow" compact="0" outline="0" showAll="0" defaultSubtotal="0">
      <items count="10">
        <item x="0"/>
        <item h="1" m="1" x="5"/>
        <item h="1" m="1" x="8"/>
        <item h="1" m="1" x="3"/>
        <item h="1" m="1" x="9"/>
        <item h="1" m="1" x="6"/>
        <item h="1" m="1" x="7"/>
        <item h="1" m="1" x="4"/>
        <item x="1"/>
        <item h="1" x="2"/>
      </items>
    </pivotField>
    <pivotField axis="axisPage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12">
        <item x="0"/>
        <item x="2"/>
        <item x="3"/>
        <item x="6"/>
        <item x="4"/>
        <item x="9"/>
        <item x="10"/>
        <item x="1"/>
        <item x="7"/>
        <item x="8"/>
        <item x="5"/>
        <item x="11"/>
      </items>
    </pivotField>
    <pivotField dataField="1" compact="0" outline="0" showAll="0"/>
    <pivotField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dataField="1" compact="0" numFmtId="171" outline="0" showAll="0"/>
    <pivotField dataField="1" compact="0" numFmtId="9" outline="0" showAll="0"/>
    <pivotField dataField="1" compact="0" numFmtId="3" outline="0" showAll="0"/>
  </pivotFields>
  <rowFields count="2">
    <field x="2"/>
    <field x="0"/>
  </rowFields>
  <rowItems count="8">
    <i>
      <x v="1"/>
      <x/>
    </i>
    <i r="1">
      <x v="8"/>
    </i>
    <i>
      <x v="2"/>
      <x/>
    </i>
    <i r="1">
      <x v="8"/>
    </i>
    <i>
      <x v="4"/>
      <x/>
    </i>
    <i r="1">
      <x v="8"/>
    </i>
    <i>
      <x v="10"/>
      <x/>
    </i>
    <i r="1">
      <x v="8"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" item="2" hier="-1"/>
  </pageFields>
  <dataFields count="10">
    <dataField name="Sum of Total Stock value" fld="3" baseField="1" baseItem="0" numFmtId="4"/>
    <dataField name="Sum of  Stk Val 01-03mo" fld="6" baseField="1" baseItem="0" numFmtId="175"/>
    <dataField name="Sum of  Stk Val 04-06mo" fld="8" baseField="1" baseItem="0" numFmtId="175"/>
    <dataField name="Sum of  Stk Val 07-12mo" fld="10" baseField="1" baseItem="0" numFmtId="175"/>
    <dataField name="Sum of  Stk Val 13-24mo" fld="12" baseField="1" baseItem="0" numFmtId="175"/>
    <dataField name="Sum of  Stk Val 1Abv24mo" fld="14" baseField="1" baseItem="0" numFmtId="175"/>
    <dataField name="Sum of  Total Provision" fld="16" baseField="1" baseItem="2" numFmtId="175"/>
    <dataField name="Sum of  Avg COS, MC.5" fld="17" baseField="0" baseItem="0"/>
    <dataField name="Sum of  % Prov/Stock" fld="18" baseField="0" baseItem="0" numFmtId="9"/>
    <dataField name="Sum of  T/O Days" fld="19" baseField="0" baseItem="0" numFmtId="1"/>
  </dataFields>
  <formats count="4">
    <format dxfId="168">
      <pivotArea outline="0" fieldPosition="0">
        <references count="1">
          <reference field="4294967294" count="1">
            <x v="9"/>
          </reference>
        </references>
      </pivotArea>
    </format>
    <format dxfId="167">
      <pivotArea outline="0" fieldPosition="0">
        <references count="1">
          <reference field="4294967294" count="1">
            <x v="9"/>
          </reference>
        </references>
      </pivotArea>
    </format>
    <format dxfId="166">
      <pivotArea outline="0" fieldPosition="0">
        <references count="1">
          <reference field="4294967294" count="1" selected="0">
            <x v="8"/>
          </reference>
        </references>
      </pivotArea>
    </format>
    <format dxfId="165">
      <pivotArea dataOnly="0" labelOnly="1" outline="0"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7000000}" name="PivotTable7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compact="0" compactData="0" gridDropZones="1" multipleFieldFilters="0">
  <location ref="W82:AH85" firstHeaderRow="1" firstDataRow="2" firstDataCol="2" rowPageCount="1" colPageCount="1"/>
  <pivotFields count="20">
    <pivotField axis="axisRow" compact="0" outline="0" showAll="0" defaultSubtotal="0">
      <items count="10">
        <item x="0"/>
        <item h="1" m="1" x="5"/>
        <item h="1" m="1" x="8"/>
        <item h="1" m="1" x="3"/>
        <item h="1" m="1" x="9"/>
        <item h="1" m="1" x="6"/>
        <item h="1" m="1" x="7"/>
        <item h="1" m="1" x="4"/>
        <item x="1"/>
        <item h="1" x="2"/>
      </items>
    </pivotField>
    <pivotField axis="axisPage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12">
        <item x="0"/>
        <item x="2"/>
        <item x="3"/>
        <item x="6"/>
        <item x="4"/>
        <item x="9"/>
        <item x="10"/>
        <item x="1"/>
        <item x="7"/>
        <item x="8"/>
        <item x="5"/>
        <item x="11"/>
      </items>
    </pivotField>
    <pivotField dataField="1" compact="0" outline="0" showAll="0"/>
    <pivotField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dataField="1" compact="0" numFmtId="171" outline="0" showAll="0"/>
    <pivotField dataField="1" compact="0" numFmtId="9" outline="0" showAll="0"/>
    <pivotField dataField="1" compact="0" numFmtId="3" outline="0" showAll="0"/>
  </pivotFields>
  <rowFields count="2">
    <field x="2"/>
    <field x="0"/>
  </rowFields>
  <rowItems count="2">
    <i>
      <x v="6"/>
      <x/>
    </i>
    <i r="1">
      <x v="8"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" item="6" hier="-1"/>
  </pageFields>
  <dataFields count="10">
    <dataField name="Sum of Total Stock value" fld="3" baseField="1" baseItem="0" numFmtId="4"/>
    <dataField name="Sum of  Stk Val 01-03mo" fld="6" baseField="1" baseItem="0" numFmtId="175"/>
    <dataField name="Sum of  Stk Val 04-06mo" fld="8" baseField="1" baseItem="0" numFmtId="175"/>
    <dataField name="Sum of  Stk Val 07-12mo" fld="10" baseField="1" baseItem="0" numFmtId="175"/>
    <dataField name="Sum of  Stk Val 13-24mo" fld="12" baseField="1" baseItem="0" numFmtId="175"/>
    <dataField name="Sum of  Stk Val 1Abv24mo" fld="14" baseField="1" baseItem="0" numFmtId="175"/>
    <dataField name="Sum of  Total Provision" fld="16" baseField="1" baseItem="2" numFmtId="175"/>
    <dataField name="Sum of  Avg COS, MC.5" fld="17" baseField="0" baseItem="0"/>
    <dataField name="Sum of  % Prov/Stock" fld="18" baseField="0" baseItem="0" numFmtId="9"/>
    <dataField name="Sum of  T/O Days" fld="19" baseField="0" baseItem="0" numFmtId="1"/>
  </dataFields>
  <formats count="4">
    <format dxfId="172">
      <pivotArea outline="0" fieldPosition="0">
        <references count="1">
          <reference field="4294967294" count="1">
            <x v="9"/>
          </reference>
        </references>
      </pivotArea>
    </format>
    <format dxfId="171">
      <pivotArea outline="0" fieldPosition="0">
        <references count="1">
          <reference field="4294967294" count="1">
            <x v="9"/>
          </reference>
        </references>
      </pivotArea>
    </format>
    <format dxfId="170">
      <pivotArea outline="0" fieldPosition="0">
        <references count="1">
          <reference field="4294967294" count="1" selected="0">
            <x v="8"/>
          </reference>
        </references>
      </pivotArea>
    </format>
    <format dxfId="169">
      <pivotArea dataOnly="0" labelOnly="1" outline="0"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PivotTable2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compact="0" compactData="0" gridDropZones="1" multipleFieldFilters="0">
  <location ref="W12:AH15" firstHeaderRow="1" firstDataRow="2" firstDataCol="2" rowPageCount="1" colPageCount="1"/>
  <pivotFields count="20">
    <pivotField axis="axisRow" compact="0" outline="0" showAll="0" defaultSubtotal="0">
      <items count="10">
        <item x="0"/>
        <item h="1" m="1" x="5"/>
        <item h="1" m="1" x="8"/>
        <item h="1" m="1" x="3"/>
        <item h="1" m="1" x="9"/>
        <item h="1" m="1" x="6"/>
        <item h="1" m="1" x="7"/>
        <item h="1" m="1" x="4"/>
        <item x="1"/>
        <item h="1" x="2"/>
      </items>
    </pivotField>
    <pivotField axis="axisPage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12">
        <item x="0"/>
        <item x="2"/>
        <item x="3"/>
        <item x="6"/>
        <item x="4"/>
        <item x="9"/>
        <item x="10"/>
        <item x="1"/>
        <item x="7"/>
        <item x="8"/>
        <item x="5"/>
        <item x="11"/>
      </items>
    </pivotField>
    <pivotField dataField="1" compact="0" outline="0" showAll="0"/>
    <pivotField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dataField="1" compact="0" numFmtId="171" outline="0" showAll="0"/>
    <pivotField dataField="1" compact="0" numFmtId="9" outline="0" showAll="0"/>
    <pivotField dataField="1" compact="0" numFmtId="3" outline="0" showAll="0"/>
  </pivotFields>
  <rowFields count="2">
    <field x="2"/>
    <field x="0"/>
  </rowFields>
  <rowItems count="2">
    <i>
      <x v="7"/>
      <x/>
    </i>
    <i r="1">
      <x v="8"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" item="1" hier="-1"/>
  </pageFields>
  <dataFields count="10">
    <dataField name="Sum of Total Stock value" fld="3" baseField="1" baseItem="0" numFmtId="4"/>
    <dataField name="Sum of  Stk Val 01-03mo" fld="6" baseField="1" baseItem="0" numFmtId="175"/>
    <dataField name="Sum of  Stk Val 04-06mo" fld="8" baseField="1" baseItem="0" numFmtId="175"/>
    <dataField name="Sum of  Stk Val 07-12mo" fld="10" baseField="1" baseItem="0" numFmtId="175"/>
    <dataField name="Sum of  Stk Val 13-24mo" fld="12" baseField="1" baseItem="0" numFmtId="175"/>
    <dataField name="Sum of  Stk Val 1Abv24mo" fld="14" baseField="1" baseItem="0" numFmtId="175"/>
    <dataField name="Sum of  Total Provision" fld="16" baseField="1" baseItem="2" numFmtId="175"/>
    <dataField name="Sum of  Avg COS, MC.5" fld="17" baseField="0" baseItem="0"/>
    <dataField name="Sum of  % Prov/Stock" fld="18" baseField="0" baseItem="0" numFmtId="9"/>
    <dataField name="Sum of  T/O Days" fld="19" baseField="0" baseItem="0" numFmtId="1"/>
  </dataFields>
  <formats count="4">
    <format dxfId="176">
      <pivotArea outline="0" fieldPosition="0">
        <references count="1">
          <reference field="4294967294" count="1">
            <x v="9"/>
          </reference>
        </references>
      </pivotArea>
    </format>
    <format dxfId="175">
      <pivotArea outline="0" fieldPosition="0">
        <references count="1">
          <reference field="4294967294" count="1">
            <x v="9"/>
          </reference>
        </references>
      </pivotArea>
    </format>
    <format dxfId="174">
      <pivotArea outline="0" fieldPosition="0">
        <references count="1">
          <reference field="4294967294" count="1" selected="0">
            <x v="8"/>
          </reference>
        </references>
      </pivotArea>
    </format>
    <format dxfId="173">
      <pivotArea dataOnly="0" labelOnly="1" outline="0"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PivotTable5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compact="0" compactData="0" gridDropZones="1" multipleFieldFilters="0">
  <location ref="W57:AH66" firstHeaderRow="1" firstDataRow="2" firstDataCol="2" rowPageCount="1" colPageCount="1"/>
  <pivotFields count="20">
    <pivotField axis="axisRow" compact="0" outline="0" showAll="0" defaultSubtotal="0">
      <items count="10">
        <item x="0"/>
        <item h="1" m="1" x="5"/>
        <item h="1" m="1" x="8"/>
        <item h="1" m="1" x="3"/>
        <item h="1" m="1" x="9"/>
        <item h="1" m="1" x="6"/>
        <item h="1" m="1" x="7"/>
        <item h="1" m="1" x="4"/>
        <item x="1"/>
        <item h="1" x="2"/>
      </items>
    </pivotField>
    <pivotField axis="axisPage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12">
        <item x="0"/>
        <item x="2"/>
        <item x="3"/>
        <item x="6"/>
        <item x="4"/>
        <item x="9"/>
        <item x="10"/>
        <item x="1"/>
        <item x="7"/>
        <item x="8"/>
        <item x="5"/>
        <item x="11"/>
      </items>
    </pivotField>
    <pivotField dataField="1" compact="0" outline="0" showAll="0"/>
    <pivotField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dataField="1" compact="0" numFmtId="171" outline="0" showAll="0"/>
    <pivotField dataField="1" compact="0" numFmtId="9" outline="0" showAll="0"/>
    <pivotField dataField="1" compact="0" numFmtId="3" outline="0" showAll="0"/>
  </pivotFields>
  <rowFields count="2">
    <field x="2"/>
    <field x="0"/>
  </rowFields>
  <rowItems count="8">
    <i>
      <x v="1"/>
      <x/>
    </i>
    <i r="1">
      <x v="8"/>
    </i>
    <i>
      <x v="2"/>
      <x/>
    </i>
    <i r="1">
      <x v="8"/>
    </i>
    <i>
      <x v="3"/>
      <x/>
    </i>
    <i r="1">
      <x v="8"/>
    </i>
    <i>
      <x v="10"/>
      <x/>
    </i>
    <i r="1">
      <x v="8"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" item="4" hier="-1"/>
  </pageFields>
  <dataFields count="10">
    <dataField name="Sum of Total Stock value" fld="3" baseField="1" baseItem="0" numFmtId="4"/>
    <dataField name="Sum of  Stk Val 01-03mo" fld="6" baseField="1" baseItem="0" numFmtId="175"/>
    <dataField name="Sum of  Stk Val 04-06mo" fld="8" baseField="1" baseItem="0" numFmtId="175"/>
    <dataField name="Sum of  Stk Val 07-12mo" fld="10" baseField="1" baseItem="0" numFmtId="175"/>
    <dataField name="Sum of  Stk Val 13-24mo" fld="12" baseField="1" baseItem="0" numFmtId="175"/>
    <dataField name="Sum of  Stk Val 1Abv24mo" fld="14" baseField="1" baseItem="0" numFmtId="175"/>
    <dataField name="Sum of  Total Provision" fld="16" baseField="1" baseItem="2" numFmtId="175"/>
    <dataField name="Sum of  Avg COS, MC.5" fld="17" baseField="0" baseItem="0"/>
    <dataField name="Sum of  % Prov/Stock" fld="18" baseField="0" baseItem="0" numFmtId="9"/>
    <dataField name="Sum of  T/O Days" fld="19" baseField="0" baseItem="0" numFmtId="1"/>
  </dataFields>
  <formats count="4">
    <format dxfId="180">
      <pivotArea outline="0" fieldPosition="0">
        <references count="1">
          <reference field="4294967294" count="1">
            <x v="9"/>
          </reference>
        </references>
      </pivotArea>
    </format>
    <format dxfId="179">
      <pivotArea outline="0" fieldPosition="0">
        <references count="1">
          <reference field="4294967294" count="1">
            <x v="9"/>
          </reference>
        </references>
      </pivotArea>
    </format>
    <format dxfId="178">
      <pivotArea outline="0" fieldPosition="0">
        <references count="1">
          <reference field="4294967294" count="1" selected="0">
            <x v="8"/>
          </reference>
        </references>
      </pivotArea>
    </format>
    <format dxfId="177">
      <pivotArea dataOnly="0" labelOnly="1" outline="0"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PivotTable1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compact="0" compactData="0" gridDropZones="1" multipleFieldFilters="0">
  <location ref="W3:AH6" firstHeaderRow="1" firstDataRow="2" firstDataCol="2" rowPageCount="1" colPageCount="1"/>
  <pivotFields count="20">
    <pivotField axis="axisRow" compact="0" outline="0" showAll="0" defaultSubtotal="0">
      <items count="10">
        <item x="1"/>
        <item x="0"/>
        <item h="1" m="1" x="5"/>
        <item h="1" m="1" x="8"/>
        <item h="1" m="1" x="3"/>
        <item h="1" m="1" x="9"/>
        <item h="1" m="1" x="6"/>
        <item h="1" m="1" x="7"/>
        <item h="1" m="1" x="4"/>
        <item h="1" x="2"/>
      </items>
    </pivotField>
    <pivotField axis="axisPage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12">
        <item x="0"/>
        <item x="2"/>
        <item x="3"/>
        <item x="6"/>
        <item x="4"/>
        <item x="9"/>
        <item x="10"/>
        <item x="1"/>
        <item x="7"/>
        <item x="8"/>
        <item x="5"/>
        <item x="11"/>
      </items>
    </pivotField>
    <pivotField dataField="1" compact="0" outline="0" showAll="0"/>
    <pivotField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compact="0" numFmtId="9" outline="0" showAll="0"/>
    <pivotField dataField="1" compact="0" outline="0" showAll="0"/>
    <pivotField dataField="1" compact="0" numFmtId="171" outline="0" showAll="0"/>
    <pivotField dataField="1" compact="0" numFmtId="9" outline="0" showAll="0"/>
    <pivotField dataField="1" compact="0" numFmtId="3" outline="0" showAll="0"/>
  </pivotFields>
  <rowFields count="2">
    <field x="2"/>
    <field x="0"/>
  </rowFields>
  <rowItems count="2">
    <i>
      <x/>
      <x/>
    </i>
    <i r="1">
      <x v="1"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" item="0" hier="-1"/>
  </pageFields>
  <dataFields count="10">
    <dataField name="Sum of Total Stock value" fld="3" baseField="1" baseItem="0" numFmtId="4"/>
    <dataField name="Sum of  Stk Val 01-03mo" fld="6" baseField="1" baseItem="0" numFmtId="175"/>
    <dataField name="Sum of  Stk Val 04-06mo" fld="8" baseField="1" baseItem="0" numFmtId="175"/>
    <dataField name="Sum of  Stk Val 07-12mo" fld="10" baseField="1" baseItem="0" numFmtId="175"/>
    <dataField name="Sum of  Stk Val 13-24mo" fld="12" baseField="1" baseItem="0" numFmtId="175"/>
    <dataField name="Sum of  Stk Val 1Abv24mo" fld="14" baseField="1" baseItem="0" numFmtId="175"/>
    <dataField name="Sum of  Total Provision" fld="16" baseField="1" baseItem="2" numFmtId="175"/>
    <dataField name="Sum of  Avg COS, MC.5" fld="17" baseField="0" baseItem="0"/>
    <dataField name="Sum of  % Prov/Stock" fld="18" baseField="0" baseItem="0" numFmtId="9"/>
    <dataField name="Sum of  T/O Days" fld="19" baseField="0" baseItem="0" numFmtId="1"/>
  </dataFields>
  <formats count="4">
    <format dxfId="184">
      <pivotArea outline="0" fieldPosition="0">
        <references count="1">
          <reference field="4294967294" count="1">
            <x v="9"/>
          </reference>
        </references>
      </pivotArea>
    </format>
    <format dxfId="183">
      <pivotArea outline="0" fieldPosition="0">
        <references count="1">
          <reference field="4294967294" count="1">
            <x v="9"/>
          </reference>
        </references>
      </pivotArea>
    </format>
    <format dxfId="182">
      <pivotArea outline="0" fieldPosition="0">
        <references count="1">
          <reference field="4294967294" count="1" selected="0">
            <x v="8"/>
          </reference>
        </references>
      </pivotArea>
    </format>
    <format dxfId="181">
      <pivotArea dataOnly="0" labelOnly="1" outline="0"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8000000}" name="PivotTable2" cacheId="0" applyNumberFormats="0" applyBorderFormats="0" applyFontFormats="0" applyPatternFormats="0" applyAlignmentFormats="0" applyWidthHeightFormats="1" dataCaption="Values" errorCaption="-" showError="1" updatedVersion="6" minRefreshableVersion="3" itemPrintTitles="1" createdVersion="6" indent="0" compact="0" compactData="0" gridDropZones="1" multipleFieldFilters="0">
  <location ref="A1:S21" firstHeaderRow="1" firstDataRow="2" firstDataCol="2"/>
  <pivotFields count="42">
    <pivotField compact="0" outline="0" showAll="0"/>
    <pivotField compact="0" outline="0" showAll="0" defaultSubtotal="0"/>
    <pivotField compact="0" outline="0" showAll="0" defaultSubtotal="0"/>
    <pivotField compact="0" outline="0" showAll="0">
      <items count="34">
        <item x="0"/>
        <item x="1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outline="0" showAll="0" defaultSubtota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11">
        <item m="1" x="10"/>
        <item m="1" x="8"/>
        <item x="4"/>
        <item x="7"/>
        <item x="3"/>
        <item x="1"/>
        <item x="2"/>
        <item x="5"/>
        <item x="6"/>
        <item m="1" x="9"/>
        <item x="0"/>
      </items>
    </pivotField>
    <pivotField compact="0" outline="0" showAll="0" defaultSubtotal="0"/>
    <pivotField axis="axisRow" compact="0" outline="0" showAll="0" defaultSubtotal="0">
      <items count="13">
        <item m="1" x="12"/>
        <item x="1"/>
        <item x="3"/>
        <item x="2"/>
        <item x="11"/>
        <item x="6"/>
        <item x="7"/>
        <item x="10"/>
        <item x="9"/>
        <item x="5"/>
        <item x="0"/>
        <item x="4"/>
        <item x="8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31"/>
    <field x="33"/>
  </rowFields>
  <rowItems count="19">
    <i>
      <x v="2"/>
      <x v="11"/>
    </i>
    <i>
      <x v="3"/>
      <x v="12"/>
    </i>
    <i>
      <x v="4"/>
      <x v="1"/>
    </i>
    <i r="1">
      <x v="2"/>
    </i>
    <i r="1">
      <x v="4"/>
    </i>
    <i r="1">
      <x v="9"/>
    </i>
    <i>
      <x v="5"/>
      <x v="1"/>
    </i>
    <i r="1">
      <x v="3"/>
    </i>
    <i r="1">
      <x v="7"/>
    </i>
    <i r="1">
      <x v="8"/>
    </i>
    <i r="1">
      <x v="9"/>
    </i>
    <i>
      <x v="6"/>
      <x v="1"/>
    </i>
    <i r="1">
      <x v="2"/>
    </i>
    <i r="1">
      <x v="3"/>
    </i>
    <i r="1">
      <x v="9"/>
    </i>
    <i>
      <x v="7"/>
      <x v="5"/>
    </i>
    <i>
      <x v="8"/>
      <x v="6"/>
    </i>
    <i>
      <x v="10"/>
      <x v="10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Total Stock value" fld="18" baseField="2" baseItem="6"/>
    <dataField name=" Amount W/O age" fld="16" baseField="2" baseItem="6"/>
    <dataField name=" % W/O age" fld="40" baseField="5" baseItem="27" numFmtId="9"/>
    <dataField name=" Stk Val 01-03mo" fld="6" baseField="2" baseItem="6"/>
    <dataField name=" % 1-3mths" fld="39" baseField="5" baseItem="28" numFmtId="9"/>
    <dataField name=" Stk Val 04-06mo" fld="8" baseField="2" baseItem="6"/>
    <dataField name=" % 4-6mths" fld="34" baseField="2" baseItem="6" numFmtId="9"/>
    <dataField name=" Stk Val 07-12mo" fld="10" baseField="2" baseItem="6"/>
    <dataField name=" %7-12mth" fld="35" baseField="2" baseItem="6" numFmtId="9"/>
    <dataField name=" Stk Val 13-24mo" fld="12" baseField="2" baseItem="5"/>
    <dataField name=" %13-24mth" fld="36" baseField="2" baseItem="6" numFmtId="9"/>
    <dataField name=" Stk Val 1Abv24mo" fld="14" baseField="2" baseItem="6"/>
    <dataField name=" %abv 24mth" fld="37" baseField="2" baseItem="6" numFmtId="9"/>
    <dataField name=" Total Provision" fld="19" baseField="2" baseItem="6"/>
    <dataField name=" Avg COS, MC.5" fld="29" baseField="25" baseItem="2"/>
    <dataField name=" % Prov/Stock" fld="41" baseField="25" baseItem="2" numFmtId="9"/>
    <dataField name=" T/O Days" fld="38" baseField="5" baseItem="28" numFmtId="3"/>
  </dataFields>
  <formats count="125">
    <format dxfId="156">
      <pivotArea outline="0" collapsedLevelsAreSubtotals="1" fieldPosition="0"/>
    </format>
    <format dxfId="155">
      <pivotArea field="-2" type="button" dataOnly="0" labelOnly="1" outline="0" axis="axisCol" fieldPosition="0"/>
    </format>
    <format dxfId="154">
      <pivotArea type="topRight" dataOnly="0" labelOnly="1" outline="0" fieldPosition="0"/>
    </format>
    <format dxfId="153">
      <pivotArea dataOnly="0" labelOnly="1" outline="0" fieldPosition="0">
        <references count="1">
          <reference field="4294967294" count="2">
            <x v="0"/>
            <x v="13"/>
          </reference>
        </references>
      </pivotArea>
    </format>
    <format dxfId="152">
      <pivotArea outline="0" collapsedLevelsAreSubtotals="1" fieldPosition="0"/>
    </format>
    <format dxfId="151">
      <pivotArea field="-2" type="button" dataOnly="0" labelOnly="1" outline="0" axis="axisCol" fieldPosition="0"/>
    </format>
    <format dxfId="150">
      <pivotArea type="topRight" dataOnly="0" labelOnly="1" outline="0" fieldPosition="0"/>
    </format>
    <format dxfId="149">
      <pivotArea dataOnly="0" labelOnly="1" outline="0" fieldPosition="0">
        <references count="1">
          <reference field="4294967294" count="2">
            <x v="0"/>
            <x v="13"/>
          </reference>
        </references>
      </pivotArea>
    </format>
    <format dxfId="148">
      <pivotArea field="3" type="button" dataOnly="0" labelOnly="1" outline="0"/>
    </format>
    <format dxfId="147">
      <pivotArea dataOnly="0" labelOnly="1" outline="0" fieldPosition="0">
        <references count="1">
          <reference field="4294967294" count="2">
            <x v="0"/>
            <x v="13"/>
          </reference>
        </references>
      </pivotArea>
    </format>
    <format dxfId="146">
      <pivotArea field="3" type="button" dataOnly="0" labelOnly="1" outline="0"/>
    </format>
    <format dxfId="145">
      <pivotArea dataOnly="0" labelOnly="1" outline="0" fieldPosition="0">
        <references count="1">
          <reference field="4294967294" count="8">
            <x v="0"/>
            <x v="1"/>
            <x v="3"/>
            <x v="5"/>
            <x v="7"/>
            <x v="9"/>
            <x v="11"/>
            <x v="13"/>
          </reference>
        </references>
      </pivotArea>
    </format>
    <format dxfId="144">
      <pivotArea field="3" type="button" dataOnly="0" labelOnly="1" outline="0"/>
    </format>
    <format dxfId="143">
      <pivotArea dataOnly="0" labelOnly="1" outline="0" fieldPosition="0">
        <references count="1">
          <reference field="4294967294" count="8">
            <x v="0"/>
            <x v="1"/>
            <x v="3"/>
            <x v="5"/>
            <x v="7"/>
            <x v="9"/>
            <x v="11"/>
            <x v="13"/>
          </reference>
        </references>
      </pivotArea>
    </format>
    <format dxfId="142">
      <pivotArea field="3" type="button" dataOnly="0" labelOnly="1" outline="0"/>
    </format>
    <format dxfId="141">
      <pivotArea dataOnly="0" labelOnly="1" outline="0" fieldPosition="0">
        <references count="1">
          <reference field="4294967294" count="8">
            <x v="0"/>
            <x v="1"/>
            <x v="3"/>
            <x v="5"/>
            <x v="7"/>
            <x v="9"/>
            <x v="11"/>
            <x v="13"/>
          </reference>
        </references>
      </pivotArea>
    </format>
    <format dxfId="14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39">
      <pivotArea outline="0" fieldPosition="0">
        <references count="1">
          <reference field="4294967294" count="1" selected="0">
            <x v="6"/>
          </reference>
        </references>
      </pivotArea>
    </format>
    <format dxfId="138">
      <pivotArea outline="0" fieldPosition="0">
        <references count="1">
          <reference field="4294967294" count="1">
            <x v="6"/>
          </reference>
        </references>
      </pivotArea>
    </format>
    <format dxfId="137">
      <pivotArea outline="0" fieldPosition="0">
        <references count="1">
          <reference field="4294967294" count="1">
            <x v="8"/>
          </reference>
        </references>
      </pivotArea>
    </format>
    <format dxfId="136">
      <pivotArea outline="0" fieldPosition="0">
        <references count="1">
          <reference field="4294967294" count="1">
            <x v="10"/>
          </reference>
        </references>
      </pivotArea>
    </format>
    <format dxfId="135">
      <pivotArea outline="0" fieldPosition="0">
        <references count="1">
          <reference field="4294967294" count="1">
            <x v="12"/>
          </reference>
        </references>
      </pivotArea>
    </format>
    <format dxfId="134">
      <pivotArea field="3" type="button" dataOnly="0" labelOnly="1" outline="0"/>
    </format>
    <format dxfId="133">
      <pivotArea dataOnly="0" labelOnly="1" outline="0" fieldPosition="0">
        <references count="1">
          <reference field="4294967294" count="12">
            <x v="0"/>
            <x v="1"/>
            <x v="3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32">
      <pivotArea field="3" type="button" dataOnly="0" labelOnly="1" outline="0"/>
    </format>
    <format dxfId="131">
      <pivotArea dataOnly="0" labelOnly="1" outline="0" fieldPosition="0">
        <references count="1">
          <reference field="4294967294" count="12">
            <x v="0"/>
            <x v="1"/>
            <x v="3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30">
      <pivotArea outline="0" fieldPosition="0">
        <references count="1">
          <reference field="4294967294" count="2" selected="0">
            <x v="0"/>
            <x v="13"/>
          </reference>
        </references>
      </pivotArea>
    </format>
    <format dxfId="129">
      <pivotArea field="-2" type="button" dataOnly="0" labelOnly="1" outline="0" axis="axisCol" fieldPosition="0"/>
    </format>
    <format dxfId="128">
      <pivotArea type="topRight" dataOnly="0" labelOnly="1" outline="0" fieldPosition="0"/>
    </format>
    <format dxfId="127">
      <pivotArea dataOnly="0" labelOnly="1" outline="0" fieldPosition="0">
        <references count="1">
          <reference field="4294967294" count="2">
            <x v="0"/>
            <x v="13"/>
          </reference>
        </references>
      </pivotArea>
    </format>
    <format dxfId="126">
      <pivotArea field="3" type="button" dataOnly="0" labelOnly="1" outline="0"/>
    </format>
    <format dxfId="125">
      <pivotArea dataOnly="0" labelOnly="1" outline="0" fieldPosition="0">
        <references count="1">
          <reference field="4294967294" count="12">
            <x v="0"/>
            <x v="1"/>
            <x v="3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24">
      <pivotArea field="3" type="button" dataOnly="0" labelOnly="1" outline="0"/>
    </format>
    <format dxfId="123">
      <pivotArea dataOnly="0" labelOnly="1" outline="0" fieldPosition="0">
        <references count="1">
          <reference field="4294967294" count="12">
            <x v="0"/>
            <x v="1"/>
            <x v="3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2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0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19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1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17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16">
      <pivotArea outline="0" fieldPosition="0">
        <references count="1">
          <reference field="4294967294" count="1">
            <x v="16"/>
          </reference>
        </references>
      </pivotArea>
    </format>
    <format dxfId="115">
      <pivotArea outline="0" fieldPosition="0">
        <references count="1">
          <reference field="4294967294" count="1">
            <x v="4"/>
          </reference>
        </references>
      </pivotArea>
    </format>
    <format dxfId="11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1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12">
      <pivotArea field="3" type="button" dataOnly="0" labelOnly="1" outline="0"/>
    </format>
    <format dxfId="111">
      <pivotArea dataOnly="0" labelOnly="1" outline="0" fieldPosition="0">
        <references count="1">
          <reference field="4294967294" count="14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6"/>
          </reference>
        </references>
      </pivotArea>
    </format>
    <format dxfId="110">
      <pivotArea field="3" type="button" dataOnly="0" labelOnly="1" outline="0"/>
    </format>
    <format dxfId="109">
      <pivotArea dataOnly="0" labelOnly="1" outline="0" fieldPosition="0">
        <references count="1">
          <reference field="4294967294" count="14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6"/>
          </reference>
        </references>
      </pivotArea>
    </format>
    <format dxfId="108">
      <pivotArea field="3" type="button" dataOnly="0" labelOnly="1" outline="0"/>
    </format>
    <format dxfId="107">
      <pivotArea dataOnly="0" labelOnly="1" outline="0" fieldPosition="0">
        <references count="1">
          <reference field="4294967294" count="14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6"/>
          </reference>
        </references>
      </pivotArea>
    </format>
    <format dxfId="106">
      <pivotArea outline="0" fieldPosition="0">
        <references count="1">
          <reference field="4294967294" count="1">
            <x v="2"/>
          </reference>
        </references>
      </pivotArea>
    </format>
    <format dxfId="105">
      <pivotArea field="3" type="button" dataOnly="0" labelOnly="1" outline="0"/>
    </format>
    <format dxfId="104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6"/>
          </reference>
        </references>
      </pivotArea>
    </format>
    <format dxfId="103">
      <pivotArea field="3" type="button" dataOnly="0" labelOnly="1" outline="0"/>
    </format>
    <format dxfId="102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6"/>
          </reference>
        </references>
      </pivotArea>
    </format>
    <format dxfId="101">
      <pivotArea field="3" type="button" dataOnly="0" labelOnly="1" outline="0"/>
    </format>
    <format dxfId="100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6"/>
          </reference>
        </references>
      </pivotArea>
    </format>
    <format dxfId="99">
      <pivotArea outline="0" fieldPosition="0">
        <references count="1">
          <reference field="4294967294" count="3" selected="0">
            <x v="0"/>
            <x v="13"/>
            <x v="16"/>
          </reference>
        </references>
      </pivotArea>
    </format>
    <format dxfId="98">
      <pivotArea field="-2" type="button" dataOnly="0" labelOnly="1" outline="0" axis="axisCol" fieldPosition="0"/>
    </format>
    <format dxfId="97">
      <pivotArea type="topRight" dataOnly="0" labelOnly="1" outline="0" offset="A1:D1" fieldPosition="0"/>
    </format>
    <format dxfId="96">
      <pivotArea dataOnly="0" labelOnly="1" outline="0" fieldPosition="0">
        <references count="1">
          <reference field="4294967294" count="3">
            <x v="0"/>
            <x v="13"/>
            <x v="16"/>
          </reference>
        </references>
      </pivotArea>
    </format>
    <format dxfId="95">
      <pivotArea dataOnly="0" labelOnly="1" outline="0" fieldPosition="0">
        <references count="1">
          <reference field="4294967294" count="3">
            <x v="0"/>
            <x v="13"/>
            <x v="16"/>
          </reference>
        </references>
      </pivotArea>
    </format>
    <format dxfId="94">
      <pivotArea field="-2" type="button" dataOnly="0" labelOnly="1" outline="0" axis="axisCol" fieldPosition="0"/>
    </format>
    <format dxfId="93">
      <pivotArea field="-2" type="button" dataOnly="0" labelOnly="1" outline="0" axis="axisCol" fieldPosition="0"/>
    </format>
    <format dxfId="92">
      <pivotArea type="topRight" dataOnly="0" labelOnly="1" outline="0" offset="A1:D1" fieldPosition="0"/>
    </format>
    <format dxfId="91">
      <pivotArea outline="0" fieldPosition="0">
        <references count="1">
          <reference field="4294967294" count="1" selected="0">
            <x v="2"/>
          </reference>
        </references>
      </pivotArea>
    </format>
    <format dxfId="90">
      <pivotArea outline="0" fieldPosition="0">
        <references count="1">
          <reference field="4294967294" count="1" selected="0">
            <x v="4"/>
          </reference>
        </references>
      </pivotArea>
    </format>
    <format dxfId="89">
      <pivotArea outline="0" fieldPosition="0">
        <references count="1">
          <reference field="4294967294" count="1" selected="0">
            <x v="6"/>
          </reference>
        </references>
      </pivotArea>
    </format>
    <format dxfId="88">
      <pivotArea outline="0" fieldPosition="0">
        <references count="1">
          <reference field="4294967294" count="1" selected="0">
            <x v="8"/>
          </reference>
        </references>
      </pivotArea>
    </format>
    <format dxfId="87">
      <pivotArea outline="0" fieldPosition="0">
        <references count="1">
          <reference field="4294967294" count="1" selected="0">
            <x v="2"/>
          </reference>
        </references>
      </pivotArea>
    </format>
    <format dxfId="86">
      <pivotArea outline="0" fieldPosition="0">
        <references count="1">
          <reference field="4294967294" count="1" selected="0">
            <x v="4"/>
          </reference>
        </references>
      </pivotArea>
    </format>
    <format dxfId="85">
      <pivotArea outline="0" fieldPosition="0">
        <references count="1">
          <reference field="4294967294" count="1" selected="0">
            <x v="6"/>
          </reference>
        </references>
      </pivotArea>
    </format>
    <format dxfId="84">
      <pivotArea outline="0" fieldPosition="0">
        <references count="1">
          <reference field="4294967294" count="1" selected="0">
            <x v="8"/>
          </reference>
        </references>
      </pivotArea>
    </format>
    <format dxfId="83">
      <pivotArea outline="0" fieldPosition="0">
        <references count="1">
          <reference field="4294967294" count="1" selected="0">
            <x v="10"/>
          </reference>
        </references>
      </pivotArea>
    </format>
    <format dxfId="82">
      <pivotArea outline="0" fieldPosition="0">
        <references count="1">
          <reference field="4294967294" count="1" selected="0">
            <x v="10"/>
          </reference>
        </references>
      </pivotArea>
    </format>
    <format dxfId="81">
      <pivotArea outline="0" fieldPosition="0">
        <references count="1">
          <reference field="4294967294" count="1" selected="0">
            <x v="12"/>
          </reference>
        </references>
      </pivotArea>
    </format>
    <format dxfId="80">
      <pivotArea outline="0" fieldPosition="0">
        <references count="1">
          <reference field="4294967294" count="1" selected="0">
            <x v="12"/>
          </reference>
        </references>
      </pivotArea>
    </format>
    <format dxfId="79">
      <pivotArea field="-2" type="button" dataOnly="0" labelOnly="1" outline="0" axis="axisCol" fieldPosition="0"/>
    </format>
    <format dxfId="78">
      <pivotArea type="topRight" dataOnly="0" labelOnly="1" outline="0" offset="A1:D1" fieldPosition="0"/>
    </format>
    <format dxfId="77">
      <pivotArea field="-2" type="button" dataOnly="0" labelOnly="1" outline="0" axis="axisCol" fieldPosition="0"/>
    </format>
    <format dxfId="76">
      <pivotArea type="origin" dataOnly="0" labelOnly="1" outline="0" fieldPosition="0"/>
    </format>
    <format dxfId="75">
      <pivotArea dataOnly="0" labelOnly="1" grandRow="1" outline="0" fieldPosition="0"/>
    </format>
    <format dxfId="74">
      <pivotArea field="-2" type="button" dataOnly="0" labelOnly="1" outline="0" axis="axisCol" fieldPosition="0"/>
    </format>
    <format dxfId="73">
      <pivotArea type="topRight" dataOnly="0" labelOnly="1" outline="0" offset="A1:C1" fieldPosition="0"/>
    </format>
    <format dxfId="72">
      <pivotArea dataOnly="0" labelOnly="1" outline="0" fieldPosition="0">
        <references count="1">
          <reference field="4294967294" count="3">
            <x v="0"/>
            <x v="13"/>
            <x v="16"/>
          </reference>
        </references>
      </pivotArea>
    </format>
    <format dxfId="71">
      <pivotArea field="-2" type="button" dataOnly="0" labelOnly="1" outline="0" axis="axisCol" fieldPosition="0"/>
    </format>
    <format dxfId="70">
      <pivotArea type="topRight" dataOnly="0" labelOnly="1" outline="0" fieldPosition="0"/>
    </format>
    <format dxfId="69">
      <pivotArea dataOnly="0" labelOnly="1" outline="0" fieldPosition="0">
        <references count="1">
          <reference field="4294967294" count="3">
            <x v="0"/>
            <x v="13"/>
            <x v="16"/>
          </reference>
        </references>
      </pivotArea>
    </format>
    <format dxfId="68">
      <pivotArea field="-2" type="button" dataOnly="0" labelOnly="1" outline="0" axis="axisCol" fieldPosition="0"/>
    </format>
    <format dxfId="67">
      <pivotArea type="topRight" dataOnly="0" labelOnly="1" outline="0" offset="A1:C1" fieldPosition="0"/>
    </format>
    <format dxfId="66">
      <pivotArea dataOnly="0" labelOnly="1" outline="0" fieldPosition="0">
        <references count="1">
          <reference field="4294967294" count="3">
            <x v="0"/>
            <x v="13"/>
            <x v="16"/>
          </reference>
        </references>
      </pivotArea>
    </format>
    <format dxfId="65">
      <pivotArea type="topRight" dataOnly="0" labelOnly="1" outline="0" offset="D1" fieldPosition="0"/>
    </format>
    <format dxfId="64">
      <pivotArea type="topRight" dataOnly="0" labelOnly="1" outline="0" offset="D1" fieldPosition="0"/>
    </format>
    <format dxfId="63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62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61">
      <pivotArea outline="0" fieldPosition="0">
        <references count="1">
          <reference field="4294967294" count="4" selected="0">
            <x v="0"/>
            <x v="13"/>
            <x v="14"/>
            <x v="16"/>
          </reference>
        </references>
      </pivotArea>
    </format>
    <format dxfId="60">
      <pivotArea field="-2" type="button" dataOnly="0" labelOnly="1" outline="0" axis="axisCol" fieldPosition="0"/>
    </format>
    <format dxfId="59">
      <pivotArea type="topRight" dataOnly="0" labelOnly="1" outline="0" offset="A1:C1" fieldPosition="0"/>
    </format>
    <format dxfId="58">
      <pivotArea dataOnly="0" labelOnly="1" outline="0" fieldPosition="0">
        <references count="1">
          <reference field="4294967294" count="4">
            <x v="0"/>
            <x v="13"/>
            <x v="14"/>
            <x v="16"/>
          </reference>
        </references>
      </pivotArea>
    </format>
    <format dxfId="57">
      <pivotArea field="-2" type="button" dataOnly="0" labelOnly="1" outline="0" axis="axisCol" fieldPosition="0"/>
    </format>
    <format dxfId="56">
      <pivotArea type="topRight" dataOnly="0" labelOnly="1" outline="0" offset="A1:C1" fieldPosition="0"/>
    </format>
    <format dxfId="55">
      <pivotArea outline="0" fieldPosition="0">
        <references count="1">
          <reference field="4294967294" count="4" selected="0">
            <x v="0"/>
            <x v="13"/>
            <x v="14"/>
            <x v="16"/>
          </reference>
        </references>
      </pivotArea>
    </format>
    <format dxfId="54">
      <pivotArea field="-2" type="button" dataOnly="0" labelOnly="1" outline="0" axis="axisCol" fieldPosition="0"/>
    </format>
    <format dxfId="53">
      <pivotArea type="topRight" dataOnly="0" labelOnly="1" outline="0" offset="A1:C1" fieldPosition="0"/>
    </format>
    <format dxfId="52">
      <pivotArea dataOnly="0" labelOnly="1" outline="0" fieldPosition="0">
        <references count="1">
          <reference field="4294967294" count="4">
            <x v="0"/>
            <x v="13"/>
            <x v="14"/>
            <x v="16"/>
          </reference>
        </references>
      </pivotArea>
    </format>
    <format dxfId="51">
      <pivotArea dataOnly="0" labelOnly="1" outline="0" fieldPosition="0">
        <references count="1">
          <reference field="4294967294" count="4">
            <x v="0"/>
            <x v="13"/>
            <x v="14"/>
            <x v="16"/>
          </reference>
        </references>
      </pivotArea>
    </format>
    <format dxfId="50">
      <pivotArea outline="0" fieldPosition="0">
        <references count="1">
          <reference field="4294967294" count="1" selected="0">
            <x v="16"/>
          </reference>
        </references>
      </pivotArea>
    </format>
    <format dxfId="49">
      <pivotArea outline="0" fieldPosition="0">
        <references count="1">
          <reference field="4294967294" count="1">
            <x v="15"/>
          </reference>
        </references>
      </pivotArea>
    </format>
    <format dxfId="48">
      <pivotArea outline="0" fieldPosition="0">
        <references count="1">
          <reference field="4294967294" count="5" selected="0">
            <x v="0"/>
            <x v="13"/>
            <x v="14"/>
            <x v="15"/>
            <x v="16"/>
          </reference>
        </references>
      </pivotArea>
    </format>
    <format dxfId="47">
      <pivotArea field="-2" type="button" dataOnly="0" labelOnly="1" outline="0" axis="axisCol" fieldPosition="0"/>
    </format>
    <format dxfId="46">
      <pivotArea type="topRight" dataOnly="0" labelOnly="1" outline="0" offset="A1:D1" fieldPosition="0"/>
    </format>
    <format dxfId="45">
      <pivotArea dataOnly="0" labelOnly="1" outline="0" fieldPosition="0">
        <references count="1">
          <reference field="4294967294" count="5">
            <x v="0"/>
            <x v="13"/>
            <x v="14"/>
            <x v="15"/>
            <x v="16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40">
      <pivotArea outline="0" fieldPosition="0">
        <references count="1">
          <reference field="4294967294" count="1" selected="0">
            <x v="15"/>
          </reference>
        </references>
      </pivotArea>
    </format>
    <format dxfId="39">
      <pivotArea type="topRight" dataOnly="0" labelOnly="1" outline="0" offset="D1" fieldPosition="0"/>
    </format>
    <format dxfId="38">
      <pivotArea field="-2" type="button" dataOnly="0" labelOnly="1" outline="0" axis="axisCol" fieldPosition="0"/>
    </format>
    <format dxfId="37">
      <pivotArea type="topRight" dataOnly="0" labelOnly="1" outline="0" offset="A1:D1" fieldPosition="0"/>
    </format>
    <format dxfId="36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">
      <pivotArea dataOnly="0" labelOnly="1" outline="0" fieldPosition="0">
        <references count="1">
          <reference field="4294967294" count="5">
            <x v="0"/>
            <x v="13"/>
            <x v="14"/>
            <x v="15"/>
            <x v="16"/>
          </reference>
        </references>
      </pivotArea>
    </format>
    <format dxfId="32">
      <pivotArea dataOnly="0" labelOnly="1" outline="0" fieldPosition="0">
        <references count="1">
          <reference field="4294967294" count="5">
            <x v="0"/>
            <x v="13"/>
            <x v="14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9F379-2810-4BDE-BB54-7B10FA287B1A}" name="PivotTable1" cacheId="30" applyNumberFormats="0" applyBorderFormats="0" applyFontFormats="0" applyPatternFormats="0" applyAlignmentFormats="0" applyWidthHeightFormats="1" dataCaption="Values" updatedVersion="8" minRefreshableVersion="3" itemPrintTitles="1" createdVersion="4" indent="0" compact="0" compactData="0" gridDropZones="1" multipleFieldFilters="0">
  <location ref="A2:E25" firstHeaderRow="1" firstDataRow="2" firstDataCol="2"/>
  <pivotFields count="43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x="8"/>
        <item x="5"/>
        <item x="3"/>
        <item x="1"/>
        <item x="2"/>
        <item x="7"/>
        <item h="1" x="0"/>
        <item x="4"/>
        <item x="6"/>
      </items>
    </pivotField>
    <pivotField axis="axisRow" compact="0" outline="0" showAll="0" defaultSubtotal="0">
      <items count="14">
        <item x="1"/>
        <item x="3"/>
        <item x="2"/>
        <item x="6"/>
        <item x="4"/>
        <item x="8"/>
        <item x="12"/>
        <item x="11"/>
        <item x="10"/>
        <item x="0"/>
        <item x="5"/>
        <item x="9"/>
        <item x="13"/>
        <item x="7"/>
      </items>
    </pivotField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33"/>
    <field x="34"/>
  </rowFields>
  <rowItems count="22">
    <i>
      <x/>
      <x v="11"/>
    </i>
    <i>
      <x v="1"/>
      <x v="10"/>
    </i>
    <i>
      <x v="2"/>
      <x/>
    </i>
    <i r="1">
      <x v="1"/>
    </i>
    <i r="1">
      <x v="3"/>
    </i>
    <i r="1">
      <x v="8"/>
    </i>
    <i r="1">
      <x v="12"/>
    </i>
    <i>
      <x v="3"/>
      <x/>
    </i>
    <i r="1">
      <x v="2"/>
    </i>
    <i r="1">
      <x v="6"/>
    </i>
    <i r="1">
      <x v="7"/>
    </i>
    <i r="1">
      <x v="8"/>
    </i>
    <i>
      <x v="4"/>
      <x/>
    </i>
    <i r="1">
      <x v="1"/>
    </i>
    <i r="1">
      <x v="2"/>
    </i>
    <i r="1">
      <x v="8"/>
    </i>
    <i r="1">
      <x v="12"/>
    </i>
    <i>
      <x v="5"/>
      <x v="5"/>
    </i>
    <i>
      <x v="7"/>
      <x v="4"/>
    </i>
    <i>
      <x v="8"/>
      <x v="8"/>
    </i>
    <i r="1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 Stock value" fld="23" baseField="23" baseItem="0"/>
    <dataField name="Sum of Total Provision" fld="24" baseField="23" baseItem="0"/>
    <dataField name="Sum of Total weight (kg) in KIR report" fld="28" baseField="23" baseItem="0"/>
  </dataFields>
  <formats count="8">
    <format dxfId="31">
      <pivotArea outline="0" collapsedLevelsAreSubtotals="1" fieldPosition="0"/>
    </format>
    <format dxfId="3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">
      <pivotArea field="-2" type="button" dataOnly="0" labelOnly="1" outline="0" axis="axisCol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">
      <pivotArea type="all" dataOnly="0" outline="0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ustomProperty" Target="../customProperty5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9" Type="http://schemas.openxmlformats.org/officeDocument/2006/relationships/customProperty" Target="../customProperty7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0.bin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2.bin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" x14ac:dyDescent="0.3"/>
  <sheetData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B1:U10993"/>
  <sheetViews>
    <sheetView tabSelected="1" zoomScale="70" zoomScaleNormal="70" workbookViewId="0">
      <selection activeCell="X18" sqref="X18"/>
    </sheetView>
  </sheetViews>
  <sheetFormatPr defaultRowHeight="14.5" x14ac:dyDescent="0.35"/>
  <cols>
    <col min="1" max="1" width="3.19921875" customWidth="1"/>
    <col min="2" max="2" width="9.3984375" style="48" customWidth="1"/>
    <col min="3" max="3" width="23.09765625" bestFit="1" customWidth="1"/>
    <col min="4" max="4" width="31.19921875" style="49" customWidth="1"/>
    <col min="5" max="6" width="10.69921875" style="49" customWidth="1"/>
    <col min="7" max="7" width="7.69921875" style="55" customWidth="1"/>
    <col min="8" max="8" width="10.69921875" customWidth="1"/>
    <col min="9" max="9" width="7.69921875" style="55" customWidth="1"/>
    <col min="10" max="10" width="10.69921875" style="52" customWidth="1"/>
    <col min="11" max="11" width="7.69921875" style="53" customWidth="1"/>
    <col min="12" max="12" width="10.69921875" style="54" customWidth="1"/>
    <col min="13" max="13" width="7.69921875" customWidth="1"/>
    <col min="14" max="14" width="10.69921875" style="52" customWidth="1"/>
    <col min="15" max="15" width="7.69921875" customWidth="1"/>
    <col min="16" max="16" width="10.69921875" style="52" customWidth="1"/>
    <col min="17" max="17" width="7.69921875" customWidth="1"/>
    <col min="18" max="18" width="10.69921875" style="52" customWidth="1"/>
    <col min="19" max="19" width="7.69921875" customWidth="1"/>
    <col min="20" max="20" width="10.69921875" style="52" customWidth="1"/>
    <col min="21" max="21" width="7.69921875" customWidth="1"/>
  </cols>
  <sheetData>
    <row r="1" spans="2:21" x14ac:dyDescent="0.35">
      <c r="B1"/>
      <c r="G1" s="50">
        <v>46143</v>
      </c>
      <c r="I1" s="51"/>
    </row>
    <row r="2" spans="2:21" ht="13.5" thickBot="1" x14ac:dyDescent="0.35">
      <c r="D2"/>
      <c r="E2"/>
      <c r="F2"/>
      <c r="J2"/>
      <c r="K2"/>
      <c r="L2"/>
      <c r="N2"/>
      <c r="P2"/>
      <c r="R2"/>
      <c r="T2"/>
    </row>
    <row r="3" spans="2:21" ht="14" thickTop="1" thickBot="1" x14ac:dyDescent="0.35">
      <c r="C3" s="48"/>
      <c r="D3" s="48"/>
      <c r="E3" s="71" t="s">
        <v>186</v>
      </c>
      <c r="F3" s="72"/>
      <c r="G3" s="73"/>
      <c r="H3" s="73"/>
      <c r="I3" s="74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</row>
    <row r="4" spans="2:21" ht="40" thickTop="1" thickBot="1" x14ac:dyDescent="0.35">
      <c r="B4" s="67" t="s">
        <v>362</v>
      </c>
      <c r="C4" s="67" t="s">
        <v>1454</v>
      </c>
      <c r="D4" s="67" t="s">
        <v>1455</v>
      </c>
      <c r="E4" s="76" t="s">
        <v>1114</v>
      </c>
      <c r="F4" s="75" t="s">
        <v>1115</v>
      </c>
      <c r="G4" s="75" t="s">
        <v>1116</v>
      </c>
      <c r="H4" s="77" t="s">
        <v>1117</v>
      </c>
      <c r="I4" s="78" t="s">
        <v>1118</v>
      </c>
      <c r="J4" s="56" t="s">
        <v>1119</v>
      </c>
      <c r="K4" s="56" t="s">
        <v>1120</v>
      </c>
      <c r="L4" s="56" t="s">
        <v>1121</v>
      </c>
      <c r="M4" s="56" t="s">
        <v>1122</v>
      </c>
      <c r="N4" s="56" t="s">
        <v>1123</v>
      </c>
      <c r="O4" s="57" t="s">
        <v>1124</v>
      </c>
      <c r="P4" s="56" t="s">
        <v>1125</v>
      </c>
      <c r="Q4" s="56" t="s">
        <v>1126</v>
      </c>
      <c r="R4" s="56" t="s">
        <v>1127</v>
      </c>
      <c r="S4" s="56" t="s">
        <v>1128</v>
      </c>
      <c r="T4" s="56" t="s">
        <v>1129</v>
      </c>
      <c r="U4" s="56" t="s">
        <v>1130</v>
      </c>
    </row>
    <row r="5" spans="2:21" ht="13.5" thickTop="1" x14ac:dyDescent="0.3">
      <c r="B5" t="s">
        <v>1155</v>
      </c>
      <c r="C5" t="s">
        <v>1386</v>
      </c>
      <c r="D5" t="s">
        <v>1386</v>
      </c>
      <c r="E5" s="79">
        <v>1201517.21</v>
      </c>
      <c r="F5" s="58">
        <v>0</v>
      </c>
      <c r="G5" s="59">
        <v>0</v>
      </c>
      <c r="H5" s="80">
        <v>0</v>
      </c>
      <c r="I5" s="60">
        <v>0</v>
      </c>
      <c r="J5" s="61">
        <v>1201517.21</v>
      </c>
      <c r="K5" s="68">
        <v>1</v>
      </c>
      <c r="L5" s="61">
        <v>0</v>
      </c>
      <c r="M5" s="68">
        <v>0</v>
      </c>
      <c r="N5" s="61">
        <v>0</v>
      </c>
      <c r="O5" s="69">
        <v>0</v>
      </c>
      <c r="P5" s="61">
        <v>0</v>
      </c>
      <c r="Q5" s="68">
        <v>0</v>
      </c>
      <c r="R5" s="61">
        <v>0</v>
      </c>
      <c r="S5" s="68">
        <v>0</v>
      </c>
      <c r="T5" s="61">
        <v>0</v>
      </c>
      <c r="U5" s="68">
        <v>0</v>
      </c>
    </row>
    <row r="6" spans="2:21" ht="13" x14ac:dyDescent="0.3">
      <c r="B6"/>
      <c r="C6" t="s">
        <v>1416</v>
      </c>
      <c r="D6" t="s">
        <v>1421</v>
      </c>
      <c r="E6" s="81">
        <v>109804.80000000002</v>
      </c>
      <c r="F6" s="194">
        <v>97209.593333333367</v>
      </c>
      <c r="G6" s="195">
        <v>33.887025827834954</v>
      </c>
      <c r="H6" s="196">
        <v>1767.3000000000002</v>
      </c>
      <c r="I6" s="62">
        <v>1.6094924812030075E-2</v>
      </c>
      <c r="J6" s="61">
        <v>0</v>
      </c>
      <c r="K6" s="68">
        <v>0</v>
      </c>
      <c r="L6" s="61">
        <v>105878.20000000001</v>
      </c>
      <c r="M6" s="68">
        <v>0.96424017893571135</v>
      </c>
      <c r="N6" s="61">
        <v>0</v>
      </c>
      <c r="O6" s="69">
        <v>0</v>
      </c>
      <c r="P6" s="61">
        <v>662.6</v>
      </c>
      <c r="Q6" s="68">
        <v>6.0343445823861971E-3</v>
      </c>
      <c r="R6" s="61">
        <v>3264</v>
      </c>
      <c r="S6" s="68">
        <v>2.9725476481902425E-2</v>
      </c>
      <c r="T6" s="61">
        <v>0</v>
      </c>
      <c r="U6" s="68">
        <v>0</v>
      </c>
    </row>
    <row r="7" spans="2:21" ht="13" x14ac:dyDescent="0.3">
      <c r="B7"/>
      <c r="D7" t="s">
        <v>1422</v>
      </c>
      <c r="E7" s="81">
        <v>173440.27000000008</v>
      </c>
      <c r="F7" s="194">
        <v>191471.05000000002</v>
      </c>
      <c r="G7" s="195">
        <v>27.174907642695864</v>
      </c>
      <c r="H7" s="196">
        <v>8532.82</v>
      </c>
      <c r="I7" s="62">
        <v>4.9197455700455237E-2</v>
      </c>
      <c r="J7" s="61">
        <v>0</v>
      </c>
      <c r="K7" s="68">
        <v>0</v>
      </c>
      <c r="L7" s="61">
        <v>145404.66000000006</v>
      </c>
      <c r="M7" s="68">
        <v>0.83835582128648667</v>
      </c>
      <c r="N7" s="61">
        <v>5188.2700000000004</v>
      </c>
      <c r="O7" s="69">
        <v>2.9913871789982789E-2</v>
      </c>
      <c r="P7" s="61">
        <v>12279.27</v>
      </c>
      <c r="Q7" s="68">
        <v>7.0798263863403779E-2</v>
      </c>
      <c r="R7" s="61">
        <v>10409.07</v>
      </c>
      <c r="S7" s="68">
        <v>6.001530094481515E-2</v>
      </c>
      <c r="T7" s="61">
        <v>159</v>
      </c>
      <c r="U7" s="68">
        <v>9.1674211531151285E-4</v>
      </c>
    </row>
    <row r="8" spans="2:21" ht="13" x14ac:dyDescent="0.3">
      <c r="B8"/>
      <c r="D8" t="s">
        <v>1423</v>
      </c>
      <c r="E8" s="81">
        <v>63397.89</v>
      </c>
      <c r="F8" s="194">
        <v>113402.88</v>
      </c>
      <c r="G8" s="195">
        <v>16.77150262850467</v>
      </c>
      <c r="H8" s="196">
        <v>543.41999999999996</v>
      </c>
      <c r="I8" s="62">
        <v>8.5715786440211175E-3</v>
      </c>
      <c r="J8" s="61">
        <v>0</v>
      </c>
      <c r="K8" s="68">
        <v>0</v>
      </c>
      <c r="L8" s="61">
        <v>62000.639999999999</v>
      </c>
      <c r="M8" s="68">
        <v>0.97796062297972375</v>
      </c>
      <c r="N8" s="61">
        <v>0</v>
      </c>
      <c r="O8" s="69">
        <v>0</v>
      </c>
      <c r="P8" s="61">
        <v>0</v>
      </c>
      <c r="Q8" s="68">
        <v>0</v>
      </c>
      <c r="R8" s="61">
        <v>1397.25</v>
      </c>
      <c r="S8" s="68">
        <v>2.2039377020276227E-2</v>
      </c>
      <c r="T8" s="61">
        <v>0</v>
      </c>
      <c r="U8" s="68">
        <v>0</v>
      </c>
    </row>
    <row r="9" spans="2:21" ht="13" x14ac:dyDescent="0.3">
      <c r="B9"/>
      <c r="C9" t="s">
        <v>1417</v>
      </c>
      <c r="D9" t="s">
        <v>1421</v>
      </c>
      <c r="E9" s="81">
        <v>495273.76999999996</v>
      </c>
      <c r="F9" s="194">
        <v>597766.91000000015</v>
      </c>
      <c r="G9" s="195">
        <v>24.856198714646141</v>
      </c>
      <c r="H9" s="196">
        <v>7734.02</v>
      </c>
      <c r="I9" s="62">
        <v>1.5615646271757943E-2</v>
      </c>
      <c r="J9" s="61">
        <v>0</v>
      </c>
      <c r="K9" s="68">
        <v>0</v>
      </c>
      <c r="L9" s="61">
        <v>436947.22000000003</v>
      </c>
      <c r="M9" s="68">
        <v>0.88223371893892155</v>
      </c>
      <c r="N9" s="61">
        <v>36258.1</v>
      </c>
      <c r="O9" s="69">
        <v>7.3208197559099492E-2</v>
      </c>
      <c r="P9" s="61">
        <v>12365.039999999999</v>
      </c>
      <c r="Q9" s="68">
        <v>2.49660707854567E-2</v>
      </c>
      <c r="R9" s="61">
        <v>8704.0299999999988</v>
      </c>
      <c r="S9" s="68">
        <v>1.7574179226168184E-2</v>
      </c>
      <c r="T9" s="61">
        <v>999.38</v>
      </c>
      <c r="U9" s="68">
        <v>2.0178334903542339E-3</v>
      </c>
    </row>
    <row r="10" spans="2:21" ht="13" x14ac:dyDescent="0.3">
      <c r="B10"/>
      <c r="D10" t="s">
        <v>1424</v>
      </c>
      <c r="E10" s="81">
        <v>220149.72</v>
      </c>
      <c r="F10" s="194">
        <v>259977.47666666663</v>
      </c>
      <c r="G10" s="195">
        <v>25.404091480078606</v>
      </c>
      <c r="H10" s="196">
        <v>6671.25</v>
      </c>
      <c r="I10" s="62">
        <v>3.0303240903508756E-2</v>
      </c>
      <c r="J10" s="61">
        <v>0</v>
      </c>
      <c r="K10" s="68">
        <v>0</v>
      </c>
      <c r="L10" s="61">
        <v>174298.82</v>
      </c>
      <c r="M10" s="68">
        <v>0.79172855636609485</v>
      </c>
      <c r="N10" s="61">
        <v>16447.169999999998</v>
      </c>
      <c r="O10" s="69">
        <v>7.4709020751877395E-2</v>
      </c>
      <c r="P10" s="61">
        <v>24410.53</v>
      </c>
      <c r="Q10" s="68">
        <v>0.11088149464827844</v>
      </c>
      <c r="R10" s="61">
        <v>4828.2</v>
      </c>
      <c r="S10" s="68">
        <v>2.1931438295719839E-2</v>
      </c>
      <c r="T10" s="61">
        <v>165</v>
      </c>
      <c r="U10" s="68">
        <v>7.4948993802944654E-4</v>
      </c>
    </row>
    <row r="11" spans="2:21" ht="13" x14ac:dyDescent="0.3">
      <c r="B11"/>
      <c r="C11" t="s">
        <v>1418</v>
      </c>
      <c r="D11" t="s">
        <v>1421</v>
      </c>
      <c r="E11" s="81">
        <v>228950.99</v>
      </c>
      <c r="F11" s="194">
        <v>447357.86666666664</v>
      </c>
      <c r="G11" s="195">
        <v>15.353546258565849</v>
      </c>
      <c r="H11" s="196">
        <v>0</v>
      </c>
      <c r="I11" s="62">
        <v>0</v>
      </c>
      <c r="J11" s="61">
        <v>145.80000000000001</v>
      </c>
      <c r="K11" s="68">
        <v>6.3681751277860834E-4</v>
      </c>
      <c r="L11" s="61">
        <v>228613.91999999998</v>
      </c>
      <c r="M11" s="68">
        <v>0.99852776351829708</v>
      </c>
      <c r="N11" s="61">
        <v>191.27</v>
      </c>
      <c r="O11" s="69">
        <v>8.3541896892431002E-4</v>
      </c>
      <c r="P11" s="61">
        <v>0</v>
      </c>
      <c r="Q11" s="68">
        <v>0</v>
      </c>
      <c r="R11" s="61">
        <v>0</v>
      </c>
      <c r="S11" s="68">
        <v>0</v>
      </c>
      <c r="T11" s="61">
        <v>0</v>
      </c>
      <c r="U11" s="68">
        <v>0</v>
      </c>
    </row>
    <row r="12" spans="2:21" ht="13" x14ac:dyDescent="0.3">
      <c r="B12"/>
      <c r="D12" t="s">
        <v>1422</v>
      </c>
      <c r="E12" s="81">
        <v>135062.22</v>
      </c>
      <c r="F12" s="194">
        <v>115924.65666666671</v>
      </c>
      <c r="G12" s="195">
        <v>34.95258658950236</v>
      </c>
      <c r="H12" s="196">
        <v>2077.3199999999997</v>
      </c>
      <c r="I12" s="62">
        <v>1.5380466869269584E-2</v>
      </c>
      <c r="J12" s="61">
        <v>0</v>
      </c>
      <c r="K12" s="68">
        <v>0</v>
      </c>
      <c r="L12" s="61">
        <v>115270.32999999999</v>
      </c>
      <c r="M12" s="68">
        <v>0.85346094562935504</v>
      </c>
      <c r="N12" s="61">
        <v>4105.1900000000005</v>
      </c>
      <c r="O12" s="69">
        <v>3.0394806186363591E-2</v>
      </c>
      <c r="P12" s="61">
        <v>15434.7</v>
      </c>
      <c r="Q12" s="68">
        <v>0.11427844144720856</v>
      </c>
      <c r="R12" s="61">
        <v>252</v>
      </c>
      <c r="S12" s="68">
        <v>1.8658067370727358E-3</v>
      </c>
      <c r="T12" s="61">
        <v>0</v>
      </c>
      <c r="U12" s="68">
        <v>0</v>
      </c>
    </row>
    <row r="13" spans="2:21" ht="13" x14ac:dyDescent="0.3">
      <c r="B13"/>
      <c r="D13" t="s">
        <v>1424</v>
      </c>
      <c r="E13" s="81">
        <v>61137.74</v>
      </c>
      <c r="F13" s="194">
        <v>47581.146666666697</v>
      </c>
      <c r="G13" s="195">
        <v>38.547456891889368</v>
      </c>
      <c r="H13" s="196">
        <v>203.42</v>
      </c>
      <c r="I13" s="62">
        <v>3.3272410789145952E-3</v>
      </c>
      <c r="J13" s="61">
        <v>0</v>
      </c>
      <c r="K13" s="68">
        <v>0</v>
      </c>
      <c r="L13" s="61">
        <v>59745.919999999998</v>
      </c>
      <c r="M13" s="68">
        <v>0.97723468351954124</v>
      </c>
      <c r="N13" s="61">
        <v>171.42</v>
      </c>
      <c r="O13" s="69">
        <v>2.8038327880618419E-3</v>
      </c>
      <c r="P13" s="61">
        <v>1220.4000000000001</v>
      </c>
      <c r="Q13" s="68">
        <v>1.9961483692396875E-2</v>
      </c>
      <c r="R13" s="61">
        <v>0</v>
      </c>
      <c r="S13" s="68">
        <v>0</v>
      </c>
      <c r="T13" s="61">
        <v>0</v>
      </c>
      <c r="U13" s="68">
        <v>0</v>
      </c>
    </row>
    <row r="14" spans="2:21" ht="13" x14ac:dyDescent="0.3">
      <c r="B14"/>
      <c r="C14" t="s">
        <v>1419</v>
      </c>
      <c r="D14" t="s">
        <v>1426</v>
      </c>
      <c r="E14" s="81">
        <v>275278.59000000003</v>
      </c>
      <c r="F14" s="194">
        <v>191789.22</v>
      </c>
      <c r="G14" s="195">
        <v>43.05955100083311</v>
      </c>
      <c r="H14" s="196">
        <v>22800.670000000002</v>
      </c>
      <c r="I14" s="62">
        <v>8.2827618377440834E-2</v>
      </c>
      <c r="J14" s="61">
        <v>0</v>
      </c>
      <c r="K14" s="68">
        <v>0</v>
      </c>
      <c r="L14" s="61">
        <v>207155.44</v>
      </c>
      <c r="M14" s="68">
        <v>0.75253015499679787</v>
      </c>
      <c r="N14" s="61">
        <v>22686.14</v>
      </c>
      <c r="O14" s="69">
        <v>8.2411567132772645E-2</v>
      </c>
      <c r="P14" s="61">
        <v>17957.420000000002</v>
      </c>
      <c r="Q14" s="68">
        <v>6.523362387172936E-2</v>
      </c>
      <c r="R14" s="61">
        <v>25291.840000000004</v>
      </c>
      <c r="S14" s="68">
        <v>9.1877250606376623E-2</v>
      </c>
      <c r="T14" s="61">
        <v>2187.75</v>
      </c>
      <c r="U14" s="68">
        <v>7.9474033923233912E-3</v>
      </c>
    </row>
    <row r="15" spans="2:21" ht="13" x14ac:dyDescent="0.3">
      <c r="B15"/>
      <c r="C15" t="s">
        <v>2599</v>
      </c>
      <c r="D15" t="s">
        <v>2823</v>
      </c>
      <c r="E15" s="81"/>
      <c r="F15" s="194">
        <v>50</v>
      </c>
      <c r="G15" s="195">
        <v>0</v>
      </c>
      <c r="H15" s="196"/>
      <c r="I15" s="62">
        <v>0</v>
      </c>
      <c r="J15" s="61"/>
      <c r="K15" s="68">
        <v>0</v>
      </c>
      <c r="L15" s="61"/>
      <c r="M15" s="68">
        <v>0</v>
      </c>
      <c r="N15" s="61"/>
      <c r="O15" s="69">
        <v>0</v>
      </c>
      <c r="P15" s="61"/>
      <c r="Q15" s="68">
        <v>0</v>
      </c>
      <c r="R15" s="61"/>
      <c r="S15" s="68">
        <v>0</v>
      </c>
      <c r="T15" s="61"/>
      <c r="U15" s="68">
        <v>0</v>
      </c>
    </row>
    <row r="16" spans="2:21" ht="13" x14ac:dyDescent="0.3">
      <c r="B16" s="146" t="s">
        <v>1456</v>
      </c>
      <c r="C16" s="146"/>
      <c r="D16" s="146"/>
      <c r="E16" s="147">
        <v>2964013.2000000007</v>
      </c>
      <c r="F16" s="197">
        <v>2062530.8000000003</v>
      </c>
      <c r="G16" s="198">
        <v>43.112275462747043</v>
      </c>
      <c r="H16" s="199">
        <v>50330.22</v>
      </c>
      <c r="I16" s="149">
        <v>1.6980430451524295E-2</v>
      </c>
      <c r="J16" s="148">
        <v>1201663.01</v>
      </c>
      <c r="K16" s="150">
        <v>0.4054175635924967</v>
      </c>
      <c r="L16" s="148">
        <v>1535315.15</v>
      </c>
      <c r="M16" s="150">
        <v>0.51798526065943262</v>
      </c>
      <c r="N16" s="148">
        <v>85047.56</v>
      </c>
      <c r="O16" s="151">
        <v>2.8693380987642018E-2</v>
      </c>
      <c r="P16" s="148">
        <v>84329.959999999992</v>
      </c>
      <c r="Q16" s="150">
        <v>2.8451276802680892E-2</v>
      </c>
      <c r="R16" s="148">
        <v>54146.39</v>
      </c>
      <c r="S16" s="150">
        <v>1.8267931465352442E-2</v>
      </c>
      <c r="T16" s="148">
        <v>3511.13</v>
      </c>
      <c r="U16" s="150">
        <v>1.1845864923948379E-3</v>
      </c>
    </row>
    <row r="17" spans="2:21" ht="13" x14ac:dyDescent="0.3">
      <c r="B17" t="s">
        <v>1158</v>
      </c>
      <c r="C17" t="s">
        <v>1374</v>
      </c>
      <c r="D17" t="s">
        <v>1374</v>
      </c>
      <c r="E17" s="81">
        <v>206251.86999999994</v>
      </c>
      <c r="F17" s="194">
        <v>40796.226666666669</v>
      </c>
      <c r="G17" s="195">
        <v>151.66981374421223</v>
      </c>
      <c r="H17" s="196">
        <v>15518.060000000001</v>
      </c>
      <c r="I17" s="62">
        <v>7.5238396626416071E-2</v>
      </c>
      <c r="J17" s="61">
        <v>0</v>
      </c>
      <c r="K17" s="68">
        <v>0</v>
      </c>
      <c r="L17" s="61">
        <v>112711.66</v>
      </c>
      <c r="M17" s="68">
        <v>0.54647582104346515</v>
      </c>
      <c r="N17" s="61">
        <v>52650.020000000004</v>
      </c>
      <c r="O17" s="69">
        <v>0.25527050978980226</v>
      </c>
      <c r="P17" s="61">
        <v>29448.629999999997</v>
      </c>
      <c r="Q17" s="68">
        <v>0.14277994182549716</v>
      </c>
      <c r="R17" s="61">
        <v>6323.3900000000012</v>
      </c>
      <c r="S17" s="68">
        <v>3.0658582634911398E-2</v>
      </c>
      <c r="T17" s="61">
        <v>5118.170000000001</v>
      </c>
      <c r="U17" s="68">
        <v>2.4815144706324371E-2</v>
      </c>
    </row>
    <row r="18" spans="2:21" ht="13" x14ac:dyDescent="0.3">
      <c r="B18"/>
      <c r="C18" t="s">
        <v>1416</v>
      </c>
      <c r="D18" t="s">
        <v>1376</v>
      </c>
      <c r="E18" s="81">
        <v>1230752.1899999997</v>
      </c>
      <c r="F18" s="194">
        <v>213273.78333333333</v>
      </c>
      <c r="G18" s="195">
        <v>173.12285233995391</v>
      </c>
      <c r="H18" s="196">
        <v>30684.370000000003</v>
      </c>
      <c r="I18" s="62">
        <v>2.49313958157572E-2</v>
      </c>
      <c r="J18" s="61">
        <v>0</v>
      </c>
      <c r="K18" s="68">
        <v>0</v>
      </c>
      <c r="L18" s="61">
        <v>1070678.51</v>
      </c>
      <c r="M18" s="68">
        <v>0.86993833421494893</v>
      </c>
      <c r="N18" s="61">
        <v>90324.260000000009</v>
      </c>
      <c r="O18" s="69">
        <v>7.3389477373182674E-2</v>
      </c>
      <c r="P18" s="61">
        <v>40780.959999999992</v>
      </c>
      <c r="Q18" s="68">
        <v>3.3134988774628955E-2</v>
      </c>
      <c r="R18" s="61">
        <v>28876.06</v>
      </c>
      <c r="S18" s="68">
        <v>2.3462123597765044E-2</v>
      </c>
      <c r="T18" s="61">
        <v>92.4</v>
      </c>
      <c r="U18" s="68">
        <v>7.5076039474689072E-5</v>
      </c>
    </row>
    <row r="19" spans="2:21" ht="13" x14ac:dyDescent="0.3">
      <c r="B19"/>
      <c r="D19" t="s">
        <v>1543</v>
      </c>
      <c r="E19" s="81">
        <v>0</v>
      </c>
      <c r="F19" s="194">
        <v>0</v>
      </c>
      <c r="G19" s="195">
        <v>0</v>
      </c>
      <c r="H19" s="196">
        <v>0</v>
      </c>
      <c r="I19" s="62">
        <v>0</v>
      </c>
      <c r="J19" s="61">
        <v>0</v>
      </c>
      <c r="K19" s="68">
        <v>0</v>
      </c>
      <c r="L19" s="61">
        <v>0</v>
      </c>
      <c r="M19" s="68">
        <v>0</v>
      </c>
      <c r="N19" s="61">
        <v>0</v>
      </c>
      <c r="O19" s="69">
        <v>0</v>
      </c>
      <c r="P19" s="61">
        <v>0</v>
      </c>
      <c r="Q19" s="68">
        <v>0</v>
      </c>
      <c r="R19" s="61">
        <v>0</v>
      </c>
      <c r="S19" s="68">
        <v>0</v>
      </c>
      <c r="T19" s="61">
        <v>0</v>
      </c>
      <c r="U19" s="68">
        <v>0</v>
      </c>
    </row>
    <row r="20" spans="2:21" ht="13" x14ac:dyDescent="0.3">
      <c r="B20"/>
      <c r="C20" t="s">
        <v>1417</v>
      </c>
      <c r="D20" t="s">
        <v>1425</v>
      </c>
      <c r="E20" s="81">
        <v>84309.069999999992</v>
      </c>
      <c r="F20" s="194">
        <v>60804.273333333338</v>
      </c>
      <c r="G20" s="195">
        <v>41.596946420761427</v>
      </c>
      <c r="H20" s="196">
        <v>766.21</v>
      </c>
      <c r="I20" s="62">
        <v>9.0881087882952582E-3</v>
      </c>
      <c r="J20" s="61">
        <v>0</v>
      </c>
      <c r="K20" s="68">
        <v>0</v>
      </c>
      <c r="L20" s="61">
        <v>68311.62</v>
      </c>
      <c r="M20" s="68">
        <v>0.81025232516501489</v>
      </c>
      <c r="N20" s="61">
        <v>14743.75</v>
      </c>
      <c r="O20" s="69">
        <v>0.17487738863683353</v>
      </c>
      <c r="P20" s="61">
        <v>0</v>
      </c>
      <c r="Q20" s="68">
        <v>0</v>
      </c>
      <c r="R20" s="61">
        <v>1253.7</v>
      </c>
      <c r="S20" s="68">
        <v>1.4870286198151636E-2</v>
      </c>
      <c r="T20" s="61">
        <v>0</v>
      </c>
      <c r="U20" s="68">
        <v>0</v>
      </c>
    </row>
    <row r="21" spans="2:21" ht="13" x14ac:dyDescent="0.3">
      <c r="B21"/>
      <c r="D21" t="s">
        <v>1398</v>
      </c>
      <c r="E21" s="81">
        <v>189098.44</v>
      </c>
      <c r="F21" s="194">
        <v>25894.429999999997</v>
      </c>
      <c r="G21" s="195">
        <v>219.08005698522811</v>
      </c>
      <c r="H21" s="196">
        <v>0</v>
      </c>
      <c r="I21" s="62">
        <v>0</v>
      </c>
      <c r="J21" s="61">
        <v>0</v>
      </c>
      <c r="K21" s="68">
        <v>0</v>
      </c>
      <c r="L21" s="61">
        <v>120147.51</v>
      </c>
      <c r="M21" s="68">
        <v>0.63537018073760942</v>
      </c>
      <c r="N21" s="61">
        <v>68950.929999999993</v>
      </c>
      <c r="O21" s="69">
        <v>0.36462981926239046</v>
      </c>
      <c r="P21" s="61">
        <v>0</v>
      </c>
      <c r="Q21" s="68">
        <v>0</v>
      </c>
      <c r="R21" s="61">
        <v>0</v>
      </c>
      <c r="S21" s="68">
        <v>0</v>
      </c>
      <c r="T21" s="61">
        <v>0</v>
      </c>
      <c r="U21" s="68">
        <v>0</v>
      </c>
    </row>
    <row r="22" spans="2:21" ht="13" x14ac:dyDescent="0.3">
      <c r="B22"/>
      <c r="D22" t="s">
        <v>1376</v>
      </c>
      <c r="E22" s="81">
        <v>789122.67</v>
      </c>
      <c r="F22" s="194">
        <v>438114.65333333338</v>
      </c>
      <c r="G22" s="195">
        <v>54.035353348449213</v>
      </c>
      <c r="H22" s="196">
        <v>25781.119999999999</v>
      </c>
      <c r="I22" s="62">
        <v>3.2670611275177279E-2</v>
      </c>
      <c r="J22" s="61">
        <v>0</v>
      </c>
      <c r="K22" s="68">
        <v>0</v>
      </c>
      <c r="L22" s="61">
        <v>729522.55</v>
      </c>
      <c r="M22" s="68">
        <v>0.92447293397362418</v>
      </c>
      <c r="N22" s="61">
        <v>9240</v>
      </c>
      <c r="O22" s="69">
        <v>1.1709206123808354E-2</v>
      </c>
      <c r="P22" s="61">
        <v>0</v>
      </c>
      <c r="Q22" s="68">
        <v>0</v>
      </c>
      <c r="R22" s="61">
        <v>50360.12</v>
      </c>
      <c r="S22" s="68">
        <v>6.3817859902567498E-2</v>
      </c>
      <c r="T22" s="61">
        <v>0</v>
      </c>
      <c r="U22" s="68">
        <v>0</v>
      </c>
    </row>
    <row r="23" spans="2:21" ht="13" x14ac:dyDescent="0.3">
      <c r="B23"/>
      <c r="C23" t="s">
        <v>1418</v>
      </c>
      <c r="D23" t="s">
        <v>1376</v>
      </c>
      <c r="E23" s="81">
        <v>1137022.3700000001</v>
      </c>
      <c r="F23" s="194">
        <v>311770.81333333335</v>
      </c>
      <c r="G23" s="195">
        <v>109.40944322305818</v>
      </c>
      <c r="H23" s="196">
        <v>3140.72</v>
      </c>
      <c r="I23" s="62">
        <v>2.7622323736691298E-3</v>
      </c>
      <c r="J23" s="61">
        <v>0</v>
      </c>
      <c r="K23" s="68">
        <v>0</v>
      </c>
      <c r="L23" s="61">
        <v>1052630.56</v>
      </c>
      <c r="M23" s="68">
        <v>0.92577823248983215</v>
      </c>
      <c r="N23" s="61">
        <v>72103.740000000005</v>
      </c>
      <c r="O23" s="69">
        <v>6.3414530709716824E-2</v>
      </c>
      <c r="P23" s="61">
        <v>12208.890000000001</v>
      </c>
      <c r="Q23" s="68">
        <v>1.0737598768615256E-2</v>
      </c>
      <c r="R23" s="61">
        <v>0</v>
      </c>
      <c r="S23" s="68">
        <v>0</v>
      </c>
      <c r="T23" s="61">
        <v>79.180000000000007</v>
      </c>
      <c r="U23" s="68">
        <v>6.9638031835732482E-5</v>
      </c>
    </row>
    <row r="24" spans="2:21" ht="13" x14ac:dyDescent="0.3">
      <c r="B24"/>
      <c r="D24" t="s">
        <v>1543</v>
      </c>
      <c r="E24" s="81">
        <v>0</v>
      </c>
      <c r="F24" s="194">
        <v>0</v>
      </c>
      <c r="G24" s="195">
        <v>0</v>
      </c>
      <c r="H24" s="196">
        <v>0</v>
      </c>
      <c r="I24" s="62">
        <v>0</v>
      </c>
      <c r="J24" s="61">
        <v>0</v>
      </c>
      <c r="K24" s="68">
        <v>0</v>
      </c>
      <c r="L24" s="61">
        <v>0</v>
      </c>
      <c r="M24" s="68">
        <v>0</v>
      </c>
      <c r="N24" s="61">
        <v>0</v>
      </c>
      <c r="O24" s="69">
        <v>0</v>
      </c>
      <c r="P24" s="61">
        <v>0</v>
      </c>
      <c r="Q24" s="68">
        <v>0</v>
      </c>
      <c r="R24" s="61">
        <v>0</v>
      </c>
      <c r="S24" s="68">
        <v>0</v>
      </c>
      <c r="T24" s="61">
        <v>0</v>
      </c>
      <c r="U24" s="68">
        <v>0</v>
      </c>
    </row>
    <row r="25" spans="2:21" ht="13" x14ac:dyDescent="0.3">
      <c r="B25"/>
      <c r="C25" t="s">
        <v>2599</v>
      </c>
      <c r="D25" t="s">
        <v>1376</v>
      </c>
      <c r="E25" s="81">
        <v>1574.52</v>
      </c>
      <c r="F25" s="194">
        <v>6.8233333333333333</v>
      </c>
      <c r="G25" s="195">
        <v>6922.6575476306798</v>
      </c>
      <c r="H25" s="196">
        <v>0</v>
      </c>
      <c r="I25" s="62">
        <v>0</v>
      </c>
      <c r="J25" s="61">
        <v>0</v>
      </c>
      <c r="K25" s="68">
        <v>0</v>
      </c>
      <c r="L25" s="61">
        <v>1450.01</v>
      </c>
      <c r="M25" s="68">
        <v>0.92092193176333104</v>
      </c>
      <c r="N25" s="61">
        <v>124.51</v>
      </c>
      <c r="O25" s="69">
        <v>7.9078068236668964E-2</v>
      </c>
      <c r="P25" s="61">
        <v>0</v>
      </c>
      <c r="Q25" s="68">
        <v>0</v>
      </c>
      <c r="R25" s="61">
        <v>0</v>
      </c>
      <c r="S25" s="68">
        <v>0</v>
      </c>
      <c r="T25" s="61">
        <v>0</v>
      </c>
      <c r="U25" s="68">
        <v>0</v>
      </c>
    </row>
    <row r="26" spans="2:21" ht="13" x14ac:dyDescent="0.3">
      <c r="B26" s="146" t="s">
        <v>1457</v>
      </c>
      <c r="C26" s="146"/>
      <c r="D26" s="146"/>
      <c r="E26" s="147">
        <v>3638131.13</v>
      </c>
      <c r="F26" s="197">
        <v>1090661.0033333334</v>
      </c>
      <c r="G26" s="198">
        <v>100.0713636651799</v>
      </c>
      <c r="H26" s="199">
        <v>75890.48000000001</v>
      </c>
      <c r="I26" s="149">
        <v>2.0859742897722321E-2</v>
      </c>
      <c r="J26" s="148">
        <v>0</v>
      </c>
      <c r="K26" s="150">
        <v>0</v>
      </c>
      <c r="L26" s="148">
        <v>3155452.42</v>
      </c>
      <c r="M26" s="150">
        <v>0.86732784147887487</v>
      </c>
      <c r="N26" s="148">
        <v>308137.21000000002</v>
      </c>
      <c r="O26" s="151">
        <v>8.4696565074057692E-2</v>
      </c>
      <c r="P26" s="148">
        <v>82438.48</v>
      </c>
      <c r="Q26" s="150">
        <v>2.2659568073347597E-2</v>
      </c>
      <c r="R26" s="148">
        <v>86813.27</v>
      </c>
      <c r="S26" s="150">
        <v>2.3862050843670386E-2</v>
      </c>
      <c r="T26" s="148">
        <v>5289.7500000000009</v>
      </c>
      <c r="U26" s="150">
        <v>1.4539745300494436E-3</v>
      </c>
    </row>
    <row r="27" spans="2:21" ht="13.5" thickBot="1" x14ac:dyDescent="0.35">
      <c r="B27" s="48" t="s">
        <v>159</v>
      </c>
      <c r="C27" s="48"/>
      <c r="D27" s="48"/>
      <c r="E27" s="82">
        <v>6602144.330000001</v>
      </c>
      <c r="F27" s="63">
        <v>3153191.8033333337</v>
      </c>
      <c r="G27" s="64">
        <v>62.813917532901193</v>
      </c>
      <c r="H27" s="83">
        <v>126220.7</v>
      </c>
      <c r="I27" s="65">
        <v>1.9118137031093947E-2</v>
      </c>
      <c r="J27" s="61">
        <v>1201663.01</v>
      </c>
      <c r="K27" s="68">
        <v>0.18201101792635299</v>
      </c>
      <c r="L27" s="61">
        <v>4690767.57</v>
      </c>
      <c r="M27" s="68">
        <v>0.71049152147208494</v>
      </c>
      <c r="N27" s="61">
        <v>393184.77</v>
      </c>
      <c r="O27" s="69">
        <v>5.9554100962830647E-2</v>
      </c>
      <c r="P27" s="61">
        <v>166768.44</v>
      </c>
      <c r="Q27" s="68">
        <v>2.5259738603745429E-2</v>
      </c>
      <c r="R27" s="61">
        <v>140959.66</v>
      </c>
      <c r="S27" s="68">
        <v>2.1350587468904968E-2</v>
      </c>
      <c r="T27" s="61">
        <v>8800.880000000001</v>
      </c>
      <c r="U27" s="68">
        <v>1.3330335660807948E-3</v>
      </c>
    </row>
    <row r="28" spans="2:21" ht="13.5" thickTop="1" x14ac:dyDescent="0.3">
      <c r="B28"/>
      <c r="D28"/>
      <c r="E28"/>
      <c r="F28"/>
      <c r="G28"/>
      <c r="I28"/>
      <c r="J28"/>
      <c r="K28"/>
      <c r="L28"/>
      <c r="N28"/>
      <c r="P28"/>
      <c r="R28"/>
      <c r="T28"/>
    </row>
    <row r="29" spans="2:21" ht="13.5" thickTop="1" x14ac:dyDescent="0.3">
      <c r="B29"/>
      <c r="D29"/>
      <c r="E29"/>
      <c r="F29"/>
      <c r="G29"/>
      <c r="I29"/>
      <c r="J29"/>
      <c r="K29"/>
      <c r="L29"/>
      <c r="N29"/>
      <c r="P29"/>
      <c r="R29"/>
      <c r="T29"/>
    </row>
    <row r="30" spans="2:21" ht="13" x14ac:dyDescent="0.3">
      <c r="B30"/>
      <c r="D30"/>
      <c r="E30"/>
      <c r="F30"/>
      <c r="G30"/>
      <c r="I30"/>
      <c r="J30"/>
      <c r="K30"/>
      <c r="L30"/>
      <c r="N30"/>
      <c r="P30"/>
      <c r="R30"/>
      <c r="T30"/>
    </row>
    <row r="31" spans="2:21" ht="13" x14ac:dyDescent="0.3">
      <c r="B31"/>
      <c r="D31"/>
      <c r="E31"/>
      <c r="F31"/>
      <c r="G31"/>
      <c r="I31"/>
      <c r="J31"/>
      <c r="K31"/>
      <c r="L31"/>
      <c r="N31"/>
      <c r="P31"/>
      <c r="R31"/>
      <c r="T31"/>
    </row>
    <row r="32" spans="2:21" ht="13" x14ac:dyDescent="0.3">
      <c r="B32"/>
      <c r="D32"/>
      <c r="E32"/>
      <c r="F32"/>
      <c r="G32"/>
      <c r="I32"/>
      <c r="J32"/>
      <c r="K32"/>
      <c r="L32"/>
      <c r="N32"/>
      <c r="P32"/>
      <c r="R32"/>
      <c r="T32"/>
    </row>
    <row r="33" spans="7:9" customFormat="1" ht="13" x14ac:dyDescent="0.3"/>
    <row r="34" spans="7:9" customFormat="1" ht="13.5" thickBot="1" x14ac:dyDescent="0.35"/>
    <row r="35" spans="7:9" customFormat="1" ht="13.5" thickTop="1" x14ac:dyDescent="0.3"/>
    <row r="36" spans="7:9" customFormat="1" ht="13.5" thickBot="1" x14ac:dyDescent="0.35"/>
    <row r="37" spans="7:9" customFormat="1" ht="13.5" thickTop="1" x14ac:dyDescent="0.3"/>
    <row r="38" spans="7:9" customFormat="1" ht="13" x14ac:dyDescent="0.3"/>
    <row r="39" spans="7:9" customFormat="1" ht="13" x14ac:dyDescent="0.3"/>
    <row r="40" spans="7:9" customFormat="1" ht="13" x14ac:dyDescent="0.3"/>
    <row r="41" spans="7:9" customFormat="1" ht="13" x14ac:dyDescent="0.3"/>
    <row r="42" spans="7:9" customFormat="1" ht="13.5" thickBot="1" x14ac:dyDescent="0.35"/>
    <row r="43" spans="7:9" customFormat="1" ht="13.5" thickTop="1" x14ac:dyDescent="0.3"/>
    <row r="44" spans="7:9" customFormat="1" ht="13.5" thickTop="1" x14ac:dyDescent="0.3"/>
    <row r="45" spans="7:9" customFormat="1" ht="13" x14ac:dyDescent="0.3"/>
    <row r="46" spans="7:9" customFormat="1" ht="13" x14ac:dyDescent="0.3"/>
    <row r="47" spans="7:9" customFormat="1" ht="13" x14ac:dyDescent="0.3">
      <c r="G47" s="55"/>
      <c r="I47" s="55"/>
    </row>
    <row r="48" spans="7:9" customFormat="1" ht="13" x14ac:dyDescent="0.3">
      <c r="G48" s="55"/>
      <c r="I48" s="55"/>
    </row>
    <row r="49" spans="7:9" customFormat="1" ht="13" x14ac:dyDescent="0.3">
      <c r="G49" s="55"/>
      <c r="I49" s="55"/>
    </row>
    <row r="50" spans="7:9" customFormat="1" ht="13" x14ac:dyDescent="0.3">
      <c r="G50" s="55"/>
      <c r="I50" s="55"/>
    </row>
    <row r="51" spans="7:9" customFormat="1" ht="13" x14ac:dyDescent="0.3">
      <c r="G51" s="55"/>
      <c r="I51" s="55"/>
    </row>
    <row r="52" spans="7:9" customFormat="1" ht="13" x14ac:dyDescent="0.3">
      <c r="G52" s="55"/>
      <c r="I52" s="55"/>
    </row>
    <row r="53" spans="7:9" customFormat="1" ht="13" x14ac:dyDescent="0.3">
      <c r="G53" s="55"/>
      <c r="I53" s="55"/>
    </row>
    <row r="54" spans="7:9" customFormat="1" ht="13" x14ac:dyDescent="0.3">
      <c r="G54" s="55"/>
      <c r="I54" s="55"/>
    </row>
    <row r="55" spans="7:9" customFormat="1" ht="13" x14ac:dyDescent="0.3">
      <c r="G55" s="55"/>
      <c r="I55" s="55"/>
    </row>
    <row r="56" spans="7:9" customFormat="1" ht="13" x14ac:dyDescent="0.3">
      <c r="G56" s="55"/>
      <c r="I56" s="55"/>
    </row>
    <row r="57" spans="7:9" customFormat="1" ht="13" x14ac:dyDescent="0.3">
      <c r="G57" s="55"/>
      <c r="I57" s="55"/>
    </row>
    <row r="58" spans="7:9" customFormat="1" ht="13" x14ac:dyDescent="0.3">
      <c r="G58" s="55"/>
      <c r="I58" s="55"/>
    </row>
    <row r="59" spans="7:9" customFormat="1" ht="13" x14ac:dyDescent="0.3">
      <c r="G59" s="55"/>
      <c r="I59" s="55"/>
    </row>
    <row r="60" spans="7:9" customFormat="1" ht="13" x14ac:dyDescent="0.3">
      <c r="G60" s="55"/>
      <c r="I60" s="55"/>
    </row>
    <row r="61" spans="7:9" customFormat="1" ht="13" x14ac:dyDescent="0.3">
      <c r="G61" s="55"/>
      <c r="I61" s="55"/>
    </row>
    <row r="62" spans="7:9" customFormat="1" ht="13" x14ac:dyDescent="0.3">
      <c r="G62" s="55"/>
      <c r="I62" s="55"/>
    </row>
    <row r="63" spans="7:9" customFormat="1" ht="13" x14ac:dyDescent="0.3">
      <c r="G63" s="55"/>
      <c r="I63" s="55"/>
    </row>
    <row r="64" spans="7:9" customFormat="1" ht="13" x14ac:dyDescent="0.3">
      <c r="G64" s="55"/>
      <c r="I64" s="55"/>
    </row>
    <row r="65" spans="7:9" customFormat="1" ht="13" x14ac:dyDescent="0.3">
      <c r="G65" s="55"/>
      <c r="I65" s="55"/>
    </row>
    <row r="66" spans="7:9" customFormat="1" ht="13" x14ac:dyDescent="0.3">
      <c r="G66" s="55"/>
      <c r="I66" s="55"/>
    </row>
    <row r="67" spans="7:9" customFormat="1" ht="13" x14ac:dyDescent="0.3">
      <c r="G67" s="55"/>
      <c r="I67" s="55"/>
    </row>
    <row r="68" spans="7:9" customFormat="1" ht="13" x14ac:dyDescent="0.3">
      <c r="G68" s="55"/>
      <c r="I68" s="55"/>
    </row>
    <row r="69" spans="7:9" customFormat="1" ht="13" x14ac:dyDescent="0.3">
      <c r="G69" s="55"/>
      <c r="I69" s="55"/>
    </row>
    <row r="70" spans="7:9" customFormat="1" ht="13" x14ac:dyDescent="0.3">
      <c r="G70" s="55"/>
      <c r="I70" s="55"/>
    </row>
    <row r="71" spans="7:9" customFormat="1" ht="13" x14ac:dyDescent="0.3">
      <c r="G71" s="55"/>
      <c r="I71" s="55"/>
    </row>
    <row r="72" spans="7:9" customFormat="1" ht="13" x14ac:dyDescent="0.3">
      <c r="G72" s="55"/>
      <c r="I72" s="55"/>
    </row>
    <row r="73" spans="7:9" customFormat="1" ht="13" x14ac:dyDescent="0.3">
      <c r="G73" s="55"/>
      <c r="I73" s="55"/>
    </row>
    <row r="74" spans="7:9" customFormat="1" ht="13" x14ac:dyDescent="0.3">
      <c r="G74" s="55"/>
      <c r="I74" s="55"/>
    </row>
    <row r="75" spans="7:9" customFormat="1" ht="13" x14ac:dyDescent="0.3">
      <c r="G75" s="55"/>
      <c r="I75" s="55"/>
    </row>
    <row r="76" spans="7:9" customFormat="1" ht="13" x14ac:dyDescent="0.3">
      <c r="G76" s="55"/>
      <c r="I76" s="55"/>
    </row>
    <row r="77" spans="7:9" customFormat="1" ht="13" x14ac:dyDescent="0.3">
      <c r="G77" s="55"/>
      <c r="I77" s="55"/>
    </row>
    <row r="78" spans="7:9" customFormat="1" ht="13" x14ac:dyDescent="0.3">
      <c r="G78" s="55"/>
      <c r="I78" s="55"/>
    </row>
    <row r="79" spans="7:9" customFormat="1" ht="13" x14ac:dyDescent="0.3">
      <c r="G79" s="55"/>
      <c r="I79" s="55"/>
    </row>
    <row r="80" spans="7:9" customFormat="1" ht="13" x14ac:dyDescent="0.3">
      <c r="G80" s="55"/>
      <c r="I80" s="55"/>
    </row>
    <row r="81" spans="7:9" customFormat="1" ht="13" x14ac:dyDescent="0.3">
      <c r="G81" s="55"/>
      <c r="I81" s="55"/>
    </row>
    <row r="82" spans="7:9" customFormat="1" ht="13" x14ac:dyDescent="0.3">
      <c r="G82" s="55"/>
      <c r="I82" s="55"/>
    </row>
    <row r="83" spans="7:9" customFormat="1" ht="13" x14ac:dyDescent="0.3">
      <c r="G83" s="55"/>
      <c r="I83" s="55"/>
    </row>
    <row r="84" spans="7:9" customFormat="1" ht="13" x14ac:dyDescent="0.3">
      <c r="G84" s="55"/>
      <c r="I84" s="55"/>
    </row>
    <row r="85" spans="7:9" customFormat="1" ht="13" x14ac:dyDescent="0.3">
      <c r="G85" s="55"/>
      <c r="I85" s="55"/>
    </row>
    <row r="86" spans="7:9" customFormat="1" ht="13" x14ac:dyDescent="0.3">
      <c r="G86" s="55"/>
      <c r="I86" s="55"/>
    </row>
    <row r="87" spans="7:9" customFormat="1" ht="13" x14ac:dyDescent="0.3">
      <c r="G87" s="55"/>
      <c r="I87" s="55"/>
    </row>
    <row r="88" spans="7:9" customFormat="1" ht="13" x14ac:dyDescent="0.3">
      <c r="G88" s="55"/>
      <c r="I88" s="55"/>
    </row>
    <row r="89" spans="7:9" customFormat="1" ht="13" x14ac:dyDescent="0.3">
      <c r="G89" s="55"/>
      <c r="I89" s="55"/>
    </row>
    <row r="90" spans="7:9" customFormat="1" ht="13" x14ac:dyDescent="0.3">
      <c r="G90" s="55"/>
      <c r="I90" s="55"/>
    </row>
    <row r="91" spans="7:9" customFormat="1" ht="13" x14ac:dyDescent="0.3">
      <c r="G91" s="55"/>
      <c r="I91" s="55"/>
    </row>
    <row r="92" spans="7:9" customFormat="1" ht="13" x14ac:dyDescent="0.3">
      <c r="G92" s="55"/>
      <c r="I92" s="55"/>
    </row>
    <row r="93" spans="7:9" customFormat="1" ht="13" x14ac:dyDescent="0.3">
      <c r="G93" s="55"/>
      <c r="I93" s="55"/>
    </row>
    <row r="94" spans="7:9" customFormat="1" ht="13" x14ac:dyDescent="0.3">
      <c r="G94" s="55"/>
      <c r="I94" s="55"/>
    </row>
    <row r="95" spans="7:9" customFormat="1" ht="13" x14ac:dyDescent="0.3">
      <c r="G95" s="55"/>
      <c r="I95" s="55"/>
    </row>
    <row r="96" spans="7:9" customFormat="1" ht="13" x14ac:dyDescent="0.3">
      <c r="G96" s="55"/>
      <c r="I96" s="55"/>
    </row>
    <row r="97" spans="7:9" customFormat="1" ht="13" x14ac:dyDescent="0.3">
      <c r="G97" s="55"/>
      <c r="I97" s="55"/>
    </row>
    <row r="98" spans="7:9" customFormat="1" ht="13" x14ac:dyDescent="0.3">
      <c r="G98" s="55"/>
      <c r="I98" s="55"/>
    </row>
    <row r="99" spans="7:9" customFormat="1" ht="13" x14ac:dyDescent="0.3">
      <c r="G99" s="55"/>
      <c r="I99" s="55"/>
    </row>
    <row r="100" spans="7:9" customFormat="1" ht="13" x14ac:dyDescent="0.3">
      <c r="G100" s="55"/>
      <c r="I100" s="55"/>
    </row>
    <row r="101" spans="7:9" customFormat="1" ht="13" x14ac:dyDescent="0.3">
      <c r="G101" s="55"/>
      <c r="I101" s="55"/>
    </row>
    <row r="102" spans="7:9" customFormat="1" ht="13" x14ac:dyDescent="0.3">
      <c r="G102" s="55"/>
      <c r="I102" s="55"/>
    </row>
    <row r="103" spans="7:9" customFormat="1" ht="13" x14ac:dyDescent="0.3">
      <c r="G103" s="55"/>
      <c r="I103" s="55"/>
    </row>
    <row r="104" spans="7:9" customFormat="1" ht="13" x14ac:dyDescent="0.3">
      <c r="G104" s="55"/>
      <c r="I104" s="55"/>
    </row>
    <row r="105" spans="7:9" customFormat="1" ht="13" x14ac:dyDescent="0.3">
      <c r="G105" s="55"/>
      <c r="I105" s="55"/>
    </row>
    <row r="106" spans="7:9" customFormat="1" ht="13" x14ac:dyDescent="0.3">
      <c r="G106" s="55"/>
      <c r="I106" s="55"/>
    </row>
    <row r="107" spans="7:9" customFormat="1" ht="13" x14ac:dyDescent="0.3">
      <c r="G107" s="55"/>
      <c r="I107" s="55"/>
    </row>
    <row r="108" spans="7:9" customFormat="1" ht="13" x14ac:dyDescent="0.3">
      <c r="G108" s="55"/>
      <c r="I108" s="55"/>
    </row>
    <row r="109" spans="7:9" customFormat="1" ht="13" x14ac:dyDescent="0.3">
      <c r="G109" s="55"/>
      <c r="I109" s="55"/>
    </row>
    <row r="110" spans="7:9" customFormat="1" ht="13" x14ac:dyDescent="0.3">
      <c r="G110" s="55"/>
      <c r="I110" s="55"/>
    </row>
    <row r="111" spans="7:9" customFormat="1" ht="13" x14ac:dyDescent="0.3">
      <c r="G111" s="55"/>
      <c r="I111" s="55"/>
    </row>
    <row r="112" spans="7:9" customFormat="1" ht="13" x14ac:dyDescent="0.3">
      <c r="G112" s="55"/>
      <c r="I112" s="55"/>
    </row>
    <row r="113" spans="7:9" customFormat="1" ht="13" x14ac:dyDescent="0.3">
      <c r="G113" s="55"/>
      <c r="I113" s="55"/>
    </row>
    <row r="114" spans="7:9" customFormat="1" ht="13" x14ac:dyDescent="0.3">
      <c r="G114" s="55"/>
      <c r="I114" s="55"/>
    </row>
    <row r="115" spans="7:9" customFormat="1" ht="13" x14ac:dyDescent="0.3">
      <c r="G115" s="55"/>
      <c r="I115" s="55"/>
    </row>
    <row r="116" spans="7:9" customFormat="1" ht="13" x14ac:dyDescent="0.3">
      <c r="G116" s="55"/>
      <c r="I116" s="55"/>
    </row>
    <row r="117" spans="7:9" customFormat="1" ht="13" x14ac:dyDescent="0.3">
      <c r="G117" s="55"/>
      <c r="I117" s="55"/>
    </row>
    <row r="118" spans="7:9" customFormat="1" ht="13" x14ac:dyDescent="0.3">
      <c r="G118" s="55"/>
      <c r="I118" s="55"/>
    </row>
    <row r="119" spans="7:9" customFormat="1" ht="13" x14ac:dyDescent="0.3">
      <c r="G119" s="55"/>
      <c r="I119" s="55"/>
    </row>
    <row r="120" spans="7:9" customFormat="1" ht="13" x14ac:dyDescent="0.3">
      <c r="G120" s="55"/>
      <c r="I120" s="55"/>
    </row>
    <row r="121" spans="7:9" customFormat="1" ht="13" x14ac:dyDescent="0.3">
      <c r="G121" s="55"/>
      <c r="I121" s="55"/>
    </row>
    <row r="122" spans="7:9" customFormat="1" ht="13" x14ac:dyDescent="0.3">
      <c r="G122" s="55"/>
      <c r="I122" s="55"/>
    </row>
    <row r="123" spans="7:9" customFormat="1" ht="13" x14ac:dyDescent="0.3">
      <c r="G123" s="55"/>
      <c r="I123" s="55"/>
    </row>
    <row r="124" spans="7:9" customFormat="1" ht="13" x14ac:dyDescent="0.3">
      <c r="G124" s="55"/>
      <c r="I124" s="55"/>
    </row>
    <row r="125" spans="7:9" customFormat="1" ht="13" x14ac:dyDescent="0.3">
      <c r="G125" s="55"/>
      <c r="I125" s="55"/>
    </row>
    <row r="126" spans="7:9" customFormat="1" ht="13" x14ac:dyDescent="0.3">
      <c r="G126" s="55"/>
      <c r="I126" s="55"/>
    </row>
    <row r="127" spans="7:9" customFormat="1" ht="13" x14ac:dyDescent="0.3">
      <c r="G127" s="55"/>
      <c r="I127" s="55"/>
    </row>
    <row r="128" spans="7:9" customFormat="1" ht="13" x14ac:dyDescent="0.3">
      <c r="G128" s="55"/>
      <c r="I128" s="55"/>
    </row>
    <row r="129" spans="7:9" customFormat="1" ht="13" x14ac:dyDescent="0.3">
      <c r="G129" s="55"/>
      <c r="I129" s="55"/>
    </row>
    <row r="130" spans="7:9" customFormat="1" ht="13" x14ac:dyDescent="0.3">
      <c r="G130" s="55"/>
      <c r="I130" s="55"/>
    </row>
    <row r="131" spans="7:9" customFormat="1" ht="13" x14ac:dyDescent="0.3">
      <c r="G131" s="55"/>
      <c r="I131" s="55"/>
    </row>
    <row r="132" spans="7:9" customFormat="1" ht="13" x14ac:dyDescent="0.3">
      <c r="G132" s="55"/>
      <c r="I132" s="55"/>
    </row>
    <row r="133" spans="7:9" customFormat="1" ht="13" x14ac:dyDescent="0.3">
      <c r="G133" s="55"/>
      <c r="I133" s="55"/>
    </row>
    <row r="134" spans="7:9" customFormat="1" ht="13" x14ac:dyDescent="0.3">
      <c r="G134" s="55"/>
      <c r="I134" s="55"/>
    </row>
    <row r="135" spans="7:9" customFormat="1" ht="13" x14ac:dyDescent="0.3">
      <c r="G135" s="55"/>
      <c r="I135" s="55"/>
    </row>
    <row r="136" spans="7:9" customFormat="1" ht="13" x14ac:dyDescent="0.3">
      <c r="G136" s="55"/>
      <c r="I136" s="55"/>
    </row>
    <row r="137" spans="7:9" customFormat="1" ht="13" x14ac:dyDescent="0.3">
      <c r="G137" s="55"/>
      <c r="I137" s="55"/>
    </row>
    <row r="138" spans="7:9" customFormat="1" ht="13" x14ac:dyDescent="0.3">
      <c r="G138" s="55"/>
      <c r="I138" s="55"/>
    </row>
    <row r="139" spans="7:9" customFormat="1" ht="13" x14ac:dyDescent="0.3">
      <c r="G139" s="55"/>
      <c r="I139" s="55"/>
    </row>
    <row r="140" spans="7:9" customFormat="1" ht="13" x14ac:dyDescent="0.3">
      <c r="G140" s="55"/>
      <c r="I140" s="55"/>
    </row>
    <row r="141" spans="7:9" customFormat="1" ht="13" x14ac:dyDescent="0.3">
      <c r="G141" s="55"/>
      <c r="I141" s="55"/>
    </row>
    <row r="142" spans="7:9" customFormat="1" ht="13" x14ac:dyDescent="0.3">
      <c r="G142" s="55"/>
      <c r="I142" s="55"/>
    </row>
    <row r="143" spans="7:9" customFormat="1" ht="13" x14ac:dyDescent="0.3">
      <c r="G143" s="55"/>
      <c r="I143" s="55"/>
    </row>
    <row r="144" spans="7:9" customFormat="1" ht="13" x14ac:dyDescent="0.3">
      <c r="G144" s="55"/>
      <c r="I144" s="55"/>
    </row>
    <row r="145" spans="7:9" customFormat="1" ht="13" x14ac:dyDescent="0.3">
      <c r="G145" s="55"/>
      <c r="I145" s="55"/>
    </row>
    <row r="146" spans="7:9" customFormat="1" ht="13" x14ac:dyDescent="0.3">
      <c r="G146" s="55"/>
      <c r="I146" s="55"/>
    </row>
    <row r="147" spans="7:9" customFormat="1" ht="13" x14ac:dyDescent="0.3">
      <c r="G147" s="55"/>
      <c r="I147" s="55"/>
    </row>
    <row r="148" spans="7:9" customFormat="1" ht="13" x14ac:dyDescent="0.3">
      <c r="G148" s="55"/>
      <c r="I148" s="55"/>
    </row>
    <row r="149" spans="7:9" customFormat="1" ht="13" x14ac:dyDescent="0.3">
      <c r="G149" s="55"/>
      <c r="I149" s="55"/>
    </row>
    <row r="150" spans="7:9" customFormat="1" ht="13" x14ac:dyDescent="0.3">
      <c r="G150" s="55"/>
      <c r="I150" s="55"/>
    </row>
    <row r="151" spans="7:9" customFormat="1" ht="13" x14ac:dyDescent="0.3">
      <c r="G151" s="55"/>
      <c r="I151" s="55"/>
    </row>
    <row r="152" spans="7:9" customFormat="1" ht="13" x14ac:dyDescent="0.3">
      <c r="G152" s="55"/>
      <c r="I152" s="55"/>
    </row>
    <row r="153" spans="7:9" customFormat="1" ht="13" x14ac:dyDescent="0.3">
      <c r="G153" s="55"/>
      <c r="I153" s="55"/>
    </row>
    <row r="154" spans="7:9" customFormat="1" ht="13" x14ac:dyDescent="0.3">
      <c r="G154" s="55"/>
      <c r="I154" s="55"/>
    </row>
    <row r="155" spans="7:9" customFormat="1" ht="13" x14ac:dyDescent="0.3">
      <c r="G155" s="55"/>
      <c r="I155" s="55"/>
    </row>
    <row r="156" spans="7:9" customFormat="1" ht="13" x14ac:dyDescent="0.3">
      <c r="G156" s="55"/>
      <c r="I156" s="55"/>
    </row>
    <row r="157" spans="7:9" customFormat="1" ht="13" x14ac:dyDescent="0.3">
      <c r="G157" s="55"/>
      <c r="I157" s="55"/>
    </row>
    <row r="158" spans="7:9" customFormat="1" ht="13" x14ac:dyDescent="0.3">
      <c r="G158" s="55"/>
      <c r="I158" s="55"/>
    </row>
    <row r="159" spans="7:9" customFormat="1" ht="13" x14ac:dyDescent="0.3">
      <c r="G159" s="55"/>
      <c r="I159" s="55"/>
    </row>
    <row r="160" spans="7:9" customFormat="1" ht="13" x14ac:dyDescent="0.3">
      <c r="G160" s="55"/>
      <c r="I160" s="55"/>
    </row>
    <row r="161" spans="7:9" customFormat="1" ht="13" x14ac:dyDescent="0.3">
      <c r="G161" s="55"/>
      <c r="I161" s="55"/>
    </row>
    <row r="162" spans="7:9" customFormat="1" ht="13" x14ac:dyDescent="0.3">
      <c r="G162" s="55"/>
      <c r="I162" s="55"/>
    </row>
    <row r="163" spans="7:9" customFormat="1" ht="13" x14ac:dyDescent="0.3">
      <c r="G163" s="55"/>
      <c r="I163" s="55"/>
    </row>
    <row r="164" spans="7:9" customFormat="1" ht="13" x14ac:dyDescent="0.3">
      <c r="G164" s="55"/>
      <c r="I164" s="55"/>
    </row>
    <row r="165" spans="7:9" customFormat="1" ht="13" x14ac:dyDescent="0.3">
      <c r="G165" s="55"/>
      <c r="I165" s="55"/>
    </row>
    <row r="166" spans="7:9" customFormat="1" ht="13" x14ac:dyDescent="0.3">
      <c r="G166" s="55"/>
      <c r="I166" s="55"/>
    </row>
    <row r="167" spans="7:9" customFormat="1" ht="13" x14ac:dyDescent="0.3">
      <c r="G167" s="55"/>
      <c r="I167" s="55"/>
    </row>
    <row r="168" spans="7:9" customFormat="1" ht="13" x14ac:dyDescent="0.3">
      <c r="G168" s="55"/>
      <c r="I168" s="55"/>
    </row>
    <row r="169" spans="7:9" customFormat="1" ht="13" x14ac:dyDescent="0.3">
      <c r="G169" s="55"/>
      <c r="I169" s="55"/>
    </row>
    <row r="170" spans="7:9" customFormat="1" ht="13" x14ac:dyDescent="0.3">
      <c r="G170" s="55"/>
      <c r="I170" s="55"/>
    </row>
    <row r="171" spans="7:9" customFormat="1" ht="13" x14ac:dyDescent="0.3">
      <c r="G171" s="55"/>
      <c r="I171" s="55"/>
    </row>
    <row r="172" spans="7:9" customFormat="1" ht="13" x14ac:dyDescent="0.3">
      <c r="G172" s="55"/>
      <c r="I172" s="55"/>
    </row>
    <row r="173" spans="7:9" customFormat="1" ht="13" x14ac:dyDescent="0.3">
      <c r="G173" s="55"/>
      <c r="I173" s="55"/>
    </row>
    <row r="174" spans="7:9" customFormat="1" ht="13" x14ac:dyDescent="0.3">
      <c r="G174" s="55"/>
      <c r="I174" s="55"/>
    </row>
    <row r="175" spans="7:9" customFormat="1" ht="13" x14ac:dyDescent="0.3">
      <c r="G175" s="55"/>
      <c r="I175" s="55"/>
    </row>
    <row r="176" spans="7:9" customFormat="1" ht="13" x14ac:dyDescent="0.3">
      <c r="G176" s="55"/>
      <c r="I176" s="55"/>
    </row>
    <row r="177" spans="7:9" customFormat="1" ht="13" x14ac:dyDescent="0.3">
      <c r="G177" s="55"/>
      <c r="I177" s="55"/>
    </row>
    <row r="178" spans="7:9" customFormat="1" ht="13" x14ac:dyDescent="0.3">
      <c r="G178" s="55"/>
      <c r="I178" s="55"/>
    </row>
    <row r="179" spans="7:9" customFormat="1" ht="13" x14ac:dyDescent="0.3">
      <c r="G179" s="55"/>
      <c r="I179" s="55"/>
    </row>
    <row r="180" spans="7:9" customFormat="1" ht="13" x14ac:dyDescent="0.3">
      <c r="G180" s="55"/>
      <c r="I180" s="55"/>
    </row>
    <row r="181" spans="7:9" customFormat="1" ht="13" x14ac:dyDescent="0.3">
      <c r="G181" s="55"/>
      <c r="I181" s="55"/>
    </row>
    <row r="182" spans="7:9" customFormat="1" ht="13" x14ac:dyDescent="0.3">
      <c r="G182" s="55"/>
      <c r="I182" s="55"/>
    </row>
    <row r="183" spans="7:9" customFormat="1" ht="13" x14ac:dyDescent="0.3">
      <c r="G183" s="55"/>
      <c r="I183" s="55"/>
    </row>
    <row r="184" spans="7:9" customFormat="1" ht="13" x14ac:dyDescent="0.3">
      <c r="G184" s="55"/>
      <c r="I184" s="55"/>
    </row>
    <row r="185" spans="7:9" customFormat="1" ht="13" x14ac:dyDescent="0.3">
      <c r="G185" s="55"/>
      <c r="I185" s="55"/>
    </row>
    <row r="186" spans="7:9" customFormat="1" ht="13" x14ac:dyDescent="0.3">
      <c r="G186" s="55"/>
      <c r="I186" s="55"/>
    </row>
    <row r="187" spans="7:9" customFormat="1" ht="13" x14ac:dyDescent="0.3">
      <c r="G187" s="55"/>
      <c r="I187" s="55"/>
    </row>
    <row r="188" spans="7:9" customFormat="1" ht="13" x14ac:dyDescent="0.3">
      <c r="G188" s="55"/>
      <c r="I188" s="55"/>
    </row>
    <row r="189" spans="7:9" customFormat="1" ht="13" x14ac:dyDescent="0.3">
      <c r="G189" s="55"/>
      <c r="I189" s="55"/>
    </row>
    <row r="190" spans="7:9" customFormat="1" ht="13" x14ac:dyDescent="0.3">
      <c r="G190" s="55"/>
      <c r="I190" s="55"/>
    </row>
    <row r="191" spans="7:9" customFormat="1" ht="13" x14ac:dyDescent="0.3">
      <c r="G191" s="55"/>
      <c r="I191" s="55"/>
    </row>
    <row r="192" spans="7:9" customFormat="1" ht="13" x14ac:dyDescent="0.3">
      <c r="G192" s="55"/>
      <c r="I192" s="55"/>
    </row>
    <row r="193" spans="7:9" customFormat="1" ht="13" x14ac:dyDescent="0.3">
      <c r="G193" s="55"/>
      <c r="I193" s="55"/>
    </row>
    <row r="194" spans="7:9" customFormat="1" ht="13" x14ac:dyDescent="0.3">
      <c r="G194" s="55"/>
      <c r="I194" s="55"/>
    </row>
    <row r="195" spans="7:9" customFormat="1" ht="13" x14ac:dyDescent="0.3">
      <c r="G195" s="55"/>
      <c r="I195" s="55"/>
    </row>
    <row r="196" spans="7:9" customFormat="1" ht="13" x14ac:dyDescent="0.3">
      <c r="G196" s="55"/>
      <c r="I196" s="55"/>
    </row>
    <row r="197" spans="7:9" customFormat="1" ht="13" x14ac:dyDescent="0.3">
      <c r="G197" s="55"/>
      <c r="I197" s="55"/>
    </row>
    <row r="198" spans="7:9" customFormat="1" ht="13" x14ac:dyDescent="0.3">
      <c r="G198" s="55"/>
      <c r="I198" s="55"/>
    </row>
    <row r="199" spans="7:9" customFormat="1" ht="13" x14ac:dyDescent="0.3">
      <c r="G199" s="55"/>
      <c r="I199" s="55"/>
    </row>
    <row r="200" spans="7:9" customFormat="1" ht="13" x14ac:dyDescent="0.3">
      <c r="G200" s="55"/>
      <c r="I200" s="55"/>
    </row>
    <row r="201" spans="7:9" customFormat="1" ht="13" x14ac:dyDescent="0.3">
      <c r="G201" s="55"/>
      <c r="I201" s="55"/>
    </row>
    <row r="202" spans="7:9" customFormat="1" ht="13" x14ac:dyDescent="0.3">
      <c r="G202" s="55"/>
      <c r="I202" s="55"/>
    </row>
    <row r="203" spans="7:9" customFormat="1" ht="13" x14ac:dyDescent="0.3">
      <c r="G203" s="55"/>
      <c r="I203" s="55"/>
    </row>
    <row r="204" spans="7:9" customFormat="1" ht="13" x14ac:dyDescent="0.3">
      <c r="G204" s="55"/>
      <c r="I204" s="55"/>
    </row>
    <row r="205" spans="7:9" customFormat="1" ht="13" x14ac:dyDescent="0.3">
      <c r="G205" s="55"/>
      <c r="I205" s="55"/>
    </row>
    <row r="206" spans="7:9" customFormat="1" ht="13" x14ac:dyDescent="0.3">
      <c r="G206" s="55"/>
      <c r="I206" s="55"/>
    </row>
    <row r="207" spans="7:9" customFormat="1" ht="13" x14ac:dyDescent="0.3">
      <c r="G207" s="55"/>
      <c r="I207" s="55"/>
    </row>
    <row r="208" spans="7:9" customFormat="1" ht="13" x14ac:dyDescent="0.3">
      <c r="G208" s="55"/>
      <c r="I208" s="55"/>
    </row>
    <row r="209" spans="7:9" customFormat="1" ht="13" x14ac:dyDescent="0.3">
      <c r="G209" s="55"/>
      <c r="I209" s="55"/>
    </row>
    <row r="210" spans="7:9" customFormat="1" ht="13" x14ac:dyDescent="0.3">
      <c r="G210" s="55"/>
      <c r="I210" s="55"/>
    </row>
    <row r="211" spans="7:9" customFormat="1" ht="13" x14ac:dyDescent="0.3">
      <c r="G211" s="55"/>
      <c r="I211" s="55"/>
    </row>
    <row r="212" spans="7:9" customFormat="1" ht="13" x14ac:dyDescent="0.3">
      <c r="G212" s="55"/>
      <c r="I212" s="55"/>
    </row>
    <row r="213" spans="7:9" customFormat="1" ht="13" x14ac:dyDescent="0.3">
      <c r="G213" s="55"/>
      <c r="I213" s="55"/>
    </row>
    <row r="214" spans="7:9" customFormat="1" ht="13" x14ac:dyDescent="0.3">
      <c r="G214" s="55"/>
      <c r="I214" s="55"/>
    </row>
    <row r="215" spans="7:9" customFormat="1" ht="13" x14ac:dyDescent="0.3">
      <c r="G215" s="55"/>
      <c r="I215" s="55"/>
    </row>
    <row r="216" spans="7:9" customFormat="1" ht="13" x14ac:dyDescent="0.3">
      <c r="G216" s="55"/>
      <c r="I216" s="55"/>
    </row>
    <row r="217" spans="7:9" customFormat="1" ht="13" x14ac:dyDescent="0.3">
      <c r="G217" s="55"/>
      <c r="I217" s="55"/>
    </row>
    <row r="218" spans="7:9" customFormat="1" ht="13" x14ac:dyDescent="0.3">
      <c r="G218" s="55"/>
      <c r="I218" s="55"/>
    </row>
    <row r="219" spans="7:9" customFormat="1" ht="13" x14ac:dyDescent="0.3">
      <c r="G219" s="55"/>
      <c r="I219" s="55"/>
    </row>
    <row r="220" spans="7:9" customFormat="1" ht="13" x14ac:dyDescent="0.3">
      <c r="G220" s="55"/>
      <c r="I220" s="55"/>
    </row>
    <row r="221" spans="7:9" customFormat="1" ht="13" x14ac:dyDescent="0.3">
      <c r="G221" s="55"/>
      <c r="I221" s="55"/>
    </row>
    <row r="222" spans="7:9" customFormat="1" ht="13" x14ac:dyDescent="0.3">
      <c r="G222" s="55"/>
      <c r="I222" s="55"/>
    </row>
    <row r="223" spans="7:9" customFormat="1" ht="13" x14ac:dyDescent="0.3">
      <c r="G223" s="55"/>
      <c r="I223" s="55"/>
    </row>
    <row r="224" spans="7:9" customFormat="1" ht="13" x14ac:dyDescent="0.3">
      <c r="G224" s="55"/>
      <c r="I224" s="55"/>
    </row>
    <row r="225" spans="7:9" customFormat="1" ht="13" x14ac:dyDescent="0.3">
      <c r="G225" s="55"/>
      <c r="I225" s="55"/>
    </row>
    <row r="226" spans="7:9" customFormat="1" ht="13" x14ac:dyDescent="0.3">
      <c r="G226" s="55"/>
      <c r="I226" s="55"/>
    </row>
    <row r="227" spans="7:9" customFormat="1" ht="13" x14ac:dyDescent="0.3">
      <c r="G227" s="55"/>
      <c r="I227" s="55"/>
    </row>
    <row r="228" spans="7:9" customFormat="1" ht="13" x14ac:dyDescent="0.3">
      <c r="G228" s="55"/>
      <c r="I228" s="55"/>
    </row>
    <row r="229" spans="7:9" customFormat="1" ht="13" x14ac:dyDescent="0.3">
      <c r="G229" s="55"/>
      <c r="I229" s="55"/>
    </row>
    <row r="230" spans="7:9" customFormat="1" ht="13" x14ac:dyDescent="0.3">
      <c r="G230" s="55"/>
      <c r="I230" s="55"/>
    </row>
    <row r="231" spans="7:9" customFormat="1" ht="13" x14ac:dyDescent="0.3">
      <c r="G231" s="55"/>
      <c r="I231" s="55"/>
    </row>
    <row r="232" spans="7:9" customFormat="1" ht="13" x14ac:dyDescent="0.3">
      <c r="G232" s="55"/>
      <c r="I232" s="55"/>
    </row>
    <row r="233" spans="7:9" customFormat="1" ht="13" x14ac:dyDescent="0.3">
      <c r="G233" s="55"/>
      <c r="I233" s="55"/>
    </row>
    <row r="234" spans="7:9" customFormat="1" ht="13" x14ac:dyDescent="0.3">
      <c r="G234" s="55"/>
      <c r="I234" s="55"/>
    </row>
    <row r="235" spans="7:9" customFormat="1" ht="13" x14ac:dyDescent="0.3">
      <c r="G235" s="55"/>
      <c r="I235" s="55"/>
    </row>
    <row r="236" spans="7:9" customFormat="1" ht="13" x14ac:dyDescent="0.3">
      <c r="G236" s="55"/>
      <c r="I236" s="55"/>
    </row>
    <row r="237" spans="7:9" customFormat="1" ht="13" x14ac:dyDescent="0.3">
      <c r="G237" s="55"/>
      <c r="I237" s="55"/>
    </row>
    <row r="238" spans="7:9" customFormat="1" ht="13" x14ac:dyDescent="0.3">
      <c r="G238" s="55"/>
      <c r="I238" s="55"/>
    </row>
    <row r="239" spans="7:9" customFormat="1" ht="13" x14ac:dyDescent="0.3">
      <c r="G239" s="55"/>
      <c r="I239" s="55"/>
    </row>
    <row r="240" spans="7:9" customFormat="1" ht="13" x14ac:dyDescent="0.3">
      <c r="G240" s="55"/>
      <c r="I240" s="55"/>
    </row>
    <row r="241" spans="7:9" customFormat="1" ht="13" x14ac:dyDescent="0.3">
      <c r="G241" s="55"/>
      <c r="I241" s="55"/>
    </row>
    <row r="242" spans="7:9" customFormat="1" ht="13" x14ac:dyDescent="0.3">
      <c r="G242" s="55"/>
      <c r="I242" s="55"/>
    </row>
    <row r="243" spans="7:9" customFormat="1" ht="13" x14ac:dyDescent="0.3">
      <c r="G243" s="55"/>
      <c r="I243" s="55"/>
    </row>
    <row r="244" spans="7:9" customFormat="1" ht="13" x14ac:dyDescent="0.3">
      <c r="G244" s="55"/>
      <c r="I244" s="55"/>
    </row>
    <row r="245" spans="7:9" customFormat="1" ht="13" x14ac:dyDescent="0.3">
      <c r="G245" s="55"/>
      <c r="I245" s="55"/>
    </row>
    <row r="246" spans="7:9" customFormat="1" ht="13" x14ac:dyDescent="0.3">
      <c r="G246" s="55"/>
      <c r="I246" s="55"/>
    </row>
    <row r="247" spans="7:9" customFormat="1" ht="13" x14ac:dyDescent="0.3">
      <c r="G247" s="55"/>
      <c r="I247" s="55"/>
    </row>
    <row r="248" spans="7:9" customFormat="1" ht="13" x14ac:dyDescent="0.3">
      <c r="G248" s="55"/>
      <c r="I248" s="55"/>
    </row>
    <row r="249" spans="7:9" customFormat="1" ht="13" x14ac:dyDescent="0.3">
      <c r="G249" s="55"/>
      <c r="I249" s="55"/>
    </row>
    <row r="250" spans="7:9" customFormat="1" ht="13" x14ac:dyDescent="0.3">
      <c r="G250" s="55"/>
      <c r="I250" s="55"/>
    </row>
    <row r="251" spans="7:9" customFormat="1" ht="13" x14ac:dyDescent="0.3">
      <c r="G251" s="55"/>
      <c r="I251" s="55"/>
    </row>
    <row r="252" spans="7:9" customFormat="1" ht="13" x14ac:dyDescent="0.3">
      <c r="G252" s="55"/>
      <c r="I252" s="55"/>
    </row>
    <row r="253" spans="7:9" customFormat="1" ht="13" x14ac:dyDescent="0.3">
      <c r="G253" s="55"/>
      <c r="I253" s="55"/>
    </row>
    <row r="254" spans="7:9" customFormat="1" ht="13" x14ac:dyDescent="0.3">
      <c r="G254" s="55"/>
      <c r="I254" s="55"/>
    </row>
    <row r="255" spans="7:9" customFormat="1" ht="13" x14ac:dyDescent="0.3">
      <c r="G255" s="55"/>
      <c r="I255" s="55"/>
    </row>
    <row r="256" spans="7:9" customFormat="1" ht="13" x14ac:dyDescent="0.3">
      <c r="G256" s="55"/>
      <c r="I256" s="55"/>
    </row>
    <row r="257" spans="7:9" customFormat="1" ht="13" x14ac:dyDescent="0.3">
      <c r="G257" s="55"/>
      <c r="I257" s="55"/>
    </row>
    <row r="258" spans="7:9" customFormat="1" ht="13" x14ac:dyDescent="0.3">
      <c r="G258" s="55"/>
      <c r="I258" s="55"/>
    </row>
    <row r="259" spans="7:9" customFormat="1" ht="13" x14ac:dyDescent="0.3">
      <c r="G259" s="55"/>
      <c r="I259" s="55"/>
    </row>
    <row r="260" spans="7:9" customFormat="1" ht="13" x14ac:dyDescent="0.3">
      <c r="G260" s="55"/>
      <c r="I260" s="55"/>
    </row>
    <row r="261" spans="7:9" customFormat="1" ht="13" x14ac:dyDescent="0.3">
      <c r="G261" s="55"/>
      <c r="I261" s="55"/>
    </row>
    <row r="262" spans="7:9" customFormat="1" ht="13" x14ac:dyDescent="0.3">
      <c r="G262" s="55"/>
      <c r="I262" s="55"/>
    </row>
    <row r="263" spans="7:9" customFormat="1" ht="13" x14ac:dyDescent="0.3">
      <c r="G263" s="55"/>
      <c r="I263" s="55"/>
    </row>
    <row r="264" spans="7:9" customFormat="1" ht="13" x14ac:dyDescent="0.3">
      <c r="G264" s="55"/>
      <c r="I264" s="55"/>
    </row>
    <row r="265" spans="7:9" customFormat="1" ht="13" x14ac:dyDescent="0.3">
      <c r="G265" s="55"/>
      <c r="I265" s="55"/>
    </row>
    <row r="266" spans="7:9" customFormat="1" ht="13" x14ac:dyDescent="0.3">
      <c r="G266" s="55"/>
      <c r="I266" s="55"/>
    </row>
    <row r="267" spans="7:9" customFormat="1" ht="13" x14ac:dyDescent="0.3">
      <c r="G267" s="55"/>
      <c r="I267" s="55"/>
    </row>
    <row r="268" spans="7:9" customFormat="1" ht="13" x14ac:dyDescent="0.3">
      <c r="G268" s="55"/>
      <c r="I268" s="55"/>
    </row>
    <row r="269" spans="7:9" customFormat="1" ht="13" x14ac:dyDescent="0.3">
      <c r="G269" s="55"/>
      <c r="I269" s="55"/>
    </row>
    <row r="270" spans="7:9" customFormat="1" ht="13" x14ac:dyDescent="0.3">
      <c r="G270" s="55"/>
      <c r="I270" s="55"/>
    </row>
    <row r="271" spans="7:9" customFormat="1" ht="13" x14ac:dyDescent="0.3">
      <c r="G271" s="55"/>
      <c r="I271" s="55"/>
    </row>
    <row r="272" spans="7:9" customFormat="1" ht="13" x14ac:dyDescent="0.3">
      <c r="G272" s="55"/>
      <c r="I272" s="55"/>
    </row>
    <row r="273" spans="7:9" customFormat="1" ht="13" x14ac:dyDescent="0.3">
      <c r="G273" s="55"/>
      <c r="I273" s="55"/>
    </row>
    <row r="274" spans="7:9" customFormat="1" ht="13" x14ac:dyDescent="0.3">
      <c r="G274" s="55"/>
      <c r="I274" s="55"/>
    </row>
    <row r="275" spans="7:9" customFormat="1" ht="13" x14ac:dyDescent="0.3">
      <c r="G275" s="55"/>
      <c r="I275" s="55"/>
    </row>
    <row r="276" spans="7:9" customFormat="1" ht="13" x14ac:dyDescent="0.3">
      <c r="G276" s="55"/>
      <c r="I276" s="55"/>
    </row>
    <row r="277" spans="7:9" customFormat="1" ht="13" x14ac:dyDescent="0.3">
      <c r="G277" s="55"/>
      <c r="I277" s="55"/>
    </row>
    <row r="278" spans="7:9" customFormat="1" ht="13" x14ac:dyDescent="0.3">
      <c r="G278" s="55"/>
      <c r="I278" s="55"/>
    </row>
    <row r="279" spans="7:9" customFormat="1" ht="13" x14ac:dyDescent="0.3">
      <c r="G279" s="55"/>
      <c r="I279" s="55"/>
    </row>
    <row r="280" spans="7:9" customFormat="1" ht="13" x14ac:dyDescent="0.3">
      <c r="G280" s="55"/>
      <c r="I280" s="55"/>
    </row>
    <row r="281" spans="7:9" customFormat="1" ht="13" x14ac:dyDescent="0.3">
      <c r="G281" s="55"/>
      <c r="I281" s="55"/>
    </row>
    <row r="282" spans="7:9" customFormat="1" ht="13" x14ac:dyDescent="0.3">
      <c r="G282" s="55"/>
      <c r="I282" s="55"/>
    </row>
    <row r="283" spans="7:9" customFormat="1" ht="13" x14ac:dyDescent="0.3">
      <c r="G283" s="55"/>
      <c r="I283" s="55"/>
    </row>
    <row r="284" spans="7:9" customFormat="1" ht="13" x14ac:dyDescent="0.3">
      <c r="G284" s="55"/>
      <c r="I284" s="55"/>
    </row>
    <row r="285" spans="7:9" customFormat="1" ht="13" x14ac:dyDescent="0.3">
      <c r="G285" s="55"/>
      <c r="I285" s="55"/>
    </row>
    <row r="286" spans="7:9" customFormat="1" ht="13" x14ac:dyDescent="0.3">
      <c r="G286" s="55"/>
      <c r="I286" s="55"/>
    </row>
    <row r="287" spans="7:9" customFormat="1" ht="13" x14ac:dyDescent="0.3">
      <c r="G287" s="55"/>
      <c r="I287" s="55"/>
    </row>
    <row r="288" spans="7:9" customFormat="1" ht="13" x14ac:dyDescent="0.3">
      <c r="G288" s="55"/>
      <c r="I288" s="55"/>
    </row>
    <row r="289" spans="7:9" customFormat="1" ht="13" x14ac:dyDescent="0.3">
      <c r="G289" s="55"/>
      <c r="I289" s="55"/>
    </row>
    <row r="290" spans="7:9" customFormat="1" ht="13" x14ac:dyDescent="0.3">
      <c r="G290" s="55"/>
      <c r="I290" s="55"/>
    </row>
    <row r="291" spans="7:9" customFormat="1" ht="13" x14ac:dyDescent="0.3">
      <c r="G291" s="55"/>
      <c r="I291" s="55"/>
    </row>
    <row r="292" spans="7:9" customFormat="1" ht="13" x14ac:dyDescent="0.3">
      <c r="G292" s="55"/>
      <c r="I292" s="55"/>
    </row>
    <row r="293" spans="7:9" customFormat="1" ht="13" x14ac:dyDescent="0.3">
      <c r="G293" s="55"/>
      <c r="I293" s="55"/>
    </row>
    <row r="294" spans="7:9" customFormat="1" ht="13" x14ac:dyDescent="0.3">
      <c r="G294" s="55"/>
      <c r="I294" s="55"/>
    </row>
    <row r="295" spans="7:9" customFormat="1" ht="13" x14ac:dyDescent="0.3">
      <c r="G295" s="55"/>
      <c r="I295" s="55"/>
    </row>
    <row r="296" spans="7:9" customFormat="1" ht="13" x14ac:dyDescent="0.3">
      <c r="G296" s="55"/>
      <c r="I296" s="55"/>
    </row>
    <row r="297" spans="7:9" customFormat="1" ht="13" x14ac:dyDescent="0.3">
      <c r="G297" s="55"/>
      <c r="I297" s="55"/>
    </row>
    <row r="298" spans="7:9" customFormat="1" ht="13" x14ac:dyDescent="0.3">
      <c r="G298" s="55"/>
      <c r="I298" s="55"/>
    </row>
    <row r="299" spans="7:9" customFormat="1" ht="13" x14ac:dyDescent="0.3">
      <c r="G299" s="55"/>
      <c r="I299" s="55"/>
    </row>
    <row r="300" spans="7:9" customFormat="1" ht="13" x14ac:dyDescent="0.3">
      <c r="G300" s="55"/>
      <c r="I300" s="55"/>
    </row>
    <row r="301" spans="7:9" customFormat="1" ht="13" x14ac:dyDescent="0.3">
      <c r="G301" s="55"/>
      <c r="I301" s="55"/>
    </row>
    <row r="302" spans="7:9" customFormat="1" ht="13" x14ac:dyDescent="0.3">
      <c r="G302" s="55"/>
      <c r="I302" s="55"/>
    </row>
    <row r="303" spans="7:9" customFormat="1" ht="13" x14ac:dyDescent="0.3">
      <c r="G303" s="55"/>
      <c r="I303" s="55"/>
    </row>
    <row r="304" spans="7:9" customFormat="1" ht="13" x14ac:dyDescent="0.3">
      <c r="G304" s="55"/>
      <c r="I304" s="55"/>
    </row>
    <row r="305" spans="7:9" customFormat="1" ht="13" x14ac:dyDescent="0.3">
      <c r="G305" s="55"/>
      <c r="I305" s="55"/>
    </row>
    <row r="306" spans="7:9" customFormat="1" ht="13" x14ac:dyDescent="0.3">
      <c r="G306" s="55"/>
      <c r="I306" s="55"/>
    </row>
    <row r="307" spans="7:9" customFormat="1" ht="13" x14ac:dyDescent="0.3">
      <c r="G307" s="55"/>
      <c r="I307" s="55"/>
    </row>
    <row r="308" spans="7:9" customFormat="1" ht="13" x14ac:dyDescent="0.3">
      <c r="G308" s="55"/>
      <c r="I308" s="55"/>
    </row>
    <row r="309" spans="7:9" customFormat="1" ht="13" x14ac:dyDescent="0.3">
      <c r="G309" s="55"/>
      <c r="I309" s="55"/>
    </row>
    <row r="310" spans="7:9" customFormat="1" ht="13" x14ac:dyDescent="0.3">
      <c r="G310" s="55"/>
      <c r="I310" s="55"/>
    </row>
    <row r="311" spans="7:9" customFormat="1" ht="13" x14ac:dyDescent="0.3">
      <c r="G311" s="55"/>
      <c r="I311" s="55"/>
    </row>
    <row r="312" spans="7:9" customFormat="1" ht="13" x14ac:dyDescent="0.3">
      <c r="G312" s="55"/>
      <c r="I312" s="55"/>
    </row>
    <row r="313" spans="7:9" customFormat="1" ht="13" x14ac:dyDescent="0.3">
      <c r="G313" s="55"/>
      <c r="I313" s="55"/>
    </row>
    <row r="314" spans="7:9" customFormat="1" ht="13" x14ac:dyDescent="0.3">
      <c r="G314" s="55"/>
      <c r="I314" s="55"/>
    </row>
    <row r="315" spans="7:9" customFormat="1" ht="13" x14ac:dyDescent="0.3">
      <c r="G315" s="55"/>
      <c r="I315" s="55"/>
    </row>
    <row r="316" spans="7:9" customFormat="1" ht="13" x14ac:dyDescent="0.3">
      <c r="G316" s="55"/>
      <c r="I316" s="55"/>
    </row>
    <row r="317" spans="7:9" customFormat="1" ht="13" x14ac:dyDescent="0.3">
      <c r="G317" s="55"/>
      <c r="I317" s="55"/>
    </row>
    <row r="318" spans="7:9" customFormat="1" ht="13" x14ac:dyDescent="0.3">
      <c r="G318" s="55"/>
      <c r="I318" s="55"/>
    </row>
    <row r="319" spans="7:9" customFormat="1" ht="13" x14ac:dyDescent="0.3">
      <c r="G319" s="55"/>
      <c r="I319" s="55"/>
    </row>
    <row r="320" spans="7:9" customFormat="1" ht="13" x14ac:dyDescent="0.3">
      <c r="G320" s="55"/>
      <c r="I320" s="55"/>
    </row>
    <row r="321" spans="7:9" customFormat="1" ht="13" x14ac:dyDescent="0.3">
      <c r="G321" s="55"/>
      <c r="I321" s="55"/>
    </row>
    <row r="322" spans="7:9" customFormat="1" ht="13" x14ac:dyDescent="0.3">
      <c r="G322" s="55"/>
      <c r="I322" s="55"/>
    </row>
    <row r="323" spans="7:9" customFormat="1" ht="13" x14ac:dyDescent="0.3">
      <c r="G323" s="55"/>
      <c r="I323" s="55"/>
    </row>
    <row r="324" spans="7:9" customFormat="1" ht="13" x14ac:dyDescent="0.3">
      <c r="G324" s="55"/>
      <c r="I324" s="55"/>
    </row>
    <row r="325" spans="7:9" customFormat="1" ht="13" x14ac:dyDescent="0.3">
      <c r="G325" s="55"/>
      <c r="I325" s="55"/>
    </row>
    <row r="326" spans="7:9" customFormat="1" ht="13" x14ac:dyDescent="0.3">
      <c r="G326" s="55"/>
      <c r="I326" s="55"/>
    </row>
    <row r="327" spans="7:9" customFormat="1" ht="13" x14ac:dyDescent="0.3">
      <c r="G327" s="55"/>
      <c r="I327" s="55"/>
    </row>
    <row r="328" spans="7:9" customFormat="1" ht="13" x14ac:dyDescent="0.3">
      <c r="G328" s="55"/>
      <c r="I328" s="55"/>
    </row>
    <row r="329" spans="7:9" customFormat="1" ht="13" x14ac:dyDescent="0.3">
      <c r="G329" s="55"/>
      <c r="I329" s="55"/>
    </row>
    <row r="330" spans="7:9" customFormat="1" ht="13" x14ac:dyDescent="0.3">
      <c r="G330" s="55"/>
      <c r="I330" s="55"/>
    </row>
    <row r="331" spans="7:9" customFormat="1" ht="13" x14ac:dyDescent="0.3">
      <c r="G331" s="55"/>
      <c r="I331" s="55"/>
    </row>
    <row r="332" spans="7:9" customFormat="1" ht="13" x14ac:dyDescent="0.3">
      <c r="G332" s="55"/>
      <c r="I332" s="55"/>
    </row>
    <row r="333" spans="7:9" customFormat="1" ht="13" x14ac:dyDescent="0.3">
      <c r="G333" s="55"/>
      <c r="I333" s="55"/>
    </row>
    <row r="334" spans="7:9" customFormat="1" ht="13" x14ac:dyDescent="0.3">
      <c r="G334" s="55"/>
      <c r="I334" s="55"/>
    </row>
    <row r="335" spans="7:9" customFormat="1" ht="13" x14ac:dyDescent="0.3">
      <c r="G335" s="55"/>
      <c r="I335" s="55"/>
    </row>
    <row r="336" spans="7:9" customFormat="1" ht="13" x14ac:dyDescent="0.3">
      <c r="G336" s="55"/>
      <c r="I336" s="55"/>
    </row>
    <row r="337" spans="7:9" customFormat="1" ht="13" x14ac:dyDescent="0.3">
      <c r="G337" s="55"/>
      <c r="I337" s="55"/>
    </row>
    <row r="338" spans="7:9" customFormat="1" ht="13" x14ac:dyDescent="0.3">
      <c r="G338" s="55"/>
      <c r="I338" s="55"/>
    </row>
    <row r="339" spans="7:9" customFormat="1" ht="13" x14ac:dyDescent="0.3">
      <c r="G339" s="55"/>
      <c r="I339" s="55"/>
    </row>
    <row r="340" spans="7:9" customFormat="1" ht="13" x14ac:dyDescent="0.3">
      <c r="G340" s="55"/>
      <c r="I340" s="55"/>
    </row>
    <row r="341" spans="7:9" customFormat="1" ht="13" x14ac:dyDescent="0.3">
      <c r="G341" s="55"/>
      <c r="I341" s="55"/>
    </row>
    <row r="342" spans="7:9" customFormat="1" ht="13" x14ac:dyDescent="0.3">
      <c r="G342" s="55"/>
      <c r="I342" s="55"/>
    </row>
    <row r="343" spans="7:9" customFormat="1" ht="13" x14ac:dyDescent="0.3">
      <c r="G343" s="55"/>
      <c r="I343" s="55"/>
    </row>
    <row r="344" spans="7:9" customFormat="1" ht="13" x14ac:dyDescent="0.3">
      <c r="G344" s="55"/>
      <c r="I344" s="55"/>
    </row>
    <row r="345" spans="7:9" customFormat="1" ht="13" x14ac:dyDescent="0.3">
      <c r="G345" s="55"/>
      <c r="I345" s="55"/>
    </row>
    <row r="346" spans="7:9" customFormat="1" ht="13" x14ac:dyDescent="0.3">
      <c r="G346" s="55"/>
      <c r="I346" s="55"/>
    </row>
    <row r="347" spans="7:9" customFormat="1" ht="13" x14ac:dyDescent="0.3">
      <c r="G347" s="55"/>
      <c r="I347" s="55"/>
    </row>
    <row r="348" spans="7:9" customFormat="1" ht="13" x14ac:dyDescent="0.3">
      <c r="G348" s="55"/>
      <c r="I348" s="55"/>
    </row>
    <row r="349" spans="7:9" customFormat="1" ht="13" x14ac:dyDescent="0.3">
      <c r="G349" s="55"/>
      <c r="I349" s="55"/>
    </row>
    <row r="350" spans="7:9" customFormat="1" ht="13" x14ac:dyDescent="0.3">
      <c r="G350" s="55"/>
      <c r="I350" s="55"/>
    </row>
    <row r="351" spans="7:9" customFormat="1" ht="13" x14ac:dyDescent="0.3">
      <c r="G351" s="55"/>
      <c r="I351" s="55"/>
    </row>
    <row r="352" spans="7:9" customFormat="1" ht="13" x14ac:dyDescent="0.3">
      <c r="G352" s="55"/>
      <c r="I352" s="55"/>
    </row>
    <row r="353" spans="7:9" customFormat="1" ht="13" x14ac:dyDescent="0.3">
      <c r="G353" s="55"/>
      <c r="I353" s="55"/>
    </row>
    <row r="354" spans="7:9" customFormat="1" ht="13" x14ac:dyDescent="0.3">
      <c r="G354" s="55"/>
      <c r="I354" s="55"/>
    </row>
    <row r="355" spans="7:9" customFormat="1" ht="13" x14ac:dyDescent="0.3">
      <c r="G355" s="55"/>
      <c r="I355" s="55"/>
    </row>
    <row r="356" spans="7:9" customFormat="1" ht="13" x14ac:dyDescent="0.3">
      <c r="G356" s="55"/>
      <c r="I356" s="55"/>
    </row>
    <row r="357" spans="7:9" customFormat="1" ht="13" x14ac:dyDescent="0.3">
      <c r="G357" s="55"/>
      <c r="I357" s="55"/>
    </row>
    <row r="358" spans="7:9" customFormat="1" ht="13" x14ac:dyDescent="0.3">
      <c r="G358" s="55"/>
      <c r="I358" s="55"/>
    </row>
    <row r="359" spans="7:9" customFormat="1" ht="13" x14ac:dyDescent="0.3">
      <c r="G359" s="55"/>
      <c r="I359" s="55"/>
    </row>
    <row r="360" spans="7:9" customFormat="1" ht="13" x14ac:dyDescent="0.3">
      <c r="G360" s="55"/>
      <c r="I360" s="55"/>
    </row>
    <row r="361" spans="7:9" customFormat="1" ht="13" x14ac:dyDescent="0.3">
      <c r="G361" s="55"/>
      <c r="I361" s="55"/>
    </row>
    <row r="362" spans="7:9" customFormat="1" ht="13" x14ac:dyDescent="0.3">
      <c r="G362" s="55"/>
      <c r="I362" s="55"/>
    </row>
    <row r="363" spans="7:9" customFormat="1" ht="13" x14ac:dyDescent="0.3">
      <c r="G363" s="55"/>
      <c r="I363" s="55"/>
    </row>
    <row r="364" spans="7:9" customFormat="1" ht="13" x14ac:dyDescent="0.3">
      <c r="G364" s="55"/>
      <c r="I364" s="55"/>
    </row>
    <row r="365" spans="7:9" customFormat="1" ht="13" x14ac:dyDescent="0.3">
      <c r="G365" s="55"/>
      <c r="I365" s="55"/>
    </row>
    <row r="366" spans="7:9" customFormat="1" ht="13" x14ac:dyDescent="0.3">
      <c r="G366" s="55"/>
      <c r="I366" s="55"/>
    </row>
    <row r="367" spans="7:9" customFormat="1" ht="13" x14ac:dyDescent="0.3">
      <c r="G367" s="55"/>
      <c r="I367" s="55"/>
    </row>
    <row r="368" spans="7:9" customFormat="1" ht="13" x14ac:dyDescent="0.3">
      <c r="G368" s="55"/>
      <c r="I368" s="55"/>
    </row>
    <row r="369" spans="7:9" customFormat="1" ht="13" x14ac:dyDescent="0.3">
      <c r="G369" s="55"/>
      <c r="I369" s="55"/>
    </row>
    <row r="370" spans="7:9" customFormat="1" ht="13" x14ac:dyDescent="0.3">
      <c r="G370" s="55"/>
      <c r="I370" s="55"/>
    </row>
    <row r="371" spans="7:9" customFormat="1" ht="13" x14ac:dyDescent="0.3">
      <c r="G371" s="55"/>
      <c r="I371" s="55"/>
    </row>
    <row r="372" spans="7:9" customFormat="1" ht="13" x14ac:dyDescent="0.3">
      <c r="G372" s="55"/>
      <c r="I372" s="55"/>
    </row>
    <row r="373" spans="7:9" customFormat="1" ht="13" x14ac:dyDescent="0.3">
      <c r="G373" s="55"/>
      <c r="I373" s="55"/>
    </row>
    <row r="374" spans="7:9" customFormat="1" ht="13" x14ac:dyDescent="0.3">
      <c r="G374" s="55"/>
      <c r="I374" s="55"/>
    </row>
    <row r="375" spans="7:9" customFormat="1" ht="13" x14ac:dyDescent="0.3">
      <c r="G375" s="55"/>
      <c r="I375" s="55"/>
    </row>
    <row r="376" spans="7:9" customFormat="1" ht="13" x14ac:dyDescent="0.3">
      <c r="G376" s="55"/>
      <c r="I376" s="55"/>
    </row>
    <row r="377" spans="7:9" customFormat="1" ht="13" x14ac:dyDescent="0.3">
      <c r="G377" s="55"/>
      <c r="I377" s="55"/>
    </row>
    <row r="378" spans="7:9" customFormat="1" ht="13" x14ac:dyDescent="0.3">
      <c r="G378" s="55"/>
      <c r="I378" s="55"/>
    </row>
    <row r="379" spans="7:9" customFormat="1" ht="13" x14ac:dyDescent="0.3">
      <c r="G379" s="55"/>
      <c r="I379" s="55"/>
    </row>
    <row r="380" spans="7:9" customFormat="1" ht="13" x14ac:dyDescent="0.3">
      <c r="G380" s="55"/>
      <c r="I380" s="55"/>
    </row>
    <row r="381" spans="7:9" customFormat="1" ht="13" x14ac:dyDescent="0.3">
      <c r="G381" s="55"/>
      <c r="I381" s="55"/>
    </row>
    <row r="382" spans="7:9" customFormat="1" ht="13" x14ac:dyDescent="0.3">
      <c r="G382" s="55"/>
      <c r="I382" s="55"/>
    </row>
    <row r="383" spans="7:9" customFormat="1" ht="13" x14ac:dyDescent="0.3">
      <c r="G383" s="55"/>
      <c r="I383" s="55"/>
    </row>
    <row r="384" spans="7:9" customFormat="1" ht="13" x14ac:dyDescent="0.3">
      <c r="G384" s="55"/>
      <c r="I384" s="55"/>
    </row>
    <row r="385" spans="7:9" customFormat="1" ht="13" x14ac:dyDescent="0.3">
      <c r="G385" s="55"/>
      <c r="I385" s="55"/>
    </row>
    <row r="386" spans="7:9" customFormat="1" ht="13" x14ac:dyDescent="0.3">
      <c r="G386" s="55"/>
      <c r="I386" s="55"/>
    </row>
    <row r="387" spans="7:9" customFormat="1" ht="13" x14ac:dyDescent="0.3">
      <c r="G387" s="55"/>
      <c r="I387" s="55"/>
    </row>
    <row r="388" spans="7:9" customFormat="1" ht="13" x14ac:dyDescent="0.3">
      <c r="G388" s="55"/>
      <c r="I388" s="55"/>
    </row>
    <row r="389" spans="7:9" customFormat="1" ht="13" x14ac:dyDescent="0.3">
      <c r="G389" s="55"/>
      <c r="I389" s="55"/>
    </row>
    <row r="390" spans="7:9" customFormat="1" ht="13" x14ac:dyDescent="0.3">
      <c r="G390" s="55"/>
      <c r="I390" s="55"/>
    </row>
    <row r="391" spans="7:9" customFormat="1" ht="13" x14ac:dyDescent="0.3">
      <c r="G391" s="55"/>
      <c r="I391" s="55"/>
    </row>
    <row r="392" spans="7:9" customFormat="1" ht="13" x14ac:dyDescent="0.3">
      <c r="G392" s="55"/>
      <c r="I392" s="55"/>
    </row>
    <row r="393" spans="7:9" customFormat="1" ht="13" x14ac:dyDescent="0.3">
      <c r="G393" s="55"/>
      <c r="I393" s="55"/>
    </row>
    <row r="394" spans="7:9" customFormat="1" ht="13" x14ac:dyDescent="0.3">
      <c r="G394" s="55"/>
      <c r="I394" s="55"/>
    </row>
    <row r="395" spans="7:9" customFormat="1" ht="13" x14ac:dyDescent="0.3">
      <c r="G395" s="55"/>
      <c r="I395" s="55"/>
    </row>
    <row r="396" spans="7:9" customFormat="1" ht="13" x14ac:dyDescent="0.3">
      <c r="G396" s="55"/>
      <c r="I396" s="55"/>
    </row>
    <row r="397" spans="7:9" customFormat="1" ht="13" x14ac:dyDescent="0.3">
      <c r="G397" s="55"/>
      <c r="I397" s="55"/>
    </row>
    <row r="398" spans="7:9" customFormat="1" ht="13" x14ac:dyDescent="0.3">
      <c r="G398" s="55"/>
      <c r="I398" s="55"/>
    </row>
    <row r="399" spans="7:9" customFormat="1" ht="13" x14ac:dyDescent="0.3">
      <c r="G399" s="55"/>
      <c r="I399" s="55"/>
    </row>
    <row r="400" spans="7:9" customFormat="1" ht="13" x14ac:dyDescent="0.3">
      <c r="G400" s="55"/>
      <c r="I400" s="55"/>
    </row>
    <row r="401" spans="7:9" customFormat="1" ht="13" x14ac:dyDescent="0.3">
      <c r="G401" s="55"/>
      <c r="I401" s="55"/>
    </row>
    <row r="402" spans="7:9" customFormat="1" ht="13" x14ac:dyDescent="0.3">
      <c r="G402" s="55"/>
      <c r="I402" s="55"/>
    </row>
    <row r="403" spans="7:9" customFormat="1" ht="13" x14ac:dyDescent="0.3">
      <c r="G403" s="55"/>
      <c r="I403" s="55"/>
    </row>
    <row r="404" spans="7:9" customFormat="1" ht="13" x14ac:dyDescent="0.3">
      <c r="G404" s="55"/>
      <c r="I404" s="55"/>
    </row>
    <row r="405" spans="7:9" customFormat="1" ht="13" x14ac:dyDescent="0.3">
      <c r="G405" s="55"/>
      <c r="I405" s="55"/>
    </row>
    <row r="406" spans="7:9" customFormat="1" ht="13" x14ac:dyDescent="0.3">
      <c r="G406" s="55"/>
      <c r="I406" s="55"/>
    </row>
    <row r="407" spans="7:9" customFormat="1" ht="13" x14ac:dyDescent="0.3">
      <c r="G407" s="55"/>
      <c r="I407" s="55"/>
    </row>
    <row r="408" spans="7:9" customFormat="1" ht="13" x14ac:dyDescent="0.3">
      <c r="G408" s="55"/>
      <c r="I408" s="55"/>
    </row>
    <row r="409" spans="7:9" customFormat="1" ht="13" x14ac:dyDescent="0.3">
      <c r="G409" s="55"/>
      <c r="I409" s="55"/>
    </row>
    <row r="410" spans="7:9" customFormat="1" ht="13" x14ac:dyDescent="0.3">
      <c r="G410" s="55"/>
      <c r="I410" s="55"/>
    </row>
    <row r="411" spans="7:9" customFormat="1" ht="13" x14ac:dyDescent="0.3">
      <c r="G411" s="55"/>
      <c r="I411" s="55"/>
    </row>
    <row r="412" spans="7:9" customFormat="1" ht="13" x14ac:dyDescent="0.3">
      <c r="G412" s="55"/>
      <c r="I412" s="55"/>
    </row>
    <row r="413" spans="7:9" customFormat="1" ht="13" x14ac:dyDescent="0.3">
      <c r="G413" s="55"/>
      <c r="I413" s="55"/>
    </row>
    <row r="414" spans="7:9" customFormat="1" ht="13" x14ac:dyDescent="0.3">
      <c r="G414" s="55"/>
      <c r="I414" s="55"/>
    </row>
    <row r="415" spans="7:9" customFormat="1" ht="13" x14ac:dyDescent="0.3">
      <c r="G415" s="55"/>
      <c r="I415" s="55"/>
    </row>
    <row r="416" spans="7:9" customFormat="1" ht="13" x14ac:dyDescent="0.3">
      <c r="G416" s="55"/>
      <c r="I416" s="55"/>
    </row>
    <row r="417" spans="7:9" customFormat="1" ht="13" x14ac:dyDescent="0.3">
      <c r="G417" s="55"/>
      <c r="I417" s="55"/>
    </row>
    <row r="418" spans="7:9" customFormat="1" ht="13" x14ac:dyDescent="0.3">
      <c r="G418" s="55"/>
      <c r="I418" s="55"/>
    </row>
    <row r="419" spans="7:9" customFormat="1" ht="13" x14ac:dyDescent="0.3">
      <c r="G419" s="55"/>
      <c r="I419" s="55"/>
    </row>
    <row r="420" spans="7:9" customFormat="1" ht="13" x14ac:dyDescent="0.3">
      <c r="G420" s="55"/>
      <c r="I420" s="55"/>
    </row>
    <row r="421" spans="7:9" customFormat="1" ht="13" x14ac:dyDescent="0.3">
      <c r="G421" s="55"/>
      <c r="I421" s="55"/>
    </row>
    <row r="422" spans="7:9" customFormat="1" ht="13" x14ac:dyDescent="0.3">
      <c r="G422" s="55"/>
      <c r="I422" s="55"/>
    </row>
    <row r="423" spans="7:9" customFormat="1" ht="13" x14ac:dyDescent="0.3">
      <c r="G423" s="55"/>
      <c r="I423" s="55"/>
    </row>
    <row r="424" spans="7:9" customFormat="1" ht="13" x14ac:dyDescent="0.3">
      <c r="G424" s="55"/>
      <c r="I424" s="55"/>
    </row>
    <row r="425" spans="7:9" customFormat="1" ht="13" x14ac:dyDescent="0.3">
      <c r="G425" s="55"/>
      <c r="I425" s="55"/>
    </row>
    <row r="426" spans="7:9" customFormat="1" ht="13" x14ac:dyDescent="0.3">
      <c r="G426" s="55"/>
      <c r="I426" s="55"/>
    </row>
    <row r="427" spans="7:9" customFormat="1" ht="13" x14ac:dyDescent="0.3">
      <c r="G427" s="55"/>
      <c r="I427" s="55"/>
    </row>
    <row r="428" spans="7:9" customFormat="1" ht="13" x14ac:dyDescent="0.3">
      <c r="G428" s="55"/>
      <c r="I428" s="55"/>
    </row>
    <row r="429" spans="7:9" customFormat="1" ht="13" x14ac:dyDescent="0.3">
      <c r="G429" s="55"/>
      <c r="I429" s="55"/>
    </row>
    <row r="430" spans="7:9" customFormat="1" ht="13" x14ac:dyDescent="0.3">
      <c r="G430" s="55"/>
      <c r="I430" s="55"/>
    </row>
    <row r="431" spans="7:9" customFormat="1" ht="13" x14ac:dyDescent="0.3">
      <c r="G431" s="55"/>
      <c r="I431" s="55"/>
    </row>
    <row r="432" spans="7:9" customFormat="1" ht="13" x14ac:dyDescent="0.3">
      <c r="G432" s="55"/>
      <c r="I432" s="55"/>
    </row>
    <row r="433" spans="7:9" customFormat="1" ht="13" x14ac:dyDescent="0.3">
      <c r="G433" s="55"/>
      <c r="I433" s="55"/>
    </row>
    <row r="434" spans="7:9" customFormat="1" ht="13" x14ac:dyDescent="0.3">
      <c r="G434" s="55"/>
      <c r="I434" s="55"/>
    </row>
    <row r="435" spans="7:9" customFormat="1" ht="13" x14ac:dyDescent="0.3">
      <c r="G435" s="55"/>
      <c r="I435" s="55"/>
    </row>
    <row r="436" spans="7:9" customFormat="1" ht="13" x14ac:dyDescent="0.3">
      <c r="G436" s="55"/>
      <c r="I436" s="55"/>
    </row>
    <row r="437" spans="7:9" customFormat="1" ht="13" x14ac:dyDescent="0.3">
      <c r="G437" s="55"/>
      <c r="I437" s="55"/>
    </row>
    <row r="438" spans="7:9" customFormat="1" ht="13" x14ac:dyDescent="0.3">
      <c r="G438" s="55"/>
      <c r="I438" s="55"/>
    </row>
    <row r="439" spans="7:9" customFormat="1" ht="13" x14ac:dyDescent="0.3">
      <c r="G439" s="55"/>
      <c r="I439" s="55"/>
    </row>
    <row r="440" spans="7:9" customFormat="1" ht="13" x14ac:dyDescent="0.3">
      <c r="G440" s="55"/>
      <c r="I440" s="55"/>
    </row>
    <row r="441" spans="7:9" customFormat="1" ht="13" x14ac:dyDescent="0.3">
      <c r="G441" s="55"/>
      <c r="I441" s="55"/>
    </row>
    <row r="442" spans="7:9" customFormat="1" ht="13" x14ac:dyDescent="0.3">
      <c r="G442" s="55"/>
      <c r="I442" s="55"/>
    </row>
    <row r="443" spans="7:9" customFormat="1" ht="13" x14ac:dyDescent="0.3">
      <c r="G443" s="55"/>
      <c r="I443" s="55"/>
    </row>
    <row r="444" spans="7:9" customFormat="1" ht="13" x14ac:dyDescent="0.3">
      <c r="G444" s="55"/>
      <c r="I444" s="55"/>
    </row>
    <row r="445" spans="7:9" customFormat="1" ht="13" x14ac:dyDescent="0.3">
      <c r="G445" s="55"/>
      <c r="I445" s="55"/>
    </row>
    <row r="446" spans="7:9" customFormat="1" ht="13" x14ac:dyDescent="0.3">
      <c r="G446" s="55"/>
      <c r="I446" s="55"/>
    </row>
    <row r="447" spans="7:9" customFormat="1" ht="13" x14ac:dyDescent="0.3">
      <c r="G447" s="55"/>
      <c r="I447" s="55"/>
    </row>
    <row r="448" spans="7:9" customFormat="1" ht="13" x14ac:dyDescent="0.3">
      <c r="G448" s="55"/>
      <c r="I448" s="55"/>
    </row>
    <row r="449" spans="7:9" customFormat="1" ht="13" x14ac:dyDescent="0.3">
      <c r="G449" s="55"/>
      <c r="I449" s="55"/>
    </row>
    <row r="450" spans="7:9" customFormat="1" ht="13" x14ac:dyDescent="0.3">
      <c r="G450" s="55"/>
      <c r="I450" s="55"/>
    </row>
    <row r="451" spans="7:9" customFormat="1" ht="13" x14ac:dyDescent="0.3">
      <c r="G451" s="55"/>
      <c r="I451" s="55"/>
    </row>
    <row r="452" spans="7:9" customFormat="1" ht="13" x14ac:dyDescent="0.3">
      <c r="G452" s="55"/>
      <c r="I452" s="55"/>
    </row>
    <row r="453" spans="7:9" customFormat="1" ht="13" x14ac:dyDescent="0.3">
      <c r="G453" s="55"/>
      <c r="I453" s="55"/>
    </row>
    <row r="454" spans="7:9" customFormat="1" ht="13" x14ac:dyDescent="0.3">
      <c r="G454" s="55"/>
      <c r="I454" s="55"/>
    </row>
    <row r="455" spans="7:9" customFormat="1" ht="13" x14ac:dyDescent="0.3">
      <c r="G455" s="55"/>
      <c r="I455" s="55"/>
    </row>
    <row r="456" spans="7:9" customFormat="1" ht="13" x14ac:dyDescent="0.3">
      <c r="G456" s="55"/>
      <c r="I456" s="55"/>
    </row>
    <row r="457" spans="7:9" customFormat="1" ht="13" x14ac:dyDescent="0.3">
      <c r="G457" s="55"/>
      <c r="I457" s="55"/>
    </row>
    <row r="458" spans="7:9" customFormat="1" ht="13" x14ac:dyDescent="0.3">
      <c r="G458" s="55"/>
      <c r="I458" s="55"/>
    </row>
    <row r="459" spans="7:9" customFormat="1" ht="13" x14ac:dyDescent="0.3">
      <c r="G459" s="55"/>
      <c r="I459" s="55"/>
    </row>
    <row r="460" spans="7:9" customFormat="1" ht="13" x14ac:dyDescent="0.3">
      <c r="G460" s="55"/>
      <c r="I460" s="55"/>
    </row>
    <row r="461" spans="7:9" customFormat="1" ht="13" x14ac:dyDescent="0.3">
      <c r="G461" s="55"/>
      <c r="I461" s="55"/>
    </row>
    <row r="462" spans="7:9" customFormat="1" ht="13" x14ac:dyDescent="0.3">
      <c r="G462" s="55"/>
      <c r="I462" s="55"/>
    </row>
    <row r="463" spans="7:9" customFormat="1" ht="13" x14ac:dyDescent="0.3">
      <c r="G463" s="55"/>
      <c r="I463" s="55"/>
    </row>
    <row r="464" spans="7:9" customFormat="1" ht="13" x14ac:dyDescent="0.3">
      <c r="G464" s="55"/>
      <c r="I464" s="55"/>
    </row>
    <row r="465" spans="7:9" customFormat="1" ht="13" x14ac:dyDescent="0.3">
      <c r="G465" s="55"/>
      <c r="I465" s="55"/>
    </row>
    <row r="466" spans="7:9" customFormat="1" ht="13" x14ac:dyDescent="0.3">
      <c r="G466" s="55"/>
      <c r="I466" s="55"/>
    </row>
    <row r="467" spans="7:9" customFormat="1" ht="13" x14ac:dyDescent="0.3">
      <c r="G467" s="55"/>
      <c r="I467" s="55"/>
    </row>
    <row r="468" spans="7:9" customFormat="1" ht="13" x14ac:dyDescent="0.3">
      <c r="G468" s="55"/>
      <c r="I468" s="55"/>
    </row>
    <row r="469" spans="7:9" customFormat="1" ht="13" x14ac:dyDescent="0.3">
      <c r="G469" s="55"/>
      <c r="I469" s="55"/>
    </row>
    <row r="470" spans="7:9" customFormat="1" ht="13" x14ac:dyDescent="0.3">
      <c r="G470" s="55"/>
      <c r="I470" s="55"/>
    </row>
    <row r="471" spans="7:9" customFormat="1" ht="13" x14ac:dyDescent="0.3">
      <c r="G471" s="55"/>
      <c r="I471" s="55"/>
    </row>
    <row r="472" spans="7:9" customFormat="1" ht="13" x14ac:dyDescent="0.3">
      <c r="G472" s="55"/>
      <c r="I472" s="55"/>
    </row>
    <row r="473" spans="7:9" customFormat="1" ht="13" x14ac:dyDescent="0.3">
      <c r="G473" s="55"/>
      <c r="I473" s="55"/>
    </row>
    <row r="474" spans="7:9" customFormat="1" ht="13" x14ac:dyDescent="0.3">
      <c r="G474" s="55"/>
      <c r="I474" s="55"/>
    </row>
    <row r="475" spans="7:9" customFormat="1" ht="13" x14ac:dyDescent="0.3">
      <c r="G475" s="55"/>
      <c r="I475" s="55"/>
    </row>
    <row r="476" spans="7:9" customFormat="1" ht="13" x14ac:dyDescent="0.3">
      <c r="G476" s="55"/>
      <c r="I476" s="55"/>
    </row>
    <row r="477" spans="7:9" customFormat="1" ht="13" x14ac:dyDescent="0.3">
      <c r="G477" s="55"/>
      <c r="I477" s="55"/>
    </row>
    <row r="478" spans="7:9" customFormat="1" ht="13" x14ac:dyDescent="0.3">
      <c r="G478" s="55"/>
      <c r="I478" s="55"/>
    </row>
    <row r="479" spans="7:9" customFormat="1" ht="13" x14ac:dyDescent="0.3">
      <c r="G479" s="55"/>
      <c r="I479" s="55"/>
    </row>
    <row r="480" spans="7:9" customFormat="1" ht="13" x14ac:dyDescent="0.3">
      <c r="G480" s="55"/>
      <c r="I480" s="55"/>
    </row>
    <row r="481" spans="7:9" customFormat="1" ht="13" x14ac:dyDescent="0.3">
      <c r="G481" s="55"/>
      <c r="I481" s="55"/>
    </row>
    <row r="482" spans="7:9" customFormat="1" ht="13" x14ac:dyDescent="0.3">
      <c r="G482" s="55"/>
      <c r="I482" s="55"/>
    </row>
    <row r="483" spans="7:9" customFormat="1" ht="13" x14ac:dyDescent="0.3">
      <c r="G483" s="55"/>
      <c r="I483" s="55"/>
    </row>
    <row r="484" spans="7:9" customFormat="1" ht="13" x14ac:dyDescent="0.3">
      <c r="G484" s="55"/>
      <c r="I484" s="55"/>
    </row>
    <row r="485" spans="7:9" customFormat="1" ht="13" x14ac:dyDescent="0.3">
      <c r="G485" s="55"/>
      <c r="I485" s="55"/>
    </row>
    <row r="486" spans="7:9" customFormat="1" ht="13" x14ac:dyDescent="0.3">
      <c r="G486" s="55"/>
      <c r="I486" s="55"/>
    </row>
    <row r="487" spans="7:9" customFormat="1" ht="13" x14ac:dyDescent="0.3">
      <c r="G487" s="55"/>
      <c r="I487" s="55"/>
    </row>
    <row r="488" spans="7:9" customFormat="1" ht="13" x14ac:dyDescent="0.3">
      <c r="G488" s="55"/>
      <c r="I488" s="55"/>
    </row>
    <row r="489" spans="7:9" customFormat="1" ht="13" x14ac:dyDescent="0.3">
      <c r="G489" s="55"/>
      <c r="I489" s="55"/>
    </row>
    <row r="490" spans="7:9" customFormat="1" ht="13" x14ac:dyDescent="0.3">
      <c r="G490" s="55"/>
      <c r="I490" s="55"/>
    </row>
    <row r="491" spans="7:9" customFormat="1" ht="13" x14ac:dyDescent="0.3">
      <c r="G491" s="55"/>
      <c r="I491" s="55"/>
    </row>
    <row r="492" spans="7:9" customFormat="1" ht="13" x14ac:dyDescent="0.3">
      <c r="G492" s="55"/>
      <c r="I492" s="55"/>
    </row>
    <row r="493" spans="7:9" customFormat="1" ht="13" x14ac:dyDescent="0.3">
      <c r="G493" s="55"/>
      <c r="I493" s="55"/>
    </row>
    <row r="494" spans="7:9" customFormat="1" ht="13" x14ac:dyDescent="0.3">
      <c r="G494" s="55"/>
      <c r="I494" s="55"/>
    </row>
    <row r="495" spans="7:9" customFormat="1" ht="13" x14ac:dyDescent="0.3">
      <c r="G495" s="55"/>
      <c r="I495" s="55"/>
    </row>
    <row r="496" spans="7:9" customFormat="1" ht="13" x14ac:dyDescent="0.3">
      <c r="G496" s="55"/>
      <c r="I496" s="55"/>
    </row>
    <row r="497" spans="7:9" customFormat="1" ht="13" x14ac:dyDescent="0.3">
      <c r="G497" s="55"/>
      <c r="I497" s="55"/>
    </row>
    <row r="498" spans="7:9" customFormat="1" ht="13" x14ac:dyDescent="0.3">
      <c r="G498" s="55"/>
      <c r="I498" s="55"/>
    </row>
    <row r="499" spans="7:9" customFormat="1" ht="13" x14ac:dyDescent="0.3">
      <c r="G499" s="55"/>
      <c r="I499" s="55"/>
    </row>
    <row r="500" spans="7:9" customFormat="1" ht="13" x14ac:dyDescent="0.3">
      <c r="G500" s="55"/>
      <c r="I500" s="55"/>
    </row>
    <row r="501" spans="7:9" customFormat="1" ht="13" x14ac:dyDescent="0.3">
      <c r="G501" s="55"/>
      <c r="I501" s="55"/>
    </row>
    <row r="502" spans="7:9" customFormat="1" ht="13" x14ac:dyDescent="0.3">
      <c r="G502" s="55"/>
      <c r="I502" s="55"/>
    </row>
    <row r="503" spans="7:9" customFormat="1" ht="13" x14ac:dyDescent="0.3">
      <c r="G503" s="55"/>
      <c r="I503" s="55"/>
    </row>
    <row r="504" spans="7:9" customFormat="1" ht="13" x14ac:dyDescent="0.3">
      <c r="G504" s="55"/>
      <c r="I504" s="55"/>
    </row>
    <row r="505" spans="7:9" customFormat="1" ht="13" x14ac:dyDescent="0.3">
      <c r="G505" s="55"/>
      <c r="I505" s="55"/>
    </row>
    <row r="506" spans="7:9" customFormat="1" ht="13" x14ac:dyDescent="0.3">
      <c r="G506" s="55"/>
      <c r="I506" s="55"/>
    </row>
    <row r="507" spans="7:9" customFormat="1" ht="13" x14ac:dyDescent="0.3">
      <c r="G507" s="55"/>
      <c r="I507" s="55"/>
    </row>
    <row r="508" spans="7:9" customFormat="1" ht="13" x14ac:dyDescent="0.3">
      <c r="G508" s="55"/>
      <c r="I508" s="55"/>
    </row>
    <row r="509" spans="7:9" customFormat="1" ht="13" x14ac:dyDescent="0.3">
      <c r="G509" s="55"/>
      <c r="I509" s="55"/>
    </row>
    <row r="510" spans="7:9" customFormat="1" ht="13" x14ac:dyDescent="0.3">
      <c r="G510" s="55"/>
      <c r="I510" s="55"/>
    </row>
    <row r="511" spans="7:9" customFormat="1" ht="13" x14ac:dyDescent="0.3">
      <c r="G511" s="55"/>
      <c r="I511" s="55"/>
    </row>
    <row r="512" spans="7:9" customFormat="1" ht="13" x14ac:dyDescent="0.3">
      <c r="G512" s="55"/>
      <c r="I512" s="55"/>
    </row>
    <row r="513" spans="7:9" customFormat="1" ht="13" x14ac:dyDescent="0.3">
      <c r="G513" s="55"/>
      <c r="I513" s="55"/>
    </row>
    <row r="514" spans="7:9" customFormat="1" ht="13" x14ac:dyDescent="0.3">
      <c r="G514" s="55"/>
      <c r="I514" s="55"/>
    </row>
    <row r="515" spans="7:9" customFormat="1" ht="13" x14ac:dyDescent="0.3">
      <c r="G515" s="55"/>
      <c r="I515" s="55"/>
    </row>
    <row r="516" spans="7:9" customFormat="1" ht="13" x14ac:dyDescent="0.3">
      <c r="G516" s="55"/>
      <c r="I516" s="55"/>
    </row>
    <row r="517" spans="7:9" customFormat="1" ht="13" x14ac:dyDescent="0.3">
      <c r="G517" s="55"/>
      <c r="I517" s="55"/>
    </row>
    <row r="518" spans="7:9" customFormat="1" ht="13" x14ac:dyDescent="0.3">
      <c r="G518" s="55"/>
      <c r="I518" s="55"/>
    </row>
    <row r="519" spans="7:9" customFormat="1" ht="13" x14ac:dyDescent="0.3">
      <c r="G519" s="55"/>
      <c r="I519" s="55"/>
    </row>
    <row r="520" spans="7:9" customFormat="1" ht="13" x14ac:dyDescent="0.3">
      <c r="G520" s="55"/>
      <c r="I520" s="55"/>
    </row>
    <row r="521" spans="7:9" customFormat="1" ht="13" x14ac:dyDescent="0.3">
      <c r="G521" s="55"/>
      <c r="I521" s="55"/>
    </row>
    <row r="522" spans="7:9" customFormat="1" ht="13" x14ac:dyDescent="0.3">
      <c r="G522" s="55"/>
      <c r="I522" s="55"/>
    </row>
    <row r="523" spans="7:9" customFormat="1" ht="13" x14ac:dyDescent="0.3">
      <c r="G523" s="55"/>
      <c r="I523" s="55"/>
    </row>
    <row r="524" spans="7:9" customFormat="1" ht="13" x14ac:dyDescent="0.3">
      <c r="G524" s="55"/>
      <c r="I524" s="55"/>
    </row>
    <row r="525" spans="7:9" customFormat="1" ht="13" x14ac:dyDescent="0.3">
      <c r="G525" s="55"/>
      <c r="I525" s="55"/>
    </row>
    <row r="526" spans="7:9" customFormat="1" ht="13" x14ac:dyDescent="0.3">
      <c r="G526" s="55"/>
      <c r="I526" s="55"/>
    </row>
    <row r="527" spans="7:9" customFormat="1" ht="13" x14ac:dyDescent="0.3">
      <c r="G527" s="55"/>
      <c r="I527" s="55"/>
    </row>
    <row r="528" spans="7:9" customFormat="1" ht="13" x14ac:dyDescent="0.3">
      <c r="G528" s="55"/>
      <c r="I528" s="55"/>
    </row>
    <row r="529" spans="7:9" customFormat="1" ht="13" x14ac:dyDescent="0.3">
      <c r="G529" s="55"/>
      <c r="I529" s="55"/>
    </row>
    <row r="530" spans="7:9" customFormat="1" ht="13" x14ac:dyDescent="0.3">
      <c r="G530" s="55"/>
      <c r="I530" s="55"/>
    </row>
    <row r="531" spans="7:9" customFormat="1" ht="13" x14ac:dyDescent="0.3">
      <c r="G531" s="55"/>
      <c r="I531" s="55"/>
    </row>
    <row r="532" spans="7:9" customFormat="1" ht="13" x14ac:dyDescent="0.3">
      <c r="G532" s="55"/>
      <c r="I532" s="55"/>
    </row>
    <row r="533" spans="7:9" customFormat="1" ht="13" x14ac:dyDescent="0.3">
      <c r="G533" s="55"/>
      <c r="I533" s="55"/>
    </row>
    <row r="534" spans="7:9" customFormat="1" ht="13" x14ac:dyDescent="0.3">
      <c r="G534" s="55"/>
      <c r="I534" s="55"/>
    </row>
    <row r="535" spans="7:9" customFormat="1" ht="13" x14ac:dyDescent="0.3">
      <c r="G535" s="55"/>
      <c r="I535" s="55"/>
    </row>
    <row r="536" spans="7:9" customFormat="1" ht="13" x14ac:dyDescent="0.3">
      <c r="G536" s="55"/>
      <c r="I536" s="55"/>
    </row>
    <row r="537" spans="7:9" customFormat="1" ht="13" x14ac:dyDescent="0.3">
      <c r="G537" s="55"/>
      <c r="I537" s="55"/>
    </row>
    <row r="538" spans="7:9" customFormat="1" ht="13" x14ac:dyDescent="0.3">
      <c r="G538" s="55"/>
      <c r="I538" s="55"/>
    </row>
    <row r="539" spans="7:9" customFormat="1" ht="13" x14ac:dyDescent="0.3">
      <c r="G539" s="55"/>
      <c r="I539" s="55"/>
    </row>
    <row r="540" spans="7:9" customFormat="1" ht="13" x14ac:dyDescent="0.3">
      <c r="G540" s="55"/>
      <c r="I540" s="55"/>
    </row>
    <row r="541" spans="7:9" customFormat="1" ht="13" x14ac:dyDescent="0.3">
      <c r="G541" s="55"/>
      <c r="I541" s="55"/>
    </row>
    <row r="542" spans="7:9" customFormat="1" ht="13" x14ac:dyDescent="0.3">
      <c r="G542" s="55"/>
      <c r="I542" s="55"/>
    </row>
    <row r="543" spans="7:9" customFormat="1" ht="13" x14ac:dyDescent="0.3">
      <c r="G543" s="55"/>
      <c r="I543" s="55"/>
    </row>
    <row r="544" spans="7:9" customFormat="1" ht="13" x14ac:dyDescent="0.3">
      <c r="G544" s="55"/>
      <c r="I544" s="55"/>
    </row>
    <row r="545" spans="7:9" customFormat="1" ht="13" x14ac:dyDescent="0.3">
      <c r="G545" s="55"/>
      <c r="I545" s="55"/>
    </row>
    <row r="546" spans="7:9" customFormat="1" ht="13" x14ac:dyDescent="0.3">
      <c r="G546" s="55"/>
      <c r="I546" s="55"/>
    </row>
    <row r="547" spans="7:9" customFormat="1" ht="13" x14ac:dyDescent="0.3">
      <c r="G547" s="55"/>
      <c r="I547" s="55"/>
    </row>
    <row r="548" spans="7:9" customFormat="1" ht="13" x14ac:dyDescent="0.3">
      <c r="G548" s="55"/>
      <c r="I548" s="55"/>
    </row>
    <row r="549" spans="7:9" customFormat="1" ht="13" x14ac:dyDescent="0.3">
      <c r="G549" s="55"/>
      <c r="I549" s="55"/>
    </row>
    <row r="550" spans="7:9" customFormat="1" ht="13" x14ac:dyDescent="0.3">
      <c r="G550" s="55"/>
      <c r="I550" s="55"/>
    </row>
    <row r="551" spans="7:9" customFormat="1" ht="13" x14ac:dyDescent="0.3">
      <c r="G551" s="55"/>
      <c r="I551" s="55"/>
    </row>
    <row r="552" spans="7:9" customFormat="1" ht="13" x14ac:dyDescent="0.3">
      <c r="G552" s="55"/>
      <c r="I552" s="55"/>
    </row>
    <row r="553" spans="7:9" customFormat="1" ht="13" x14ac:dyDescent="0.3">
      <c r="G553" s="55"/>
      <c r="I553" s="55"/>
    </row>
    <row r="554" spans="7:9" customFormat="1" ht="13" x14ac:dyDescent="0.3">
      <c r="G554" s="55"/>
      <c r="I554" s="55"/>
    </row>
    <row r="555" spans="7:9" customFormat="1" ht="13" x14ac:dyDescent="0.3">
      <c r="G555" s="55"/>
      <c r="I555" s="55"/>
    </row>
    <row r="556" spans="7:9" customFormat="1" ht="13" x14ac:dyDescent="0.3">
      <c r="G556" s="55"/>
      <c r="I556" s="55"/>
    </row>
    <row r="557" spans="7:9" customFormat="1" ht="13" x14ac:dyDescent="0.3">
      <c r="G557" s="55"/>
      <c r="I557" s="55"/>
    </row>
    <row r="558" spans="7:9" customFormat="1" ht="13" x14ac:dyDescent="0.3">
      <c r="G558" s="55"/>
      <c r="I558" s="55"/>
    </row>
    <row r="559" spans="7:9" customFormat="1" ht="13" x14ac:dyDescent="0.3">
      <c r="G559" s="55"/>
      <c r="I559" s="55"/>
    </row>
    <row r="560" spans="7:9" customFormat="1" ht="13" x14ac:dyDescent="0.3">
      <c r="G560" s="55"/>
      <c r="I560" s="55"/>
    </row>
    <row r="561" spans="7:9" customFormat="1" ht="13" x14ac:dyDescent="0.3">
      <c r="G561" s="55"/>
      <c r="I561" s="55"/>
    </row>
    <row r="562" spans="7:9" customFormat="1" ht="13" x14ac:dyDescent="0.3">
      <c r="G562" s="55"/>
      <c r="I562" s="55"/>
    </row>
    <row r="563" spans="7:9" customFormat="1" ht="13" x14ac:dyDescent="0.3">
      <c r="G563" s="55"/>
      <c r="I563" s="55"/>
    </row>
    <row r="564" spans="7:9" customFormat="1" ht="13" x14ac:dyDescent="0.3">
      <c r="G564" s="55"/>
      <c r="I564" s="55"/>
    </row>
    <row r="565" spans="7:9" customFormat="1" ht="13" x14ac:dyDescent="0.3">
      <c r="G565" s="55"/>
      <c r="I565" s="55"/>
    </row>
    <row r="566" spans="7:9" customFormat="1" ht="13" x14ac:dyDescent="0.3">
      <c r="G566" s="55"/>
      <c r="I566" s="55"/>
    </row>
    <row r="567" spans="7:9" customFormat="1" ht="13" x14ac:dyDescent="0.3">
      <c r="G567" s="55"/>
      <c r="I567" s="55"/>
    </row>
    <row r="568" spans="7:9" customFormat="1" ht="13" x14ac:dyDescent="0.3">
      <c r="G568" s="55"/>
      <c r="I568" s="55"/>
    </row>
    <row r="569" spans="7:9" customFormat="1" ht="13" x14ac:dyDescent="0.3">
      <c r="G569" s="55"/>
      <c r="I569" s="55"/>
    </row>
    <row r="570" spans="7:9" customFormat="1" ht="13" x14ac:dyDescent="0.3">
      <c r="G570" s="55"/>
      <c r="I570" s="55"/>
    </row>
    <row r="571" spans="7:9" customFormat="1" ht="13" x14ac:dyDescent="0.3">
      <c r="G571" s="55"/>
      <c r="I571" s="55"/>
    </row>
    <row r="572" spans="7:9" customFormat="1" ht="13" x14ac:dyDescent="0.3">
      <c r="G572" s="55"/>
      <c r="I572" s="55"/>
    </row>
    <row r="573" spans="7:9" customFormat="1" ht="13" x14ac:dyDescent="0.3">
      <c r="G573" s="55"/>
      <c r="I573" s="55"/>
    </row>
    <row r="574" spans="7:9" customFormat="1" ht="13" x14ac:dyDescent="0.3">
      <c r="G574" s="55"/>
      <c r="I574" s="55"/>
    </row>
    <row r="575" spans="7:9" customFormat="1" ht="13" x14ac:dyDescent="0.3">
      <c r="G575" s="55"/>
      <c r="I575" s="55"/>
    </row>
    <row r="576" spans="7:9" customFormat="1" ht="13" x14ac:dyDescent="0.3">
      <c r="G576" s="55"/>
      <c r="I576" s="55"/>
    </row>
    <row r="577" spans="7:9" customFormat="1" ht="13" x14ac:dyDescent="0.3">
      <c r="G577" s="55"/>
      <c r="I577" s="55"/>
    </row>
    <row r="578" spans="7:9" customFormat="1" ht="13" x14ac:dyDescent="0.3">
      <c r="G578" s="55"/>
      <c r="I578" s="55"/>
    </row>
    <row r="579" spans="7:9" customFormat="1" ht="13" x14ac:dyDescent="0.3">
      <c r="G579" s="55"/>
      <c r="I579" s="55"/>
    </row>
    <row r="580" spans="7:9" customFormat="1" ht="13" x14ac:dyDescent="0.3">
      <c r="G580" s="55"/>
      <c r="I580" s="55"/>
    </row>
    <row r="581" spans="7:9" customFormat="1" ht="13" x14ac:dyDescent="0.3">
      <c r="G581" s="55"/>
      <c r="I581" s="55"/>
    </row>
    <row r="582" spans="7:9" customFormat="1" ht="13" x14ac:dyDescent="0.3">
      <c r="G582" s="55"/>
      <c r="I582" s="55"/>
    </row>
    <row r="583" spans="7:9" customFormat="1" ht="13" x14ac:dyDescent="0.3">
      <c r="G583" s="55"/>
      <c r="I583" s="55"/>
    </row>
    <row r="584" spans="7:9" customFormat="1" ht="13" x14ac:dyDescent="0.3">
      <c r="G584" s="55"/>
      <c r="I584" s="55"/>
    </row>
    <row r="585" spans="7:9" customFormat="1" ht="13" x14ac:dyDescent="0.3">
      <c r="G585" s="55"/>
      <c r="I585" s="55"/>
    </row>
    <row r="586" spans="7:9" customFormat="1" ht="13" x14ac:dyDescent="0.3">
      <c r="G586" s="55"/>
      <c r="I586" s="55"/>
    </row>
    <row r="587" spans="7:9" customFormat="1" ht="13" x14ac:dyDescent="0.3">
      <c r="G587" s="55"/>
      <c r="I587" s="55"/>
    </row>
    <row r="588" spans="7:9" customFormat="1" ht="13" x14ac:dyDescent="0.3">
      <c r="G588" s="55"/>
      <c r="I588" s="55"/>
    </row>
    <row r="589" spans="7:9" customFormat="1" ht="13" x14ac:dyDescent="0.3">
      <c r="G589" s="55"/>
      <c r="I589" s="55"/>
    </row>
    <row r="590" spans="7:9" customFormat="1" ht="13" x14ac:dyDescent="0.3">
      <c r="G590" s="55"/>
      <c r="I590" s="55"/>
    </row>
    <row r="591" spans="7:9" customFormat="1" ht="13" x14ac:dyDescent="0.3">
      <c r="G591" s="55"/>
      <c r="I591" s="55"/>
    </row>
    <row r="592" spans="7:9" customFormat="1" ht="13" x14ac:dyDescent="0.3">
      <c r="G592" s="55"/>
      <c r="I592" s="55"/>
    </row>
    <row r="593" spans="7:9" customFormat="1" ht="13" x14ac:dyDescent="0.3">
      <c r="G593" s="55"/>
      <c r="I593" s="55"/>
    </row>
    <row r="594" spans="7:9" customFormat="1" ht="13" x14ac:dyDescent="0.3">
      <c r="G594" s="55"/>
      <c r="I594" s="55"/>
    </row>
    <row r="595" spans="7:9" customFormat="1" ht="13" x14ac:dyDescent="0.3">
      <c r="G595" s="55"/>
      <c r="I595" s="55"/>
    </row>
    <row r="596" spans="7:9" customFormat="1" ht="13" x14ac:dyDescent="0.3">
      <c r="G596" s="55"/>
      <c r="I596" s="55"/>
    </row>
    <row r="597" spans="7:9" customFormat="1" ht="13" x14ac:dyDescent="0.3">
      <c r="G597" s="55"/>
      <c r="I597" s="55"/>
    </row>
    <row r="598" spans="7:9" customFormat="1" ht="13" x14ac:dyDescent="0.3">
      <c r="G598" s="55"/>
      <c r="I598" s="55"/>
    </row>
    <row r="599" spans="7:9" customFormat="1" ht="13" x14ac:dyDescent="0.3">
      <c r="G599" s="55"/>
      <c r="I599" s="55"/>
    </row>
    <row r="600" spans="7:9" customFormat="1" ht="13" x14ac:dyDescent="0.3">
      <c r="G600" s="55"/>
      <c r="I600" s="55"/>
    </row>
    <row r="601" spans="7:9" customFormat="1" ht="13" x14ac:dyDescent="0.3">
      <c r="G601" s="55"/>
      <c r="I601" s="55"/>
    </row>
    <row r="602" spans="7:9" customFormat="1" ht="13" x14ac:dyDescent="0.3">
      <c r="G602" s="55"/>
      <c r="I602" s="55"/>
    </row>
    <row r="603" spans="7:9" customFormat="1" ht="13" x14ac:dyDescent="0.3">
      <c r="G603" s="55"/>
      <c r="I603" s="55"/>
    </row>
    <row r="604" spans="7:9" customFormat="1" ht="13" x14ac:dyDescent="0.3">
      <c r="G604" s="55"/>
      <c r="I604" s="55"/>
    </row>
    <row r="605" spans="7:9" customFormat="1" ht="13" x14ac:dyDescent="0.3">
      <c r="G605" s="55"/>
      <c r="I605" s="55"/>
    </row>
    <row r="606" spans="7:9" customFormat="1" ht="13" x14ac:dyDescent="0.3">
      <c r="G606" s="55"/>
      <c r="I606" s="55"/>
    </row>
    <row r="607" spans="7:9" customFormat="1" ht="13" x14ac:dyDescent="0.3">
      <c r="G607" s="55"/>
      <c r="I607" s="55"/>
    </row>
    <row r="608" spans="7:9" customFormat="1" ht="13" x14ac:dyDescent="0.3">
      <c r="G608" s="55"/>
      <c r="I608" s="55"/>
    </row>
    <row r="609" spans="7:9" customFormat="1" ht="13" x14ac:dyDescent="0.3">
      <c r="G609" s="55"/>
      <c r="I609" s="55"/>
    </row>
    <row r="610" spans="7:9" customFormat="1" ht="13" x14ac:dyDescent="0.3">
      <c r="G610" s="55"/>
      <c r="I610" s="55"/>
    </row>
    <row r="611" spans="7:9" customFormat="1" ht="13" x14ac:dyDescent="0.3">
      <c r="G611" s="55"/>
      <c r="I611" s="55"/>
    </row>
    <row r="612" spans="7:9" customFormat="1" ht="13" x14ac:dyDescent="0.3">
      <c r="G612" s="55"/>
      <c r="I612" s="55"/>
    </row>
    <row r="613" spans="7:9" customFormat="1" ht="13" x14ac:dyDescent="0.3">
      <c r="G613" s="55"/>
      <c r="I613" s="55"/>
    </row>
    <row r="614" spans="7:9" customFormat="1" ht="13" x14ac:dyDescent="0.3">
      <c r="G614" s="55"/>
      <c r="I614" s="55"/>
    </row>
    <row r="615" spans="7:9" customFormat="1" ht="13" x14ac:dyDescent="0.3">
      <c r="G615" s="55"/>
      <c r="I615" s="55"/>
    </row>
    <row r="616" spans="7:9" customFormat="1" ht="13" x14ac:dyDescent="0.3">
      <c r="G616" s="55"/>
      <c r="I616" s="55"/>
    </row>
    <row r="617" spans="7:9" customFormat="1" ht="13" x14ac:dyDescent="0.3">
      <c r="G617" s="55"/>
      <c r="I617" s="55"/>
    </row>
    <row r="618" spans="7:9" customFormat="1" ht="13" x14ac:dyDescent="0.3">
      <c r="G618" s="55"/>
      <c r="I618" s="55"/>
    </row>
    <row r="619" spans="7:9" customFormat="1" ht="13" x14ac:dyDescent="0.3">
      <c r="G619" s="55"/>
      <c r="I619" s="55"/>
    </row>
    <row r="620" spans="7:9" customFormat="1" ht="13" x14ac:dyDescent="0.3">
      <c r="G620" s="55"/>
      <c r="I620" s="55"/>
    </row>
    <row r="621" spans="7:9" customFormat="1" ht="13" x14ac:dyDescent="0.3">
      <c r="G621" s="55"/>
      <c r="I621" s="55"/>
    </row>
    <row r="622" spans="7:9" customFormat="1" ht="13" x14ac:dyDescent="0.3">
      <c r="G622" s="55"/>
      <c r="I622" s="55"/>
    </row>
    <row r="623" spans="7:9" customFormat="1" ht="13" x14ac:dyDescent="0.3">
      <c r="G623" s="55"/>
      <c r="I623" s="55"/>
    </row>
    <row r="624" spans="7:9" customFormat="1" ht="13" x14ac:dyDescent="0.3">
      <c r="G624" s="55"/>
      <c r="I624" s="55"/>
    </row>
    <row r="625" spans="7:9" customFormat="1" ht="13" x14ac:dyDescent="0.3">
      <c r="G625" s="55"/>
      <c r="I625" s="55"/>
    </row>
    <row r="626" spans="7:9" customFormat="1" ht="13" x14ac:dyDescent="0.3">
      <c r="G626" s="55"/>
      <c r="I626" s="55"/>
    </row>
    <row r="627" spans="7:9" customFormat="1" ht="13" x14ac:dyDescent="0.3">
      <c r="G627" s="55"/>
      <c r="I627" s="55"/>
    </row>
    <row r="628" spans="7:9" customFormat="1" ht="13" x14ac:dyDescent="0.3">
      <c r="G628" s="55"/>
      <c r="I628" s="55"/>
    </row>
    <row r="629" spans="7:9" customFormat="1" ht="13" x14ac:dyDescent="0.3">
      <c r="G629" s="55"/>
      <c r="I629" s="55"/>
    </row>
    <row r="630" spans="7:9" customFormat="1" ht="13" x14ac:dyDescent="0.3">
      <c r="G630" s="55"/>
      <c r="I630" s="55"/>
    </row>
    <row r="631" spans="7:9" customFormat="1" ht="13" x14ac:dyDescent="0.3">
      <c r="G631" s="55"/>
      <c r="I631" s="55"/>
    </row>
    <row r="632" spans="7:9" customFormat="1" ht="13" x14ac:dyDescent="0.3">
      <c r="G632" s="55"/>
      <c r="I632" s="55"/>
    </row>
    <row r="633" spans="7:9" customFormat="1" ht="13" x14ac:dyDescent="0.3">
      <c r="G633" s="55"/>
      <c r="I633" s="55"/>
    </row>
    <row r="634" spans="7:9" customFormat="1" ht="13" x14ac:dyDescent="0.3">
      <c r="G634" s="55"/>
      <c r="I634" s="55"/>
    </row>
    <row r="635" spans="7:9" customFormat="1" ht="13" x14ac:dyDescent="0.3">
      <c r="G635" s="55"/>
      <c r="I635" s="55"/>
    </row>
    <row r="636" spans="7:9" customFormat="1" ht="13" x14ac:dyDescent="0.3">
      <c r="G636" s="55"/>
      <c r="I636" s="55"/>
    </row>
    <row r="637" spans="7:9" customFormat="1" ht="13" x14ac:dyDescent="0.3">
      <c r="G637" s="55"/>
      <c r="I637" s="55"/>
    </row>
    <row r="638" spans="7:9" customFormat="1" ht="13" x14ac:dyDescent="0.3">
      <c r="G638" s="55"/>
      <c r="I638" s="55"/>
    </row>
    <row r="639" spans="7:9" customFormat="1" ht="13" x14ac:dyDescent="0.3">
      <c r="G639" s="55"/>
      <c r="I639" s="55"/>
    </row>
    <row r="640" spans="7:9" customFormat="1" ht="13" x14ac:dyDescent="0.3">
      <c r="G640" s="55"/>
      <c r="I640" s="55"/>
    </row>
    <row r="641" spans="7:9" customFormat="1" ht="13" x14ac:dyDescent="0.3">
      <c r="G641" s="55"/>
      <c r="I641" s="55"/>
    </row>
    <row r="642" spans="7:9" customFormat="1" ht="13" x14ac:dyDescent="0.3">
      <c r="G642" s="55"/>
      <c r="I642" s="55"/>
    </row>
    <row r="643" spans="7:9" customFormat="1" ht="13" x14ac:dyDescent="0.3">
      <c r="G643" s="55"/>
      <c r="I643" s="55"/>
    </row>
    <row r="644" spans="7:9" customFormat="1" ht="13" x14ac:dyDescent="0.3">
      <c r="G644" s="55"/>
      <c r="I644" s="55"/>
    </row>
    <row r="645" spans="7:9" customFormat="1" ht="13" x14ac:dyDescent="0.3">
      <c r="G645" s="55"/>
      <c r="I645" s="55"/>
    </row>
    <row r="646" spans="7:9" customFormat="1" ht="13" x14ac:dyDescent="0.3">
      <c r="G646" s="55"/>
      <c r="I646" s="55"/>
    </row>
    <row r="647" spans="7:9" customFormat="1" ht="13" x14ac:dyDescent="0.3">
      <c r="G647" s="55"/>
      <c r="I647" s="55"/>
    </row>
    <row r="648" spans="7:9" customFormat="1" ht="13" x14ac:dyDescent="0.3">
      <c r="G648" s="55"/>
      <c r="I648" s="55"/>
    </row>
    <row r="649" spans="7:9" customFormat="1" ht="13" x14ac:dyDescent="0.3">
      <c r="G649" s="55"/>
      <c r="I649" s="55"/>
    </row>
    <row r="650" spans="7:9" customFormat="1" ht="13" x14ac:dyDescent="0.3">
      <c r="G650" s="55"/>
      <c r="I650" s="55"/>
    </row>
    <row r="651" spans="7:9" customFormat="1" ht="13" x14ac:dyDescent="0.3">
      <c r="G651" s="55"/>
      <c r="I651" s="55"/>
    </row>
    <row r="652" spans="7:9" customFormat="1" ht="13" x14ac:dyDescent="0.3">
      <c r="G652" s="55"/>
      <c r="I652" s="55"/>
    </row>
    <row r="653" spans="7:9" customFormat="1" ht="13" x14ac:dyDescent="0.3">
      <c r="G653" s="55"/>
      <c r="I653" s="55"/>
    </row>
    <row r="654" spans="7:9" customFormat="1" ht="13" x14ac:dyDescent="0.3">
      <c r="G654" s="55"/>
      <c r="I654" s="55"/>
    </row>
    <row r="655" spans="7:9" customFormat="1" ht="13" x14ac:dyDescent="0.3">
      <c r="G655" s="55"/>
      <c r="I655" s="55"/>
    </row>
    <row r="656" spans="7:9" customFormat="1" ht="13" x14ac:dyDescent="0.3">
      <c r="G656" s="55"/>
      <c r="I656" s="55"/>
    </row>
    <row r="657" spans="7:9" customFormat="1" ht="13" x14ac:dyDescent="0.3">
      <c r="G657" s="55"/>
      <c r="I657" s="55"/>
    </row>
    <row r="658" spans="7:9" customFormat="1" ht="13" x14ac:dyDescent="0.3">
      <c r="G658" s="55"/>
      <c r="I658" s="55"/>
    </row>
    <row r="659" spans="7:9" customFormat="1" ht="13" x14ac:dyDescent="0.3">
      <c r="G659" s="55"/>
      <c r="I659" s="55"/>
    </row>
    <row r="660" spans="7:9" customFormat="1" ht="13" x14ac:dyDescent="0.3">
      <c r="G660" s="55"/>
      <c r="I660" s="55"/>
    </row>
    <row r="661" spans="7:9" customFormat="1" ht="13" x14ac:dyDescent="0.3">
      <c r="G661" s="55"/>
      <c r="I661" s="55"/>
    </row>
    <row r="662" spans="7:9" customFormat="1" ht="13" x14ac:dyDescent="0.3">
      <c r="G662" s="55"/>
      <c r="I662" s="55"/>
    </row>
    <row r="663" spans="7:9" customFormat="1" ht="13" x14ac:dyDescent="0.3">
      <c r="G663" s="55"/>
      <c r="I663" s="55"/>
    </row>
    <row r="664" spans="7:9" customFormat="1" ht="13" x14ac:dyDescent="0.3">
      <c r="G664" s="55"/>
      <c r="I664" s="55"/>
    </row>
    <row r="665" spans="7:9" customFormat="1" ht="13" x14ac:dyDescent="0.3">
      <c r="G665" s="55"/>
      <c r="I665" s="55"/>
    </row>
    <row r="666" spans="7:9" customFormat="1" ht="13" x14ac:dyDescent="0.3">
      <c r="G666" s="55"/>
      <c r="I666" s="55"/>
    </row>
    <row r="667" spans="7:9" customFormat="1" ht="13" x14ac:dyDescent="0.3">
      <c r="G667" s="55"/>
      <c r="I667" s="55"/>
    </row>
    <row r="668" spans="7:9" customFormat="1" ht="13" x14ac:dyDescent="0.3">
      <c r="G668" s="55"/>
      <c r="I668" s="55"/>
    </row>
    <row r="669" spans="7:9" customFormat="1" ht="13" x14ac:dyDescent="0.3">
      <c r="G669" s="55"/>
      <c r="I669" s="55"/>
    </row>
    <row r="670" spans="7:9" customFormat="1" ht="13" x14ac:dyDescent="0.3">
      <c r="G670" s="55"/>
      <c r="I670" s="55"/>
    </row>
    <row r="671" spans="7:9" customFormat="1" ht="13" x14ac:dyDescent="0.3">
      <c r="G671" s="55"/>
      <c r="I671" s="55"/>
    </row>
    <row r="672" spans="7:9" customFormat="1" ht="13" x14ac:dyDescent="0.3">
      <c r="G672" s="55"/>
      <c r="I672" s="55"/>
    </row>
    <row r="673" spans="7:9" customFormat="1" ht="13" x14ac:dyDescent="0.3">
      <c r="G673" s="55"/>
      <c r="I673" s="55"/>
    </row>
    <row r="674" spans="7:9" customFormat="1" ht="13" x14ac:dyDescent="0.3">
      <c r="G674" s="55"/>
      <c r="I674" s="55"/>
    </row>
    <row r="675" spans="7:9" customFormat="1" ht="13" x14ac:dyDescent="0.3">
      <c r="G675" s="55"/>
      <c r="I675" s="55"/>
    </row>
    <row r="676" spans="7:9" customFormat="1" ht="13" x14ac:dyDescent="0.3">
      <c r="G676" s="55"/>
      <c r="I676" s="55"/>
    </row>
    <row r="677" spans="7:9" customFormat="1" ht="13" x14ac:dyDescent="0.3">
      <c r="G677" s="55"/>
      <c r="I677" s="55"/>
    </row>
    <row r="678" spans="7:9" customFormat="1" ht="13" x14ac:dyDescent="0.3">
      <c r="G678" s="55"/>
      <c r="I678" s="55"/>
    </row>
    <row r="679" spans="7:9" customFormat="1" ht="13" x14ac:dyDescent="0.3">
      <c r="G679" s="55"/>
      <c r="I679" s="55"/>
    </row>
    <row r="680" spans="7:9" customFormat="1" ht="13" x14ac:dyDescent="0.3">
      <c r="G680" s="55"/>
      <c r="I680" s="55"/>
    </row>
    <row r="681" spans="7:9" customFormat="1" ht="13" x14ac:dyDescent="0.3">
      <c r="G681" s="55"/>
      <c r="I681" s="55"/>
    </row>
    <row r="682" spans="7:9" customFormat="1" ht="13" x14ac:dyDescent="0.3">
      <c r="G682" s="55"/>
      <c r="I682" s="55"/>
    </row>
    <row r="683" spans="7:9" customFormat="1" ht="13" x14ac:dyDescent="0.3">
      <c r="G683" s="55"/>
      <c r="I683" s="55"/>
    </row>
    <row r="684" spans="7:9" customFormat="1" ht="13" x14ac:dyDescent="0.3">
      <c r="G684" s="55"/>
      <c r="I684" s="55"/>
    </row>
    <row r="685" spans="7:9" customFormat="1" ht="13" x14ac:dyDescent="0.3">
      <c r="G685" s="55"/>
      <c r="I685" s="55"/>
    </row>
    <row r="686" spans="7:9" customFormat="1" ht="13" x14ac:dyDescent="0.3">
      <c r="G686" s="55"/>
      <c r="I686" s="55"/>
    </row>
    <row r="687" spans="7:9" customFormat="1" ht="13" x14ac:dyDescent="0.3">
      <c r="G687" s="55"/>
      <c r="I687" s="55"/>
    </row>
    <row r="688" spans="7:9" customFormat="1" ht="13" x14ac:dyDescent="0.3">
      <c r="G688" s="55"/>
      <c r="I688" s="55"/>
    </row>
    <row r="689" spans="7:9" customFormat="1" ht="13" x14ac:dyDescent="0.3">
      <c r="G689" s="55"/>
      <c r="I689" s="55"/>
    </row>
    <row r="690" spans="7:9" customFormat="1" ht="13" x14ac:dyDescent="0.3">
      <c r="G690" s="55"/>
      <c r="I690" s="55"/>
    </row>
    <row r="691" spans="7:9" customFormat="1" ht="13" x14ac:dyDescent="0.3">
      <c r="G691" s="55"/>
      <c r="I691" s="55"/>
    </row>
    <row r="692" spans="7:9" customFormat="1" ht="13" x14ac:dyDescent="0.3">
      <c r="G692" s="55"/>
      <c r="I692" s="55"/>
    </row>
    <row r="693" spans="7:9" customFormat="1" ht="13" x14ac:dyDescent="0.3">
      <c r="G693" s="55"/>
      <c r="I693" s="55"/>
    </row>
    <row r="694" spans="7:9" customFormat="1" ht="13" x14ac:dyDescent="0.3">
      <c r="G694" s="55"/>
      <c r="I694" s="55"/>
    </row>
    <row r="695" spans="7:9" customFormat="1" ht="13" x14ac:dyDescent="0.3">
      <c r="G695" s="55"/>
      <c r="I695" s="55"/>
    </row>
    <row r="696" spans="7:9" customFormat="1" ht="13" x14ac:dyDescent="0.3">
      <c r="G696" s="55"/>
      <c r="I696" s="55"/>
    </row>
    <row r="697" spans="7:9" customFormat="1" ht="13" x14ac:dyDescent="0.3">
      <c r="G697" s="55"/>
      <c r="I697" s="55"/>
    </row>
    <row r="698" spans="7:9" customFormat="1" ht="13" x14ac:dyDescent="0.3">
      <c r="G698" s="55"/>
      <c r="I698" s="55"/>
    </row>
    <row r="699" spans="7:9" customFormat="1" ht="13" x14ac:dyDescent="0.3">
      <c r="G699" s="55"/>
      <c r="I699" s="55"/>
    </row>
    <row r="700" spans="7:9" customFormat="1" ht="13" x14ac:dyDescent="0.3">
      <c r="G700" s="55"/>
      <c r="I700" s="55"/>
    </row>
    <row r="701" spans="7:9" customFormat="1" ht="13" x14ac:dyDescent="0.3">
      <c r="G701" s="55"/>
      <c r="I701" s="55"/>
    </row>
    <row r="702" spans="7:9" customFormat="1" ht="13" x14ac:dyDescent="0.3">
      <c r="G702" s="55"/>
      <c r="I702" s="55"/>
    </row>
    <row r="703" spans="7:9" customFormat="1" ht="13" x14ac:dyDescent="0.3">
      <c r="G703" s="55"/>
      <c r="I703" s="55"/>
    </row>
    <row r="704" spans="7:9" customFormat="1" ht="13" x14ac:dyDescent="0.3">
      <c r="G704" s="55"/>
      <c r="I704" s="55"/>
    </row>
    <row r="705" spans="7:9" customFormat="1" ht="13" x14ac:dyDescent="0.3">
      <c r="G705" s="55"/>
      <c r="I705" s="55"/>
    </row>
    <row r="706" spans="7:9" customFormat="1" ht="13" x14ac:dyDescent="0.3">
      <c r="G706" s="55"/>
      <c r="I706" s="55"/>
    </row>
    <row r="707" spans="7:9" customFormat="1" ht="13" x14ac:dyDescent="0.3">
      <c r="G707" s="55"/>
      <c r="I707" s="55"/>
    </row>
    <row r="708" spans="7:9" customFormat="1" ht="13" x14ac:dyDescent="0.3">
      <c r="G708" s="55"/>
      <c r="I708" s="55"/>
    </row>
    <row r="709" spans="7:9" customFormat="1" ht="13" x14ac:dyDescent="0.3">
      <c r="G709" s="55"/>
      <c r="I709" s="55"/>
    </row>
    <row r="710" spans="7:9" customFormat="1" ht="13" x14ac:dyDescent="0.3">
      <c r="G710" s="55"/>
      <c r="I710" s="55"/>
    </row>
    <row r="711" spans="7:9" customFormat="1" ht="13" x14ac:dyDescent="0.3">
      <c r="G711" s="55"/>
      <c r="I711" s="55"/>
    </row>
    <row r="712" spans="7:9" customFormat="1" ht="13" x14ac:dyDescent="0.3">
      <c r="G712" s="55"/>
      <c r="I712" s="55"/>
    </row>
    <row r="713" spans="7:9" customFormat="1" ht="13" x14ac:dyDescent="0.3">
      <c r="G713" s="55"/>
      <c r="I713" s="55"/>
    </row>
    <row r="714" spans="7:9" customFormat="1" ht="13" x14ac:dyDescent="0.3">
      <c r="G714" s="55"/>
      <c r="I714" s="55"/>
    </row>
    <row r="715" spans="7:9" customFormat="1" ht="13" x14ac:dyDescent="0.3">
      <c r="G715" s="55"/>
      <c r="I715" s="55"/>
    </row>
    <row r="716" spans="7:9" customFormat="1" ht="13" x14ac:dyDescent="0.3">
      <c r="G716" s="55"/>
      <c r="I716" s="55"/>
    </row>
    <row r="717" spans="7:9" customFormat="1" ht="13" x14ac:dyDescent="0.3">
      <c r="G717" s="55"/>
      <c r="I717" s="55"/>
    </row>
    <row r="718" spans="7:9" customFormat="1" ht="13" x14ac:dyDescent="0.3">
      <c r="G718" s="55"/>
      <c r="I718" s="55"/>
    </row>
    <row r="719" spans="7:9" customFormat="1" ht="13" x14ac:dyDescent="0.3">
      <c r="G719" s="55"/>
      <c r="I719" s="55"/>
    </row>
    <row r="720" spans="7:9" customFormat="1" ht="13" x14ac:dyDescent="0.3">
      <c r="G720" s="55"/>
      <c r="I720" s="55"/>
    </row>
    <row r="721" spans="7:9" customFormat="1" ht="13" x14ac:dyDescent="0.3">
      <c r="G721" s="55"/>
      <c r="I721" s="55"/>
    </row>
    <row r="722" spans="7:9" customFormat="1" ht="13" x14ac:dyDescent="0.3">
      <c r="G722" s="55"/>
      <c r="I722" s="55"/>
    </row>
    <row r="723" spans="7:9" customFormat="1" ht="13" x14ac:dyDescent="0.3">
      <c r="G723" s="55"/>
      <c r="I723" s="55"/>
    </row>
    <row r="724" spans="7:9" customFormat="1" ht="13" x14ac:dyDescent="0.3">
      <c r="G724" s="55"/>
      <c r="I724" s="55"/>
    </row>
    <row r="725" spans="7:9" customFormat="1" ht="13" x14ac:dyDescent="0.3">
      <c r="G725" s="55"/>
      <c r="I725" s="55"/>
    </row>
    <row r="726" spans="7:9" customFormat="1" ht="13" x14ac:dyDescent="0.3">
      <c r="G726" s="55"/>
      <c r="I726" s="55"/>
    </row>
    <row r="727" spans="7:9" customFormat="1" ht="13" x14ac:dyDescent="0.3">
      <c r="G727" s="55"/>
      <c r="I727" s="55"/>
    </row>
    <row r="728" spans="7:9" customFormat="1" ht="13" x14ac:dyDescent="0.3">
      <c r="G728" s="55"/>
      <c r="I728" s="55"/>
    </row>
    <row r="729" spans="7:9" customFormat="1" ht="13" x14ac:dyDescent="0.3">
      <c r="G729" s="55"/>
      <c r="I729" s="55"/>
    </row>
    <row r="730" spans="7:9" customFormat="1" ht="13" x14ac:dyDescent="0.3">
      <c r="G730" s="55"/>
      <c r="I730" s="55"/>
    </row>
    <row r="731" spans="7:9" customFormat="1" ht="13" x14ac:dyDescent="0.3">
      <c r="G731" s="55"/>
      <c r="I731" s="55"/>
    </row>
    <row r="732" spans="7:9" customFormat="1" ht="13" x14ac:dyDescent="0.3">
      <c r="G732" s="55"/>
      <c r="I732" s="55"/>
    </row>
    <row r="733" spans="7:9" customFormat="1" ht="13" x14ac:dyDescent="0.3">
      <c r="G733" s="55"/>
      <c r="I733" s="55"/>
    </row>
    <row r="734" spans="7:9" customFormat="1" ht="13" x14ac:dyDescent="0.3">
      <c r="G734" s="55"/>
      <c r="I734" s="55"/>
    </row>
    <row r="735" spans="7:9" customFormat="1" ht="13" x14ac:dyDescent="0.3">
      <c r="G735" s="55"/>
      <c r="I735" s="55"/>
    </row>
    <row r="736" spans="7:9" customFormat="1" ht="13" x14ac:dyDescent="0.3">
      <c r="G736" s="55"/>
      <c r="I736" s="55"/>
    </row>
    <row r="737" spans="7:9" customFormat="1" ht="13" x14ac:dyDescent="0.3">
      <c r="G737" s="55"/>
      <c r="I737" s="55"/>
    </row>
    <row r="738" spans="7:9" customFormat="1" ht="13" x14ac:dyDescent="0.3">
      <c r="G738" s="55"/>
      <c r="I738" s="55"/>
    </row>
    <row r="739" spans="7:9" customFormat="1" ht="13" x14ac:dyDescent="0.3">
      <c r="G739" s="55"/>
      <c r="I739" s="55"/>
    </row>
    <row r="740" spans="7:9" customFormat="1" ht="13" x14ac:dyDescent="0.3">
      <c r="G740" s="55"/>
      <c r="I740" s="55"/>
    </row>
    <row r="741" spans="7:9" customFormat="1" ht="13" x14ac:dyDescent="0.3">
      <c r="G741" s="55"/>
      <c r="I741" s="55"/>
    </row>
    <row r="742" spans="7:9" customFormat="1" ht="13" x14ac:dyDescent="0.3">
      <c r="G742" s="55"/>
      <c r="I742" s="55"/>
    </row>
    <row r="743" spans="7:9" customFormat="1" ht="13" x14ac:dyDescent="0.3">
      <c r="G743" s="55"/>
      <c r="I743" s="55"/>
    </row>
    <row r="744" spans="7:9" customFormat="1" ht="13" x14ac:dyDescent="0.3">
      <c r="G744" s="55"/>
      <c r="I744" s="55"/>
    </row>
    <row r="745" spans="7:9" customFormat="1" ht="13" x14ac:dyDescent="0.3">
      <c r="G745" s="55"/>
      <c r="I745" s="55"/>
    </row>
    <row r="746" spans="7:9" customFormat="1" ht="13" x14ac:dyDescent="0.3">
      <c r="G746" s="55"/>
      <c r="I746" s="55"/>
    </row>
    <row r="747" spans="7:9" customFormat="1" ht="13" x14ac:dyDescent="0.3">
      <c r="G747" s="55"/>
      <c r="I747" s="55"/>
    </row>
    <row r="748" spans="7:9" customFormat="1" ht="13" x14ac:dyDescent="0.3">
      <c r="G748" s="55"/>
      <c r="I748" s="55"/>
    </row>
    <row r="749" spans="7:9" customFormat="1" ht="13" x14ac:dyDescent="0.3">
      <c r="G749" s="55"/>
      <c r="I749" s="55"/>
    </row>
    <row r="750" spans="7:9" customFormat="1" ht="13" x14ac:dyDescent="0.3">
      <c r="G750" s="55"/>
      <c r="I750" s="55"/>
    </row>
    <row r="751" spans="7:9" customFormat="1" ht="13" x14ac:dyDescent="0.3">
      <c r="G751" s="55"/>
      <c r="I751" s="55"/>
    </row>
    <row r="752" spans="7:9" customFormat="1" ht="13" x14ac:dyDescent="0.3">
      <c r="G752" s="55"/>
      <c r="I752" s="55"/>
    </row>
    <row r="753" spans="7:9" customFormat="1" ht="13" x14ac:dyDescent="0.3">
      <c r="G753" s="55"/>
      <c r="I753" s="55"/>
    </row>
    <row r="754" spans="7:9" customFormat="1" ht="13" x14ac:dyDescent="0.3">
      <c r="G754" s="55"/>
      <c r="I754" s="55"/>
    </row>
    <row r="755" spans="7:9" customFormat="1" ht="13" x14ac:dyDescent="0.3">
      <c r="G755" s="55"/>
      <c r="I755" s="55"/>
    </row>
    <row r="756" spans="7:9" customFormat="1" ht="13" x14ac:dyDescent="0.3">
      <c r="G756" s="55"/>
      <c r="I756" s="55"/>
    </row>
    <row r="757" spans="7:9" customFormat="1" ht="13" x14ac:dyDescent="0.3">
      <c r="G757" s="55"/>
      <c r="I757" s="55"/>
    </row>
    <row r="758" spans="7:9" customFormat="1" ht="13" x14ac:dyDescent="0.3">
      <c r="G758" s="55"/>
      <c r="I758" s="55"/>
    </row>
    <row r="759" spans="7:9" customFormat="1" ht="13" x14ac:dyDescent="0.3">
      <c r="G759" s="55"/>
      <c r="I759" s="55"/>
    </row>
    <row r="760" spans="7:9" customFormat="1" ht="13" x14ac:dyDescent="0.3">
      <c r="G760" s="55"/>
      <c r="I760" s="55"/>
    </row>
    <row r="761" spans="7:9" customFormat="1" ht="13" x14ac:dyDescent="0.3">
      <c r="G761" s="55"/>
      <c r="I761" s="55"/>
    </row>
    <row r="762" spans="7:9" customFormat="1" ht="13" x14ac:dyDescent="0.3">
      <c r="G762" s="55"/>
      <c r="I762" s="55"/>
    </row>
    <row r="763" spans="7:9" customFormat="1" ht="13" x14ac:dyDescent="0.3">
      <c r="G763" s="55"/>
      <c r="I763" s="55"/>
    </row>
    <row r="764" spans="7:9" customFormat="1" ht="13" x14ac:dyDescent="0.3">
      <c r="G764" s="55"/>
      <c r="I764" s="55"/>
    </row>
    <row r="765" spans="7:9" customFormat="1" ht="13" x14ac:dyDescent="0.3">
      <c r="G765" s="55"/>
      <c r="I765" s="55"/>
    </row>
    <row r="766" spans="7:9" customFormat="1" ht="13" x14ac:dyDescent="0.3">
      <c r="G766" s="55"/>
      <c r="I766" s="55"/>
    </row>
    <row r="767" spans="7:9" customFormat="1" ht="13" x14ac:dyDescent="0.3">
      <c r="G767" s="55"/>
      <c r="I767" s="55"/>
    </row>
    <row r="768" spans="7:9" customFormat="1" ht="13" x14ac:dyDescent="0.3">
      <c r="G768" s="55"/>
      <c r="I768" s="55"/>
    </row>
    <row r="769" spans="7:9" customFormat="1" ht="13" x14ac:dyDescent="0.3">
      <c r="G769" s="55"/>
      <c r="I769" s="55"/>
    </row>
    <row r="770" spans="7:9" customFormat="1" ht="13" x14ac:dyDescent="0.3">
      <c r="G770" s="55"/>
      <c r="I770" s="55"/>
    </row>
    <row r="771" spans="7:9" customFormat="1" ht="13" x14ac:dyDescent="0.3">
      <c r="G771" s="55"/>
      <c r="I771" s="55"/>
    </row>
    <row r="772" spans="7:9" customFormat="1" ht="13" x14ac:dyDescent="0.3">
      <c r="G772" s="55"/>
      <c r="I772" s="55"/>
    </row>
    <row r="773" spans="7:9" customFormat="1" ht="13" x14ac:dyDescent="0.3">
      <c r="G773" s="55"/>
      <c r="I773" s="55"/>
    </row>
    <row r="774" spans="7:9" customFormat="1" ht="13" x14ac:dyDescent="0.3">
      <c r="G774" s="55"/>
      <c r="I774" s="55"/>
    </row>
    <row r="775" spans="7:9" customFormat="1" ht="13" x14ac:dyDescent="0.3">
      <c r="G775" s="55"/>
      <c r="I775" s="55"/>
    </row>
    <row r="776" spans="7:9" customFormat="1" ht="13" x14ac:dyDescent="0.3">
      <c r="G776" s="55"/>
      <c r="I776" s="55"/>
    </row>
    <row r="777" spans="7:9" customFormat="1" ht="13" x14ac:dyDescent="0.3">
      <c r="G777" s="55"/>
      <c r="I777" s="55"/>
    </row>
    <row r="778" spans="7:9" customFormat="1" ht="13" x14ac:dyDescent="0.3">
      <c r="G778" s="55"/>
      <c r="I778" s="55"/>
    </row>
    <row r="779" spans="7:9" customFormat="1" ht="13" x14ac:dyDescent="0.3">
      <c r="G779" s="55"/>
      <c r="I779" s="55"/>
    </row>
    <row r="780" spans="7:9" customFormat="1" ht="13" x14ac:dyDescent="0.3">
      <c r="G780" s="55"/>
      <c r="I780" s="55"/>
    </row>
    <row r="781" spans="7:9" customFormat="1" ht="13" x14ac:dyDescent="0.3">
      <c r="G781" s="55"/>
      <c r="I781" s="55"/>
    </row>
    <row r="782" spans="7:9" customFormat="1" ht="13" x14ac:dyDescent="0.3">
      <c r="G782" s="55"/>
      <c r="I782" s="55"/>
    </row>
    <row r="783" spans="7:9" customFormat="1" ht="13" x14ac:dyDescent="0.3">
      <c r="G783" s="55"/>
      <c r="I783" s="55"/>
    </row>
    <row r="784" spans="7:9" customFormat="1" ht="13" x14ac:dyDescent="0.3">
      <c r="G784" s="55"/>
      <c r="I784" s="55"/>
    </row>
    <row r="785" spans="7:9" customFormat="1" ht="13" x14ac:dyDescent="0.3">
      <c r="G785" s="55"/>
      <c r="I785" s="55"/>
    </row>
    <row r="786" spans="7:9" customFormat="1" ht="13" x14ac:dyDescent="0.3">
      <c r="G786" s="55"/>
      <c r="I786" s="55"/>
    </row>
    <row r="787" spans="7:9" customFormat="1" ht="13" x14ac:dyDescent="0.3">
      <c r="G787" s="55"/>
      <c r="I787" s="55"/>
    </row>
    <row r="788" spans="7:9" customFormat="1" ht="13" x14ac:dyDescent="0.3">
      <c r="G788" s="55"/>
      <c r="I788" s="55"/>
    </row>
    <row r="789" spans="7:9" customFormat="1" ht="13" x14ac:dyDescent="0.3">
      <c r="G789" s="55"/>
      <c r="I789" s="55"/>
    </row>
    <row r="790" spans="7:9" customFormat="1" ht="13" x14ac:dyDescent="0.3">
      <c r="G790" s="55"/>
      <c r="I790" s="55"/>
    </row>
    <row r="791" spans="7:9" customFormat="1" ht="13" x14ac:dyDescent="0.3">
      <c r="G791" s="55"/>
      <c r="I791" s="55"/>
    </row>
    <row r="792" spans="7:9" customFormat="1" ht="13" x14ac:dyDescent="0.3">
      <c r="G792" s="55"/>
      <c r="I792" s="55"/>
    </row>
    <row r="793" spans="7:9" customFormat="1" ht="13" x14ac:dyDescent="0.3">
      <c r="G793" s="55"/>
      <c r="I793" s="55"/>
    </row>
    <row r="794" spans="7:9" customFormat="1" ht="13" x14ac:dyDescent="0.3">
      <c r="G794" s="55"/>
      <c r="I794" s="55"/>
    </row>
    <row r="795" spans="7:9" customFormat="1" ht="13" x14ac:dyDescent="0.3">
      <c r="G795" s="55"/>
      <c r="I795" s="55"/>
    </row>
    <row r="796" spans="7:9" customFormat="1" ht="13" x14ac:dyDescent="0.3">
      <c r="G796" s="55"/>
      <c r="I796" s="55"/>
    </row>
    <row r="797" spans="7:9" customFormat="1" ht="13" x14ac:dyDescent="0.3">
      <c r="G797" s="55"/>
      <c r="I797" s="55"/>
    </row>
    <row r="798" spans="7:9" customFormat="1" ht="13" x14ac:dyDescent="0.3">
      <c r="G798" s="55"/>
      <c r="I798" s="55"/>
    </row>
    <row r="799" spans="7:9" customFormat="1" ht="13" x14ac:dyDescent="0.3">
      <c r="G799" s="55"/>
      <c r="I799" s="55"/>
    </row>
    <row r="800" spans="7:9" customFormat="1" ht="13" x14ac:dyDescent="0.3">
      <c r="G800" s="55"/>
      <c r="I800" s="55"/>
    </row>
    <row r="801" spans="7:9" customFormat="1" ht="13" x14ac:dyDescent="0.3">
      <c r="G801" s="55"/>
      <c r="I801" s="55"/>
    </row>
    <row r="802" spans="7:9" customFormat="1" ht="13" x14ac:dyDescent="0.3">
      <c r="G802" s="55"/>
      <c r="I802" s="55"/>
    </row>
    <row r="803" spans="7:9" customFormat="1" ht="13" x14ac:dyDescent="0.3">
      <c r="G803" s="55"/>
      <c r="I803" s="55"/>
    </row>
    <row r="804" spans="7:9" customFormat="1" ht="13" x14ac:dyDescent="0.3">
      <c r="G804" s="55"/>
      <c r="I804" s="55"/>
    </row>
    <row r="805" spans="7:9" customFormat="1" ht="13" x14ac:dyDescent="0.3">
      <c r="G805" s="55"/>
      <c r="I805" s="55"/>
    </row>
    <row r="806" spans="7:9" customFormat="1" ht="13" x14ac:dyDescent="0.3">
      <c r="G806" s="55"/>
      <c r="I806" s="55"/>
    </row>
    <row r="807" spans="7:9" customFormat="1" ht="13" x14ac:dyDescent="0.3">
      <c r="G807" s="55"/>
      <c r="I807" s="55"/>
    </row>
    <row r="808" spans="7:9" customFormat="1" ht="13" x14ac:dyDescent="0.3">
      <c r="G808" s="55"/>
      <c r="I808" s="55"/>
    </row>
    <row r="809" spans="7:9" customFormat="1" ht="13" x14ac:dyDescent="0.3">
      <c r="G809" s="55"/>
      <c r="I809" s="55"/>
    </row>
    <row r="810" spans="7:9" customFormat="1" ht="13" x14ac:dyDescent="0.3">
      <c r="G810" s="55"/>
      <c r="I810" s="55"/>
    </row>
    <row r="811" spans="7:9" customFormat="1" ht="13" x14ac:dyDescent="0.3">
      <c r="G811" s="55"/>
      <c r="I811" s="55"/>
    </row>
    <row r="812" spans="7:9" customFormat="1" ht="13" x14ac:dyDescent="0.3">
      <c r="G812" s="55"/>
      <c r="I812" s="55"/>
    </row>
    <row r="813" spans="7:9" customFormat="1" ht="13" x14ac:dyDescent="0.3">
      <c r="G813" s="55"/>
      <c r="I813" s="55"/>
    </row>
    <row r="814" spans="7:9" customFormat="1" ht="13" x14ac:dyDescent="0.3">
      <c r="G814" s="55"/>
      <c r="I814" s="55"/>
    </row>
    <row r="815" spans="7:9" customFormat="1" ht="13" x14ac:dyDescent="0.3">
      <c r="G815" s="55"/>
      <c r="I815" s="55"/>
    </row>
    <row r="816" spans="7:9" customFormat="1" ht="13" x14ac:dyDescent="0.3">
      <c r="G816" s="55"/>
      <c r="I816" s="55"/>
    </row>
    <row r="817" spans="2:20" ht="13" x14ac:dyDescent="0.3">
      <c r="B817"/>
      <c r="D817"/>
      <c r="E817"/>
      <c r="F817"/>
      <c r="J817"/>
      <c r="K817"/>
      <c r="L817"/>
      <c r="N817"/>
      <c r="P817"/>
      <c r="R817"/>
      <c r="T817"/>
    </row>
    <row r="818" spans="2:20" ht="13" x14ac:dyDescent="0.3">
      <c r="B818"/>
      <c r="D818"/>
      <c r="E818"/>
      <c r="F818"/>
      <c r="J818"/>
      <c r="K818"/>
      <c r="L818"/>
      <c r="N818"/>
      <c r="P818"/>
      <c r="R818"/>
      <c r="T818"/>
    </row>
    <row r="819" spans="2:20" ht="13" x14ac:dyDescent="0.3">
      <c r="B819"/>
      <c r="D819"/>
      <c r="E819"/>
      <c r="F819"/>
      <c r="J819"/>
      <c r="K819"/>
      <c r="L819"/>
      <c r="N819"/>
      <c r="P819"/>
      <c r="R819"/>
      <c r="T819"/>
    </row>
    <row r="820" spans="2:20" ht="13" x14ac:dyDescent="0.3">
      <c r="B820"/>
      <c r="D820"/>
      <c r="E820"/>
      <c r="F820"/>
      <c r="J820"/>
      <c r="K820"/>
      <c r="L820"/>
      <c r="N820"/>
      <c r="P820"/>
      <c r="R820"/>
      <c r="T820"/>
    </row>
    <row r="821" spans="2:20" ht="13" x14ac:dyDescent="0.3">
      <c r="B821"/>
      <c r="D821"/>
      <c r="E821"/>
      <c r="F821"/>
      <c r="J821"/>
      <c r="K821"/>
      <c r="L821"/>
      <c r="N821"/>
      <c r="P821"/>
      <c r="R821"/>
      <c r="T821"/>
    </row>
    <row r="822" spans="2:20" ht="13" x14ac:dyDescent="0.3">
      <c r="B822"/>
      <c r="D822"/>
      <c r="E822"/>
      <c r="F822"/>
      <c r="J822"/>
      <c r="K822"/>
      <c r="L822"/>
      <c r="N822"/>
      <c r="P822"/>
      <c r="R822"/>
      <c r="T822"/>
    </row>
    <row r="823" spans="2:20" ht="13" x14ac:dyDescent="0.3">
      <c r="B823"/>
      <c r="D823"/>
      <c r="E823"/>
      <c r="F823"/>
      <c r="J823"/>
      <c r="K823"/>
      <c r="L823"/>
      <c r="N823"/>
      <c r="P823"/>
      <c r="R823"/>
      <c r="T823"/>
    </row>
    <row r="824" spans="2:20" ht="13" x14ac:dyDescent="0.3">
      <c r="B824"/>
      <c r="D824"/>
      <c r="E824"/>
      <c r="F824"/>
      <c r="J824"/>
      <c r="K824"/>
      <c r="L824"/>
      <c r="N824"/>
      <c r="P824"/>
      <c r="R824"/>
      <c r="T824"/>
    </row>
    <row r="825" spans="2:20" ht="13" x14ac:dyDescent="0.3">
      <c r="B825"/>
      <c r="D825"/>
      <c r="E825"/>
      <c r="F825"/>
      <c r="J825"/>
      <c r="K825"/>
      <c r="L825"/>
      <c r="N825"/>
      <c r="P825"/>
      <c r="R825"/>
      <c r="T825"/>
    </row>
    <row r="826" spans="2:20" ht="13" x14ac:dyDescent="0.3">
      <c r="B826"/>
      <c r="D826"/>
      <c r="E826"/>
      <c r="F826"/>
      <c r="J826"/>
      <c r="K826"/>
      <c r="L826"/>
      <c r="N826"/>
      <c r="P826"/>
      <c r="R826"/>
      <c r="T826"/>
    </row>
    <row r="827" spans="2:20" ht="13" x14ac:dyDescent="0.3">
      <c r="B827"/>
      <c r="D827"/>
      <c r="E827"/>
      <c r="F827"/>
      <c r="J827"/>
      <c r="K827"/>
      <c r="L827"/>
      <c r="N827"/>
      <c r="P827"/>
      <c r="R827"/>
      <c r="T827"/>
    </row>
    <row r="828" spans="2:20" ht="13" x14ac:dyDescent="0.3">
      <c r="B828"/>
      <c r="D828"/>
      <c r="E828"/>
      <c r="F828"/>
      <c r="J828"/>
      <c r="K828"/>
      <c r="L828"/>
      <c r="N828"/>
      <c r="P828"/>
      <c r="R828"/>
      <c r="T828"/>
    </row>
    <row r="829" spans="2:20" ht="13" x14ac:dyDescent="0.3">
      <c r="B829"/>
      <c r="D829"/>
      <c r="E829"/>
      <c r="F829"/>
      <c r="J829"/>
      <c r="K829"/>
      <c r="L829"/>
      <c r="N829"/>
      <c r="P829"/>
      <c r="R829"/>
      <c r="T829"/>
    </row>
    <row r="830" spans="2:20" ht="13" x14ac:dyDescent="0.3">
      <c r="B830"/>
      <c r="D830"/>
      <c r="E830"/>
      <c r="F830"/>
      <c r="J830"/>
      <c r="K830"/>
      <c r="L830"/>
      <c r="N830"/>
      <c r="P830"/>
      <c r="R830"/>
      <c r="T830"/>
    </row>
    <row r="831" spans="2:20" ht="13" x14ac:dyDescent="0.3">
      <c r="B831"/>
      <c r="D831"/>
      <c r="E831"/>
      <c r="F831"/>
      <c r="J831"/>
      <c r="K831"/>
      <c r="L831"/>
      <c r="N831"/>
      <c r="P831"/>
      <c r="R831"/>
      <c r="T831"/>
    </row>
    <row r="832" spans="2:20" x14ac:dyDescent="0.35">
      <c r="D832"/>
      <c r="E832"/>
      <c r="F832"/>
      <c r="K832"/>
      <c r="L832" s="52"/>
    </row>
    <row r="833" spans="4:12" x14ac:dyDescent="0.35">
      <c r="D833"/>
      <c r="E833"/>
      <c r="F833"/>
      <c r="K833"/>
      <c r="L833" s="52"/>
    </row>
    <row r="834" spans="4:12" x14ac:dyDescent="0.35">
      <c r="D834"/>
      <c r="E834"/>
      <c r="F834"/>
      <c r="K834"/>
      <c r="L834" s="52"/>
    </row>
    <row r="835" spans="4:12" x14ac:dyDescent="0.35">
      <c r="D835"/>
      <c r="E835"/>
      <c r="F835"/>
      <c r="K835"/>
      <c r="L835" s="52"/>
    </row>
    <row r="836" spans="4:12" x14ac:dyDescent="0.35">
      <c r="D836"/>
      <c r="E836"/>
      <c r="F836"/>
      <c r="K836"/>
      <c r="L836" s="52"/>
    </row>
    <row r="837" spans="4:12" x14ac:dyDescent="0.35">
      <c r="D837"/>
      <c r="E837"/>
      <c r="F837"/>
      <c r="K837"/>
      <c r="L837" s="52"/>
    </row>
    <row r="838" spans="4:12" x14ac:dyDescent="0.35">
      <c r="D838"/>
      <c r="E838"/>
      <c r="F838"/>
      <c r="K838"/>
      <c r="L838" s="52"/>
    </row>
    <row r="839" spans="4:12" x14ac:dyDescent="0.35">
      <c r="D839"/>
      <c r="E839"/>
      <c r="F839"/>
      <c r="K839"/>
      <c r="L839" s="52"/>
    </row>
    <row r="840" spans="4:12" x14ac:dyDescent="0.35">
      <c r="D840"/>
      <c r="E840"/>
      <c r="F840"/>
      <c r="K840"/>
      <c r="L840" s="52"/>
    </row>
    <row r="841" spans="4:12" x14ac:dyDescent="0.35">
      <c r="D841"/>
      <c r="E841"/>
      <c r="F841"/>
      <c r="K841"/>
      <c r="L841" s="52"/>
    </row>
    <row r="842" spans="4:12" x14ac:dyDescent="0.35">
      <c r="D842"/>
      <c r="E842"/>
      <c r="F842"/>
      <c r="K842"/>
      <c r="L842" s="52"/>
    </row>
    <row r="843" spans="4:12" x14ac:dyDescent="0.35">
      <c r="D843"/>
      <c r="E843"/>
      <c r="F843"/>
      <c r="K843"/>
      <c r="L843" s="52"/>
    </row>
    <row r="844" spans="4:12" x14ac:dyDescent="0.35">
      <c r="D844"/>
      <c r="E844"/>
      <c r="F844"/>
      <c r="K844"/>
      <c r="L844" s="52"/>
    </row>
    <row r="845" spans="4:12" x14ac:dyDescent="0.35">
      <c r="D845"/>
      <c r="E845"/>
      <c r="F845"/>
      <c r="K845"/>
      <c r="L845" s="52"/>
    </row>
    <row r="846" spans="4:12" x14ac:dyDescent="0.35">
      <c r="D846"/>
      <c r="E846"/>
      <c r="F846"/>
      <c r="K846"/>
      <c r="L846" s="52"/>
    </row>
    <row r="847" spans="4:12" x14ac:dyDescent="0.35">
      <c r="D847"/>
      <c r="E847"/>
      <c r="F847"/>
      <c r="K847"/>
      <c r="L847" s="52"/>
    </row>
    <row r="848" spans="4:12" x14ac:dyDescent="0.35">
      <c r="D848"/>
      <c r="E848"/>
      <c r="F848"/>
      <c r="K848"/>
      <c r="L848" s="52"/>
    </row>
    <row r="849" spans="4:12" x14ac:dyDescent="0.35">
      <c r="D849"/>
      <c r="E849"/>
      <c r="F849"/>
      <c r="K849"/>
      <c r="L849" s="52"/>
    </row>
    <row r="850" spans="4:12" x14ac:dyDescent="0.35">
      <c r="D850"/>
      <c r="E850"/>
      <c r="F850"/>
      <c r="K850"/>
      <c r="L850" s="52"/>
    </row>
    <row r="851" spans="4:12" x14ac:dyDescent="0.35">
      <c r="D851"/>
      <c r="E851"/>
      <c r="F851"/>
      <c r="K851"/>
      <c r="L851" s="52"/>
    </row>
    <row r="852" spans="4:12" x14ac:dyDescent="0.35">
      <c r="D852"/>
      <c r="E852"/>
      <c r="F852"/>
      <c r="K852"/>
      <c r="L852" s="52"/>
    </row>
    <row r="853" spans="4:12" x14ac:dyDescent="0.35">
      <c r="D853"/>
      <c r="E853"/>
      <c r="F853"/>
      <c r="K853"/>
      <c r="L853" s="52"/>
    </row>
    <row r="854" spans="4:12" x14ac:dyDescent="0.35">
      <c r="D854"/>
      <c r="E854"/>
      <c r="F854"/>
      <c r="K854"/>
      <c r="L854" s="52"/>
    </row>
    <row r="855" spans="4:12" x14ac:dyDescent="0.35">
      <c r="D855"/>
      <c r="E855"/>
      <c r="F855"/>
      <c r="K855"/>
      <c r="L855" s="52"/>
    </row>
    <row r="856" spans="4:12" x14ac:dyDescent="0.35">
      <c r="D856"/>
      <c r="E856"/>
      <c r="F856"/>
      <c r="K856"/>
      <c r="L856" s="52"/>
    </row>
    <row r="857" spans="4:12" x14ac:dyDescent="0.35">
      <c r="D857"/>
      <c r="E857"/>
      <c r="F857"/>
      <c r="K857"/>
      <c r="L857" s="52"/>
    </row>
    <row r="858" spans="4:12" x14ac:dyDescent="0.35">
      <c r="D858"/>
      <c r="E858"/>
      <c r="F858"/>
      <c r="K858"/>
      <c r="L858" s="52"/>
    </row>
    <row r="859" spans="4:12" x14ac:dyDescent="0.35">
      <c r="D859"/>
      <c r="E859"/>
      <c r="F859"/>
      <c r="K859"/>
      <c r="L859" s="52"/>
    </row>
    <row r="860" spans="4:12" x14ac:dyDescent="0.35">
      <c r="D860"/>
      <c r="E860"/>
      <c r="F860"/>
      <c r="K860"/>
      <c r="L860" s="52"/>
    </row>
    <row r="861" spans="4:12" x14ac:dyDescent="0.35">
      <c r="D861"/>
      <c r="E861"/>
      <c r="F861"/>
      <c r="K861"/>
      <c r="L861" s="52"/>
    </row>
    <row r="862" spans="4:12" x14ac:dyDescent="0.35">
      <c r="D862"/>
      <c r="E862"/>
      <c r="F862"/>
      <c r="K862"/>
      <c r="L862" s="52"/>
    </row>
    <row r="863" spans="4:12" x14ac:dyDescent="0.35">
      <c r="D863"/>
      <c r="E863"/>
      <c r="F863"/>
      <c r="K863"/>
      <c r="L863" s="52"/>
    </row>
    <row r="864" spans="4:12" x14ac:dyDescent="0.35">
      <c r="D864"/>
      <c r="E864"/>
      <c r="F864"/>
      <c r="K864"/>
      <c r="L864" s="52"/>
    </row>
    <row r="865" spans="4:12" x14ac:dyDescent="0.35">
      <c r="D865"/>
      <c r="E865"/>
      <c r="F865"/>
      <c r="K865"/>
      <c r="L865" s="52"/>
    </row>
    <row r="866" spans="4:12" x14ac:dyDescent="0.35">
      <c r="D866"/>
      <c r="E866"/>
      <c r="F866"/>
      <c r="K866"/>
      <c r="L866" s="52"/>
    </row>
    <row r="867" spans="4:12" x14ac:dyDescent="0.35">
      <c r="D867"/>
      <c r="E867"/>
      <c r="F867"/>
      <c r="K867"/>
      <c r="L867" s="52"/>
    </row>
    <row r="868" spans="4:12" x14ac:dyDescent="0.35">
      <c r="D868"/>
      <c r="E868"/>
      <c r="F868"/>
      <c r="K868"/>
      <c r="L868" s="52"/>
    </row>
    <row r="869" spans="4:12" x14ac:dyDescent="0.35">
      <c r="D869"/>
      <c r="E869"/>
      <c r="F869"/>
      <c r="K869"/>
      <c r="L869" s="52"/>
    </row>
    <row r="870" spans="4:12" x14ac:dyDescent="0.35">
      <c r="D870"/>
      <c r="E870"/>
      <c r="F870"/>
      <c r="K870"/>
      <c r="L870" s="52"/>
    </row>
    <row r="871" spans="4:12" x14ac:dyDescent="0.35">
      <c r="D871"/>
      <c r="E871"/>
      <c r="F871"/>
      <c r="K871"/>
      <c r="L871" s="52"/>
    </row>
    <row r="872" spans="4:12" x14ac:dyDescent="0.35">
      <c r="D872"/>
      <c r="E872"/>
      <c r="F872"/>
      <c r="K872"/>
      <c r="L872" s="52"/>
    </row>
    <row r="873" spans="4:12" x14ac:dyDescent="0.35">
      <c r="D873"/>
      <c r="E873"/>
      <c r="F873"/>
      <c r="K873"/>
      <c r="L873" s="52"/>
    </row>
    <row r="874" spans="4:12" x14ac:dyDescent="0.35">
      <c r="D874"/>
      <c r="E874"/>
      <c r="F874"/>
      <c r="K874"/>
      <c r="L874" s="52"/>
    </row>
    <row r="875" spans="4:12" x14ac:dyDescent="0.35">
      <c r="D875"/>
      <c r="E875"/>
      <c r="F875"/>
      <c r="K875"/>
      <c r="L875" s="52"/>
    </row>
    <row r="876" spans="4:12" x14ac:dyDescent="0.35">
      <c r="D876"/>
      <c r="E876"/>
      <c r="F876"/>
      <c r="K876"/>
      <c r="L876" s="52"/>
    </row>
    <row r="877" spans="4:12" x14ac:dyDescent="0.35">
      <c r="D877"/>
      <c r="E877"/>
      <c r="F877"/>
      <c r="K877"/>
      <c r="L877" s="52"/>
    </row>
    <row r="878" spans="4:12" x14ac:dyDescent="0.35">
      <c r="D878"/>
      <c r="E878"/>
      <c r="F878"/>
      <c r="K878"/>
      <c r="L878" s="52"/>
    </row>
    <row r="879" spans="4:12" x14ac:dyDescent="0.35">
      <c r="D879"/>
      <c r="E879"/>
      <c r="F879"/>
      <c r="K879"/>
      <c r="L879" s="52"/>
    </row>
    <row r="880" spans="4:12" x14ac:dyDescent="0.35">
      <c r="D880"/>
      <c r="E880"/>
      <c r="F880"/>
      <c r="K880"/>
      <c r="L880" s="52"/>
    </row>
    <row r="881" spans="4:12" x14ac:dyDescent="0.35">
      <c r="D881"/>
      <c r="E881"/>
      <c r="F881"/>
      <c r="K881"/>
      <c r="L881" s="52"/>
    </row>
    <row r="882" spans="4:12" x14ac:dyDescent="0.35">
      <c r="D882"/>
      <c r="E882"/>
      <c r="F882"/>
      <c r="K882"/>
      <c r="L882" s="52"/>
    </row>
    <row r="883" spans="4:12" x14ac:dyDescent="0.35">
      <c r="D883"/>
      <c r="E883"/>
      <c r="F883"/>
      <c r="K883"/>
      <c r="L883" s="52"/>
    </row>
    <row r="884" spans="4:12" x14ac:dyDescent="0.35">
      <c r="D884"/>
      <c r="E884"/>
      <c r="F884"/>
      <c r="K884"/>
      <c r="L884" s="52"/>
    </row>
    <row r="885" spans="4:12" x14ac:dyDescent="0.35">
      <c r="D885"/>
      <c r="E885"/>
      <c r="F885"/>
      <c r="K885"/>
      <c r="L885" s="52"/>
    </row>
    <row r="886" spans="4:12" x14ac:dyDescent="0.35">
      <c r="D886"/>
      <c r="E886"/>
      <c r="F886"/>
      <c r="K886"/>
      <c r="L886" s="52"/>
    </row>
    <row r="887" spans="4:12" x14ac:dyDescent="0.35">
      <c r="D887"/>
      <c r="E887"/>
      <c r="F887"/>
      <c r="K887"/>
      <c r="L887" s="52"/>
    </row>
    <row r="888" spans="4:12" x14ac:dyDescent="0.35">
      <c r="D888"/>
      <c r="E888"/>
      <c r="F888"/>
      <c r="K888"/>
      <c r="L888" s="52"/>
    </row>
    <row r="889" spans="4:12" x14ac:dyDescent="0.35">
      <c r="D889"/>
      <c r="E889"/>
      <c r="F889"/>
      <c r="K889"/>
      <c r="L889" s="52"/>
    </row>
    <row r="890" spans="4:12" x14ac:dyDescent="0.35">
      <c r="D890"/>
      <c r="E890"/>
      <c r="F890"/>
      <c r="K890"/>
      <c r="L890" s="52"/>
    </row>
    <row r="891" spans="4:12" x14ac:dyDescent="0.35">
      <c r="D891"/>
      <c r="E891"/>
      <c r="F891"/>
      <c r="K891"/>
      <c r="L891" s="52"/>
    </row>
    <row r="892" spans="4:12" x14ac:dyDescent="0.35">
      <c r="D892"/>
      <c r="E892"/>
      <c r="F892"/>
      <c r="K892"/>
      <c r="L892" s="52"/>
    </row>
    <row r="893" spans="4:12" x14ac:dyDescent="0.35">
      <c r="D893"/>
      <c r="E893"/>
      <c r="F893"/>
      <c r="K893"/>
      <c r="L893" s="52"/>
    </row>
    <row r="894" spans="4:12" x14ac:dyDescent="0.35">
      <c r="D894"/>
      <c r="E894"/>
      <c r="F894"/>
      <c r="K894"/>
      <c r="L894" s="52"/>
    </row>
    <row r="895" spans="4:12" x14ac:dyDescent="0.35">
      <c r="D895"/>
      <c r="E895"/>
      <c r="F895"/>
      <c r="K895"/>
      <c r="L895" s="52"/>
    </row>
    <row r="896" spans="4:12" x14ac:dyDescent="0.35">
      <c r="D896"/>
      <c r="E896"/>
      <c r="F896"/>
      <c r="K896"/>
      <c r="L896" s="52"/>
    </row>
    <row r="897" spans="4:12" x14ac:dyDescent="0.35">
      <c r="D897"/>
      <c r="E897"/>
      <c r="F897"/>
      <c r="K897"/>
      <c r="L897" s="52"/>
    </row>
    <row r="898" spans="4:12" x14ac:dyDescent="0.35">
      <c r="D898"/>
      <c r="E898"/>
      <c r="F898"/>
      <c r="K898"/>
      <c r="L898" s="52"/>
    </row>
    <row r="899" spans="4:12" x14ac:dyDescent="0.35">
      <c r="D899"/>
      <c r="E899"/>
      <c r="F899"/>
      <c r="K899"/>
      <c r="L899" s="52"/>
    </row>
    <row r="900" spans="4:12" x14ac:dyDescent="0.35">
      <c r="D900"/>
      <c r="E900"/>
      <c r="F900"/>
      <c r="K900"/>
      <c r="L900" s="52"/>
    </row>
    <row r="901" spans="4:12" x14ac:dyDescent="0.35">
      <c r="D901"/>
      <c r="E901"/>
      <c r="F901"/>
      <c r="K901"/>
      <c r="L901" s="52"/>
    </row>
    <row r="902" spans="4:12" x14ac:dyDescent="0.35">
      <c r="D902"/>
      <c r="E902"/>
      <c r="F902"/>
      <c r="K902"/>
      <c r="L902" s="52"/>
    </row>
    <row r="903" spans="4:12" x14ac:dyDescent="0.35">
      <c r="D903"/>
      <c r="E903"/>
      <c r="F903"/>
      <c r="K903"/>
      <c r="L903" s="52"/>
    </row>
    <row r="904" spans="4:12" x14ac:dyDescent="0.35">
      <c r="D904"/>
      <c r="E904"/>
      <c r="F904"/>
      <c r="K904"/>
      <c r="L904" s="52"/>
    </row>
    <row r="905" spans="4:12" x14ac:dyDescent="0.35">
      <c r="D905"/>
      <c r="E905"/>
      <c r="F905"/>
      <c r="K905"/>
      <c r="L905" s="52"/>
    </row>
    <row r="906" spans="4:12" x14ac:dyDescent="0.35">
      <c r="D906"/>
      <c r="E906"/>
      <c r="F906"/>
      <c r="K906"/>
      <c r="L906" s="52"/>
    </row>
    <row r="907" spans="4:12" x14ac:dyDescent="0.35">
      <c r="D907"/>
      <c r="E907"/>
      <c r="F907"/>
      <c r="K907"/>
      <c r="L907" s="52"/>
    </row>
    <row r="908" spans="4:12" x14ac:dyDescent="0.35">
      <c r="D908"/>
      <c r="E908"/>
      <c r="F908"/>
      <c r="K908"/>
      <c r="L908" s="52"/>
    </row>
    <row r="909" spans="4:12" x14ac:dyDescent="0.35">
      <c r="D909"/>
      <c r="E909"/>
      <c r="F909"/>
      <c r="K909"/>
      <c r="L909" s="52"/>
    </row>
    <row r="910" spans="4:12" x14ac:dyDescent="0.35">
      <c r="D910"/>
      <c r="E910"/>
      <c r="F910"/>
      <c r="K910"/>
      <c r="L910" s="52"/>
    </row>
    <row r="911" spans="4:12" x14ac:dyDescent="0.35">
      <c r="D911"/>
      <c r="E911"/>
      <c r="F911"/>
      <c r="K911"/>
      <c r="L911" s="52"/>
    </row>
    <row r="912" spans="4:12" x14ac:dyDescent="0.35">
      <c r="D912"/>
      <c r="E912"/>
      <c r="F912"/>
      <c r="K912"/>
      <c r="L912" s="52"/>
    </row>
    <row r="913" spans="4:12" x14ac:dyDescent="0.35">
      <c r="D913"/>
      <c r="E913"/>
      <c r="F913"/>
      <c r="K913"/>
      <c r="L913" s="52"/>
    </row>
    <row r="914" spans="4:12" x14ac:dyDescent="0.35">
      <c r="D914"/>
      <c r="E914"/>
      <c r="F914"/>
      <c r="K914"/>
      <c r="L914" s="52"/>
    </row>
    <row r="915" spans="4:12" x14ac:dyDescent="0.35">
      <c r="D915"/>
      <c r="E915"/>
      <c r="F915"/>
      <c r="K915"/>
      <c r="L915" s="52"/>
    </row>
    <row r="916" spans="4:12" x14ac:dyDescent="0.35">
      <c r="D916"/>
      <c r="E916"/>
      <c r="F916"/>
      <c r="K916"/>
      <c r="L916" s="52"/>
    </row>
    <row r="917" spans="4:12" x14ac:dyDescent="0.35">
      <c r="D917"/>
      <c r="E917"/>
      <c r="F917"/>
      <c r="K917"/>
      <c r="L917" s="52"/>
    </row>
    <row r="918" spans="4:12" x14ac:dyDescent="0.35">
      <c r="D918"/>
      <c r="E918"/>
      <c r="F918"/>
      <c r="K918"/>
      <c r="L918" s="52"/>
    </row>
    <row r="919" spans="4:12" x14ac:dyDescent="0.35">
      <c r="D919"/>
      <c r="E919"/>
      <c r="F919"/>
      <c r="K919"/>
      <c r="L919" s="52"/>
    </row>
    <row r="920" spans="4:12" x14ac:dyDescent="0.35">
      <c r="D920"/>
      <c r="E920"/>
      <c r="F920"/>
      <c r="K920"/>
      <c r="L920" s="52"/>
    </row>
    <row r="921" spans="4:12" x14ac:dyDescent="0.35">
      <c r="D921"/>
      <c r="E921"/>
      <c r="F921"/>
      <c r="K921"/>
      <c r="L921" s="52"/>
    </row>
    <row r="922" spans="4:12" x14ac:dyDescent="0.35">
      <c r="D922"/>
      <c r="E922"/>
      <c r="F922"/>
      <c r="K922"/>
      <c r="L922" s="52"/>
    </row>
    <row r="923" spans="4:12" x14ac:dyDescent="0.35">
      <c r="D923"/>
      <c r="E923"/>
      <c r="F923"/>
      <c r="K923"/>
      <c r="L923" s="52"/>
    </row>
    <row r="924" spans="4:12" x14ac:dyDescent="0.35">
      <c r="D924"/>
      <c r="E924"/>
      <c r="F924"/>
      <c r="K924"/>
      <c r="L924" s="52"/>
    </row>
    <row r="925" spans="4:12" x14ac:dyDescent="0.35">
      <c r="D925"/>
      <c r="E925"/>
      <c r="F925"/>
      <c r="K925"/>
      <c r="L925" s="52"/>
    </row>
    <row r="926" spans="4:12" x14ac:dyDescent="0.35">
      <c r="D926"/>
      <c r="E926"/>
      <c r="F926"/>
      <c r="K926"/>
      <c r="L926" s="52"/>
    </row>
    <row r="927" spans="4:12" x14ac:dyDescent="0.35">
      <c r="D927"/>
      <c r="E927"/>
      <c r="F927"/>
      <c r="K927"/>
      <c r="L927" s="52"/>
    </row>
    <row r="928" spans="4:12" x14ac:dyDescent="0.35">
      <c r="D928"/>
      <c r="E928"/>
      <c r="F928"/>
      <c r="K928"/>
      <c r="L928" s="52"/>
    </row>
    <row r="929" spans="4:12" x14ac:dyDescent="0.35">
      <c r="D929"/>
      <c r="E929"/>
      <c r="F929"/>
      <c r="K929"/>
      <c r="L929" s="52"/>
    </row>
    <row r="930" spans="4:12" x14ac:dyDescent="0.35">
      <c r="D930"/>
      <c r="E930"/>
      <c r="F930"/>
      <c r="K930"/>
      <c r="L930" s="52"/>
    </row>
    <row r="931" spans="4:12" x14ac:dyDescent="0.35">
      <c r="D931"/>
      <c r="E931"/>
      <c r="F931"/>
      <c r="K931"/>
      <c r="L931" s="52"/>
    </row>
    <row r="932" spans="4:12" x14ac:dyDescent="0.35">
      <c r="D932"/>
      <c r="E932"/>
      <c r="F932"/>
      <c r="K932"/>
      <c r="L932" s="52"/>
    </row>
    <row r="933" spans="4:12" x14ac:dyDescent="0.35">
      <c r="D933"/>
      <c r="E933"/>
      <c r="F933"/>
      <c r="K933"/>
      <c r="L933" s="52"/>
    </row>
    <row r="934" spans="4:12" x14ac:dyDescent="0.35">
      <c r="D934"/>
      <c r="E934"/>
      <c r="F934"/>
      <c r="K934"/>
      <c r="L934" s="52"/>
    </row>
    <row r="935" spans="4:12" x14ac:dyDescent="0.35">
      <c r="D935"/>
      <c r="E935"/>
      <c r="F935"/>
      <c r="K935"/>
      <c r="L935" s="52"/>
    </row>
    <row r="936" spans="4:12" x14ac:dyDescent="0.35">
      <c r="D936"/>
      <c r="E936"/>
      <c r="F936"/>
      <c r="K936"/>
      <c r="L936" s="52"/>
    </row>
    <row r="937" spans="4:12" x14ac:dyDescent="0.35">
      <c r="D937"/>
      <c r="E937"/>
      <c r="F937"/>
      <c r="K937"/>
      <c r="L937" s="52"/>
    </row>
    <row r="938" spans="4:12" x14ac:dyDescent="0.35">
      <c r="D938"/>
      <c r="E938"/>
      <c r="F938"/>
      <c r="K938"/>
      <c r="L938" s="52"/>
    </row>
    <row r="939" spans="4:12" x14ac:dyDescent="0.35">
      <c r="D939"/>
      <c r="E939"/>
      <c r="F939"/>
      <c r="K939"/>
      <c r="L939" s="52"/>
    </row>
    <row r="940" spans="4:12" x14ac:dyDescent="0.35">
      <c r="D940"/>
      <c r="E940"/>
      <c r="F940"/>
      <c r="K940"/>
      <c r="L940" s="52"/>
    </row>
    <row r="941" spans="4:12" x14ac:dyDescent="0.35">
      <c r="D941"/>
      <c r="E941"/>
      <c r="F941"/>
      <c r="K941"/>
      <c r="L941" s="52"/>
    </row>
    <row r="942" spans="4:12" x14ac:dyDescent="0.35">
      <c r="D942"/>
      <c r="E942"/>
      <c r="F942"/>
      <c r="K942"/>
      <c r="L942" s="52"/>
    </row>
    <row r="943" spans="4:12" x14ac:dyDescent="0.35">
      <c r="D943"/>
      <c r="E943"/>
      <c r="F943"/>
      <c r="K943"/>
      <c r="L943" s="52"/>
    </row>
    <row r="944" spans="4:12" x14ac:dyDescent="0.35">
      <c r="D944"/>
      <c r="E944"/>
      <c r="F944"/>
      <c r="K944"/>
      <c r="L944" s="52"/>
    </row>
    <row r="945" spans="4:12" x14ac:dyDescent="0.35">
      <c r="D945"/>
      <c r="E945"/>
      <c r="F945"/>
      <c r="K945"/>
      <c r="L945" s="52"/>
    </row>
    <row r="946" spans="4:12" x14ac:dyDescent="0.35">
      <c r="D946"/>
      <c r="E946"/>
      <c r="F946"/>
      <c r="K946"/>
      <c r="L946" s="52"/>
    </row>
    <row r="947" spans="4:12" x14ac:dyDescent="0.35">
      <c r="D947"/>
      <c r="E947"/>
      <c r="F947"/>
      <c r="K947"/>
      <c r="L947" s="52"/>
    </row>
    <row r="948" spans="4:12" x14ac:dyDescent="0.35">
      <c r="D948"/>
      <c r="E948"/>
      <c r="F948"/>
      <c r="K948"/>
      <c r="L948" s="52"/>
    </row>
    <row r="949" spans="4:12" x14ac:dyDescent="0.35">
      <c r="D949"/>
      <c r="E949"/>
      <c r="F949"/>
      <c r="K949"/>
      <c r="L949" s="52"/>
    </row>
    <row r="950" spans="4:12" x14ac:dyDescent="0.35">
      <c r="D950"/>
      <c r="E950"/>
      <c r="F950"/>
      <c r="K950"/>
      <c r="L950" s="52"/>
    </row>
    <row r="951" spans="4:12" x14ac:dyDescent="0.35">
      <c r="D951"/>
      <c r="E951"/>
      <c r="F951"/>
      <c r="K951"/>
      <c r="L951" s="52"/>
    </row>
    <row r="952" spans="4:12" x14ac:dyDescent="0.35">
      <c r="D952"/>
      <c r="E952"/>
      <c r="F952"/>
      <c r="K952"/>
      <c r="L952" s="52"/>
    </row>
    <row r="953" spans="4:12" x14ac:dyDescent="0.35">
      <c r="D953"/>
      <c r="E953"/>
      <c r="F953"/>
      <c r="K953"/>
      <c r="L953" s="52"/>
    </row>
    <row r="954" spans="4:12" x14ac:dyDescent="0.35">
      <c r="D954"/>
      <c r="E954"/>
      <c r="F954"/>
      <c r="K954"/>
      <c r="L954" s="52"/>
    </row>
    <row r="955" spans="4:12" x14ac:dyDescent="0.35">
      <c r="D955"/>
      <c r="E955"/>
      <c r="F955"/>
      <c r="K955"/>
      <c r="L955" s="52"/>
    </row>
    <row r="956" spans="4:12" x14ac:dyDescent="0.35">
      <c r="D956"/>
      <c r="E956"/>
      <c r="F956"/>
      <c r="K956"/>
      <c r="L956" s="52"/>
    </row>
    <row r="957" spans="4:12" x14ac:dyDescent="0.35">
      <c r="D957"/>
      <c r="E957"/>
      <c r="F957"/>
      <c r="K957"/>
      <c r="L957" s="52"/>
    </row>
    <row r="958" spans="4:12" x14ac:dyDescent="0.35">
      <c r="D958"/>
      <c r="E958"/>
      <c r="F958"/>
      <c r="K958"/>
      <c r="L958" s="52"/>
    </row>
    <row r="959" spans="4:12" x14ac:dyDescent="0.35">
      <c r="D959"/>
      <c r="E959"/>
      <c r="F959"/>
      <c r="K959"/>
      <c r="L959" s="52"/>
    </row>
    <row r="960" spans="4:12" x14ac:dyDescent="0.35">
      <c r="D960"/>
      <c r="E960"/>
      <c r="F960"/>
      <c r="K960"/>
      <c r="L960" s="52"/>
    </row>
    <row r="961" spans="4:12" x14ac:dyDescent="0.35">
      <c r="D961"/>
      <c r="E961"/>
      <c r="F961"/>
      <c r="K961"/>
      <c r="L961" s="52"/>
    </row>
    <row r="962" spans="4:12" x14ac:dyDescent="0.35">
      <c r="D962"/>
      <c r="E962"/>
      <c r="F962"/>
      <c r="K962"/>
      <c r="L962" s="52"/>
    </row>
    <row r="963" spans="4:12" x14ac:dyDescent="0.35">
      <c r="D963"/>
      <c r="E963"/>
      <c r="F963"/>
      <c r="K963"/>
      <c r="L963" s="52"/>
    </row>
    <row r="964" spans="4:12" x14ac:dyDescent="0.35">
      <c r="D964"/>
      <c r="E964"/>
      <c r="F964"/>
      <c r="K964"/>
      <c r="L964" s="52"/>
    </row>
    <row r="965" spans="4:12" x14ac:dyDescent="0.35">
      <c r="D965"/>
      <c r="E965"/>
      <c r="F965"/>
      <c r="K965"/>
      <c r="L965" s="52"/>
    </row>
    <row r="966" spans="4:12" x14ac:dyDescent="0.35">
      <c r="D966"/>
      <c r="E966"/>
      <c r="F966"/>
      <c r="K966"/>
      <c r="L966" s="52"/>
    </row>
    <row r="967" spans="4:12" x14ac:dyDescent="0.35">
      <c r="D967"/>
      <c r="E967"/>
      <c r="F967"/>
      <c r="K967"/>
      <c r="L967" s="52"/>
    </row>
    <row r="968" spans="4:12" x14ac:dyDescent="0.35">
      <c r="D968"/>
      <c r="E968"/>
      <c r="F968"/>
      <c r="K968"/>
      <c r="L968" s="52"/>
    </row>
    <row r="969" spans="4:12" x14ac:dyDescent="0.35">
      <c r="D969"/>
      <c r="E969"/>
      <c r="F969"/>
      <c r="K969"/>
      <c r="L969" s="52"/>
    </row>
    <row r="970" spans="4:12" x14ac:dyDescent="0.35">
      <c r="D970"/>
      <c r="E970"/>
      <c r="F970"/>
      <c r="K970"/>
      <c r="L970" s="52"/>
    </row>
    <row r="971" spans="4:12" x14ac:dyDescent="0.35">
      <c r="D971"/>
      <c r="E971"/>
      <c r="F971"/>
      <c r="K971"/>
      <c r="L971" s="52"/>
    </row>
    <row r="972" spans="4:12" x14ac:dyDescent="0.35">
      <c r="D972"/>
      <c r="E972"/>
      <c r="F972"/>
      <c r="K972"/>
      <c r="L972" s="52"/>
    </row>
    <row r="973" spans="4:12" x14ac:dyDescent="0.35">
      <c r="D973"/>
      <c r="E973"/>
      <c r="F973"/>
      <c r="K973"/>
      <c r="L973" s="52"/>
    </row>
    <row r="974" spans="4:12" x14ac:dyDescent="0.35">
      <c r="D974"/>
      <c r="E974"/>
      <c r="F974"/>
      <c r="K974"/>
      <c r="L974" s="52"/>
    </row>
    <row r="975" spans="4:12" x14ac:dyDescent="0.35">
      <c r="D975"/>
      <c r="E975"/>
      <c r="F975"/>
      <c r="K975"/>
      <c r="L975" s="52"/>
    </row>
    <row r="976" spans="4:12" x14ac:dyDescent="0.35">
      <c r="D976"/>
      <c r="E976"/>
      <c r="F976"/>
      <c r="K976"/>
      <c r="L976" s="52"/>
    </row>
    <row r="977" spans="4:12" x14ac:dyDescent="0.35">
      <c r="D977"/>
      <c r="E977"/>
      <c r="F977"/>
      <c r="K977"/>
      <c r="L977" s="52"/>
    </row>
    <row r="978" spans="4:12" x14ac:dyDescent="0.35">
      <c r="D978"/>
      <c r="E978"/>
      <c r="F978"/>
      <c r="K978"/>
      <c r="L978" s="52"/>
    </row>
    <row r="979" spans="4:12" x14ac:dyDescent="0.35">
      <c r="D979"/>
      <c r="E979"/>
      <c r="F979"/>
      <c r="K979"/>
      <c r="L979" s="52"/>
    </row>
    <row r="980" spans="4:12" x14ac:dyDescent="0.35">
      <c r="D980"/>
      <c r="E980"/>
      <c r="F980"/>
      <c r="K980"/>
      <c r="L980" s="52"/>
    </row>
    <row r="981" spans="4:12" x14ac:dyDescent="0.35">
      <c r="D981"/>
      <c r="E981"/>
      <c r="F981"/>
      <c r="K981"/>
      <c r="L981" s="52"/>
    </row>
    <row r="982" spans="4:12" x14ac:dyDescent="0.35">
      <c r="D982"/>
      <c r="E982"/>
      <c r="F982"/>
      <c r="K982"/>
      <c r="L982" s="52"/>
    </row>
    <row r="983" spans="4:12" x14ac:dyDescent="0.35">
      <c r="D983"/>
      <c r="E983"/>
      <c r="F983"/>
      <c r="K983"/>
      <c r="L983" s="52"/>
    </row>
    <row r="984" spans="4:12" x14ac:dyDescent="0.35">
      <c r="D984"/>
      <c r="E984"/>
      <c r="F984"/>
      <c r="K984"/>
      <c r="L984" s="52"/>
    </row>
    <row r="985" spans="4:12" x14ac:dyDescent="0.35">
      <c r="D985"/>
      <c r="E985"/>
      <c r="F985"/>
      <c r="K985"/>
      <c r="L985" s="52"/>
    </row>
    <row r="986" spans="4:12" x14ac:dyDescent="0.35">
      <c r="D986"/>
      <c r="E986"/>
      <c r="F986"/>
      <c r="K986"/>
      <c r="L986" s="52"/>
    </row>
    <row r="987" spans="4:12" x14ac:dyDescent="0.35">
      <c r="D987"/>
      <c r="E987"/>
      <c r="F987"/>
      <c r="K987"/>
      <c r="L987" s="52"/>
    </row>
    <row r="988" spans="4:12" x14ac:dyDescent="0.35">
      <c r="D988"/>
      <c r="E988"/>
      <c r="F988"/>
      <c r="K988"/>
      <c r="L988" s="52"/>
    </row>
    <row r="989" spans="4:12" x14ac:dyDescent="0.35">
      <c r="D989"/>
      <c r="E989"/>
      <c r="F989"/>
      <c r="K989"/>
      <c r="L989" s="52"/>
    </row>
    <row r="990" spans="4:12" x14ac:dyDescent="0.35">
      <c r="D990"/>
      <c r="E990"/>
      <c r="F990"/>
      <c r="K990"/>
      <c r="L990" s="52"/>
    </row>
    <row r="991" spans="4:12" x14ac:dyDescent="0.35">
      <c r="D991"/>
      <c r="E991"/>
      <c r="F991"/>
      <c r="K991"/>
      <c r="L991" s="52"/>
    </row>
    <row r="992" spans="4:12" x14ac:dyDescent="0.35">
      <c r="D992"/>
      <c r="E992"/>
      <c r="F992"/>
      <c r="K992"/>
      <c r="L992" s="52"/>
    </row>
    <row r="993" spans="4:12" x14ac:dyDescent="0.35">
      <c r="D993"/>
      <c r="E993"/>
      <c r="F993"/>
      <c r="K993"/>
      <c r="L993" s="52"/>
    </row>
    <row r="994" spans="4:12" x14ac:dyDescent="0.35">
      <c r="D994"/>
      <c r="E994"/>
      <c r="F994"/>
      <c r="K994"/>
      <c r="L994" s="52"/>
    </row>
    <row r="995" spans="4:12" x14ac:dyDescent="0.35">
      <c r="D995"/>
      <c r="E995"/>
      <c r="F995"/>
      <c r="K995"/>
      <c r="L995" s="52"/>
    </row>
    <row r="996" spans="4:12" x14ac:dyDescent="0.35">
      <c r="D996"/>
      <c r="E996"/>
      <c r="F996"/>
      <c r="K996"/>
      <c r="L996" s="52"/>
    </row>
    <row r="997" spans="4:12" x14ac:dyDescent="0.35">
      <c r="D997"/>
      <c r="E997"/>
      <c r="F997"/>
      <c r="K997"/>
      <c r="L997" s="52"/>
    </row>
    <row r="998" spans="4:12" x14ac:dyDescent="0.35">
      <c r="D998"/>
      <c r="E998"/>
      <c r="F998"/>
      <c r="K998"/>
      <c r="L998" s="52"/>
    </row>
    <row r="999" spans="4:12" x14ac:dyDescent="0.35">
      <c r="D999"/>
      <c r="E999"/>
      <c r="F999"/>
      <c r="K999"/>
      <c r="L999" s="52"/>
    </row>
    <row r="1000" spans="4:12" x14ac:dyDescent="0.35">
      <c r="D1000"/>
      <c r="E1000"/>
      <c r="F1000"/>
      <c r="K1000"/>
      <c r="L1000" s="52"/>
    </row>
    <row r="1001" spans="4:12" x14ac:dyDescent="0.35">
      <c r="D1001"/>
      <c r="E1001"/>
      <c r="F1001"/>
      <c r="K1001"/>
      <c r="L1001" s="52"/>
    </row>
    <row r="1002" spans="4:12" x14ac:dyDescent="0.35">
      <c r="D1002"/>
      <c r="E1002"/>
      <c r="F1002"/>
      <c r="K1002"/>
      <c r="L1002" s="52"/>
    </row>
    <row r="1003" spans="4:12" x14ac:dyDescent="0.35">
      <c r="D1003"/>
      <c r="E1003"/>
      <c r="F1003"/>
      <c r="K1003"/>
      <c r="L1003" s="52"/>
    </row>
    <row r="1004" spans="4:12" x14ac:dyDescent="0.35">
      <c r="D1004"/>
      <c r="E1004"/>
      <c r="F1004"/>
      <c r="K1004"/>
      <c r="L1004" s="52"/>
    </row>
    <row r="1005" spans="4:12" x14ac:dyDescent="0.35">
      <c r="D1005"/>
      <c r="E1005"/>
      <c r="F1005"/>
      <c r="K1005"/>
      <c r="L1005" s="52"/>
    </row>
    <row r="1006" spans="4:12" x14ac:dyDescent="0.35">
      <c r="D1006"/>
      <c r="E1006"/>
      <c r="F1006"/>
      <c r="K1006"/>
      <c r="L1006" s="52"/>
    </row>
    <row r="1007" spans="4:12" x14ac:dyDescent="0.35">
      <c r="D1007"/>
      <c r="E1007"/>
      <c r="F1007"/>
      <c r="K1007"/>
      <c r="L1007" s="52"/>
    </row>
    <row r="1008" spans="4:12" x14ac:dyDescent="0.35">
      <c r="D1008"/>
      <c r="E1008"/>
      <c r="F1008"/>
      <c r="K1008"/>
      <c r="L1008" s="52"/>
    </row>
    <row r="1009" spans="4:12" x14ac:dyDescent="0.35">
      <c r="D1009"/>
      <c r="E1009"/>
      <c r="F1009"/>
      <c r="K1009"/>
      <c r="L1009" s="52"/>
    </row>
    <row r="1010" spans="4:12" x14ac:dyDescent="0.35">
      <c r="D1010"/>
      <c r="E1010"/>
      <c r="F1010"/>
      <c r="K1010"/>
      <c r="L1010" s="52"/>
    </row>
    <row r="1011" spans="4:12" x14ac:dyDescent="0.35">
      <c r="D1011"/>
      <c r="E1011"/>
      <c r="F1011"/>
      <c r="K1011"/>
      <c r="L1011" s="52"/>
    </row>
    <row r="1012" spans="4:12" x14ac:dyDescent="0.35">
      <c r="D1012"/>
      <c r="E1012"/>
      <c r="F1012"/>
      <c r="K1012"/>
      <c r="L1012" s="52"/>
    </row>
    <row r="1013" spans="4:12" x14ac:dyDescent="0.35">
      <c r="D1013"/>
      <c r="E1013"/>
      <c r="F1013"/>
      <c r="K1013"/>
      <c r="L1013" s="52"/>
    </row>
    <row r="1014" spans="4:12" x14ac:dyDescent="0.35">
      <c r="D1014"/>
      <c r="E1014"/>
      <c r="F1014"/>
      <c r="K1014"/>
      <c r="L1014" s="52"/>
    </row>
    <row r="1015" spans="4:12" x14ac:dyDescent="0.35">
      <c r="D1015"/>
      <c r="E1015"/>
      <c r="F1015"/>
      <c r="K1015"/>
      <c r="L1015" s="52"/>
    </row>
    <row r="1016" spans="4:12" x14ac:dyDescent="0.35">
      <c r="D1016"/>
      <c r="E1016"/>
      <c r="F1016"/>
      <c r="K1016"/>
      <c r="L1016" s="52"/>
    </row>
    <row r="1017" spans="4:12" x14ac:dyDescent="0.35">
      <c r="D1017"/>
      <c r="E1017"/>
      <c r="F1017"/>
      <c r="K1017"/>
      <c r="L1017" s="52"/>
    </row>
    <row r="1018" spans="4:12" x14ac:dyDescent="0.35">
      <c r="D1018"/>
      <c r="E1018"/>
      <c r="F1018"/>
      <c r="K1018"/>
      <c r="L1018" s="52"/>
    </row>
    <row r="1019" spans="4:12" x14ac:dyDescent="0.35">
      <c r="D1019"/>
      <c r="E1019"/>
      <c r="F1019"/>
      <c r="K1019"/>
      <c r="L1019" s="52"/>
    </row>
    <row r="1020" spans="4:12" x14ac:dyDescent="0.35">
      <c r="D1020"/>
      <c r="E1020"/>
      <c r="F1020"/>
      <c r="K1020"/>
      <c r="L1020" s="52"/>
    </row>
    <row r="1021" spans="4:12" x14ac:dyDescent="0.35">
      <c r="D1021"/>
      <c r="E1021"/>
      <c r="F1021"/>
      <c r="K1021"/>
      <c r="L1021" s="52"/>
    </row>
    <row r="1022" spans="4:12" x14ac:dyDescent="0.35">
      <c r="D1022"/>
      <c r="E1022"/>
      <c r="F1022"/>
      <c r="K1022"/>
      <c r="L1022" s="52"/>
    </row>
    <row r="1023" spans="4:12" x14ac:dyDescent="0.35">
      <c r="D1023"/>
      <c r="E1023"/>
      <c r="F1023"/>
      <c r="K1023"/>
      <c r="L1023" s="52"/>
    </row>
    <row r="1024" spans="4:12" x14ac:dyDescent="0.35">
      <c r="D1024"/>
      <c r="E1024"/>
      <c r="F1024"/>
      <c r="K1024"/>
      <c r="L1024" s="52"/>
    </row>
    <row r="1025" spans="4:12" x14ac:dyDescent="0.35">
      <c r="D1025"/>
      <c r="E1025"/>
      <c r="F1025"/>
      <c r="K1025"/>
      <c r="L1025" s="52"/>
    </row>
    <row r="1026" spans="4:12" x14ac:dyDescent="0.35">
      <c r="D1026"/>
      <c r="E1026"/>
      <c r="F1026"/>
      <c r="K1026"/>
      <c r="L1026" s="52"/>
    </row>
    <row r="1027" spans="4:12" x14ac:dyDescent="0.35">
      <c r="D1027"/>
      <c r="E1027"/>
      <c r="F1027"/>
      <c r="K1027"/>
      <c r="L1027" s="52"/>
    </row>
    <row r="1028" spans="4:12" x14ac:dyDescent="0.35">
      <c r="D1028"/>
      <c r="E1028"/>
      <c r="F1028"/>
      <c r="K1028"/>
      <c r="L1028" s="52"/>
    </row>
    <row r="1029" spans="4:12" x14ac:dyDescent="0.35">
      <c r="D1029"/>
      <c r="E1029"/>
      <c r="F1029"/>
      <c r="K1029"/>
      <c r="L1029" s="52"/>
    </row>
    <row r="1030" spans="4:12" x14ac:dyDescent="0.35">
      <c r="D1030"/>
      <c r="E1030"/>
      <c r="F1030"/>
      <c r="K1030"/>
      <c r="L1030" s="52"/>
    </row>
    <row r="1031" spans="4:12" x14ac:dyDescent="0.35">
      <c r="D1031"/>
      <c r="E1031"/>
      <c r="F1031"/>
      <c r="K1031"/>
      <c r="L1031" s="52"/>
    </row>
    <row r="1032" spans="4:12" x14ac:dyDescent="0.35">
      <c r="D1032"/>
      <c r="E1032"/>
      <c r="F1032"/>
      <c r="K1032"/>
      <c r="L1032" s="52"/>
    </row>
    <row r="1033" spans="4:12" x14ac:dyDescent="0.35">
      <c r="D1033"/>
      <c r="E1033"/>
      <c r="F1033"/>
      <c r="K1033"/>
      <c r="L1033" s="52"/>
    </row>
    <row r="1034" spans="4:12" x14ac:dyDescent="0.35">
      <c r="D1034"/>
      <c r="E1034"/>
      <c r="F1034"/>
      <c r="K1034"/>
      <c r="L1034" s="52"/>
    </row>
    <row r="1035" spans="4:12" x14ac:dyDescent="0.35">
      <c r="D1035"/>
      <c r="E1035"/>
      <c r="F1035"/>
      <c r="K1035"/>
      <c r="L1035" s="52"/>
    </row>
    <row r="1036" spans="4:12" x14ac:dyDescent="0.35">
      <c r="D1036"/>
      <c r="E1036"/>
      <c r="F1036"/>
      <c r="K1036"/>
      <c r="L1036" s="52"/>
    </row>
    <row r="1037" spans="4:12" x14ac:dyDescent="0.35">
      <c r="D1037"/>
      <c r="E1037"/>
      <c r="F1037"/>
      <c r="K1037"/>
      <c r="L1037" s="52"/>
    </row>
    <row r="1038" spans="4:12" x14ac:dyDescent="0.35">
      <c r="D1038"/>
      <c r="E1038"/>
      <c r="F1038"/>
      <c r="K1038"/>
      <c r="L1038" s="52"/>
    </row>
    <row r="1039" spans="4:12" x14ac:dyDescent="0.35">
      <c r="D1039"/>
      <c r="E1039"/>
      <c r="F1039"/>
      <c r="K1039"/>
      <c r="L1039" s="52"/>
    </row>
    <row r="1040" spans="4:12" x14ac:dyDescent="0.35">
      <c r="D1040"/>
      <c r="E1040"/>
      <c r="F1040"/>
      <c r="K1040"/>
      <c r="L1040" s="52"/>
    </row>
    <row r="1041" spans="4:12" x14ac:dyDescent="0.35">
      <c r="D1041"/>
      <c r="E1041"/>
      <c r="F1041"/>
      <c r="K1041"/>
      <c r="L1041" s="52"/>
    </row>
    <row r="1042" spans="4:12" x14ac:dyDescent="0.35">
      <c r="D1042"/>
      <c r="E1042"/>
      <c r="F1042"/>
      <c r="K1042"/>
      <c r="L1042" s="52"/>
    </row>
    <row r="1043" spans="4:12" x14ac:dyDescent="0.35">
      <c r="D1043"/>
      <c r="E1043"/>
      <c r="F1043"/>
      <c r="K1043"/>
      <c r="L1043" s="52"/>
    </row>
    <row r="1044" spans="4:12" x14ac:dyDescent="0.35">
      <c r="D1044"/>
      <c r="E1044"/>
      <c r="F1044"/>
      <c r="K1044"/>
      <c r="L1044" s="52"/>
    </row>
    <row r="1045" spans="4:12" x14ac:dyDescent="0.35">
      <c r="D1045"/>
      <c r="E1045"/>
      <c r="F1045"/>
      <c r="K1045"/>
      <c r="L1045" s="52"/>
    </row>
    <row r="1046" spans="4:12" x14ac:dyDescent="0.35">
      <c r="D1046"/>
      <c r="E1046"/>
      <c r="F1046"/>
      <c r="K1046"/>
      <c r="L1046" s="52"/>
    </row>
    <row r="1047" spans="4:12" x14ac:dyDescent="0.35">
      <c r="D1047"/>
      <c r="E1047"/>
      <c r="F1047"/>
      <c r="K1047"/>
      <c r="L1047" s="52"/>
    </row>
    <row r="1048" spans="4:12" x14ac:dyDescent="0.35">
      <c r="D1048"/>
      <c r="E1048"/>
      <c r="F1048"/>
      <c r="K1048"/>
      <c r="L1048" s="52"/>
    </row>
    <row r="1049" spans="4:12" x14ac:dyDescent="0.35">
      <c r="D1049"/>
      <c r="E1049"/>
      <c r="F1049"/>
      <c r="K1049"/>
      <c r="L1049" s="52"/>
    </row>
    <row r="1050" spans="4:12" x14ac:dyDescent="0.35">
      <c r="D1050"/>
      <c r="E1050"/>
      <c r="F1050"/>
      <c r="K1050"/>
      <c r="L1050" s="52"/>
    </row>
    <row r="1051" spans="4:12" x14ac:dyDescent="0.35">
      <c r="D1051"/>
      <c r="E1051"/>
      <c r="F1051"/>
      <c r="K1051"/>
      <c r="L1051" s="52"/>
    </row>
    <row r="1052" spans="4:12" x14ac:dyDescent="0.35">
      <c r="D1052"/>
      <c r="E1052"/>
      <c r="F1052"/>
      <c r="K1052"/>
      <c r="L1052" s="52"/>
    </row>
    <row r="1053" spans="4:12" x14ac:dyDescent="0.35">
      <c r="D1053"/>
      <c r="E1053"/>
      <c r="F1053"/>
      <c r="K1053"/>
      <c r="L1053" s="52"/>
    </row>
    <row r="1054" spans="4:12" x14ac:dyDescent="0.35">
      <c r="D1054"/>
      <c r="E1054"/>
      <c r="F1054"/>
      <c r="K1054"/>
      <c r="L1054" s="52"/>
    </row>
    <row r="1055" spans="4:12" x14ac:dyDescent="0.35">
      <c r="D1055"/>
      <c r="E1055"/>
      <c r="F1055"/>
      <c r="K1055"/>
      <c r="L1055" s="52"/>
    </row>
    <row r="1056" spans="4:12" x14ac:dyDescent="0.35">
      <c r="D1056"/>
      <c r="E1056"/>
      <c r="F1056"/>
      <c r="K1056"/>
      <c r="L1056" s="52"/>
    </row>
    <row r="1057" spans="4:12" x14ac:dyDescent="0.35">
      <c r="D1057"/>
      <c r="E1057"/>
      <c r="F1057"/>
      <c r="K1057"/>
      <c r="L1057" s="52"/>
    </row>
    <row r="1058" spans="4:12" x14ac:dyDescent="0.35">
      <c r="D1058"/>
      <c r="E1058"/>
      <c r="F1058"/>
      <c r="K1058"/>
      <c r="L1058" s="52"/>
    </row>
    <row r="1059" spans="4:12" x14ac:dyDescent="0.35">
      <c r="D1059"/>
      <c r="E1059"/>
      <c r="F1059"/>
      <c r="K1059"/>
      <c r="L1059" s="52"/>
    </row>
    <row r="1060" spans="4:12" x14ac:dyDescent="0.35">
      <c r="D1060"/>
      <c r="E1060"/>
      <c r="F1060"/>
      <c r="K1060"/>
      <c r="L1060" s="52"/>
    </row>
    <row r="1061" spans="4:12" x14ac:dyDescent="0.35">
      <c r="D1061"/>
      <c r="E1061"/>
      <c r="F1061"/>
      <c r="K1061"/>
      <c r="L1061" s="52"/>
    </row>
    <row r="1062" spans="4:12" x14ac:dyDescent="0.35">
      <c r="D1062"/>
      <c r="E1062"/>
      <c r="F1062"/>
      <c r="K1062"/>
      <c r="L1062" s="52"/>
    </row>
    <row r="1063" spans="4:12" x14ac:dyDescent="0.35">
      <c r="D1063"/>
      <c r="E1063"/>
      <c r="F1063"/>
      <c r="K1063"/>
      <c r="L1063" s="52"/>
    </row>
    <row r="1064" spans="4:12" x14ac:dyDescent="0.35">
      <c r="D1064"/>
      <c r="E1064"/>
      <c r="F1064"/>
      <c r="K1064"/>
      <c r="L1064" s="52"/>
    </row>
    <row r="1065" spans="4:12" x14ac:dyDescent="0.35">
      <c r="D1065"/>
      <c r="E1065"/>
      <c r="F1065"/>
      <c r="K1065"/>
      <c r="L1065" s="52"/>
    </row>
    <row r="1066" spans="4:12" x14ac:dyDescent="0.35">
      <c r="D1066"/>
      <c r="E1066"/>
      <c r="F1066"/>
      <c r="K1066"/>
      <c r="L1066" s="52"/>
    </row>
    <row r="1067" spans="4:12" x14ac:dyDescent="0.35">
      <c r="D1067"/>
      <c r="E1067"/>
      <c r="F1067"/>
      <c r="K1067"/>
      <c r="L1067" s="52"/>
    </row>
    <row r="1068" spans="4:12" x14ac:dyDescent="0.35">
      <c r="D1068"/>
      <c r="E1068"/>
      <c r="F1068"/>
      <c r="K1068"/>
      <c r="L1068" s="52"/>
    </row>
    <row r="1069" spans="4:12" x14ac:dyDescent="0.35">
      <c r="D1069"/>
      <c r="E1069"/>
      <c r="F1069"/>
      <c r="K1069"/>
      <c r="L1069" s="52"/>
    </row>
    <row r="1070" spans="4:12" x14ac:dyDescent="0.35">
      <c r="D1070"/>
      <c r="E1070"/>
      <c r="F1070"/>
      <c r="K1070"/>
      <c r="L1070" s="52"/>
    </row>
    <row r="1071" spans="4:12" x14ac:dyDescent="0.35">
      <c r="D1071"/>
      <c r="E1071"/>
      <c r="F1071"/>
      <c r="K1071"/>
      <c r="L1071" s="52"/>
    </row>
    <row r="1072" spans="4:12" x14ac:dyDescent="0.35">
      <c r="D1072"/>
      <c r="E1072"/>
      <c r="F1072"/>
      <c r="K1072"/>
      <c r="L1072" s="52"/>
    </row>
    <row r="1073" spans="4:12" x14ac:dyDescent="0.35">
      <c r="D1073"/>
      <c r="E1073"/>
      <c r="F1073"/>
      <c r="K1073"/>
      <c r="L1073" s="52"/>
    </row>
    <row r="1074" spans="4:12" x14ac:dyDescent="0.35">
      <c r="D1074"/>
      <c r="E1074"/>
      <c r="F1074"/>
      <c r="K1074"/>
      <c r="L1074" s="52"/>
    </row>
    <row r="1075" spans="4:12" x14ac:dyDescent="0.35">
      <c r="D1075"/>
      <c r="E1075"/>
      <c r="F1075"/>
      <c r="K1075"/>
      <c r="L1075" s="52"/>
    </row>
    <row r="1076" spans="4:12" x14ac:dyDescent="0.35">
      <c r="D1076"/>
      <c r="E1076"/>
      <c r="F1076"/>
      <c r="K1076"/>
      <c r="L1076" s="52"/>
    </row>
    <row r="1077" spans="4:12" x14ac:dyDescent="0.35">
      <c r="D1077"/>
      <c r="E1077"/>
      <c r="F1077"/>
      <c r="K1077"/>
      <c r="L1077" s="52"/>
    </row>
    <row r="1078" spans="4:12" x14ac:dyDescent="0.35">
      <c r="D1078"/>
      <c r="E1078"/>
      <c r="F1078"/>
      <c r="K1078"/>
      <c r="L1078" s="52"/>
    </row>
    <row r="1079" spans="4:12" x14ac:dyDescent="0.35">
      <c r="D1079"/>
      <c r="E1079"/>
      <c r="F1079"/>
      <c r="K1079"/>
      <c r="L1079" s="52"/>
    </row>
    <row r="1080" spans="4:12" x14ac:dyDescent="0.35">
      <c r="D1080"/>
      <c r="E1080"/>
      <c r="F1080"/>
      <c r="K1080"/>
      <c r="L1080" s="52"/>
    </row>
    <row r="1081" spans="4:12" x14ac:dyDescent="0.35">
      <c r="D1081"/>
      <c r="E1081"/>
      <c r="F1081"/>
      <c r="K1081"/>
      <c r="L1081" s="52"/>
    </row>
    <row r="1082" spans="4:12" x14ac:dyDescent="0.35">
      <c r="D1082"/>
      <c r="E1082"/>
      <c r="F1082"/>
      <c r="K1082"/>
      <c r="L1082" s="52"/>
    </row>
    <row r="1083" spans="4:12" x14ac:dyDescent="0.35">
      <c r="D1083"/>
      <c r="E1083"/>
      <c r="F1083"/>
      <c r="K1083"/>
      <c r="L1083" s="52"/>
    </row>
    <row r="1084" spans="4:12" x14ac:dyDescent="0.35">
      <c r="D1084"/>
      <c r="E1084"/>
      <c r="F1084"/>
      <c r="K1084"/>
      <c r="L1084" s="52"/>
    </row>
    <row r="1085" spans="4:12" x14ac:dyDescent="0.35">
      <c r="D1085"/>
      <c r="E1085"/>
      <c r="F1085"/>
      <c r="K1085"/>
      <c r="L1085" s="52"/>
    </row>
    <row r="1086" spans="4:12" x14ac:dyDescent="0.35">
      <c r="D1086"/>
      <c r="E1086"/>
      <c r="F1086"/>
      <c r="K1086"/>
      <c r="L1086" s="52"/>
    </row>
    <row r="1087" spans="4:12" x14ac:dyDescent="0.35">
      <c r="D1087"/>
      <c r="E1087"/>
      <c r="F1087"/>
      <c r="K1087"/>
      <c r="L1087" s="52"/>
    </row>
    <row r="1088" spans="4:12" x14ac:dyDescent="0.35">
      <c r="D1088"/>
      <c r="E1088"/>
      <c r="F1088"/>
      <c r="K1088"/>
      <c r="L1088" s="52"/>
    </row>
    <row r="1089" spans="4:12" x14ac:dyDescent="0.35">
      <c r="D1089"/>
      <c r="E1089"/>
      <c r="F1089"/>
      <c r="K1089"/>
      <c r="L1089" s="52"/>
    </row>
    <row r="1090" spans="4:12" x14ac:dyDescent="0.35">
      <c r="D1090"/>
      <c r="E1090"/>
      <c r="F1090"/>
      <c r="K1090"/>
      <c r="L1090" s="52"/>
    </row>
    <row r="1091" spans="4:12" x14ac:dyDescent="0.35">
      <c r="D1091"/>
      <c r="E1091"/>
      <c r="F1091"/>
      <c r="K1091"/>
      <c r="L1091" s="52"/>
    </row>
    <row r="1092" spans="4:12" x14ac:dyDescent="0.35">
      <c r="D1092"/>
      <c r="E1092"/>
      <c r="F1092"/>
      <c r="K1092"/>
      <c r="L1092" s="52"/>
    </row>
    <row r="1093" spans="4:12" x14ac:dyDescent="0.35">
      <c r="D1093"/>
      <c r="E1093"/>
      <c r="F1093"/>
      <c r="K1093"/>
      <c r="L1093" s="52"/>
    </row>
    <row r="1094" spans="4:12" x14ac:dyDescent="0.35">
      <c r="D1094"/>
      <c r="E1094"/>
      <c r="F1094"/>
      <c r="K1094"/>
      <c r="L1094" s="52"/>
    </row>
    <row r="1095" spans="4:12" x14ac:dyDescent="0.35">
      <c r="D1095"/>
      <c r="E1095"/>
      <c r="F1095"/>
      <c r="K1095"/>
      <c r="L1095" s="52"/>
    </row>
    <row r="1096" spans="4:12" x14ac:dyDescent="0.35">
      <c r="D1096"/>
      <c r="E1096"/>
      <c r="F1096"/>
      <c r="K1096"/>
      <c r="L1096" s="52"/>
    </row>
    <row r="1097" spans="4:12" x14ac:dyDescent="0.35">
      <c r="D1097"/>
      <c r="E1097"/>
      <c r="F1097"/>
      <c r="K1097"/>
      <c r="L1097" s="52"/>
    </row>
    <row r="1098" spans="4:12" x14ac:dyDescent="0.35">
      <c r="D1098"/>
      <c r="E1098"/>
      <c r="F1098"/>
      <c r="K1098"/>
      <c r="L1098" s="52"/>
    </row>
    <row r="1099" spans="4:12" x14ac:dyDescent="0.35">
      <c r="D1099"/>
      <c r="E1099"/>
      <c r="F1099"/>
      <c r="K1099"/>
      <c r="L1099" s="52"/>
    </row>
    <row r="1100" spans="4:12" x14ac:dyDescent="0.35">
      <c r="D1100"/>
      <c r="E1100"/>
      <c r="F1100"/>
      <c r="K1100"/>
      <c r="L1100" s="52"/>
    </row>
    <row r="1101" spans="4:12" x14ac:dyDescent="0.35">
      <c r="D1101"/>
      <c r="E1101"/>
      <c r="F1101"/>
      <c r="K1101"/>
      <c r="L1101" s="52"/>
    </row>
    <row r="1102" spans="4:12" x14ac:dyDescent="0.35">
      <c r="D1102"/>
      <c r="E1102"/>
      <c r="F1102"/>
      <c r="K1102"/>
      <c r="L1102" s="52"/>
    </row>
    <row r="1103" spans="4:12" x14ac:dyDescent="0.35">
      <c r="D1103"/>
      <c r="E1103"/>
      <c r="F1103"/>
      <c r="K1103"/>
      <c r="L1103" s="52"/>
    </row>
    <row r="1104" spans="4:12" x14ac:dyDescent="0.35">
      <c r="D1104"/>
      <c r="E1104"/>
      <c r="F1104"/>
      <c r="K1104"/>
      <c r="L1104" s="52"/>
    </row>
    <row r="1105" spans="4:12" x14ac:dyDescent="0.35">
      <c r="D1105"/>
      <c r="E1105"/>
      <c r="F1105"/>
      <c r="K1105"/>
      <c r="L1105" s="52"/>
    </row>
    <row r="1106" spans="4:12" x14ac:dyDescent="0.35">
      <c r="D1106"/>
      <c r="E1106"/>
      <c r="F1106"/>
      <c r="K1106"/>
      <c r="L1106" s="52"/>
    </row>
    <row r="1107" spans="4:12" x14ac:dyDescent="0.35">
      <c r="D1107"/>
      <c r="E1107"/>
      <c r="F1107"/>
      <c r="K1107"/>
      <c r="L1107" s="52"/>
    </row>
    <row r="1108" spans="4:12" x14ac:dyDescent="0.35">
      <c r="D1108"/>
      <c r="E1108"/>
      <c r="F1108"/>
      <c r="K1108"/>
      <c r="L1108" s="52"/>
    </row>
    <row r="1109" spans="4:12" x14ac:dyDescent="0.35">
      <c r="D1109"/>
      <c r="E1109"/>
      <c r="F1109"/>
      <c r="K1109"/>
      <c r="L1109" s="52"/>
    </row>
    <row r="1110" spans="4:12" x14ac:dyDescent="0.35">
      <c r="D1110"/>
      <c r="E1110"/>
      <c r="F1110"/>
      <c r="K1110"/>
      <c r="L1110" s="52"/>
    </row>
    <row r="1111" spans="4:12" x14ac:dyDescent="0.35">
      <c r="D1111"/>
      <c r="E1111"/>
      <c r="F1111"/>
      <c r="K1111"/>
      <c r="L1111" s="52"/>
    </row>
    <row r="1112" spans="4:12" x14ac:dyDescent="0.35">
      <c r="D1112"/>
      <c r="E1112"/>
      <c r="F1112"/>
      <c r="K1112"/>
      <c r="L1112" s="52"/>
    </row>
    <row r="1113" spans="4:12" x14ac:dyDescent="0.35">
      <c r="D1113"/>
      <c r="E1113"/>
      <c r="F1113"/>
      <c r="K1113"/>
      <c r="L1113" s="52"/>
    </row>
    <row r="1114" spans="4:12" x14ac:dyDescent="0.35">
      <c r="D1114"/>
      <c r="E1114"/>
      <c r="F1114"/>
      <c r="K1114"/>
      <c r="L1114" s="52"/>
    </row>
    <row r="1115" spans="4:12" x14ac:dyDescent="0.35">
      <c r="D1115"/>
      <c r="E1115"/>
      <c r="F1115"/>
      <c r="K1115"/>
      <c r="L1115" s="52"/>
    </row>
    <row r="1116" spans="4:12" x14ac:dyDescent="0.35">
      <c r="D1116"/>
      <c r="E1116"/>
      <c r="F1116"/>
      <c r="K1116"/>
      <c r="L1116" s="52"/>
    </row>
    <row r="1117" spans="4:12" x14ac:dyDescent="0.35">
      <c r="D1117"/>
      <c r="E1117"/>
      <c r="F1117"/>
      <c r="K1117"/>
      <c r="L1117" s="52"/>
    </row>
    <row r="1118" spans="4:12" x14ac:dyDescent="0.35">
      <c r="D1118"/>
      <c r="E1118"/>
      <c r="F1118"/>
      <c r="K1118"/>
      <c r="L1118" s="52"/>
    </row>
    <row r="1119" spans="4:12" x14ac:dyDescent="0.35">
      <c r="D1119"/>
      <c r="E1119"/>
      <c r="F1119"/>
      <c r="K1119"/>
      <c r="L1119" s="52"/>
    </row>
    <row r="1120" spans="4:12" x14ac:dyDescent="0.35">
      <c r="D1120"/>
      <c r="E1120"/>
      <c r="F1120"/>
      <c r="K1120"/>
      <c r="L1120" s="52"/>
    </row>
    <row r="1121" spans="4:12" x14ac:dyDescent="0.35">
      <c r="D1121"/>
      <c r="E1121"/>
      <c r="F1121"/>
      <c r="K1121"/>
      <c r="L1121" s="52"/>
    </row>
    <row r="1122" spans="4:12" x14ac:dyDescent="0.35">
      <c r="D1122"/>
      <c r="E1122"/>
      <c r="F1122"/>
      <c r="K1122"/>
      <c r="L1122" s="52"/>
    </row>
    <row r="1123" spans="4:12" x14ac:dyDescent="0.35">
      <c r="D1123"/>
      <c r="E1123"/>
      <c r="F1123"/>
      <c r="K1123"/>
      <c r="L1123" s="52"/>
    </row>
    <row r="1124" spans="4:12" x14ac:dyDescent="0.35">
      <c r="D1124"/>
      <c r="E1124"/>
      <c r="F1124"/>
      <c r="K1124"/>
      <c r="L1124" s="52"/>
    </row>
    <row r="1125" spans="4:12" x14ac:dyDescent="0.35">
      <c r="D1125"/>
      <c r="E1125"/>
      <c r="F1125"/>
      <c r="K1125"/>
      <c r="L1125" s="52"/>
    </row>
    <row r="1126" spans="4:12" x14ac:dyDescent="0.35">
      <c r="D1126"/>
      <c r="E1126"/>
      <c r="F1126"/>
      <c r="K1126"/>
      <c r="L1126" s="52"/>
    </row>
    <row r="1127" spans="4:12" x14ac:dyDescent="0.35">
      <c r="D1127"/>
      <c r="E1127"/>
      <c r="F1127"/>
      <c r="K1127"/>
      <c r="L1127" s="52"/>
    </row>
    <row r="1128" spans="4:12" x14ac:dyDescent="0.35">
      <c r="D1128"/>
      <c r="E1128"/>
      <c r="F1128"/>
      <c r="K1128"/>
      <c r="L1128" s="52"/>
    </row>
    <row r="1129" spans="4:12" x14ac:dyDescent="0.35">
      <c r="D1129"/>
      <c r="E1129"/>
      <c r="F1129"/>
      <c r="K1129"/>
      <c r="L1129" s="52"/>
    </row>
    <row r="1130" spans="4:12" x14ac:dyDescent="0.35">
      <c r="D1130"/>
      <c r="E1130"/>
      <c r="F1130"/>
      <c r="K1130"/>
      <c r="L1130" s="52"/>
    </row>
    <row r="1131" spans="4:12" x14ac:dyDescent="0.35">
      <c r="D1131"/>
      <c r="E1131"/>
      <c r="F1131"/>
      <c r="K1131"/>
      <c r="L1131" s="52"/>
    </row>
    <row r="1132" spans="4:12" x14ac:dyDescent="0.35">
      <c r="D1132"/>
      <c r="E1132"/>
      <c r="F1132"/>
      <c r="K1132"/>
      <c r="L1132" s="52"/>
    </row>
    <row r="1133" spans="4:12" x14ac:dyDescent="0.35">
      <c r="D1133"/>
      <c r="E1133"/>
      <c r="F1133"/>
      <c r="K1133"/>
      <c r="L1133" s="52"/>
    </row>
    <row r="1134" spans="4:12" x14ac:dyDescent="0.35">
      <c r="D1134"/>
      <c r="E1134"/>
      <c r="F1134"/>
      <c r="K1134"/>
      <c r="L1134" s="52"/>
    </row>
    <row r="1135" spans="4:12" x14ac:dyDescent="0.35">
      <c r="D1135"/>
      <c r="E1135"/>
      <c r="F1135"/>
      <c r="K1135"/>
      <c r="L1135" s="52"/>
    </row>
    <row r="1136" spans="4:12" x14ac:dyDescent="0.35">
      <c r="D1136"/>
      <c r="E1136"/>
      <c r="F1136"/>
      <c r="K1136"/>
      <c r="L1136" s="52"/>
    </row>
    <row r="1137" spans="4:12" x14ac:dyDescent="0.35">
      <c r="D1137"/>
      <c r="E1137"/>
      <c r="F1137"/>
      <c r="K1137"/>
      <c r="L1137" s="52"/>
    </row>
    <row r="1138" spans="4:12" x14ac:dyDescent="0.35">
      <c r="D1138"/>
      <c r="E1138"/>
      <c r="F1138"/>
      <c r="K1138"/>
      <c r="L1138" s="52"/>
    </row>
    <row r="1139" spans="4:12" x14ac:dyDescent="0.35">
      <c r="D1139"/>
      <c r="E1139"/>
      <c r="F1139"/>
      <c r="K1139"/>
      <c r="L1139" s="52"/>
    </row>
    <row r="1140" spans="4:12" x14ac:dyDescent="0.35">
      <c r="D1140"/>
      <c r="E1140"/>
      <c r="F1140"/>
      <c r="K1140"/>
      <c r="L1140" s="52"/>
    </row>
    <row r="1141" spans="4:12" x14ac:dyDescent="0.35">
      <c r="D1141"/>
      <c r="E1141"/>
      <c r="F1141"/>
      <c r="K1141"/>
      <c r="L1141" s="52"/>
    </row>
    <row r="1142" spans="4:12" x14ac:dyDescent="0.35">
      <c r="D1142"/>
      <c r="E1142"/>
      <c r="F1142"/>
      <c r="K1142"/>
      <c r="L1142" s="52"/>
    </row>
    <row r="1143" spans="4:12" x14ac:dyDescent="0.35">
      <c r="D1143"/>
      <c r="E1143"/>
      <c r="F1143"/>
      <c r="K1143"/>
      <c r="L1143" s="52"/>
    </row>
    <row r="1144" spans="4:12" x14ac:dyDescent="0.35">
      <c r="D1144"/>
      <c r="E1144"/>
      <c r="F1144"/>
      <c r="K1144"/>
      <c r="L1144" s="52"/>
    </row>
    <row r="1145" spans="4:12" x14ac:dyDescent="0.35">
      <c r="D1145"/>
      <c r="E1145"/>
      <c r="F1145"/>
      <c r="K1145"/>
      <c r="L1145" s="52"/>
    </row>
    <row r="1146" spans="4:12" x14ac:dyDescent="0.35">
      <c r="D1146"/>
      <c r="E1146"/>
      <c r="F1146"/>
      <c r="K1146"/>
      <c r="L1146" s="52"/>
    </row>
    <row r="1147" spans="4:12" x14ac:dyDescent="0.35">
      <c r="D1147"/>
      <c r="E1147"/>
      <c r="F1147"/>
      <c r="K1147"/>
      <c r="L1147" s="52"/>
    </row>
    <row r="1148" spans="4:12" x14ac:dyDescent="0.35">
      <c r="D1148"/>
      <c r="E1148"/>
      <c r="F1148"/>
      <c r="K1148"/>
      <c r="L1148" s="52"/>
    </row>
    <row r="1149" spans="4:12" x14ac:dyDescent="0.35">
      <c r="D1149"/>
      <c r="E1149"/>
      <c r="F1149"/>
      <c r="K1149"/>
      <c r="L1149" s="52"/>
    </row>
    <row r="1150" spans="4:12" x14ac:dyDescent="0.35">
      <c r="D1150"/>
      <c r="E1150"/>
      <c r="F1150"/>
      <c r="K1150"/>
      <c r="L1150" s="52"/>
    </row>
    <row r="1151" spans="4:12" x14ac:dyDescent="0.35">
      <c r="D1151"/>
      <c r="E1151"/>
      <c r="F1151"/>
      <c r="K1151"/>
      <c r="L1151" s="52"/>
    </row>
    <row r="1152" spans="4:12" x14ac:dyDescent="0.35">
      <c r="D1152"/>
      <c r="E1152"/>
      <c r="F1152"/>
      <c r="K1152"/>
      <c r="L1152" s="52"/>
    </row>
    <row r="1153" spans="4:12" x14ac:dyDescent="0.35">
      <c r="D1153"/>
      <c r="E1153"/>
      <c r="F1153"/>
      <c r="K1153"/>
      <c r="L1153" s="52"/>
    </row>
    <row r="1154" spans="4:12" x14ac:dyDescent="0.35">
      <c r="D1154"/>
      <c r="E1154"/>
      <c r="F1154"/>
      <c r="K1154"/>
      <c r="L1154" s="52"/>
    </row>
    <row r="1155" spans="4:12" x14ac:dyDescent="0.35">
      <c r="D1155"/>
      <c r="E1155"/>
      <c r="F1155"/>
      <c r="K1155"/>
      <c r="L1155" s="52"/>
    </row>
    <row r="1156" spans="4:12" x14ac:dyDescent="0.35">
      <c r="D1156"/>
      <c r="E1156"/>
      <c r="F1156"/>
      <c r="K1156"/>
      <c r="L1156" s="52"/>
    </row>
    <row r="1157" spans="4:12" x14ac:dyDescent="0.35">
      <c r="D1157"/>
      <c r="E1157"/>
      <c r="F1157"/>
      <c r="K1157"/>
      <c r="L1157" s="52"/>
    </row>
    <row r="1158" spans="4:12" x14ac:dyDescent="0.35">
      <c r="D1158"/>
      <c r="E1158"/>
      <c r="F1158"/>
      <c r="K1158"/>
      <c r="L1158" s="52"/>
    </row>
    <row r="1159" spans="4:12" x14ac:dyDescent="0.35">
      <c r="D1159"/>
      <c r="E1159"/>
      <c r="F1159"/>
      <c r="K1159"/>
      <c r="L1159" s="52"/>
    </row>
    <row r="1160" spans="4:12" x14ac:dyDescent="0.35">
      <c r="D1160"/>
      <c r="E1160"/>
      <c r="F1160"/>
      <c r="K1160"/>
      <c r="L1160" s="52"/>
    </row>
    <row r="1161" spans="4:12" x14ac:dyDescent="0.35">
      <c r="D1161"/>
      <c r="E1161"/>
      <c r="F1161"/>
      <c r="K1161"/>
      <c r="L1161" s="52"/>
    </row>
    <row r="1162" spans="4:12" x14ac:dyDescent="0.35">
      <c r="D1162"/>
      <c r="E1162"/>
      <c r="F1162"/>
      <c r="K1162"/>
      <c r="L1162" s="52"/>
    </row>
    <row r="1163" spans="4:12" x14ac:dyDescent="0.35">
      <c r="D1163"/>
      <c r="E1163"/>
      <c r="F1163"/>
      <c r="K1163"/>
      <c r="L1163" s="52"/>
    </row>
    <row r="1164" spans="4:12" x14ac:dyDescent="0.35">
      <c r="D1164"/>
      <c r="E1164"/>
      <c r="F1164"/>
      <c r="K1164"/>
      <c r="L1164" s="52"/>
    </row>
    <row r="1165" spans="4:12" x14ac:dyDescent="0.35">
      <c r="D1165"/>
      <c r="E1165"/>
      <c r="F1165"/>
      <c r="K1165"/>
      <c r="L1165" s="52"/>
    </row>
    <row r="1166" spans="4:12" x14ac:dyDescent="0.35">
      <c r="D1166"/>
      <c r="E1166"/>
      <c r="F1166"/>
      <c r="K1166"/>
      <c r="L1166" s="52"/>
    </row>
    <row r="1167" spans="4:12" x14ac:dyDescent="0.35">
      <c r="D1167"/>
      <c r="E1167"/>
      <c r="F1167"/>
      <c r="K1167"/>
      <c r="L1167" s="52"/>
    </row>
    <row r="1168" spans="4:12" x14ac:dyDescent="0.35">
      <c r="D1168"/>
      <c r="E1168"/>
      <c r="F1168"/>
      <c r="K1168"/>
      <c r="L1168" s="52"/>
    </row>
    <row r="1169" spans="4:12" x14ac:dyDescent="0.35">
      <c r="D1169"/>
      <c r="E1169"/>
      <c r="F1169"/>
      <c r="K1169"/>
      <c r="L1169" s="52"/>
    </row>
    <row r="1170" spans="4:12" x14ac:dyDescent="0.35">
      <c r="D1170"/>
      <c r="E1170"/>
      <c r="F1170"/>
      <c r="K1170"/>
      <c r="L1170" s="52"/>
    </row>
    <row r="1171" spans="4:12" x14ac:dyDescent="0.35">
      <c r="D1171"/>
      <c r="E1171"/>
      <c r="F1171"/>
      <c r="K1171"/>
      <c r="L1171" s="52"/>
    </row>
    <row r="1172" spans="4:12" x14ac:dyDescent="0.35">
      <c r="D1172"/>
      <c r="E1172"/>
      <c r="F1172"/>
      <c r="K1172"/>
      <c r="L1172" s="52"/>
    </row>
    <row r="1173" spans="4:12" x14ac:dyDescent="0.35">
      <c r="D1173"/>
      <c r="E1173"/>
      <c r="F1173"/>
      <c r="K1173"/>
      <c r="L1173" s="52"/>
    </row>
    <row r="1174" spans="4:12" x14ac:dyDescent="0.35">
      <c r="D1174"/>
      <c r="E1174"/>
      <c r="F1174"/>
      <c r="K1174"/>
      <c r="L1174" s="52"/>
    </row>
    <row r="1175" spans="4:12" x14ac:dyDescent="0.35">
      <c r="D1175"/>
      <c r="E1175"/>
      <c r="F1175"/>
      <c r="K1175"/>
      <c r="L1175" s="52"/>
    </row>
    <row r="1176" spans="4:12" x14ac:dyDescent="0.35">
      <c r="D1176"/>
      <c r="E1176"/>
      <c r="F1176"/>
      <c r="K1176"/>
      <c r="L1176" s="52"/>
    </row>
    <row r="1177" spans="4:12" x14ac:dyDescent="0.35">
      <c r="D1177"/>
      <c r="E1177"/>
      <c r="F1177"/>
      <c r="K1177"/>
      <c r="L1177" s="52"/>
    </row>
    <row r="1178" spans="4:12" x14ac:dyDescent="0.35">
      <c r="D1178"/>
      <c r="E1178"/>
      <c r="F1178"/>
      <c r="K1178"/>
      <c r="L1178" s="52"/>
    </row>
    <row r="1179" spans="4:12" x14ac:dyDescent="0.35">
      <c r="D1179"/>
      <c r="E1179"/>
      <c r="F1179"/>
      <c r="K1179"/>
      <c r="L1179" s="52"/>
    </row>
    <row r="1180" spans="4:12" x14ac:dyDescent="0.35">
      <c r="D1180"/>
      <c r="E1180"/>
      <c r="F1180"/>
      <c r="K1180"/>
      <c r="L1180" s="52"/>
    </row>
    <row r="1181" spans="4:12" x14ac:dyDescent="0.35">
      <c r="D1181"/>
      <c r="E1181"/>
      <c r="F1181"/>
      <c r="K1181"/>
      <c r="L1181" s="52"/>
    </row>
    <row r="1182" spans="4:12" x14ac:dyDescent="0.35">
      <c r="D1182"/>
      <c r="E1182"/>
      <c r="F1182"/>
      <c r="K1182"/>
      <c r="L1182" s="52"/>
    </row>
    <row r="1183" spans="4:12" x14ac:dyDescent="0.35">
      <c r="D1183"/>
      <c r="E1183"/>
      <c r="F1183"/>
      <c r="K1183"/>
      <c r="L1183" s="52"/>
    </row>
    <row r="1184" spans="4:12" x14ac:dyDescent="0.35">
      <c r="D1184"/>
      <c r="E1184"/>
      <c r="F1184"/>
      <c r="K1184"/>
      <c r="L1184" s="52"/>
    </row>
    <row r="1185" spans="4:6" x14ac:dyDescent="0.35">
      <c r="D1185" s="66"/>
      <c r="E1185" s="66"/>
      <c r="F1185" s="66"/>
    </row>
    <row r="1186" spans="4:6" x14ac:dyDescent="0.35">
      <c r="D1186" s="66"/>
      <c r="E1186" s="66"/>
      <c r="F1186" s="66"/>
    </row>
    <row r="1187" spans="4:6" x14ac:dyDescent="0.35">
      <c r="D1187" s="66"/>
      <c r="E1187" s="66"/>
      <c r="F1187" s="66"/>
    </row>
    <row r="1188" spans="4:6" x14ac:dyDescent="0.35">
      <c r="D1188" s="66"/>
      <c r="E1188" s="66"/>
      <c r="F1188" s="66"/>
    </row>
    <row r="1189" spans="4:6" x14ac:dyDescent="0.35">
      <c r="D1189" s="66"/>
      <c r="E1189" s="66"/>
      <c r="F1189" s="66"/>
    </row>
    <row r="1190" spans="4:6" x14ac:dyDescent="0.35">
      <c r="D1190" s="66"/>
      <c r="E1190" s="66"/>
      <c r="F1190" s="66"/>
    </row>
    <row r="1191" spans="4:6" x14ac:dyDescent="0.35">
      <c r="D1191" s="66"/>
      <c r="E1191" s="66"/>
      <c r="F1191" s="66"/>
    </row>
    <row r="1192" spans="4:6" x14ac:dyDescent="0.35">
      <c r="D1192" s="66"/>
      <c r="E1192" s="66"/>
      <c r="F1192" s="66"/>
    </row>
    <row r="1193" spans="4:6" x14ac:dyDescent="0.35">
      <c r="D1193" s="66"/>
      <c r="E1193" s="66"/>
      <c r="F1193" s="66"/>
    </row>
    <row r="1194" spans="4:6" x14ac:dyDescent="0.35">
      <c r="D1194" s="66"/>
      <c r="E1194" s="66"/>
      <c r="F1194" s="66"/>
    </row>
    <row r="1195" spans="4:6" x14ac:dyDescent="0.35">
      <c r="D1195" s="66"/>
      <c r="E1195" s="66"/>
      <c r="F1195" s="66"/>
    </row>
    <row r="1196" spans="4:6" x14ac:dyDescent="0.35">
      <c r="D1196" s="66"/>
      <c r="E1196" s="66"/>
      <c r="F1196" s="66"/>
    </row>
    <row r="1197" spans="4:6" x14ac:dyDescent="0.35">
      <c r="D1197" s="66"/>
      <c r="E1197" s="66"/>
      <c r="F1197" s="66"/>
    </row>
    <row r="1198" spans="4:6" x14ac:dyDescent="0.35">
      <c r="D1198" s="66"/>
      <c r="E1198" s="66"/>
      <c r="F1198" s="66"/>
    </row>
    <row r="1199" spans="4:6" x14ac:dyDescent="0.35">
      <c r="D1199" s="66"/>
      <c r="E1199" s="66"/>
      <c r="F1199" s="66"/>
    </row>
    <row r="1200" spans="4:6" x14ac:dyDescent="0.35">
      <c r="D1200" s="66"/>
      <c r="E1200" s="66"/>
      <c r="F1200" s="66"/>
    </row>
    <row r="1201" spans="4:6" x14ac:dyDescent="0.35">
      <c r="D1201" s="66"/>
      <c r="E1201" s="66"/>
      <c r="F1201" s="66"/>
    </row>
    <row r="1202" spans="4:6" x14ac:dyDescent="0.35">
      <c r="D1202" s="66"/>
      <c r="E1202" s="66"/>
      <c r="F1202" s="66"/>
    </row>
    <row r="1203" spans="4:6" x14ac:dyDescent="0.35">
      <c r="D1203" s="66"/>
      <c r="E1203" s="66"/>
      <c r="F1203" s="66"/>
    </row>
    <row r="1204" spans="4:6" x14ac:dyDescent="0.35">
      <c r="D1204" s="66"/>
      <c r="E1204" s="66"/>
      <c r="F1204" s="66"/>
    </row>
    <row r="1205" spans="4:6" x14ac:dyDescent="0.35">
      <c r="D1205" s="66"/>
      <c r="E1205" s="66"/>
      <c r="F1205" s="66"/>
    </row>
    <row r="1206" spans="4:6" x14ac:dyDescent="0.35">
      <c r="D1206" s="66"/>
      <c r="E1206" s="66"/>
      <c r="F1206" s="66"/>
    </row>
    <row r="1207" spans="4:6" x14ac:dyDescent="0.35">
      <c r="D1207" s="66"/>
      <c r="E1207" s="66"/>
      <c r="F1207" s="66"/>
    </row>
    <row r="1208" spans="4:6" x14ac:dyDescent="0.35">
      <c r="D1208" s="66"/>
      <c r="E1208" s="66"/>
      <c r="F1208" s="66"/>
    </row>
    <row r="1209" spans="4:6" x14ac:dyDescent="0.35">
      <c r="D1209" s="66"/>
      <c r="E1209" s="66"/>
      <c r="F1209" s="66"/>
    </row>
    <row r="1210" spans="4:6" x14ac:dyDescent="0.35">
      <c r="D1210" s="66"/>
      <c r="E1210" s="66"/>
      <c r="F1210" s="66"/>
    </row>
    <row r="1211" spans="4:6" x14ac:dyDescent="0.35">
      <c r="D1211" s="66"/>
      <c r="E1211" s="66"/>
      <c r="F1211" s="66"/>
    </row>
    <row r="1212" spans="4:6" x14ac:dyDescent="0.35">
      <c r="D1212" s="66"/>
      <c r="E1212" s="66"/>
      <c r="F1212" s="66"/>
    </row>
    <row r="1213" spans="4:6" x14ac:dyDescent="0.35">
      <c r="D1213" s="66"/>
      <c r="E1213" s="66"/>
      <c r="F1213" s="66"/>
    </row>
    <row r="1214" spans="4:6" x14ac:dyDescent="0.35">
      <c r="D1214" s="66"/>
      <c r="E1214" s="66"/>
      <c r="F1214" s="66"/>
    </row>
    <row r="1215" spans="4:6" x14ac:dyDescent="0.35">
      <c r="D1215" s="66"/>
      <c r="E1215" s="66"/>
      <c r="F1215" s="66"/>
    </row>
    <row r="1216" spans="4:6" x14ac:dyDescent="0.35">
      <c r="D1216" s="66"/>
      <c r="E1216" s="66"/>
      <c r="F1216" s="66"/>
    </row>
    <row r="1217" spans="4:6" x14ac:dyDescent="0.35">
      <c r="D1217" s="66"/>
      <c r="E1217" s="66"/>
      <c r="F1217" s="66"/>
    </row>
    <row r="1218" spans="4:6" x14ac:dyDescent="0.35">
      <c r="D1218" s="66"/>
      <c r="E1218" s="66"/>
      <c r="F1218" s="66"/>
    </row>
    <row r="1219" spans="4:6" x14ac:dyDescent="0.35">
      <c r="D1219" s="66"/>
      <c r="E1219" s="66"/>
      <c r="F1219" s="66"/>
    </row>
    <row r="1220" spans="4:6" x14ac:dyDescent="0.35">
      <c r="D1220" s="66"/>
      <c r="E1220" s="66"/>
      <c r="F1220" s="66"/>
    </row>
    <row r="1221" spans="4:6" x14ac:dyDescent="0.35">
      <c r="D1221" s="66"/>
      <c r="E1221" s="66"/>
      <c r="F1221" s="66"/>
    </row>
    <row r="1222" spans="4:6" x14ac:dyDescent="0.35">
      <c r="D1222" s="66"/>
      <c r="E1222" s="66"/>
      <c r="F1222" s="66"/>
    </row>
    <row r="1223" spans="4:6" x14ac:dyDescent="0.35">
      <c r="D1223" s="66"/>
      <c r="E1223" s="66"/>
      <c r="F1223" s="66"/>
    </row>
    <row r="1224" spans="4:6" x14ac:dyDescent="0.35">
      <c r="D1224" s="66"/>
      <c r="E1224" s="66"/>
      <c r="F1224" s="66"/>
    </row>
    <row r="1225" spans="4:6" x14ac:dyDescent="0.35">
      <c r="D1225" s="66"/>
      <c r="E1225" s="66"/>
      <c r="F1225" s="66"/>
    </row>
    <row r="1226" spans="4:6" x14ac:dyDescent="0.35">
      <c r="D1226" s="66"/>
      <c r="E1226" s="66"/>
      <c r="F1226" s="66"/>
    </row>
    <row r="1227" spans="4:6" x14ac:dyDescent="0.35">
      <c r="D1227" s="66"/>
      <c r="E1227" s="66"/>
      <c r="F1227" s="66"/>
    </row>
    <row r="1228" spans="4:6" x14ac:dyDescent="0.35">
      <c r="D1228" s="66"/>
      <c r="E1228" s="66"/>
      <c r="F1228" s="66"/>
    </row>
    <row r="1229" spans="4:6" x14ac:dyDescent="0.35">
      <c r="D1229" s="66"/>
      <c r="E1229" s="66"/>
      <c r="F1229" s="66"/>
    </row>
    <row r="1230" spans="4:6" x14ac:dyDescent="0.35">
      <c r="D1230" s="66"/>
      <c r="E1230" s="66"/>
      <c r="F1230" s="66"/>
    </row>
    <row r="1231" spans="4:6" x14ac:dyDescent="0.35">
      <c r="D1231" s="66"/>
      <c r="E1231" s="66"/>
      <c r="F1231" s="66"/>
    </row>
    <row r="1232" spans="4:6" x14ac:dyDescent="0.35">
      <c r="D1232" s="66"/>
      <c r="E1232" s="66"/>
      <c r="F1232" s="66"/>
    </row>
    <row r="1233" spans="4:6" x14ac:dyDescent="0.35">
      <c r="D1233" s="66"/>
      <c r="E1233" s="66"/>
      <c r="F1233" s="66"/>
    </row>
    <row r="1234" spans="4:6" x14ac:dyDescent="0.35">
      <c r="D1234" s="66"/>
      <c r="E1234" s="66"/>
      <c r="F1234" s="66"/>
    </row>
    <row r="1235" spans="4:6" x14ac:dyDescent="0.35">
      <c r="D1235" s="66"/>
      <c r="E1235" s="66"/>
      <c r="F1235" s="66"/>
    </row>
    <row r="1236" spans="4:6" x14ac:dyDescent="0.35">
      <c r="D1236" s="66"/>
      <c r="E1236" s="66"/>
      <c r="F1236" s="66"/>
    </row>
    <row r="1237" spans="4:6" x14ac:dyDescent="0.35">
      <c r="D1237" s="66"/>
      <c r="E1237" s="66"/>
      <c r="F1237" s="66"/>
    </row>
    <row r="1238" spans="4:6" x14ac:dyDescent="0.35">
      <c r="D1238" s="66"/>
      <c r="E1238" s="66"/>
      <c r="F1238" s="66"/>
    </row>
    <row r="1239" spans="4:6" x14ac:dyDescent="0.35">
      <c r="D1239" s="66"/>
      <c r="E1239" s="66"/>
      <c r="F1239" s="66"/>
    </row>
    <row r="1240" spans="4:6" x14ac:dyDescent="0.35">
      <c r="D1240" s="66"/>
      <c r="E1240" s="66"/>
      <c r="F1240" s="66"/>
    </row>
    <row r="1241" spans="4:6" x14ac:dyDescent="0.35">
      <c r="D1241" s="66"/>
      <c r="E1241" s="66"/>
      <c r="F1241" s="66"/>
    </row>
    <row r="1242" spans="4:6" x14ac:dyDescent="0.35">
      <c r="D1242" s="66"/>
      <c r="E1242" s="66"/>
      <c r="F1242" s="66"/>
    </row>
    <row r="1243" spans="4:6" x14ac:dyDescent="0.35">
      <c r="D1243" s="66"/>
      <c r="E1243" s="66"/>
      <c r="F1243" s="66"/>
    </row>
    <row r="1244" spans="4:6" x14ac:dyDescent="0.35">
      <c r="D1244" s="66"/>
      <c r="E1244" s="66"/>
      <c r="F1244" s="66"/>
    </row>
    <row r="1245" spans="4:6" x14ac:dyDescent="0.35">
      <c r="D1245" s="66"/>
      <c r="E1245" s="66"/>
      <c r="F1245" s="66"/>
    </row>
    <row r="1246" spans="4:6" x14ac:dyDescent="0.35">
      <c r="D1246" s="66"/>
      <c r="E1246" s="66"/>
      <c r="F1246" s="66"/>
    </row>
    <row r="1247" spans="4:6" x14ac:dyDescent="0.35">
      <c r="D1247" s="66"/>
      <c r="E1247" s="66"/>
      <c r="F1247" s="66"/>
    </row>
    <row r="1248" spans="4:6" x14ac:dyDescent="0.35">
      <c r="D1248" s="66"/>
      <c r="E1248" s="66"/>
      <c r="F1248" s="66"/>
    </row>
    <row r="1249" spans="4:6" x14ac:dyDescent="0.35">
      <c r="D1249" s="66"/>
      <c r="E1249" s="66"/>
      <c r="F1249" s="66"/>
    </row>
    <row r="1250" spans="4:6" x14ac:dyDescent="0.35">
      <c r="D1250" s="66"/>
      <c r="E1250" s="66"/>
      <c r="F1250" s="66"/>
    </row>
    <row r="1251" spans="4:6" x14ac:dyDescent="0.35">
      <c r="D1251" s="66"/>
      <c r="E1251" s="66"/>
      <c r="F1251" s="66"/>
    </row>
    <row r="1252" spans="4:6" x14ac:dyDescent="0.35">
      <c r="D1252" s="66"/>
      <c r="E1252" s="66"/>
      <c r="F1252" s="66"/>
    </row>
    <row r="1253" spans="4:6" x14ac:dyDescent="0.35">
      <c r="D1253" s="66"/>
      <c r="E1253" s="66"/>
      <c r="F1253" s="66"/>
    </row>
    <row r="1254" spans="4:6" x14ac:dyDescent="0.35">
      <c r="D1254" s="66"/>
      <c r="E1254" s="66"/>
      <c r="F1254" s="66"/>
    </row>
    <row r="1255" spans="4:6" x14ac:dyDescent="0.35">
      <c r="D1255" s="66"/>
      <c r="E1255" s="66"/>
      <c r="F1255" s="66"/>
    </row>
    <row r="1256" spans="4:6" x14ac:dyDescent="0.35">
      <c r="D1256" s="66"/>
      <c r="E1256" s="66"/>
      <c r="F1256" s="66"/>
    </row>
    <row r="1257" spans="4:6" x14ac:dyDescent="0.35">
      <c r="D1257" s="66"/>
      <c r="E1257" s="66"/>
      <c r="F1257" s="66"/>
    </row>
    <row r="1258" spans="4:6" x14ac:dyDescent="0.35">
      <c r="D1258" s="66"/>
      <c r="E1258" s="66"/>
      <c r="F1258" s="66"/>
    </row>
    <row r="1259" spans="4:6" x14ac:dyDescent="0.35">
      <c r="D1259" s="66"/>
      <c r="E1259" s="66"/>
      <c r="F1259" s="66"/>
    </row>
    <row r="1260" spans="4:6" x14ac:dyDescent="0.35">
      <c r="D1260" s="66"/>
      <c r="E1260" s="66"/>
      <c r="F1260" s="66"/>
    </row>
    <row r="1261" spans="4:6" x14ac:dyDescent="0.35">
      <c r="D1261" s="66"/>
      <c r="E1261" s="66"/>
      <c r="F1261" s="66"/>
    </row>
    <row r="1262" spans="4:6" x14ac:dyDescent="0.35">
      <c r="D1262" s="66"/>
      <c r="E1262" s="66"/>
      <c r="F1262" s="66"/>
    </row>
    <row r="1263" spans="4:6" x14ac:dyDescent="0.35">
      <c r="D1263" s="66"/>
      <c r="E1263" s="66"/>
      <c r="F1263" s="66"/>
    </row>
    <row r="1264" spans="4:6" x14ac:dyDescent="0.35">
      <c r="D1264" s="66"/>
      <c r="E1264" s="66"/>
      <c r="F1264" s="66"/>
    </row>
    <row r="1265" spans="4:6" x14ac:dyDescent="0.35">
      <c r="D1265" s="66"/>
      <c r="E1265" s="66"/>
      <c r="F1265" s="66"/>
    </row>
    <row r="1266" spans="4:6" x14ac:dyDescent="0.35">
      <c r="D1266" s="66"/>
      <c r="E1266" s="66"/>
      <c r="F1266" s="66"/>
    </row>
    <row r="1267" spans="4:6" x14ac:dyDescent="0.35">
      <c r="D1267" s="66"/>
      <c r="E1267" s="66"/>
      <c r="F1267" s="66"/>
    </row>
    <row r="1268" spans="4:6" x14ac:dyDescent="0.35">
      <c r="D1268" s="66"/>
      <c r="E1268" s="66"/>
      <c r="F1268" s="66"/>
    </row>
    <row r="1269" spans="4:6" x14ac:dyDescent="0.35">
      <c r="D1269" s="66"/>
      <c r="E1269" s="66"/>
      <c r="F1269" s="66"/>
    </row>
    <row r="1270" spans="4:6" x14ac:dyDescent="0.35">
      <c r="D1270" s="66"/>
      <c r="E1270" s="66"/>
      <c r="F1270" s="66"/>
    </row>
    <row r="1271" spans="4:6" x14ac:dyDescent="0.35">
      <c r="D1271" s="66"/>
      <c r="E1271" s="66"/>
      <c r="F1271" s="66"/>
    </row>
    <row r="1272" spans="4:6" x14ac:dyDescent="0.35">
      <c r="D1272" s="66"/>
      <c r="E1272" s="66"/>
      <c r="F1272" s="66"/>
    </row>
    <row r="1273" spans="4:6" x14ac:dyDescent="0.35">
      <c r="D1273" s="66"/>
      <c r="E1273" s="66"/>
      <c r="F1273" s="66"/>
    </row>
    <row r="1274" spans="4:6" x14ac:dyDescent="0.35">
      <c r="D1274" s="66"/>
      <c r="E1274" s="66"/>
      <c r="F1274" s="66"/>
    </row>
    <row r="1275" spans="4:6" x14ac:dyDescent="0.35">
      <c r="D1275" s="66"/>
      <c r="E1275" s="66"/>
      <c r="F1275" s="66"/>
    </row>
    <row r="1276" spans="4:6" x14ac:dyDescent="0.35">
      <c r="D1276" s="66"/>
      <c r="E1276" s="66"/>
      <c r="F1276" s="66"/>
    </row>
    <row r="1277" spans="4:6" x14ac:dyDescent="0.35">
      <c r="D1277" s="66"/>
      <c r="E1277" s="66"/>
      <c r="F1277" s="66"/>
    </row>
    <row r="1278" spans="4:6" x14ac:dyDescent="0.35">
      <c r="D1278" s="66"/>
      <c r="E1278" s="66"/>
      <c r="F1278" s="66"/>
    </row>
    <row r="1279" spans="4:6" x14ac:dyDescent="0.35">
      <c r="D1279" s="66"/>
      <c r="E1279" s="66"/>
      <c r="F1279" s="66"/>
    </row>
    <row r="1280" spans="4:6" x14ac:dyDescent="0.35">
      <c r="D1280" s="66"/>
      <c r="E1280" s="66"/>
      <c r="F1280" s="66"/>
    </row>
    <row r="1281" spans="4:6" x14ac:dyDescent="0.35">
      <c r="D1281" s="66"/>
      <c r="E1281" s="66"/>
      <c r="F1281" s="66"/>
    </row>
    <row r="1282" spans="4:6" x14ac:dyDescent="0.35">
      <c r="D1282" s="66"/>
      <c r="E1282" s="66"/>
      <c r="F1282" s="66"/>
    </row>
    <row r="1283" spans="4:6" x14ac:dyDescent="0.35">
      <c r="D1283" s="66"/>
      <c r="E1283" s="66"/>
      <c r="F1283" s="66"/>
    </row>
    <row r="1284" spans="4:6" x14ac:dyDescent="0.35">
      <c r="D1284" s="66"/>
      <c r="E1284" s="66"/>
      <c r="F1284" s="66"/>
    </row>
    <row r="1285" spans="4:6" x14ac:dyDescent="0.35">
      <c r="D1285" s="66"/>
      <c r="E1285" s="66"/>
      <c r="F1285" s="66"/>
    </row>
    <row r="1286" spans="4:6" x14ac:dyDescent="0.35">
      <c r="D1286" s="66"/>
      <c r="E1286" s="66"/>
      <c r="F1286" s="66"/>
    </row>
    <row r="1287" spans="4:6" x14ac:dyDescent="0.35">
      <c r="D1287" s="66"/>
      <c r="E1287" s="66"/>
      <c r="F1287" s="66"/>
    </row>
    <row r="1288" spans="4:6" x14ac:dyDescent="0.35">
      <c r="D1288" s="66"/>
      <c r="E1288" s="66"/>
      <c r="F1288" s="66"/>
    </row>
    <row r="1289" spans="4:6" x14ac:dyDescent="0.35">
      <c r="D1289" s="66"/>
      <c r="E1289" s="66"/>
      <c r="F1289" s="66"/>
    </row>
    <row r="1290" spans="4:6" x14ac:dyDescent="0.35">
      <c r="D1290" s="66"/>
      <c r="E1290" s="66"/>
      <c r="F1290" s="66"/>
    </row>
    <row r="1291" spans="4:6" x14ac:dyDescent="0.35">
      <c r="D1291" s="66"/>
      <c r="E1291" s="66"/>
      <c r="F1291" s="66"/>
    </row>
    <row r="1292" spans="4:6" x14ac:dyDescent="0.35">
      <c r="D1292" s="66"/>
      <c r="E1292" s="66"/>
      <c r="F1292" s="66"/>
    </row>
    <row r="1293" spans="4:6" x14ac:dyDescent="0.35">
      <c r="D1293" s="66"/>
      <c r="E1293" s="66"/>
      <c r="F1293" s="66"/>
    </row>
    <row r="1294" spans="4:6" x14ac:dyDescent="0.35">
      <c r="D1294" s="66"/>
      <c r="E1294" s="66"/>
      <c r="F1294" s="66"/>
    </row>
    <row r="1295" spans="4:6" x14ac:dyDescent="0.35">
      <c r="D1295" s="66"/>
      <c r="E1295" s="66"/>
      <c r="F1295" s="66"/>
    </row>
    <row r="1296" spans="4:6" x14ac:dyDescent="0.35">
      <c r="D1296" s="66"/>
      <c r="E1296" s="66"/>
      <c r="F1296" s="66"/>
    </row>
    <row r="1297" spans="4:6" x14ac:dyDescent="0.35">
      <c r="D1297" s="66"/>
      <c r="E1297" s="66"/>
      <c r="F1297" s="66"/>
    </row>
    <row r="1298" spans="4:6" x14ac:dyDescent="0.35">
      <c r="D1298" s="66"/>
      <c r="E1298" s="66"/>
      <c r="F1298" s="66"/>
    </row>
    <row r="1299" spans="4:6" x14ac:dyDescent="0.35">
      <c r="D1299" s="66"/>
      <c r="E1299" s="66"/>
      <c r="F1299" s="66"/>
    </row>
    <row r="1300" spans="4:6" x14ac:dyDescent="0.35">
      <c r="D1300" s="66"/>
      <c r="E1300" s="66"/>
      <c r="F1300" s="66"/>
    </row>
    <row r="1301" spans="4:6" x14ac:dyDescent="0.35">
      <c r="D1301" s="66"/>
      <c r="E1301" s="66"/>
      <c r="F1301" s="66"/>
    </row>
    <row r="1302" spans="4:6" x14ac:dyDescent="0.35">
      <c r="D1302" s="66"/>
      <c r="E1302" s="66"/>
      <c r="F1302" s="66"/>
    </row>
    <row r="1303" spans="4:6" x14ac:dyDescent="0.35">
      <c r="D1303" s="66"/>
      <c r="E1303" s="66"/>
      <c r="F1303" s="66"/>
    </row>
    <row r="1304" spans="4:6" x14ac:dyDescent="0.35">
      <c r="D1304" s="66"/>
      <c r="E1304" s="66"/>
      <c r="F1304" s="66"/>
    </row>
    <row r="1305" spans="4:6" x14ac:dyDescent="0.35">
      <c r="D1305" s="66"/>
      <c r="E1305" s="66"/>
      <c r="F1305" s="66"/>
    </row>
    <row r="1306" spans="4:6" x14ac:dyDescent="0.35">
      <c r="D1306" s="66"/>
      <c r="E1306" s="66"/>
      <c r="F1306" s="66"/>
    </row>
    <row r="1307" spans="4:6" x14ac:dyDescent="0.35">
      <c r="D1307" s="66"/>
      <c r="E1307" s="66"/>
      <c r="F1307" s="66"/>
    </row>
    <row r="1308" spans="4:6" x14ac:dyDescent="0.35">
      <c r="D1308" s="66"/>
      <c r="E1308" s="66"/>
      <c r="F1308" s="66"/>
    </row>
    <row r="1309" spans="4:6" x14ac:dyDescent="0.35">
      <c r="D1309" s="66"/>
      <c r="E1309" s="66"/>
      <c r="F1309" s="66"/>
    </row>
    <row r="1310" spans="4:6" x14ac:dyDescent="0.35">
      <c r="D1310" s="66"/>
      <c r="E1310" s="66"/>
      <c r="F1310" s="66"/>
    </row>
    <row r="1311" spans="4:6" x14ac:dyDescent="0.35">
      <c r="D1311" s="66"/>
      <c r="E1311" s="66"/>
      <c r="F1311" s="66"/>
    </row>
    <row r="1312" spans="4:6" x14ac:dyDescent="0.35">
      <c r="D1312" s="66"/>
      <c r="E1312" s="66"/>
      <c r="F1312" s="66"/>
    </row>
    <row r="1313" spans="4:6" x14ac:dyDescent="0.35">
      <c r="D1313" s="66"/>
      <c r="E1313" s="66"/>
      <c r="F1313" s="66"/>
    </row>
    <row r="1314" spans="4:6" x14ac:dyDescent="0.35">
      <c r="D1314" s="66"/>
      <c r="E1314" s="66"/>
      <c r="F1314" s="66"/>
    </row>
    <row r="1315" spans="4:6" x14ac:dyDescent="0.35">
      <c r="D1315" s="66"/>
      <c r="E1315" s="66"/>
      <c r="F1315" s="66"/>
    </row>
    <row r="1316" spans="4:6" x14ac:dyDescent="0.35">
      <c r="D1316" s="66"/>
      <c r="E1316" s="66"/>
      <c r="F1316" s="66"/>
    </row>
    <row r="1317" spans="4:6" x14ac:dyDescent="0.35">
      <c r="D1317" s="66"/>
      <c r="E1317" s="66"/>
      <c r="F1317" s="66"/>
    </row>
    <row r="1318" spans="4:6" x14ac:dyDescent="0.35">
      <c r="D1318" s="66"/>
      <c r="E1318" s="66"/>
      <c r="F1318" s="66"/>
    </row>
    <row r="1319" spans="4:6" x14ac:dyDescent="0.35">
      <c r="D1319" s="66"/>
      <c r="E1319" s="66"/>
      <c r="F1319" s="66"/>
    </row>
    <row r="1320" spans="4:6" x14ac:dyDescent="0.35">
      <c r="D1320" s="66"/>
      <c r="E1320" s="66"/>
      <c r="F1320" s="66"/>
    </row>
    <row r="1321" spans="4:6" x14ac:dyDescent="0.35">
      <c r="D1321" s="66"/>
      <c r="E1321" s="66"/>
      <c r="F1321" s="66"/>
    </row>
    <row r="1322" spans="4:6" x14ac:dyDescent="0.35">
      <c r="D1322" s="66"/>
      <c r="E1322" s="66"/>
      <c r="F1322" s="66"/>
    </row>
    <row r="1323" spans="4:6" x14ac:dyDescent="0.35">
      <c r="D1323" s="66"/>
      <c r="E1323" s="66"/>
      <c r="F1323" s="66"/>
    </row>
    <row r="1324" spans="4:6" x14ac:dyDescent="0.35">
      <c r="D1324" s="66"/>
      <c r="E1324" s="66"/>
      <c r="F1324" s="66"/>
    </row>
    <row r="1325" spans="4:6" x14ac:dyDescent="0.35">
      <c r="D1325" s="66"/>
      <c r="E1325" s="66"/>
      <c r="F1325" s="66"/>
    </row>
    <row r="1326" spans="4:6" x14ac:dyDescent="0.35">
      <c r="D1326" s="66"/>
      <c r="E1326" s="66"/>
      <c r="F1326" s="66"/>
    </row>
    <row r="1327" spans="4:6" x14ac:dyDescent="0.35">
      <c r="D1327" s="66"/>
      <c r="E1327" s="66"/>
      <c r="F1327" s="66"/>
    </row>
    <row r="1328" spans="4:6" x14ac:dyDescent="0.35">
      <c r="D1328" s="66"/>
      <c r="E1328" s="66"/>
      <c r="F1328" s="66"/>
    </row>
    <row r="1329" spans="4:6" x14ac:dyDescent="0.35">
      <c r="D1329" s="66"/>
      <c r="E1329" s="66"/>
      <c r="F1329" s="66"/>
    </row>
    <row r="1330" spans="4:6" x14ac:dyDescent="0.35">
      <c r="D1330" s="66"/>
      <c r="E1330" s="66"/>
      <c r="F1330" s="66"/>
    </row>
    <row r="1331" spans="4:6" x14ac:dyDescent="0.35">
      <c r="D1331" s="66"/>
      <c r="E1331" s="66"/>
      <c r="F1331" s="66"/>
    </row>
    <row r="1332" spans="4:6" x14ac:dyDescent="0.35">
      <c r="D1332" s="66"/>
      <c r="E1332" s="66"/>
      <c r="F1332" s="66"/>
    </row>
    <row r="1333" spans="4:6" x14ac:dyDescent="0.35">
      <c r="D1333" s="66"/>
      <c r="E1333" s="66"/>
      <c r="F1333" s="66"/>
    </row>
    <row r="1334" spans="4:6" x14ac:dyDescent="0.35">
      <c r="D1334" s="66"/>
      <c r="E1334" s="66"/>
      <c r="F1334" s="66"/>
    </row>
    <row r="1335" spans="4:6" x14ac:dyDescent="0.35">
      <c r="D1335" s="66"/>
      <c r="E1335" s="66"/>
      <c r="F1335" s="66"/>
    </row>
    <row r="1336" spans="4:6" x14ac:dyDescent="0.35">
      <c r="D1336" s="66"/>
      <c r="E1336" s="66"/>
      <c r="F1336" s="66"/>
    </row>
    <row r="1337" spans="4:6" x14ac:dyDescent="0.35">
      <c r="D1337" s="66"/>
      <c r="E1337" s="66"/>
      <c r="F1337" s="66"/>
    </row>
    <row r="1338" spans="4:6" x14ac:dyDescent="0.35">
      <c r="D1338" s="66"/>
      <c r="E1338" s="66"/>
      <c r="F1338" s="66"/>
    </row>
    <row r="1339" spans="4:6" x14ac:dyDescent="0.35">
      <c r="D1339" s="66"/>
      <c r="E1339" s="66"/>
      <c r="F1339" s="66"/>
    </row>
    <row r="1340" spans="4:6" x14ac:dyDescent="0.35">
      <c r="D1340" s="66"/>
      <c r="E1340" s="66"/>
      <c r="F1340" s="66"/>
    </row>
    <row r="1341" spans="4:6" x14ac:dyDescent="0.35">
      <c r="D1341" s="66"/>
      <c r="E1341" s="66"/>
      <c r="F1341" s="66"/>
    </row>
    <row r="1342" spans="4:6" x14ac:dyDescent="0.35">
      <c r="D1342" s="66"/>
      <c r="E1342" s="66"/>
      <c r="F1342" s="66"/>
    </row>
    <row r="1343" spans="4:6" x14ac:dyDescent="0.35">
      <c r="D1343" s="66"/>
      <c r="E1343" s="66"/>
      <c r="F1343" s="66"/>
    </row>
    <row r="1344" spans="4:6" x14ac:dyDescent="0.35">
      <c r="D1344" s="66"/>
      <c r="E1344" s="66"/>
      <c r="F1344" s="66"/>
    </row>
    <row r="1345" spans="4:6" x14ac:dyDescent="0.35">
      <c r="D1345" s="66"/>
      <c r="E1345" s="66"/>
      <c r="F1345" s="66"/>
    </row>
    <row r="1346" spans="4:6" x14ac:dyDescent="0.35">
      <c r="D1346" s="66"/>
      <c r="E1346" s="66"/>
      <c r="F1346" s="66"/>
    </row>
    <row r="1347" spans="4:6" x14ac:dyDescent="0.35">
      <c r="D1347" s="66"/>
      <c r="E1347" s="66"/>
      <c r="F1347" s="66"/>
    </row>
    <row r="1348" spans="4:6" x14ac:dyDescent="0.35">
      <c r="D1348" s="66"/>
      <c r="E1348" s="66"/>
      <c r="F1348" s="66"/>
    </row>
    <row r="1349" spans="4:6" x14ac:dyDescent="0.35">
      <c r="D1349" s="66"/>
      <c r="E1349" s="66"/>
      <c r="F1349" s="66"/>
    </row>
    <row r="1350" spans="4:6" x14ac:dyDescent="0.35">
      <c r="D1350" s="66"/>
      <c r="E1350" s="66"/>
      <c r="F1350" s="66"/>
    </row>
    <row r="1351" spans="4:6" x14ac:dyDescent="0.35">
      <c r="D1351" s="66"/>
      <c r="E1351" s="66"/>
      <c r="F1351" s="66"/>
    </row>
    <row r="1352" spans="4:6" x14ac:dyDescent="0.35">
      <c r="D1352" s="66"/>
      <c r="E1352" s="66"/>
      <c r="F1352" s="66"/>
    </row>
    <row r="1353" spans="4:6" x14ac:dyDescent="0.35">
      <c r="D1353" s="66"/>
      <c r="E1353" s="66"/>
      <c r="F1353" s="66"/>
    </row>
    <row r="1354" spans="4:6" x14ac:dyDescent="0.35">
      <c r="D1354" s="66"/>
      <c r="E1354" s="66"/>
      <c r="F1354" s="66"/>
    </row>
    <row r="1355" spans="4:6" x14ac:dyDescent="0.35">
      <c r="D1355" s="66"/>
      <c r="E1355" s="66"/>
      <c r="F1355" s="66"/>
    </row>
    <row r="1356" spans="4:6" x14ac:dyDescent="0.35">
      <c r="D1356" s="66"/>
      <c r="E1356" s="66"/>
      <c r="F1356" s="66"/>
    </row>
    <row r="1357" spans="4:6" x14ac:dyDescent="0.35">
      <c r="D1357" s="66"/>
      <c r="E1357" s="66"/>
      <c r="F1357" s="66"/>
    </row>
    <row r="1358" spans="4:6" x14ac:dyDescent="0.35">
      <c r="D1358" s="66"/>
      <c r="E1358" s="66"/>
      <c r="F1358" s="66"/>
    </row>
    <row r="1359" spans="4:6" x14ac:dyDescent="0.35">
      <c r="D1359" s="66"/>
      <c r="E1359" s="66"/>
      <c r="F1359" s="66"/>
    </row>
    <row r="1360" spans="4:6" x14ac:dyDescent="0.35">
      <c r="D1360" s="66"/>
      <c r="E1360" s="66"/>
      <c r="F1360" s="66"/>
    </row>
    <row r="1361" spans="4:6" x14ac:dyDescent="0.35">
      <c r="D1361" s="66"/>
      <c r="E1361" s="66"/>
      <c r="F1361" s="66"/>
    </row>
    <row r="1362" spans="4:6" x14ac:dyDescent="0.35">
      <c r="D1362" s="66"/>
      <c r="E1362" s="66"/>
      <c r="F1362" s="66"/>
    </row>
    <row r="1363" spans="4:6" x14ac:dyDescent="0.35">
      <c r="D1363" s="66"/>
      <c r="E1363" s="66"/>
      <c r="F1363" s="66"/>
    </row>
    <row r="1364" spans="4:6" x14ac:dyDescent="0.35">
      <c r="D1364" s="66"/>
      <c r="E1364" s="66"/>
      <c r="F1364" s="66"/>
    </row>
    <row r="1365" spans="4:6" x14ac:dyDescent="0.35">
      <c r="D1365" s="66"/>
      <c r="E1365" s="66"/>
      <c r="F1365" s="66"/>
    </row>
    <row r="1366" spans="4:6" x14ac:dyDescent="0.35">
      <c r="D1366" s="66"/>
      <c r="E1366" s="66"/>
      <c r="F1366" s="66"/>
    </row>
    <row r="1367" spans="4:6" x14ac:dyDescent="0.35">
      <c r="D1367" s="66"/>
      <c r="E1367" s="66"/>
      <c r="F1367" s="66"/>
    </row>
    <row r="1368" spans="4:6" x14ac:dyDescent="0.35">
      <c r="D1368" s="66"/>
      <c r="E1368" s="66"/>
      <c r="F1368" s="66"/>
    </row>
    <row r="1369" spans="4:6" x14ac:dyDescent="0.35">
      <c r="D1369" s="66"/>
      <c r="E1369" s="66"/>
      <c r="F1369" s="66"/>
    </row>
    <row r="1370" spans="4:6" x14ac:dyDescent="0.35">
      <c r="D1370" s="66"/>
      <c r="E1370" s="66"/>
      <c r="F1370" s="66"/>
    </row>
    <row r="1371" spans="4:6" x14ac:dyDescent="0.35">
      <c r="D1371" s="66"/>
      <c r="E1371" s="66"/>
      <c r="F1371" s="66"/>
    </row>
    <row r="1372" spans="4:6" x14ac:dyDescent="0.35">
      <c r="D1372" s="66"/>
      <c r="E1372" s="66"/>
      <c r="F1372" s="66"/>
    </row>
    <row r="1373" spans="4:6" x14ac:dyDescent="0.35">
      <c r="D1373" s="66"/>
      <c r="E1373" s="66"/>
      <c r="F1373" s="66"/>
    </row>
    <row r="1374" spans="4:6" x14ac:dyDescent="0.35">
      <c r="D1374" s="66"/>
      <c r="E1374" s="66"/>
      <c r="F1374" s="66"/>
    </row>
    <row r="1375" spans="4:6" x14ac:dyDescent="0.35">
      <c r="D1375" s="66"/>
      <c r="E1375" s="66"/>
      <c r="F1375" s="66"/>
    </row>
    <row r="1376" spans="4:6" x14ac:dyDescent="0.35">
      <c r="D1376" s="66"/>
      <c r="E1376" s="66"/>
      <c r="F1376" s="66"/>
    </row>
    <row r="1377" spans="4:6" x14ac:dyDescent="0.35">
      <c r="D1377" s="66"/>
      <c r="E1377" s="66"/>
      <c r="F1377" s="66"/>
    </row>
    <row r="1378" spans="4:6" x14ac:dyDescent="0.35">
      <c r="D1378" s="66"/>
      <c r="E1378" s="66"/>
      <c r="F1378" s="66"/>
    </row>
    <row r="1379" spans="4:6" x14ac:dyDescent="0.35">
      <c r="D1379" s="66"/>
      <c r="E1379" s="66"/>
      <c r="F1379" s="66"/>
    </row>
    <row r="1380" spans="4:6" x14ac:dyDescent="0.35">
      <c r="D1380" s="66"/>
      <c r="E1380" s="66"/>
      <c r="F1380" s="66"/>
    </row>
    <row r="1381" spans="4:6" x14ac:dyDescent="0.35">
      <c r="D1381" s="66"/>
      <c r="E1381" s="66"/>
      <c r="F1381" s="66"/>
    </row>
    <row r="1382" spans="4:6" x14ac:dyDescent="0.35">
      <c r="D1382" s="66"/>
      <c r="E1382" s="66"/>
      <c r="F1382" s="66"/>
    </row>
    <row r="1383" spans="4:6" x14ac:dyDescent="0.35">
      <c r="D1383" s="66"/>
      <c r="E1383" s="66"/>
      <c r="F1383" s="66"/>
    </row>
    <row r="1384" spans="4:6" x14ac:dyDescent="0.35">
      <c r="D1384" s="66"/>
      <c r="E1384" s="66"/>
      <c r="F1384" s="66"/>
    </row>
    <row r="1385" spans="4:6" x14ac:dyDescent="0.35">
      <c r="D1385" s="66"/>
      <c r="E1385" s="66"/>
      <c r="F1385" s="66"/>
    </row>
    <row r="1386" spans="4:6" x14ac:dyDescent="0.35">
      <c r="D1386" s="66"/>
      <c r="E1386" s="66"/>
      <c r="F1386" s="66"/>
    </row>
    <row r="1387" spans="4:6" x14ac:dyDescent="0.35">
      <c r="D1387" s="66"/>
      <c r="E1387" s="66"/>
      <c r="F1387" s="66"/>
    </row>
    <row r="1388" spans="4:6" x14ac:dyDescent="0.35">
      <c r="D1388" s="66"/>
      <c r="E1388" s="66"/>
      <c r="F1388" s="66"/>
    </row>
    <row r="1389" spans="4:6" x14ac:dyDescent="0.35">
      <c r="D1389" s="66"/>
      <c r="E1389" s="66"/>
      <c r="F1389" s="66"/>
    </row>
    <row r="1390" spans="4:6" x14ac:dyDescent="0.35">
      <c r="D1390" s="66"/>
      <c r="E1390" s="66"/>
      <c r="F1390" s="66"/>
    </row>
    <row r="1391" spans="4:6" x14ac:dyDescent="0.35">
      <c r="D1391" s="66"/>
      <c r="E1391" s="66"/>
      <c r="F1391" s="66"/>
    </row>
    <row r="1392" spans="4:6" x14ac:dyDescent="0.35">
      <c r="D1392" s="66"/>
      <c r="E1392" s="66"/>
      <c r="F1392" s="66"/>
    </row>
    <row r="1393" spans="4:6" x14ac:dyDescent="0.35">
      <c r="D1393" s="66"/>
      <c r="E1393" s="66"/>
      <c r="F1393" s="66"/>
    </row>
    <row r="1394" spans="4:6" x14ac:dyDescent="0.35">
      <c r="D1394" s="66"/>
      <c r="E1394" s="66"/>
      <c r="F1394" s="66"/>
    </row>
    <row r="1395" spans="4:6" x14ac:dyDescent="0.35">
      <c r="D1395" s="66"/>
      <c r="E1395" s="66"/>
      <c r="F1395" s="66"/>
    </row>
    <row r="1396" spans="4:6" x14ac:dyDescent="0.35">
      <c r="D1396" s="66"/>
      <c r="E1396" s="66"/>
      <c r="F1396" s="66"/>
    </row>
    <row r="1397" spans="4:6" x14ac:dyDescent="0.35">
      <c r="D1397" s="66"/>
      <c r="E1397" s="66"/>
      <c r="F1397" s="66"/>
    </row>
    <row r="1398" spans="4:6" x14ac:dyDescent="0.35">
      <c r="D1398" s="66"/>
      <c r="E1398" s="66"/>
      <c r="F1398" s="66"/>
    </row>
    <row r="1399" spans="4:6" x14ac:dyDescent="0.35">
      <c r="D1399" s="66"/>
      <c r="E1399" s="66"/>
      <c r="F1399" s="66"/>
    </row>
    <row r="1400" spans="4:6" x14ac:dyDescent="0.35">
      <c r="D1400" s="66"/>
      <c r="E1400" s="66"/>
      <c r="F1400" s="66"/>
    </row>
    <row r="1401" spans="4:6" x14ac:dyDescent="0.35">
      <c r="D1401" s="66"/>
      <c r="E1401" s="66"/>
      <c r="F1401" s="66"/>
    </row>
    <row r="1402" spans="4:6" x14ac:dyDescent="0.35">
      <c r="D1402" s="66"/>
      <c r="E1402" s="66"/>
      <c r="F1402" s="66"/>
    </row>
    <row r="1403" spans="4:6" x14ac:dyDescent="0.35">
      <c r="D1403" s="66"/>
      <c r="E1403" s="66"/>
      <c r="F1403" s="66"/>
    </row>
    <row r="1404" spans="4:6" x14ac:dyDescent="0.35">
      <c r="D1404" s="66"/>
      <c r="E1404" s="66"/>
      <c r="F1404" s="66"/>
    </row>
    <row r="1405" spans="4:6" x14ac:dyDescent="0.35">
      <c r="D1405" s="66"/>
      <c r="E1405" s="66"/>
      <c r="F1405" s="66"/>
    </row>
    <row r="1406" spans="4:6" x14ac:dyDescent="0.35">
      <c r="D1406" s="66"/>
      <c r="E1406" s="66"/>
      <c r="F1406" s="66"/>
    </row>
    <row r="1407" spans="4:6" x14ac:dyDescent="0.35">
      <c r="D1407" s="66"/>
      <c r="E1407" s="66"/>
      <c r="F1407" s="66"/>
    </row>
    <row r="1408" spans="4:6" x14ac:dyDescent="0.35">
      <c r="D1408" s="66"/>
      <c r="E1408" s="66"/>
      <c r="F1408" s="66"/>
    </row>
    <row r="1409" spans="4:6" x14ac:dyDescent="0.35">
      <c r="D1409" s="66"/>
      <c r="E1409" s="66"/>
      <c r="F1409" s="66"/>
    </row>
    <row r="1410" spans="4:6" x14ac:dyDescent="0.35">
      <c r="D1410" s="66"/>
      <c r="E1410" s="66"/>
      <c r="F1410" s="66"/>
    </row>
    <row r="1411" spans="4:6" x14ac:dyDescent="0.35">
      <c r="D1411" s="66"/>
      <c r="E1411" s="66"/>
      <c r="F1411" s="66"/>
    </row>
    <row r="1412" spans="4:6" x14ac:dyDescent="0.35">
      <c r="D1412" s="66"/>
      <c r="E1412" s="66"/>
      <c r="F1412" s="66"/>
    </row>
    <row r="1413" spans="4:6" x14ac:dyDescent="0.35">
      <c r="D1413" s="66"/>
      <c r="E1413" s="66"/>
      <c r="F1413" s="66"/>
    </row>
    <row r="1414" spans="4:6" x14ac:dyDescent="0.35">
      <c r="D1414" s="66"/>
      <c r="E1414" s="66"/>
      <c r="F1414" s="66"/>
    </row>
    <row r="1415" spans="4:6" x14ac:dyDescent="0.35">
      <c r="D1415" s="66"/>
      <c r="E1415" s="66"/>
      <c r="F1415" s="66"/>
    </row>
    <row r="1416" spans="4:6" x14ac:dyDescent="0.35">
      <c r="D1416" s="66"/>
      <c r="E1416" s="66"/>
      <c r="F1416" s="66"/>
    </row>
    <row r="1417" spans="4:6" x14ac:dyDescent="0.35">
      <c r="D1417" s="66"/>
      <c r="E1417" s="66"/>
      <c r="F1417" s="66"/>
    </row>
    <row r="1418" spans="4:6" x14ac:dyDescent="0.35">
      <c r="D1418" s="66"/>
      <c r="E1418" s="66"/>
      <c r="F1418" s="66"/>
    </row>
    <row r="1419" spans="4:6" x14ac:dyDescent="0.35">
      <c r="D1419" s="66"/>
      <c r="E1419" s="66"/>
      <c r="F1419" s="66"/>
    </row>
    <row r="1420" spans="4:6" x14ac:dyDescent="0.35">
      <c r="D1420" s="66"/>
      <c r="E1420" s="66"/>
      <c r="F1420" s="66"/>
    </row>
    <row r="1421" spans="4:6" x14ac:dyDescent="0.35">
      <c r="D1421" s="66"/>
      <c r="E1421" s="66"/>
      <c r="F1421" s="66"/>
    </row>
    <row r="1422" spans="4:6" x14ac:dyDescent="0.35">
      <c r="D1422" s="66"/>
      <c r="E1422" s="66"/>
      <c r="F1422" s="66"/>
    </row>
    <row r="1423" spans="4:6" x14ac:dyDescent="0.35">
      <c r="D1423" s="66"/>
      <c r="E1423" s="66"/>
      <c r="F1423" s="66"/>
    </row>
    <row r="1424" spans="4:6" x14ac:dyDescent="0.35">
      <c r="D1424" s="66"/>
      <c r="E1424" s="66"/>
      <c r="F1424" s="66"/>
    </row>
    <row r="1425" spans="4:6" x14ac:dyDescent="0.35">
      <c r="D1425" s="66"/>
      <c r="E1425" s="66"/>
      <c r="F1425" s="66"/>
    </row>
    <row r="1426" spans="4:6" x14ac:dyDescent="0.35">
      <c r="D1426" s="66"/>
      <c r="E1426" s="66"/>
      <c r="F1426" s="66"/>
    </row>
    <row r="1427" spans="4:6" x14ac:dyDescent="0.35">
      <c r="D1427" s="66"/>
      <c r="E1427" s="66"/>
      <c r="F1427" s="66"/>
    </row>
    <row r="1428" spans="4:6" x14ac:dyDescent="0.35">
      <c r="D1428" s="66"/>
      <c r="E1428" s="66"/>
      <c r="F1428" s="66"/>
    </row>
    <row r="1429" spans="4:6" x14ac:dyDescent="0.35">
      <c r="D1429" s="66"/>
      <c r="E1429" s="66"/>
      <c r="F1429" s="66"/>
    </row>
    <row r="1430" spans="4:6" x14ac:dyDescent="0.35">
      <c r="D1430" s="66"/>
      <c r="E1430" s="66"/>
      <c r="F1430" s="66"/>
    </row>
    <row r="1431" spans="4:6" x14ac:dyDescent="0.35">
      <c r="D1431" s="66"/>
      <c r="E1431" s="66"/>
      <c r="F1431" s="66"/>
    </row>
    <row r="1432" spans="4:6" x14ac:dyDescent="0.35">
      <c r="D1432" s="66"/>
      <c r="E1432" s="66"/>
      <c r="F1432" s="66"/>
    </row>
    <row r="1433" spans="4:6" x14ac:dyDescent="0.35">
      <c r="D1433" s="66"/>
      <c r="E1433" s="66"/>
      <c r="F1433" s="66"/>
    </row>
    <row r="1434" spans="4:6" x14ac:dyDescent="0.35">
      <c r="D1434" s="66"/>
      <c r="E1434" s="66"/>
      <c r="F1434" s="66"/>
    </row>
    <row r="1435" spans="4:6" x14ac:dyDescent="0.35">
      <c r="D1435" s="66"/>
      <c r="E1435" s="66"/>
      <c r="F1435" s="66"/>
    </row>
    <row r="1436" spans="4:6" x14ac:dyDescent="0.35">
      <c r="D1436" s="66"/>
      <c r="E1436" s="66"/>
      <c r="F1436" s="66"/>
    </row>
    <row r="1437" spans="4:6" x14ac:dyDescent="0.35">
      <c r="D1437" s="66"/>
      <c r="E1437" s="66"/>
      <c r="F1437" s="66"/>
    </row>
    <row r="1438" spans="4:6" x14ac:dyDescent="0.35">
      <c r="D1438" s="66"/>
      <c r="E1438" s="66"/>
      <c r="F1438" s="66"/>
    </row>
    <row r="1439" spans="4:6" x14ac:dyDescent="0.35">
      <c r="D1439" s="66"/>
      <c r="E1439" s="66"/>
      <c r="F1439" s="66"/>
    </row>
    <row r="1440" spans="4:6" x14ac:dyDescent="0.35">
      <c r="D1440" s="66"/>
      <c r="E1440" s="66"/>
      <c r="F1440" s="66"/>
    </row>
    <row r="1441" spans="4:6" x14ac:dyDescent="0.35">
      <c r="D1441" s="66"/>
      <c r="E1441" s="66"/>
      <c r="F1441" s="66"/>
    </row>
    <row r="1442" spans="4:6" x14ac:dyDescent="0.35">
      <c r="D1442" s="66"/>
      <c r="E1442" s="66"/>
      <c r="F1442" s="66"/>
    </row>
    <row r="1443" spans="4:6" x14ac:dyDescent="0.35">
      <c r="D1443" s="66"/>
      <c r="E1443" s="66"/>
      <c r="F1443" s="66"/>
    </row>
    <row r="1444" spans="4:6" x14ac:dyDescent="0.35">
      <c r="D1444" s="66"/>
      <c r="E1444" s="66"/>
      <c r="F1444" s="66"/>
    </row>
    <row r="1445" spans="4:6" x14ac:dyDescent="0.35">
      <c r="D1445" s="66"/>
      <c r="E1445" s="66"/>
      <c r="F1445" s="66"/>
    </row>
    <row r="1446" spans="4:6" x14ac:dyDescent="0.35">
      <c r="D1446" s="66"/>
      <c r="E1446" s="66"/>
      <c r="F1446" s="66"/>
    </row>
    <row r="1447" spans="4:6" x14ac:dyDescent="0.35">
      <c r="D1447" s="66"/>
      <c r="E1447" s="66"/>
      <c r="F1447" s="66"/>
    </row>
    <row r="1448" spans="4:6" x14ac:dyDescent="0.35">
      <c r="D1448" s="66"/>
      <c r="E1448" s="66"/>
      <c r="F1448" s="66"/>
    </row>
    <row r="1449" spans="4:6" x14ac:dyDescent="0.35">
      <c r="D1449" s="66"/>
      <c r="E1449" s="66"/>
      <c r="F1449" s="66"/>
    </row>
    <row r="1450" spans="4:6" x14ac:dyDescent="0.35">
      <c r="D1450" s="66"/>
      <c r="E1450" s="66"/>
      <c r="F1450" s="66"/>
    </row>
    <row r="1451" spans="4:6" x14ac:dyDescent="0.35">
      <c r="D1451" s="66"/>
      <c r="E1451" s="66"/>
      <c r="F1451" s="66"/>
    </row>
    <row r="1452" spans="4:6" x14ac:dyDescent="0.35">
      <c r="D1452" s="66"/>
      <c r="E1452" s="66"/>
      <c r="F1452" s="66"/>
    </row>
    <row r="1453" spans="4:6" x14ac:dyDescent="0.35">
      <c r="D1453" s="66"/>
      <c r="E1453" s="66"/>
      <c r="F1453" s="66"/>
    </row>
    <row r="1454" spans="4:6" x14ac:dyDescent="0.35">
      <c r="D1454" s="66"/>
      <c r="E1454" s="66"/>
      <c r="F1454" s="66"/>
    </row>
    <row r="1455" spans="4:6" x14ac:dyDescent="0.35">
      <c r="D1455" s="66"/>
      <c r="E1455" s="66"/>
      <c r="F1455" s="66"/>
    </row>
    <row r="1456" spans="4:6" x14ac:dyDescent="0.35">
      <c r="D1456" s="66"/>
      <c r="E1456" s="66"/>
      <c r="F1456" s="66"/>
    </row>
    <row r="1457" spans="4:6" x14ac:dyDescent="0.35">
      <c r="D1457" s="66"/>
      <c r="E1457" s="66"/>
      <c r="F1457" s="66"/>
    </row>
    <row r="1458" spans="4:6" x14ac:dyDescent="0.35">
      <c r="D1458" s="66"/>
      <c r="E1458" s="66"/>
      <c r="F1458" s="66"/>
    </row>
    <row r="1459" spans="4:6" x14ac:dyDescent="0.35">
      <c r="D1459" s="66"/>
      <c r="E1459" s="66"/>
      <c r="F1459" s="66"/>
    </row>
    <row r="1460" spans="4:6" x14ac:dyDescent="0.35">
      <c r="D1460" s="66"/>
      <c r="E1460" s="66"/>
      <c r="F1460" s="66"/>
    </row>
    <row r="1461" spans="4:6" x14ac:dyDescent="0.35">
      <c r="D1461" s="66"/>
      <c r="E1461" s="66"/>
      <c r="F1461" s="66"/>
    </row>
    <row r="1462" spans="4:6" x14ac:dyDescent="0.35">
      <c r="D1462" s="66"/>
      <c r="E1462" s="66"/>
      <c r="F1462" s="66"/>
    </row>
    <row r="1463" spans="4:6" x14ac:dyDescent="0.35">
      <c r="D1463" s="66"/>
      <c r="E1463" s="66"/>
      <c r="F1463" s="66"/>
    </row>
    <row r="1464" spans="4:6" x14ac:dyDescent="0.35">
      <c r="D1464" s="66"/>
      <c r="E1464" s="66"/>
      <c r="F1464" s="66"/>
    </row>
    <row r="1465" spans="4:6" x14ac:dyDescent="0.35">
      <c r="D1465" s="66"/>
      <c r="E1465" s="66"/>
      <c r="F1465" s="66"/>
    </row>
    <row r="1466" spans="4:6" x14ac:dyDescent="0.35">
      <c r="D1466" s="66"/>
      <c r="E1466" s="66"/>
      <c r="F1466" s="66"/>
    </row>
    <row r="1467" spans="4:6" x14ac:dyDescent="0.35">
      <c r="D1467" s="66"/>
      <c r="E1467" s="66"/>
      <c r="F1467" s="66"/>
    </row>
    <row r="1468" spans="4:6" x14ac:dyDescent="0.35">
      <c r="D1468" s="66"/>
      <c r="E1468" s="66"/>
      <c r="F1468" s="66"/>
    </row>
    <row r="1469" spans="4:6" x14ac:dyDescent="0.35">
      <c r="D1469" s="66"/>
      <c r="E1469" s="66"/>
      <c r="F1469" s="66"/>
    </row>
    <row r="1470" spans="4:6" x14ac:dyDescent="0.35">
      <c r="D1470" s="66"/>
      <c r="E1470" s="66"/>
      <c r="F1470" s="66"/>
    </row>
    <row r="1471" spans="4:6" x14ac:dyDescent="0.35">
      <c r="D1471" s="66"/>
      <c r="E1471" s="66"/>
      <c r="F1471" s="66"/>
    </row>
    <row r="1472" spans="4:6" x14ac:dyDescent="0.35">
      <c r="D1472" s="66"/>
      <c r="E1472" s="66"/>
      <c r="F1472" s="66"/>
    </row>
    <row r="1473" spans="4:6" x14ac:dyDescent="0.35">
      <c r="D1473" s="66"/>
      <c r="E1473" s="66"/>
      <c r="F1473" s="66"/>
    </row>
    <row r="1474" spans="4:6" x14ac:dyDescent="0.35">
      <c r="D1474" s="66"/>
      <c r="E1474" s="66"/>
      <c r="F1474" s="66"/>
    </row>
    <row r="1475" spans="4:6" x14ac:dyDescent="0.35">
      <c r="D1475" s="66"/>
      <c r="E1475" s="66"/>
      <c r="F1475" s="66"/>
    </row>
    <row r="1476" spans="4:6" x14ac:dyDescent="0.35">
      <c r="D1476" s="66"/>
      <c r="E1476" s="66"/>
      <c r="F1476" s="66"/>
    </row>
    <row r="1477" spans="4:6" x14ac:dyDescent="0.35">
      <c r="D1477" s="66"/>
      <c r="E1477" s="66"/>
      <c r="F1477" s="66"/>
    </row>
    <row r="1478" spans="4:6" x14ac:dyDescent="0.35">
      <c r="D1478" s="66"/>
      <c r="E1478" s="66"/>
      <c r="F1478" s="66"/>
    </row>
    <row r="1479" spans="4:6" x14ac:dyDescent="0.35">
      <c r="D1479" s="66"/>
      <c r="E1479" s="66"/>
      <c r="F1479" s="66"/>
    </row>
    <row r="1480" spans="4:6" x14ac:dyDescent="0.35">
      <c r="D1480" s="66"/>
      <c r="E1480" s="66"/>
      <c r="F1480" s="66"/>
    </row>
    <row r="1481" spans="4:6" x14ac:dyDescent="0.35">
      <c r="D1481" s="66"/>
      <c r="E1481" s="66"/>
      <c r="F1481" s="66"/>
    </row>
    <row r="1482" spans="4:6" x14ac:dyDescent="0.35">
      <c r="D1482" s="66"/>
      <c r="E1482" s="66"/>
      <c r="F1482" s="66"/>
    </row>
    <row r="1483" spans="4:6" x14ac:dyDescent="0.35">
      <c r="D1483" s="66"/>
      <c r="E1483" s="66"/>
      <c r="F1483" s="66"/>
    </row>
    <row r="1484" spans="4:6" x14ac:dyDescent="0.35">
      <c r="D1484" s="66"/>
      <c r="E1484" s="66"/>
      <c r="F1484" s="66"/>
    </row>
    <row r="1485" spans="4:6" x14ac:dyDescent="0.35">
      <c r="D1485" s="66"/>
      <c r="E1485" s="66"/>
      <c r="F1485" s="66"/>
    </row>
    <row r="1486" spans="4:6" x14ac:dyDescent="0.35">
      <c r="D1486" s="66"/>
      <c r="E1486" s="66"/>
      <c r="F1486" s="66"/>
    </row>
    <row r="1487" spans="4:6" x14ac:dyDescent="0.35">
      <c r="D1487" s="66"/>
      <c r="E1487" s="66"/>
      <c r="F1487" s="66"/>
    </row>
    <row r="1488" spans="4:6" x14ac:dyDescent="0.35">
      <c r="D1488" s="66"/>
      <c r="E1488" s="66"/>
      <c r="F1488" s="66"/>
    </row>
    <row r="1489" spans="4:6" x14ac:dyDescent="0.35">
      <c r="D1489" s="66"/>
      <c r="E1489" s="66"/>
      <c r="F1489" s="66"/>
    </row>
    <row r="1490" spans="4:6" x14ac:dyDescent="0.35">
      <c r="D1490" s="66"/>
      <c r="E1490" s="66"/>
      <c r="F1490" s="66"/>
    </row>
    <row r="1491" spans="4:6" x14ac:dyDescent="0.35">
      <c r="D1491" s="66"/>
      <c r="E1491" s="66"/>
      <c r="F1491" s="66"/>
    </row>
    <row r="1492" spans="4:6" x14ac:dyDescent="0.35">
      <c r="D1492" s="66"/>
      <c r="E1492" s="66"/>
      <c r="F1492" s="66"/>
    </row>
    <row r="1493" spans="4:6" x14ac:dyDescent="0.35">
      <c r="D1493" s="66"/>
      <c r="E1493" s="66"/>
      <c r="F1493" s="66"/>
    </row>
    <row r="1494" spans="4:6" x14ac:dyDescent="0.35">
      <c r="D1494" s="66"/>
      <c r="E1494" s="66"/>
      <c r="F1494" s="66"/>
    </row>
    <row r="1495" spans="4:6" x14ac:dyDescent="0.35">
      <c r="D1495" s="66"/>
      <c r="E1495" s="66"/>
      <c r="F1495" s="66"/>
    </row>
    <row r="1496" spans="4:6" x14ac:dyDescent="0.35">
      <c r="D1496" s="66"/>
      <c r="E1496" s="66"/>
      <c r="F1496" s="66"/>
    </row>
    <row r="1497" spans="4:6" x14ac:dyDescent="0.35">
      <c r="D1497" s="66"/>
      <c r="E1497" s="66"/>
      <c r="F1497" s="66"/>
    </row>
    <row r="1498" spans="4:6" x14ac:dyDescent="0.35">
      <c r="D1498" s="66"/>
      <c r="E1498" s="66"/>
      <c r="F1498" s="66"/>
    </row>
    <row r="1499" spans="4:6" x14ac:dyDescent="0.35">
      <c r="D1499" s="66"/>
      <c r="E1499" s="66"/>
      <c r="F1499" s="66"/>
    </row>
    <row r="1500" spans="4:6" x14ac:dyDescent="0.35">
      <c r="D1500" s="66"/>
      <c r="E1500" s="66"/>
      <c r="F1500" s="66"/>
    </row>
    <row r="1501" spans="4:6" x14ac:dyDescent="0.35">
      <c r="D1501" s="66"/>
      <c r="E1501" s="66"/>
      <c r="F1501" s="66"/>
    </row>
    <row r="1502" spans="4:6" x14ac:dyDescent="0.35">
      <c r="D1502" s="66"/>
      <c r="E1502" s="66"/>
      <c r="F1502" s="66"/>
    </row>
    <row r="1503" spans="4:6" x14ac:dyDescent="0.35">
      <c r="D1503" s="66"/>
      <c r="E1503" s="66"/>
      <c r="F1503" s="66"/>
    </row>
    <row r="1504" spans="4:6" x14ac:dyDescent="0.35">
      <c r="D1504" s="66"/>
      <c r="E1504" s="66"/>
      <c r="F1504" s="66"/>
    </row>
    <row r="1505" spans="4:6" x14ac:dyDescent="0.35">
      <c r="D1505" s="66"/>
      <c r="E1505" s="66"/>
      <c r="F1505" s="66"/>
    </row>
    <row r="1506" spans="4:6" x14ac:dyDescent="0.35">
      <c r="D1506" s="66"/>
      <c r="E1506" s="66"/>
      <c r="F1506" s="66"/>
    </row>
    <row r="1507" spans="4:6" x14ac:dyDescent="0.35">
      <c r="D1507" s="66"/>
      <c r="E1507" s="66"/>
      <c r="F1507" s="66"/>
    </row>
    <row r="1508" spans="4:6" x14ac:dyDescent="0.35">
      <c r="D1508" s="66"/>
      <c r="E1508" s="66"/>
      <c r="F1508" s="66"/>
    </row>
    <row r="1509" spans="4:6" x14ac:dyDescent="0.35">
      <c r="D1509" s="66"/>
      <c r="E1509" s="66"/>
      <c r="F1509" s="66"/>
    </row>
    <row r="1510" spans="4:6" x14ac:dyDescent="0.35">
      <c r="D1510" s="66"/>
      <c r="E1510" s="66"/>
      <c r="F1510" s="66"/>
    </row>
    <row r="1511" spans="4:6" x14ac:dyDescent="0.35">
      <c r="D1511" s="66"/>
      <c r="E1511" s="66"/>
      <c r="F1511" s="66"/>
    </row>
    <row r="1512" spans="4:6" x14ac:dyDescent="0.35">
      <c r="D1512" s="66"/>
      <c r="E1512" s="66"/>
      <c r="F1512" s="66"/>
    </row>
    <row r="1513" spans="4:6" x14ac:dyDescent="0.35">
      <c r="D1513" s="66"/>
      <c r="E1513" s="66"/>
      <c r="F1513" s="66"/>
    </row>
    <row r="1514" spans="4:6" x14ac:dyDescent="0.35">
      <c r="D1514" s="66"/>
      <c r="E1514" s="66"/>
      <c r="F1514" s="66"/>
    </row>
    <row r="1515" spans="4:6" x14ac:dyDescent="0.35">
      <c r="D1515" s="66"/>
      <c r="E1515" s="66"/>
      <c r="F1515" s="66"/>
    </row>
    <row r="1516" spans="4:6" x14ac:dyDescent="0.35">
      <c r="D1516" s="66"/>
      <c r="E1516" s="66"/>
      <c r="F1516" s="66"/>
    </row>
    <row r="1517" spans="4:6" x14ac:dyDescent="0.35">
      <c r="D1517" s="66"/>
      <c r="E1517" s="66"/>
      <c r="F1517" s="66"/>
    </row>
    <row r="1518" spans="4:6" x14ac:dyDescent="0.35">
      <c r="D1518" s="66"/>
      <c r="E1518" s="66"/>
      <c r="F1518" s="66"/>
    </row>
    <row r="1519" spans="4:6" x14ac:dyDescent="0.35">
      <c r="D1519" s="66"/>
      <c r="E1519" s="66"/>
      <c r="F1519" s="66"/>
    </row>
    <row r="1520" spans="4:6" x14ac:dyDescent="0.35">
      <c r="D1520" s="66"/>
      <c r="E1520" s="66"/>
      <c r="F1520" s="66"/>
    </row>
    <row r="1521" spans="4:6" x14ac:dyDescent="0.35">
      <c r="D1521" s="66"/>
      <c r="E1521" s="66"/>
      <c r="F1521" s="66"/>
    </row>
    <row r="1522" spans="4:6" x14ac:dyDescent="0.35">
      <c r="D1522" s="66"/>
      <c r="E1522" s="66"/>
      <c r="F1522" s="66"/>
    </row>
    <row r="1523" spans="4:6" x14ac:dyDescent="0.35">
      <c r="D1523" s="66"/>
      <c r="E1523" s="66"/>
      <c r="F1523" s="66"/>
    </row>
    <row r="1524" spans="4:6" x14ac:dyDescent="0.35">
      <c r="D1524" s="66"/>
      <c r="E1524" s="66"/>
      <c r="F1524" s="66"/>
    </row>
    <row r="1525" spans="4:6" x14ac:dyDescent="0.35">
      <c r="D1525" s="66"/>
      <c r="E1525" s="66"/>
      <c r="F1525" s="66"/>
    </row>
    <row r="1526" spans="4:6" x14ac:dyDescent="0.35">
      <c r="D1526" s="66"/>
      <c r="E1526" s="66"/>
      <c r="F1526" s="66"/>
    </row>
    <row r="1527" spans="4:6" x14ac:dyDescent="0.35">
      <c r="D1527" s="66"/>
      <c r="E1527" s="66"/>
      <c r="F1527" s="66"/>
    </row>
    <row r="1528" spans="4:6" x14ac:dyDescent="0.35">
      <c r="D1528" s="66"/>
      <c r="E1528" s="66"/>
      <c r="F1528" s="66"/>
    </row>
    <row r="1529" spans="4:6" x14ac:dyDescent="0.35">
      <c r="D1529" s="66"/>
      <c r="E1529" s="66"/>
      <c r="F1529" s="66"/>
    </row>
    <row r="1530" spans="4:6" x14ac:dyDescent="0.35">
      <c r="D1530" s="66"/>
      <c r="E1530" s="66"/>
      <c r="F1530" s="66"/>
    </row>
    <row r="1531" spans="4:6" x14ac:dyDescent="0.35">
      <c r="D1531" s="66"/>
      <c r="E1531" s="66"/>
      <c r="F1531" s="66"/>
    </row>
    <row r="1532" spans="4:6" x14ac:dyDescent="0.35">
      <c r="D1532" s="66"/>
      <c r="E1532" s="66"/>
      <c r="F1532" s="66"/>
    </row>
    <row r="1533" spans="4:6" x14ac:dyDescent="0.35">
      <c r="D1533" s="66"/>
      <c r="E1533" s="66"/>
      <c r="F1533" s="66"/>
    </row>
    <row r="1534" spans="4:6" x14ac:dyDescent="0.35">
      <c r="D1534" s="66"/>
      <c r="E1534" s="66"/>
      <c r="F1534" s="66"/>
    </row>
    <row r="1535" spans="4:6" x14ac:dyDescent="0.35">
      <c r="D1535" s="66"/>
      <c r="E1535" s="66"/>
      <c r="F1535" s="66"/>
    </row>
    <row r="1536" spans="4:6" x14ac:dyDescent="0.35">
      <c r="D1536" s="66"/>
      <c r="E1536" s="66"/>
      <c r="F1536" s="66"/>
    </row>
    <row r="1537" spans="4:6" x14ac:dyDescent="0.35">
      <c r="D1537" s="66"/>
      <c r="E1537" s="66"/>
      <c r="F1537" s="66"/>
    </row>
    <row r="1538" spans="4:6" x14ac:dyDescent="0.35">
      <c r="D1538" s="66"/>
      <c r="E1538" s="66"/>
      <c r="F1538" s="66"/>
    </row>
    <row r="1539" spans="4:6" x14ac:dyDescent="0.35">
      <c r="D1539" s="66"/>
      <c r="E1539" s="66"/>
      <c r="F1539" s="66"/>
    </row>
    <row r="1540" spans="4:6" x14ac:dyDescent="0.35">
      <c r="D1540" s="66"/>
      <c r="E1540" s="66"/>
      <c r="F1540" s="66"/>
    </row>
    <row r="1541" spans="4:6" x14ac:dyDescent="0.35">
      <c r="D1541" s="66"/>
      <c r="E1541" s="66"/>
      <c r="F1541" s="66"/>
    </row>
    <row r="1542" spans="4:6" x14ac:dyDescent="0.35">
      <c r="D1542" s="66"/>
      <c r="E1542" s="66"/>
      <c r="F1542" s="66"/>
    </row>
    <row r="1543" spans="4:6" x14ac:dyDescent="0.35">
      <c r="D1543" s="66"/>
      <c r="E1543" s="66"/>
      <c r="F1543" s="66"/>
    </row>
    <row r="1544" spans="4:6" x14ac:dyDescent="0.35">
      <c r="D1544" s="66"/>
      <c r="E1544" s="66"/>
      <c r="F1544" s="66"/>
    </row>
    <row r="1545" spans="4:6" x14ac:dyDescent="0.35">
      <c r="D1545" s="66"/>
      <c r="E1545" s="66"/>
      <c r="F1545" s="66"/>
    </row>
    <row r="1546" spans="4:6" x14ac:dyDescent="0.35">
      <c r="D1546" s="66"/>
      <c r="E1546" s="66"/>
      <c r="F1546" s="66"/>
    </row>
    <row r="1547" spans="4:6" x14ac:dyDescent="0.35">
      <c r="D1547" s="66"/>
      <c r="E1547" s="66"/>
      <c r="F1547" s="66"/>
    </row>
    <row r="1548" spans="4:6" x14ac:dyDescent="0.35">
      <c r="D1548" s="66"/>
      <c r="E1548" s="66"/>
      <c r="F1548" s="66"/>
    </row>
    <row r="1549" spans="4:6" x14ac:dyDescent="0.35">
      <c r="D1549" s="66"/>
      <c r="E1549" s="66"/>
      <c r="F1549" s="66"/>
    </row>
    <row r="1550" spans="4:6" x14ac:dyDescent="0.35">
      <c r="D1550" s="66"/>
      <c r="E1550" s="66"/>
      <c r="F1550" s="66"/>
    </row>
    <row r="1551" spans="4:6" x14ac:dyDescent="0.35">
      <c r="D1551" s="66"/>
      <c r="E1551" s="66"/>
      <c r="F1551" s="66"/>
    </row>
    <row r="1552" spans="4:6" x14ac:dyDescent="0.35">
      <c r="D1552" s="66"/>
      <c r="E1552" s="66"/>
      <c r="F1552" s="66"/>
    </row>
    <row r="1553" spans="4:6" x14ac:dyDescent="0.35">
      <c r="D1553" s="66"/>
      <c r="E1553" s="66"/>
      <c r="F1553" s="66"/>
    </row>
    <row r="1554" spans="4:6" x14ac:dyDescent="0.35">
      <c r="D1554" s="66"/>
      <c r="E1554" s="66"/>
      <c r="F1554" s="66"/>
    </row>
    <row r="1555" spans="4:6" x14ac:dyDescent="0.35">
      <c r="D1555" s="66"/>
      <c r="E1555" s="66"/>
      <c r="F1555" s="66"/>
    </row>
    <row r="1556" spans="4:6" x14ac:dyDescent="0.35">
      <c r="D1556" s="66"/>
      <c r="E1556" s="66"/>
      <c r="F1556" s="66"/>
    </row>
    <row r="1557" spans="4:6" x14ac:dyDescent="0.35">
      <c r="D1557" s="66"/>
      <c r="E1557" s="66"/>
      <c r="F1557" s="66"/>
    </row>
    <row r="1558" spans="4:6" x14ac:dyDescent="0.35">
      <c r="D1558" s="66"/>
      <c r="E1558" s="66"/>
      <c r="F1558" s="66"/>
    </row>
    <row r="1559" spans="4:6" x14ac:dyDescent="0.35">
      <c r="D1559" s="66"/>
      <c r="E1559" s="66"/>
      <c r="F1559" s="66"/>
    </row>
    <row r="1560" spans="4:6" x14ac:dyDescent="0.35">
      <c r="D1560" s="66"/>
      <c r="E1560" s="66"/>
      <c r="F1560" s="66"/>
    </row>
    <row r="1561" spans="4:6" x14ac:dyDescent="0.35">
      <c r="D1561" s="66"/>
      <c r="E1561" s="66"/>
      <c r="F1561" s="66"/>
    </row>
    <row r="1562" spans="4:6" x14ac:dyDescent="0.35">
      <c r="D1562" s="66"/>
      <c r="E1562" s="66"/>
      <c r="F1562" s="66"/>
    </row>
    <row r="1563" spans="4:6" x14ac:dyDescent="0.35">
      <c r="D1563" s="66"/>
      <c r="E1563" s="66"/>
      <c r="F1563" s="66"/>
    </row>
    <row r="1564" spans="4:6" x14ac:dyDescent="0.35">
      <c r="D1564" s="66"/>
      <c r="E1564" s="66"/>
      <c r="F1564" s="66"/>
    </row>
    <row r="1565" spans="4:6" x14ac:dyDescent="0.35">
      <c r="D1565" s="66"/>
      <c r="E1565" s="66"/>
      <c r="F1565" s="66"/>
    </row>
    <row r="1566" spans="4:6" x14ac:dyDescent="0.35">
      <c r="D1566" s="66"/>
      <c r="E1566" s="66"/>
      <c r="F1566" s="66"/>
    </row>
    <row r="1567" spans="4:6" x14ac:dyDescent="0.35">
      <c r="D1567" s="66"/>
      <c r="E1567" s="66"/>
      <c r="F1567" s="66"/>
    </row>
    <row r="1568" spans="4:6" x14ac:dyDescent="0.35">
      <c r="D1568" s="66"/>
      <c r="E1568" s="66"/>
      <c r="F1568" s="66"/>
    </row>
    <row r="1569" spans="4:6" x14ac:dyDescent="0.35">
      <c r="D1569" s="66"/>
      <c r="E1569" s="66"/>
      <c r="F1569" s="66"/>
    </row>
    <row r="1570" spans="4:6" x14ac:dyDescent="0.35">
      <c r="D1570" s="66"/>
      <c r="E1570" s="66"/>
      <c r="F1570" s="66"/>
    </row>
    <row r="1571" spans="4:6" x14ac:dyDescent="0.35">
      <c r="D1571" s="66"/>
      <c r="E1571" s="66"/>
      <c r="F1571" s="66"/>
    </row>
    <row r="1572" spans="4:6" x14ac:dyDescent="0.35">
      <c r="D1572" s="66"/>
      <c r="E1572" s="66"/>
      <c r="F1572" s="66"/>
    </row>
    <row r="1573" spans="4:6" x14ac:dyDescent="0.35">
      <c r="D1573" s="66"/>
      <c r="E1573" s="66"/>
      <c r="F1573" s="66"/>
    </row>
    <row r="1574" spans="4:6" x14ac:dyDescent="0.35">
      <c r="D1574" s="66"/>
      <c r="E1574" s="66"/>
      <c r="F1574" s="66"/>
    </row>
    <row r="1575" spans="4:6" x14ac:dyDescent="0.35">
      <c r="D1575" s="66"/>
      <c r="E1575" s="66"/>
      <c r="F1575" s="66"/>
    </row>
    <row r="1576" spans="4:6" x14ac:dyDescent="0.35">
      <c r="D1576" s="66"/>
      <c r="E1576" s="66"/>
      <c r="F1576" s="66"/>
    </row>
    <row r="1577" spans="4:6" x14ac:dyDescent="0.35">
      <c r="D1577" s="66"/>
      <c r="E1577" s="66"/>
      <c r="F1577" s="66"/>
    </row>
    <row r="1578" spans="4:6" x14ac:dyDescent="0.35">
      <c r="D1578" s="66"/>
      <c r="E1578" s="66"/>
      <c r="F1578" s="66"/>
    </row>
    <row r="1579" spans="4:6" x14ac:dyDescent="0.35">
      <c r="D1579" s="66"/>
      <c r="E1579" s="66"/>
      <c r="F1579" s="66"/>
    </row>
    <row r="1580" spans="4:6" x14ac:dyDescent="0.35">
      <c r="D1580" s="66"/>
      <c r="E1580" s="66"/>
      <c r="F1580" s="66"/>
    </row>
    <row r="1581" spans="4:6" x14ac:dyDescent="0.35">
      <c r="D1581" s="66"/>
      <c r="E1581" s="66"/>
      <c r="F1581" s="66"/>
    </row>
    <row r="1582" spans="4:6" x14ac:dyDescent="0.35">
      <c r="D1582" s="66"/>
      <c r="E1582" s="66"/>
      <c r="F1582" s="66"/>
    </row>
    <row r="1583" spans="4:6" x14ac:dyDescent="0.35">
      <c r="D1583" s="66"/>
      <c r="E1583" s="66"/>
      <c r="F1583" s="66"/>
    </row>
    <row r="1584" spans="4:6" x14ac:dyDescent="0.35">
      <c r="D1584" s="66"/>
      <c r="E1584" s="66"/>
      <c r="F1584" s="66"/>
    </row>
    <row r="1585" spans="4:6" x14ac:dyDescent="0.35">
      <c r="D1585" s="66"/>
      <c r="E1585" s="66"/>
      <c r="F1585" s="66"/>
    </row>
    <row r="1586" spans="4:6" x14ac:dyDescent="0.35">
      <c r="D1586" s="66"/>
      <c r="E1586" s="66"/>
      <c r="F1586" s="66"/>
    </row>
    <row r="1587" spans="4:6" x14ac:dyDescent="0.35">
      <c r="D1587" s="66"/>
      <c r="E1587" s="66"/>
      <c r="F1587" s="66"/>
    </row>
    <row r="1588" spans="4:6" x14ac:dyDescent="0.35">
      <c r="D1588" s="66"/>
      <c r="E1588" s="66"/>
      <c r="F1588" s="66"/>
    </row>
    <row r="1589" spans="4:6" x14ac:dyDescent="0.35">
      <c r="D1589" s="66"/>
      <c r="E1589" s="66"/>
      <c r="F1589" s="66"/>
    </row>
    <row r="1590" spans="4:6" x14ac:dyDescent="0.35">
      <c r="D1590" s="66"/>
      <c r="E1590" s="66"/>
      <c r="F1590" s="66"/>
    </row>
    <row r="1591" spans="4:6" x14ac:dyDescent="0.35">
      <c r="D1591" s="66"/>
      <c r="E1591" s="66"/>
      <c r="F1591" s="66"/>
    </row>
    <row r="1592" spans="4:6" x14ac:dyDescent="0.35">
      <c r="D1592" s="66"/>
      <c r="E1592" s="66"/>
      <c r="F1592" s="66"/>
    </row>
    <row r="1593" spans="4:6" x14ac:dyDescent="0.35">
      <c r="D1593" s="66"/>
      <c r="E1593" s="66"/>
      <c r="F1593" s="66"/>
    </row>
    <row r="1594" spans="4:6" x14ac:dyDescent="0.35">
      <c r="D1594" s="66"/>
      <c r="E1594" s="66"/>
      <c r="F1594" s="66"/>
    </row>
    <row r="1595" spans="4:6" x14ac:dyDescent="0.35">
      <c r="D1595" s="66"/>
      <c r="E1595" s="66"/>
      <c r="F1595" s="66"/>
    </row>
    <row r="1596" spans="4:6" x14ac:dyDescent="0.35">
      <c r="D1596" s="66"/>
      <c r="E1596" s="66"/>
      <c r="F1596" s="66"/>
    </row>
    <row r="1597" spans="4:6" x14ac:dyDescent="0.35">
      <c r="D1597" s="66"/>
      <c r="E1597" s="66"/>
      <c r="F1597" s="66"/>
    </row>
    <row r="1598" spans="4:6" x14ac:dyDescent="0.35">
      <c r="D1598" s="66"/>
      <c r="E1598" s="66"/>
      <c r="F1598" s="66"/>
    </row>
    <row r="1599" spans="4:6" x14ac:dyDescent="0.35">
      <c r="D1599" s="66"/>
      <c r="E1599" s="66"/>
      <c r="F1599" s="66"/>
    </row>
    <row r="1600" spans="4:6" x14ac:dyDescent="0.35">
      <c r="D1600" s="66"/>
      <c r="E1600" s="66"/>
      <c r="F1600" s="66"/>
    </row>
    <row r="1601" spans="4:6" x14ac:dyDescent="0.35">
      <c r="D1601" s="66"/>
      <c r="E1601" s="66"/>
      <c r="F1601" s="66"/>
    </row>
    <row r="1602" spans="4:6" x14ac:dyDescent="0.35">
      <c r="D1602" s="66"/>
      <c r="E1602" s="66"/>
      <c r="F1602" s="66"/>
    </row>
    <row r="1603" spans="4:6" x14ac:dyDescent="0.35">
      <c r="D1603" s="66"/>
      <c r="E1603" s="66"/>
      <c r="F1603" s="66"/>
    </row>
    <row r="1604" spans="4:6" x14ac:dyDescent="0.35">
      <c r="D1604" s="66"/>
      <c r="E1604" s="66"/>
      <c r="F1604" s="66"/>
    </row>
    <row r="1605" spans="4:6" x14ac:dyDescent="0.35">
      <c r="D1605" s="66"/>
      <c r="E1605" s="66"/>
      <c r="F1605" s="66"/>
    </row>
    <row r="1606" spans="4:6" x14ac:dyDescent="0.35">
      <c r="D1606" s="66"/>
      <c r="E1606" s="66"/>
      <c r="F1606" s="66"/>
    </row>
    <row r="1607" spans="4:6" x14ac:dyDescent="0.35">
      <c r="D1607" s="66"/>
      <c r="E1607" s="66"/>
      <c r="F1607" s="66"/>
    </row>
    <row r="1608" spans="4:6" x14ac:dyDescent="0.35">
      <c r="D1608" s="66"/>
      <c r="E1608" s="66"/>
      <c r="F1608" s="66"/>
    </row>
    <row r="1609" spans="4:6" x14ac:dyDescent="0.35">
      <c r="D1609" s="66"/>
      <c r="E1609" s="66"/>
      <c r="F1609" s="66"/>
    </row>
    <row r="1610" spans="4:6" x14ac:dyDescent="0.35">
      <c r="D1610" s="66"/>
      <c r="E1610" s="66"/>
      <c r="F1610" s="66"/>
    </row>
    <row r="1611" spans="4:6" x14ac:dyDescent="0.35">
      <c r="D1611" s="66"/>
      <c r="E1611" s="66"/>
      <c r="F1611" s="66"/>
    </row>
    <row r="1612" spans="4:6" x14ac:dyDescent="0.35">
      <c r="D1612" s="66"/>
      <c r="E1612" s="66"/>
      <c r="F1612" s="66"/>
    </row>
    <row r="1613" spans="4:6" x14ac:dyDescent="0.35">
      <c r="D1613" s="66"/>
      <c r="E1613" s="66"/>
      <c r="F1613" s="66"/>
    </row>
    <row r="1614" spans="4:6" x14ac:dyDescent="0.35">
      <c r="D1614" s="66"/>
      <c r="E1614" s="66"/>
      <c r="F1614" s="66"/>
    </row>
    <row r="1615" spans="4:6" x14ac:dyDescent="0.35">
      <c r="D1615" s="66"/>
      <c r="E1615" s="66"/>
      <c r="F1615" s="66"/>
    </row>
    <row r="1616" spans="4:6" x14ac:dyDescent="0.35">
      <c r="D1616" s="66"/>
      <c r="E1616" s="66"/>
      <c r="F1616" s="66"/>
    </row>
    <row r="1617" spans="4:6" x14ac:dyDescent="0.35">
      <c r="D1617" s="66"/>
      <c r="E1617" s="66"/>
      <c r="F1617" s="66"/>
    </row>
    <row r="1618" spans="4:6" x14ac:dyDescent="0.35">
      <c r="D1618" s="66"/>
      <c r="E1618" s="66"/>
      <c r="F1618" s="66"/>
    </row>
    <row r="1619" spans="4:6" x14ac:dyDescent="0.35">
      <c r="D1619" s="66"/>
      <c r="E1619" s="66"/>
      <c r="F1619" s="66"/>
    </row>
    <row r="1620" spans="4:6" x14ac:dyDescent="0.35">
      <c r="D1620" s="66"/>
      <c r="E1620" s="66"/>
      <c r="F1620" s="66"/>
    </row>
    <row r="1621" spans="4:6" x14ac:dyDescent="0.35">
      <c r="D1621" s="66"/>
      <c r="E1621" s="66"/>
      <c r="F1621" s="66"/>
    </row>
    <row r="1622" spans="4:6" x14ac:dyDescent="0.35">
      <c r="D1622" s="66"/>
      <c r="E1622" s="66"/>
      <c r="F1622" s="66"/>
    </row>
    <row r="1623" spans="4:6" x14ac:dyDescent="0.35">
      <c r="D1623" s="66"/>
      <c r="E1623" s="66"/>
      <c r="F1623" s="66"/>
    </row>
    <row r="1624" spans="4:6" x14ac:dyDescent="0.35">
      <c r="D1624" s="66"/>
      <c r="E1624" s="66"/>
      <c r="F1624" s="66"/>
    </row>
    <row r="1625" spans="4:6" x14ac:dyDescent="0.35">
      <c r="D1625" s="66"/>
      <c r="E1625" s="66"/>
      <c r="F1625" s="66"/>
    </row>
    <row r="1626" spans="4:6" x14ac:dyDescent="0.35">
      <c r="D1626" s="66"/>
      <c r="E1626" s="66"/>
      <c r="F1626" s="66"/>
    </row>
    <row r="1627" spans="4:6" x14ac:dyDescent="0.35">
      <c r="D1627" s="66"/>
      <c r="E1627" s="66"/>
      <c r="F1627" s="66"/>
    </row>
    <row r="1628" spans="4:6" x14ac:dyDescent="0.35">
      <c r="D1628" s="66"/>
      <c r="E1628" s="66"/>
      <c r="F1628" s="66"/>
    </row>
    <row r="1629" spans="4:6" x14ac:dyDescent="0.35">
      <c r="D1629" s="66"/>
      <c r="E1629" s="66"/>
      <c r="F1629" s="66"/>
    </row>
    <row r="1630" spans="4:6" x14ac:dyDescent="0.35">
      <c r="D1630" s="66"/>
      <c r="E1630" s="66"/>
      <c r="F1630" s="66"/>
    </row>
    <row r="1631" spans="4:6" x14ac:dyDescent="0.35">
      <c r="D1631" s="66"/>
      <c r="E1631" s="66"/>
      <c r="F1631" s="66"/>
    </row>
    <row r="1632" spans="4:6" x14ac:dyDescent="0.35">
      <c r="D1632" s="66"/>
      <c r="E1632" s="66"/>
      <c r="F1632" s="66"/>
    </row>
    <row r="1633" spans="4:6" x14ac:dyDescent="0.35">
      <c r="D1633" s="66"/>
      <c r="E1633" s="66"/>
      <c r="F1633" s="66"/>
    </row>
    <row r="1634" spans="4:6" x14ac:dyDescent="0.35">
      <c r="D1634" s="66"/>
      <c r="E1634" s="66"/>
      <c r="F1634" s="66"/>
    </row>
    <row r="1635" spans="4:6" x14ac:dyDescent="0.35">
      <c r="D1635" s="66"/>
      <c r="E1635" s="66"/>
      <c r="F1635" s="66"/>
    </row>
    <row r="1636" spans="4:6" x14ac:dyDescent="0.35">
      <c r="D1636" s="66"/>
      <c r="E1636" s="66"/>
      <c r="F1636" s="66"/>
    </row>
    <row r="1637" spans="4:6" x14ac:dyDescent="0.35">
      <c r="D1637" s="66"/>
      <c r="E1637" s="66"/>
      <c r="F1637" s="66"/>
    </row>
    <row r="1638" spans="4:6" x14ac:dyDescent="0.35">
      <c r="D1638" s="66"/>
      <c r="E1638" s="66"/>
      <c r="F1638" s="66"/>
    </row>
    <row r="1639" spans="4:6" x14ac:dyDescent="0.35">
      <c r="D1639" s="66"/>
      <c r="E1639" s="66"/>
      <c r="F1639" s="66"/>
    </row>
    <row r="1640" spans="4:6" x14ac:dyDescent="0.35">
      <c r="D1640" s="66"/>
      <c r="E1640" s="66"/>
      <c r="F1640" s="66"/>
    </row>
    <row r="1641" spans="4:6" x14ac:dyDescent="0.35">
      <c r="D1641" s="66"/>
      <c r="E1641" s="66"/>
      <c r="F1641" s="66"/>
    </row>
    <row r="1642" spans="4:6" x14ac:dyDescent="0.35">
      <c r="D1642" s="66"/>
      <c r="E1642" s="66"/>
      <c r="F1642" s="66"/>
    </row>
    <row r="1643" spans="4:6" x14ac:dyDescent="0.35">
      <c r="D1643" s="66"/>
      <c r="E1643" s="66"/>
      <c r="F1643" s="66"/>
    </row>
    <row r="1644" spans="4:6" x14ac:dyDescent="0.35">
      <c r="D1644" s="66"/>
      <c r="E1644" s="66"/>
      <c r="F1644" s="66"/>
    </row>
    <row r="1645" spans="4:6" x14ac:dyDescent="0.35">
      <c r="D1645" s="66"/>
      <c r="E1645" s="66"/>
      <c r="F1645" s="66"/>
    </row>
    <row r="1646" spans="4:6" x14ac:dyDescent="0.35">
      <c r="D1646" s="66"/>
      <c r="E1646" s="66"/>
      <c r="F1646" s="66"/>
    </row>
    <row r="1647" spans="4:6" x14ac:dyDescent="0.35">
      <c r="D1647" s="66"/>
      <c r="E1647" s="66"/>
      <c r="F1647" s="66"/>
    </row>
    <row r="1648" spans="4:6" x14ac:dyDescent="0.35">
      <c r="D1648" s="66"/>
      <c r="E1648" s="66"/>
      <c r="F1648" s="66"/>
    </row>
    <row r="1649" spans="4:6" x14ac:dyDescent="0.35">
      <c r="D1649" s="66"/>
      <c r="E1649" s="66"/>
      <c r="F1649" s="66"/>
    </row>
    <row r="1650" spans="4:6" x14ac:dyDescent="0.35">
      <c r="D1650" s="66"/>
      <c r="E1650" s="66"/>
      <c r="F1650" s="66"/>
    </row>
    <row r="1651" spans="4:6" x14ac:dyDescent="0.35">
      <c r="D1651" s="66"/>
      <c r="E1651" s="66"/>
      <c r="F1651" s="66"/>
    </row>
    <row r="1652" spans="4:6" x14ac:dyDescent="0.35">
      <c r="D1652" s="66"/>
      <c r="E1652" s="66"/>
      <c r="F1652" s="66"/>
    </row>
    <row r="1653" spans="4:6" x14ac:dyDescent="0.35">
      <c r="D1653" s="66"/>
      <c r="E1653" s="66"/>
      <c r="F1653" s="66"/>
    </row>
    <row r="1654" spans="4:6" x14ac:dyDescent="0.35">
      <c r="D1654" s="66"/>
      <c r="E1654" s="66"/>
      <c r="F1654" s="66"/>
    </row>
    <row r="1655" spans="4:6" x14ac:dyDescent="0.35">
      <c r="D1655" s="66"/>
      <c r="E1655" s="66"/>
      <c r="F1655" s="66"/>
    </row>
    <row r="1656" spans="4:6" x14ac:dyDescent="0.35">
      <c r="D1656" s="66"/>
      <c r="E1656" s="66"/>
      <c r="F1656" s="66"/>
    </row>
    <row r="1657" spans="4:6" x14ac:dyDescent="0.35">
      <c r="D1657" s="66"/>
      <c r="E1657" s="66"/>
      <c r="F1657" s="66"/>
    </row>
    <row r="1658" spans="4:6" x14ac:dyDescent="0.35">
      <c r="D1658" s="66"/>
      <c r="E1658" s="66"/>
      <c r="F1658" s="66"/>
    </row>
    <row r="1659" spans="4:6" x14ac:dyDescent="0.35">
      <c r="D1659" s="66"/>
      <c r="E1659" s="66"/>
      <c r="F1659" s="66"/>
    </row>
    <row r="1660" spans="4:6" x14ac:dyDescent="0.35">
      <c r="D1660" s="66"/>
      <c r="E1660" s="66"/>
      <c r="F1660" s="66"/>
    </row>
    <row r="1661" spans="4:6" x14ac:dyDescent="0.35">
      <c r="D1661" s="66"/>
      <c r="E1661" s="66"/>
      <c r="F1661" s="66"/>
    </row>
    <row r="1662" spans="4:6" x14ac:dyDescent="0.35">
      <c r="D1662" s="66"/>
      <c r="E1662" s="66"/>
      <c r="F1662" s="66"/>
    </row>
    <row r="1663" spans="4:6" x14ac:dyDescent="0.35">
      <c r="D1663" s="66"/>
      <c r="E1663" s="66"/>
      <c r="F1663" s="66"/>
    </row>
    <row r="1664" spans="4:6" x14ac:dyDescent="0.35">
      <c r="D1664" s="66"/>
      <c r="E1664" s="66"/>
      <c r="F1664" s="66"/>
    </row>
    <row r="1665" spans="4:6" x14ac:dyDescent="0.35">
      <c r="D1665" s="66"/>
      <c r="E1665" s="66"/>
      <c r="F1665" s="66"/>
    </row>
    <row r="1666" spans="4:6" x14ac:dyDescent="0.35">
      <c r="D1666" s="66"/>
      <c r="E1666" s="66"/>
      <c r="F1666" s="66"/>
    </row>
    <row r="1667" spans="4:6" x14ac:dyDescent="0.35">
      <c r="D1667" s="66"/>
      <c r="E1667" s="66"/>
      <c r="F1667" s="66"/>
    </row>
    <row r="1668" spans="4:6" x14ac:dyDescent="0.35">
      <c r="D1668" s="66"/>
      <c r="E1668" s="66"/>
      <c r="F1668" s="66"/>
    </row>
    <row r="1669" spans="4:6" x14ac:dyDescent="0.35">
      <c r="D1669" s="66"/>
      <c r="E1669" s="66"/>
      <c r="F1669" s="66"/>
    </row>
    <row r="1670" spans="4:6" x14ac:dyDescent="0.35">
      <c r="D1670" s="66"/>
      <c r="E1670" s="66"/>
      <c r="F1670" s="66"/>
    </row>
    <row r="1671" spans="4:6" x14ac:dyDescent="0.35">
      <c r="D1671" s="66"/>
      <c r="E1671" s="66"/>
      <c r="F1671" s="66"/>
    </row>
    <row r="1672" spans="4:6" x14ac:dyDescent="0.35">
      <c r="D1672" s="66"/>
      <c r="E1672" s="66"/>
      <c r="F1672" s="66"/>
    </row>
    <row r="1673" spans="4:6" x14ac:dyDescent="0.35">
      <c r="D1673" s="66"/>
      <c r="E1673" s="66"/>
      <c r="F1673" s="66"/>
    </row>
    <row r="1674" spans="4:6" x14ac:dyDescent="0.35">
      <c r="D1674" s="66"/>
      <c r="E1674" s="66"/>
      <c r="F1674" s="66"/>
    </row>
    <row r="1675" spans="4:6" x14ac:dyDescent="0.35">
      <c r="D1675" s="66"/>
      <c r="E1675" s="66"/>
      <c r="F1675" s="66"/>
    </row>
    <row r="1676" spans="4:6" x14ac:dyDescent="0.35">
      <c r="D1676" s="66"/>
      <c r="E1676" s="66"/>
      <c r="F1676" s="66"/>
    </row>
    <row r="1677" spans="4:6" x14ac:dyDescent="0.35">
      <c r="D1677" s="66"/>
      <c r="E1677" s="66"/>
      <c r="F1677" s="66"/>
    </row>
    <row r="1678" spans="4:6" x14ac:dyDescent="0.35">
      <c r="D1678" s="66"/>
      <c r="E1678" s="66"/>
      <c r="F1678" s="66"/>
    </row>
    <row r="1679" spans="4:6" x14ac:dyDescent="0.35">
      <c r="D1679" s="66"/>
      <c r="E1679" s="66"/>
      <c r="F1679" s="66"/>
    </row>
    <row r="1680" spans="4:6" x14ac:dyDescent="0.35">
      <c r="D1680" s="66"/>
      <c r="E1680" s="66"/>
      <c r="F1680" s="66"/>
    </row>
    <row r="1681" spans="4:6" x14ac:dyDescent="0.35">
      <c r="D1681" s="66"/>
      <c r="E1681" s="66"/>
      <c r="F1681" s="66"/>
    </row>
    <row r="1682" spans="4:6" x14ac:dyDescent="0.35">
      <c r="D1682" s="66"/>
      <c r="E1682" s="66"/>
      <c r="F1682" s="66"/>
    </row>
    <row r="1683" spans="4:6" x14ac:dyDescent="0.35">
      <c r="D1683" s="66"/>
      <c r="E1683" s="66"/>
      <c r="F1683" s="66"/>
    </row>
    <row r="1684" spans="4:6" x14ac:dyDescent="0.35">
      <c r="D1684" s="66"/>
      <c r="E1684" s="66"/>
      <c r="F1684" s="66"/>
    </row>
    <row r="1685" spans="4:6" x14ac:dyDescent="0.35">
      <c r="D1685" s="66"/>
      <c r="E1685" s="66"/>
      <c r="F1685" s="66"/>
    </row>
    <row r="1686" spans="4:6" x14ac:dyDescent="0.35">
      <c r="D1686" s="66"/>
      <c r="E1686" s="66"/>
      <c r="F1686" s="66"/>
    </row>
    <row r="1687" spans="4:6" x14ac:dyDescent="0.35">
      <c r="D1687" s="66"/>
      <c r="E1687" s="66"/>
      <c r="F1687" s="66"/>
    </row>
    <row r="1688" spans="4:6" x14ac:dyDescent="0.35">
      <c r="D1688" s="66"/>
      <c r="E1688" s="66"/>
      <c r="F1688" s="66"/>
    </row>
    <row r="1689" spans="4:6" x14ac:dyDescent="0.35">
      <c r="D1689" s="66"/>
      <c r="E1689" s="66"/>
      <c r="F1689" s="66"/>
    </row>
    <row r="1690" spans="4:6" x14ac:dyDescent="0.35">
      <c r="D1690" s="66"/>
      <c r="E1690" s="66"/>
      <c r="F1690" s="66"/>
    </row>
    <row r="1691" spans="4:6" x14ac:dyDescent="0.35">
      <c r="D1691" s="66"/>
      <c r="E1691" s="66"/>
      <c r="F1691" s="66"/>
    </row>
    <row r="1692" spans="4:6" x14ac:dyDescent="0.35">
      <c r="D1692" s="66"/>
      <c r="E1692" s="66"/>
      <c r="F1692" s="66"/>
    </row>
    <row r="1693" spans="4:6" x14ac:dyDescent="0.35">
      <c r="D1693" s="66"/>
      <c r="E1693" s="66"/>
      <c r="F1693" s="66"/>
    </row>
    <row r="1694" spans="4:6" x14ac:dyDescent="0.35">
      <c r="D1694" s="66"/>
      <c r="E1694" s="66"/>
      <c r="F1694" s="66"/>
    </row>
    <row r="1695" spans="4:6" x14ac:dyDescent="0.35">
      <c r="D1695" s="66"/>
      <c r="E1695" s="66"/>
      <c r="F1695" s="66"/>
    </row>
    <row r="1696" spans="4:6" x14ac:dyDescent="0.35">
      <c r="D1696" s="66"/>
      <c r="E1696" s="66"/>
      <c r="F1696" s="66"/>
    </row>
    <row r="1697" spans="4:6" x14ac:dyDescent="0.35">
      <c r="D1697" s="66"/>
      <c r="E1697" s="66"/>
      <c r="F1697" s="66"/>
    </row>
    <row r="1698" spans="4:6" x14ac:dyDescent="0.35">
      <c r="D1698" s="66"/>
      <c r="E1698" s="66"/>
      <c r="F1698" s="66"/>
    </row>
    <row r="1699" spans="4:6" x14ac:dyDescent="0.35">
      <c r="D1699" s="66"/>
      <c r="E1699" s="66"/>
      <c r="F1699" s="66"/>
    </row>
    <row r="1700" spans="4:6" x14ac:dyDescent="0.35">
      <c r="D1700" s="66"/>
      <c r="E1700" s="66"/>
      <c r="F1700" s="66"/>
    </row>
    <row r="1701" spans="4:6" x14ac:dyDescent="0.35">
      <c r="D1701" s="66"/>
      <c r="E1701" s="66"/>
      <c r="F1701" s="66"/>
    </row>
    <row r="1702" spans="4:6" x14ac:dyDescent="0.35">
      <c r="D1702" s="66"/>
      <c r="E1702" s="66"/>
      <c r="F1702" s="66"/>
    </row>
    <row r="1703" spans="4:6" x14ac:dyDescent="0.35">
      <c r="D1703" s="66"/>
      <c r="E1703" s="66"/>
      <c r="F1703" s="66"/>
    </row>
    <row r="1704" spans="4:6" x14ac:dyDescent="0.35">
      <c r="D1704" s="66"/>
      <c r="E1704" s="66"/>
      <c r="F1704" s="66"/>
    </row>
    <row r="1705" spans="4:6" x14ac:dyDescent="0.35">
      <c r="D1705" s="66"/>
      <c r="E1705" s="66"/>
      <c r="F1705" s="66"/>
    </row>
    <row r="1706" spans="4:6" x14ac:dyDescent="0.35">
      <c r="D1706" s="66"/>
      <c r="E1706" s="66"/>
      <c r="F1706" s="66"/>
    </row>
    <row r="1707" spans="4:6" x14ac:dyDescent="0.35">
      <c r="D1707" s="66"/>
      <c r="E1707" s="66"/>
      <c r="F1707" s="66"/>
    </row>
    <row r="1708" spans="4:6" x14ac:dyDescent="0.35">
      <c r="D1708" s="66"/>
      <c r="E1708" s="66"/>
      <c r="F1708" s="66"/>
    </row>
    <row r="1709" spans="4:6" x14ac:dyDescent="0.35">
      <c r="D1709" s="66"/>
      <c r="E1709" s="66"/>
      <c r="F1709" s="66"/>
    </row>
    <row r="1710" spans="4:6" x14ac:dyDescent="0.35">
      <c r="D1710" s="66"/>
      <c r="E1710" s="66"/>
      <c r="F1710" s="66"/>
    </row>
    <row r="1711" spans="4:6" x14ac:dyDescent="0.35">
      <c r="D1711" s="66"/>
      <c r="E1711" s="66"/>
      <c r="F1711" s="66"/>
    </row>
    <row r="1712" spans="4:6" x14ac:dyDescent="0.35">
      <c r="D1712" s="66"/>
      <c r="E1712" s="66"/>
      <c r="F1712" s="66"/>
    </row>
    <row r="1713" spans="4:6" x14ac:dyDescent="0.35">
      <c r="D1713" s="66"/>
      <c r="E1713" s="66"/>
      <c r="F1713" s="66"/>
    </row>
    <row r="1714" spans="4:6" x14ac:dyDescent="0.35">
      <c r="D1714" s="66"/>
      <c r="E1714" s="66"/>
      <c r="F1714" s="66"/>
    </row>
    <row r="1715" spans="4:6" x14ac:dyDescent="0.35">
      <c r="D1715" s="66"/>
      <c r="E1715" s="66"/>
      <c r="F1715" s="66"/>
    </row>
    <row r="1716" spans="4:6" x14ac:dyDescent="0.35">
      <c r="D1716" s="66"/>
      <c r="E1716" s="66"/>
      <c r="F1716" s="66"/>
    </row>
    <row r="1717" spans="4:6" x14ac:dyDescent="0.35">
      <c r="D1717" s="66"/>
      <c r="E1717" s="66"/>
      <c r="F1717" s="66"/>
    </row>
    <row r="1718" spans="4:6" x14ac:dyDescent="0.35">
      <c r="D1718" s="66"/>
      <c r="E1718" s="66"/>
      <c r="F1718" s="66"/>
    </row>
    <row r="1719" spans="4:6" x14ac:dyDescent="0.35">
      <c r="D1719" s="66"/>
      <c r="E1719" s="66"/>
      <c r="F1719" s="66"/>
    </row>
    <row r="1720" spans="4:6" x14ac:dyDescent="0.35">
      <c r="D1720" s="66"/>
      <c r="E1720" s="66"/>
      <c r="F1720" s="66"/>
    </row>
    <row r="1721" spans="4:6" x14ac:dyDescent="0.35">
      <c r="D1721" s="66"/>
      <c r="E1721" s="66"/>
      <c r="F1721" s="66"/>
    </row>
    <row r="1722" spans="4:6" x14ac:dyDescent="0.35">
      <c r="D1722" s="66"/>
      <c r="E1722" s="66"/>
      <c r="F1722" s="66"/>
    </row>
    <row r="1723" spans="4:6" x14ac:dyDescent="0.35">
      <c r="D1723" s="66"/>
      <c r="E1723" s="66"/>
      <c r="F1723" s="66"/>
    </row>
    <row r="1724" spans="4:6" x14ac:dyDescent="0.35">
      <c r="D1724" s="66"/>
      <c r="E1724" s="66"/>
      <c r="F1724" s="66"/>
    </row>
    <row r="1725" spans="4:6" x14ac:dyDescent="0.35">
      <c r="D1725" s="66"/>
      <c r="E1725" s="66"/>
      <c r="F1725" s="66"/>
    </row>
    <row r="1726" spans="4:6" x14ac:dyDescent="0.35">
      <c r="D1726" s="66"/>
      <c r="E1726" s="66"/>
      <c r="F1726" s="66"/>
    </row>
    <row r="1727" spans="4:6" x14ac:dyDescent="0.35">
      <c r="D1727" s="66"/>
      <c r="E1727" s="66"/>
      <c r="F1727" s="66"/>
    </row>
    <row r="1728" spans="4:6" x14ac:dyDescent="0.35">
      <c r="D1728" s="66"/>
      <c r="E1728" s="66"/>
      <c r="F1728" s="66"/>
    </row>
    <row r="1729" spans="4:6" x14ac:dyDescent="0.35">
      <c r="D1729" s="66"/>
      <c r="E1729" s="66"/>
      <c r="F1729" s="66"/>
    </row>
    <row r="1730" spans="4:6" x14ac:dyDescent="0.35">
      <c r="D1730" s="66"/>
      <c r="E1730" s="66"/>
      <c r="F1730" s="66"/>
    </row>
    <row r="1731" spans="4:6" x14ac:dyDescent="0.35">
      <c r="D1731" s="66"/>
      <c r="E1731" s="66"/>
      <c r="F1731" s="66"/>
    </row>
    <row r="1732" spans="4:6" x14ac:dyDescent="0.35">
      <c r="D1732" s="66"/>
      <c r="E1732" s="66"/>
      <c r="F1732" s="66"/>
    </row>
    <row r="1733" spans="4:6" x14ac:dyDescent="0.35">
      <c r="D1733" s="66"/>
      <c r="E1733" s="66"/>
      <c r="F1733" s="66"/>
    </row>
    <row r="1734" spans="4:6" x14ac:dyDescent="0.35">
      <c r="D1734" s="66"/>
      <c r="E1734" s="66"/>
      <c r="F1734" s="66"/>
    </row>
    <row r="1735" spans="4:6" x14ac:dyDescent="0.35">
      <c r="D1735" s="66"/>
      <c r="E1735" s="66"/>
      <c r="F1735" s="66"/>
    </row>
    <row r="1736" spans="4:6" x14ac:dyDescent="0.35">
      <c r="D1736" s="66"/>
      <c r="E1736" s="66"/>
      <c r="F1736" s="66"/>
    </row>
    <row r="1737" spans="4:6" x14ac:dyDescent="0.35">
      <c r="D1737" s="66"/>
      <c r="E1737" s="66"/>
      <c r="F1737" s="66"/>
    </row>
    <row r="1738" spans="4:6" x14ac:dyDescent="0.35">
      <c r="D1738" s="66"/>
      <c r="E1738" s="66"/>
      <c r="F1738" s="66"/>
    </row>
    <row r="1739" spans="4:6" x14ac:dyDescent="0.35">
      <c r="D1739" s="66"/>
      <c r="E1739" s="66"/>
      <c r="F1739" s="66"/>
    </row>
    <row r="1740" spans="4:6" x14ac:dyDescent="0.35">
      <c r="D1740" s="66"/>
      <c r="E1740" s="66"/>
      <c r="F1740" s="66"/>
    </row>
    <row r="1741" spans="4:6" x14ac:dyDescent="0.35">
      <c r="D1741" s="66"/>
      <c r="E1741" s="66"/>
      <c r="F1741" s="66"/>
    </row>
    <row r="1742" spans="4:6" x14ac:dyDescent="0.35">
      <c r="D1742" s="66"/>
      <c r="E1742" s="66"/>
      <c r="F1742" s="66"/>
    </row>
    <row r="1743" spans="4:6" x14ac:dyDescent="0.35">
      <c r="D1743" s="66"/>
      <c r="E1743" s="66"/>
      <c r="F1743" s="66"/>
    </row>
    <row r="1744" spans="4:6" x14ac:dyDescent="0.35">
      <c r="D1744" s="66"/>
      <c r="E1744" s="66"/>
      <c r="F1744" s="66"/>
    </row>
    <row r="1745" spans="4:6" x14ac:dyDescent="0.35">
      <c r="D1745" s="66"/>
      <c r="E1745" s="66"/>
      <c r="F1745" s="66"/>
    </row>
    <row r="1746" spans="4:6" x14ac:dyDescent="0.35">
      <c r="D1746" s="66"/>
      <c r="E1746" s="66"/>
      <c r="F1746" s="66"/>
    </row>
    <row r="1747" spans="4:6" x14ac:dyDescent="0.35">
      <c r="D1747" s="66"/>
      <c r="E1747" s="66"/>
      <c r="F1747" s="66"/>
    </row>
    <row r="1748" spans="4:6" x14ac:dyDescent="0.35">
      <c r="D1748" s="66"/>
      <c r="E1748" s="66"/>
      <c r="F1748" s="66"/>
    </row>
    <row r="1749" spans="4:6" x14ac:dyDescent="0.35">
      <c r="D1749" s="66"/>
      <c r="E1749" s="66"/>
      <c r="F1749" s="66"/>
    </row>
    <row r="1750" spans="4:6" x14ac:dyDescent="0.35">
      <c r="D1750" s="66"/>
      <c r="E1750" s="66"/>
      <c r="F1750" s="66"/>
    </row>
    <row r="1751" spans="4:6" x14ac:dyDescent="0.35">
      <c r="D1751" s="66"/>
      <c r="E1751" s="66"/>
      <c r="F1751" s="66"/>
    </row>
    <row r="1752" spans="4:6" x14ac:dyDescent="0.35">
      <c r="D1752" s="66"/>
      <c r="E1752" s="66"/>
      <c r="F1752" s="66"/>
    </row>
    <row r="1753" spans="4:6" x14ac:dyDescent="0.35">
      <c r="D1753" s="66"/>
      <c r="E1753" s="66"/>
      <c r="F1753" s="66"/>
    </row>
    <row r="1754" spans="4:6" x14ac:dyDescent="0.35">
      <c r="D1754" s="66"/>
      <c r="E1754" s="66"/>
      <c r="F1754" s="66"/>
    </row>
    <row r="1755" spans="4:6" x14ac:dyDescent="0.35">
      <c r="D1755" s="66"/>
      <c r="E1755" s="66"/>
      <c r="F1755" s="66"/>
    </row>
    <row r="1756" spans="4:6" x14ac:dyDescent="0.35">
      <c r="D1756" s="66"/>
      <c r="E1756" s="66"/>
      <c r="F1756" s="66"/>
    </row>
    <row r="1757" spans="4:6" x14ac:dyDescent="0.35">
      <c r="D1757" s="66"/>
      <c r="E1757" s="66"/>
      <c r="F1757" s="66"/>
    </row>
    <row r="1758" spans="4:6" x14ac:dyDescent="0.35">
      <c r="D1758" s="66"/>
      <c r="E1758" s="66"/>
      <c r="F1758" s="66"/>
    </row>
    <row r="1759" spans="4:6" x14ac:dyDescent="0.35">
      <c r="D1759" s="66"/>
      <c r="E1759" s="66"/>
      <c r="F1759" s="66"/>
    </row>
    <row r="1760" spans="4:6" x14ac:dyDescent="0.35">
      <c r="D1760" s="66"/>
      <c r="E1760" s="66"/>
      <c r="F1760" s="66"/>
    </row>
    <row r="1761" spans="4:6" x14ac:dyDescent="0.35">
      <c r="D1761" s="66"/>
      <c r="E1761" s="66"/>
      <c r="F1761" s="66"/>
    </row>
    <row r="1762" spans="4:6" x14ac:dyDescent="0.35">
      <c r="D1762" s="66"/>
      <c r="E1762" s="66"/>
      <c r="F1762" s="66"/>
    </row>
    <row r="1763" spans="4:6" x14ac:dyDescent="0.35">
      <c r="D1763" s="66"/>
      <c r="E1763" s="66"/>
      <c r="F1763" s="66"/>
    </row>
    <row r="1764" spans="4:6" x14ac:dyDescent="0.35">
      <c r="D1764" s="66"/>
      <c r="E1764" s="66"/>
      <c r="F1764" s="66"/>
    </row>
    <row r="1765" spans="4:6" x14ac:dyDescent="0.35">
      <c r="D1765" s="66"/>
      <c r="E1765" s="66"/>
      <c r="F1765" s="66"/>
    </row>
    <row r="1766" spans="4:6" x14ac:dyDescent="0.35">
      <c r="D1766" s="66"/>
      <c r="E1766" s="66"/>
      <c r="F1766" s="66"/>
    </row>
    <row r="1767" spans="4:6" x14ac:dyDescent="0.35">
      <c r="D1767" s="66"/>
      <c r="E1767" s="66"/>
      <c r="F1767" s="66"/>
    </row>
    <row r="1768" spans="4:6" x14ac:dyDescent="0.35">
      <c r="D1768" s="66"/>
      <c r="E1768" s="66"/>
      <c r="F1768" s="66"/>
    </row>
    <row r="1769" spans="4:6" x14ac:dyDescent="0.35">
      <c r="D1769" s="66"/>
      <c r="E1769" s="66"/>
      <c r="F1769" s="66"/>
    </row>
    <row r="1770" spans="4:6" x14ac:dyDescent="0.35">
      <c r="D1770" s="66"/>
      <c r="E1770" s="66"/>
      <c r="F1770" s="66"/>
    </row>
    <row r="1771" spans="4:6" x14ac:dyDescent="0.35">
      <c r="D1771" s="66"/>
      <c r="E1771" s="66"/>
      <c r="F1771" s="66"/>
    </row>
    <row r="1772" spans="4:6" x14ac:dyDescent="0.35">
      <c r="D1772" s="66"/>
      <c r="E1772" s="66"/>
      <c r="F1772" s="66"/>
    </row>
    <row r="1773" spans="4:6" x14ac:dyDescent="0.35">
      <c r="D1773" s="66"/>
      <c r="E1773" s="66"/>
      <c r="F1773" s="66"/>
    </row>
    <row r="1774" spans="4:6" x14ac:dyDescent="0.35">
      <c r="D1774" s="66"/>
      <c r="E1774" s="66"/>
      <c r="F1774" s="66"/>
    </row>
    <row r="1775" spans="4:6" x14ac:dyDescent="0.35">
      <c r="D1775" s="66"/>
      <c r="E1775" s="66"/>
      <c r="F1775" s="66"/>
    </row>
    <row r="1776" spans="4:6" x14ac:dyDescent="0.35">
      <c r="D1776" s="66"/>
      <c r="E1776" s="66"/>
      <c r="F1776" s="66"/>
    </row>
    <row r="1777" spans="4:6" x14ac:dyDescent="0.35">
      <c r="D1777" s="66"/>
      <c r="E1777" s="66"/>
      <c r="F1777" s="66"/>
    </row>
    <row r="1778" spans="4:6" x14ac:dyDescent="0.35">
      <c r="D1778" s="66"/>
      <c r="E1778" s="66"/>
      <c r="F1778" s="66"/>
    </row>
    <row r="1779" spans="4:6" x14ac:dyDescent="0.35">
      <c r="D1779" s="66"/>
      <c r="E1779" s="66"/>
      <c r="F1779" s="66"/>
    </row>
    <row r="1780" spans="4:6" x14ac:dyDescent="0.35">
      <c r="D1780" s="66"/>
      <c r="E1780" s="66"/>
      <c r="F1780" s="66"/>
    </row>
    <row r="1781" spans="4:6" x14ac:dyDescent="0.35">
      <c r="D1781" s="66"/>
      <c r="E1781" s="66"/>
      <c r="F1781" s="66"/>
    </row>
    <row r="1782" spans="4:6" x14ac:dyDescent="0.35">
      <c r="D1782" s="66"/>
      <c r="E1782" s="66"/>
      <c r="F1782" s="66"/>
    </row>
    <row r="1783" spans="4:6" x14ac:dyDescent="0.35">
      <c r="D1783" s="66"/>
      <c r="E1783" s="66"/>
      <c r="F1783" s="66"/>
    </row>
    <row r="1784" spans="4:6" x14ac:dyDescent="0.35">
      <c r="D1784" s="66"/>
      <c r="E1784" s="66"/>
      <c r="F1784" s="66"/>
    </row>
    <row r="1785" spans="4:6" x14ac:dyDescent="0.35">
      <c r="D1785" s="66"/>
      <c r="E1785" s="66"/>
      <c r="F1785" s="66"/>
    </row>
    <row r="1786" spans="4:6" x14ac:dyDescent="0.35">
      <c r="D1786" s="66"/>
      <c r="E1786" s="66"/>
      <c r="F1786" s="66"/>
    </row>
    <row r="1787" spans="4:6" x14ac:dyDescent="0.35">
      <c r="D1787" s="66"/>
      <c r="E1787" s="66"/>
      <c r="F1787" s="66"/>
    </row>
    <row r="1788" spans="4:6" x14ac:dyDescent="0.35">
      <c r="D1788" s="66"/>
      <c r="E1788" s="66"/>
      <c r="F1788" s="66"/>
    </row>
    <row r="1789" spans="4:6" x14ac:dyDescent="0.35">
      <c r="D1789" s="66"/>
      <c r="E1789" s="66"/>
      <c r="F1789" s="66"/>
    </row>
    <row r="1790" spans="4:6" x14ac:dyDescent="0.35">
      <c r="D1790" s="66"/>
      <c r="E1790" s="66"/>
      <c r="F1790" s="66"/>
    </row>
    <row r="1791" spans="4:6" x14ac:dyDescent="0.35">
      <c r="D1791" s="66"/>
      <c r="E1791" s="66"/>
      <c r="F1791" s="66"/>
    </row>
    <row r="1792" spans="4:6" x14ac:dyDescent="0.35">
      <c r="D1792" s="66"/>
      <c r="E1792" s="66"/>
      <c r="F1792" s="66"/>
    </row>
    <row r="1793" spans="4:6" x14ac:dyDescent="0.35">
      <c r="D1793" s="66"/>
      <c r="E1793" s="66"/>
      <c r="F1793" s="66"/>
    </row>
    <row r="1794" spans="4:6" x14ac:dyDescent="0.35">
      <c r="D1794" s="66"/>
      <c r="E1794" s="66"/>
      <c r="F1794" s="66"/>
    </row>
    <row r="1795" spans="4:6" x14ac:dyDescent="0.35">
      <c r="D1795" s="66"/>
      <c r="E1795" s="66"/>
      <c r="F1795" s="66"/>
    </row>
    <row r="1796" spans="4:6" x14ac:dyDescent="0.35">
      <c r="D1796" s="66"/>
      <c r="E1796" s="66"/>
      <c r="F1796" s="66"/>
    </row>
    <row r="1797" spans="4:6" x14ac:dyDescent="0.35">
      <c r="D1797" s="66"/>
      <c r="E1797" s="66"/>
      <c r="F1797" s="66"/>
    </row>
    <row r="1798" spans="4:6" x14ac:dyDescent="0.35">
      <c r="D1798" s="66"/>
      <c r="E1798" s="66"/>
      <c r="F1798" s="66"/>
    </row>
    <row r="1799" spans="4:6" x14ac:dyDescent="0.35">
      <c r="D1799" s="66"/>
      <c r="E1799" s="66"/>
      <c r="F1799" s="66"/>
    </row>
    <row r="1800" spans="4:6" x14ac:dyDescent="0.35">
      <c r="D1800" s="66"/>
      <c r="E1800" s="66"/>
      <c r="F1800" s="66"/>
    </row>
    <row r="1801" spans="4:6" x14ac:dyDescent="0.35">
      <c r="D1801" s="66"/>
      <c r="E1801" s="66"/>
      <c r="F1801" s="66"/>
    </row>
    <row r="1802" spans="4:6" x14ac:dyDescent="0.35">
      <c r="D1802" s="66"/>
      <c r="E1802" s="66"/>
      <c r="F1802" s="66"/>
    </row>
    <row r="1803" spans="4:6" x14ac:dyDescent="0.35">
      <c r="D1803" s="66"/>
      <c r="E1803" s="66"/>
      <c r="F1803" s="66"/>
    </row>
    <row r="1804" spans="4:6" x14ac:dyDescent="0.35">
      <c r="D1804" s="66"/>
      <c r="E1804" s="66"/>
      <c r="F1804" s="66"/>
    </row>
    <row r="1805" spans="4:6" x14ac:dyDescent="0.35">
      <c r="D1805" s="66"/>
      <c r="E1805" s="66"/>
      <c r="F1805" s="66"/>
    </row>
    <row r="1806" spans="4:6" x14ac:dyDescent="0.35">
      <c r="D1806" s="66"/>
      <c r="E1806" s="66"/>
      <c r="F1806" s="66"/>
    </row>
    <row r="1807" spans="4:6" x14ac:dyDescent="0.35">
      <c r="D1807" s="66"/>
      <c r="E1807" s="66"/>
      <c r="F1807" s="66"/>
    </row>
    <row r="1808" spans="4:6" x14ac:dyDescent="0.35">
      <c r="D1808" s="66"/>
      <c r="E1808" s="66"/>
      <c r="F1808" s="66"/>
    </row>
    <row r="1809" spans="4:6" x14ac:dyDescent="0.35">
      <c r="D1809" s="66"/>
      <c r="E1809" s="66"/>
      <c r="F1809" s="66"/>
    </row>
    <row r="1810" spans="4:6" x14ac:dyDescent="0.35">
      <c r="D1810" s="66"/>
      <c r="E1810" s="66"/>
      <c r="F1810" s="66"/>
    </row>
    <row r="1811" spans="4:6" x14ac:dyDescent="0.35">
      <c r="D1811" s="66"/>
      <c r="E1811" s="66"/>
      <c r="F1811" s="66"/>
    </row>
    <row r="1812" spans="4:6" x14ac:dyDescent="0.35">
      <c r="D1812" s="66"/>
      <c r="E1812" s="66"/>
      <c r="F1812" s="66"/>
    </row>
    <row r="1813" spans="4:6" x14ac:dyDescent="0.35">
      <c r="D1813" s="66"/>
      <c r="E1813" s="66"/>
      <c r="F1813" s="66"/>
    </row>
    <row r="1814" spans="4:6" x14ac:dyDescent="0.35">
      <c r="D1814" s="66"/>
      <c r="E1814" s="66"/>
      <c r="F1814" s="66"/>
    </row>
    <row r="1815" spans="4:6" x14ac:dyDescent="0.35">
      <c r="D1815" s="66"/>
      <c r="E1815" s="66"/>
      <c r="F1815" s="66"/>
    </row>
    <row r="1816" spans="4:6" x14ac:dyDescent="0.35">
      <c r="D1816" s="66"/>
      <c r="E1816" s="66"/>
      <c r="F1816" s="66"/>
    </row>
    <row r="1817" spans="4:6" x14ac:dyDescent="0.35">
      <c r="D1817" s="66"/>
      <c r="E1817" s="66"/>
      <c r="F1817" s="66"/>
    </row>
    <row r="1818" spans="4:6" x14ac:dyDescent="0.35">
      <c r="D1818" s="66"/>
      <c r="E1818" s="66"/>
      <c r="F1818" s="66"/>
    </row>
    <row r="1819" spans="4:6" x14ac:dyDescent="0.35">
      <c r="D1819" s="66"/>
      <c r="E1819" s="66"/>
      <c r="F1819" s="66"/>
    </row>
    <row r="1820" spans="4:6" x14ac:dyDescent="0.35">
      <c r="D1820" s="66"/>
      <c r="E1820" s="66"/>
      <c r="F1820" s="66"/>
    </row>
    <row r="1821" spans="4:6" x14ac:dyDescent="0.35">
      <c r="D1821" s="66"/>
      <c r="E1821" s="66"/>
      <c r="F1821" s="66"/>
    </row>
    <row r="1822" spans="4:6" x14ac:dyDescent="0.35">
      <c r="D1822" s="66"/>
      <c r="E1822" s="66"/>
      <c r="F1822" s="66"/>
    </row>
    <row r="1823" spans="4:6" x14ac:dyDescent="0.35">
      <c r="D1823" s="66"/>
      <c r="E1823" s="66"/>
      <c r="F1823" s="66"/>
    </row>
    <row r="1824" spans="4:6" x14ac:dyDescent="0.35">
      <c r="D1824" s="66"/>
      <c r="E1824" s="66"/>
      <c r="F1824" s="66"/>
    </row>
    <row r="1825" spans="4:6" x14ac:dyDescent="0.35">
      <c r="D1825" s="66"/>
      <c r="E1825" s="66"/>
      <c r="F1825" s="66"/>
    </row>
    <row r="1826" spans="4:6" x14ac:dyDescent="0.35">
      <c r="D1826" s="66"/>
      <c r="E1826" s="66"/>
      <c r="F1826" s="66"/>
    </row>
    <row r="1827" spans="4:6" x14ac:dyDescent="0.35">
      <c r="D1827" s="66"/>
      <c r="E1827" s="66"/>
      <c r="F1827" s="66"/>
    </row>
    <row r="1828" spans="4:6" x14ac:dyDescent="0.35">
      <c r="D1828" s="66"/>
      <c r="E1828" s="66"/>
      <c r="F1828" s="66"/>
    </row>
    <row r="1829" spans="4:6" x14ac:dyDescent="0.35">
      <c r="D1829" s="66"/>
      <c r="E1829" s="66"/>
      <c r="F1829" s="66"/>
    </row>
    <row r="1830" spans="4:6" x14ac:dyDescent="0.35">
      <c r="D1830" s="66"/>
      <c r="E1830" s="66"/>
      <c r="F1830" s="66"/>
    </row>
    <row r="1831" spans="4:6" x14ac:dyDescent="0.35">
      <c r="D1831" s="66"/>
      <c r="E1831" s="66"/>
      <c r="F1831" s="66"/>
    </row>
    <row r="1832" spans="4:6" x14ac:dyDescent="0.35">
      <c r="D1832" s="66"/>
      <c r="E1832" s="66"/>
      <c r="F1832" s="66"/>
    </row>
    <row r="1833" spans="4:6" x14ac:dyDescent="0.35">
      <c r="D1833" s="66"/>
      <c r="E1833" s="66"/>
      <c r="F1833" s="66"/>
    </row>
    <row r="1834" spans="4:6" x14ac:dyDescent="0.35">
      <c r="D1834" s="66"/>
      <c r="E1834" s="66"/>
      <c r="F1834" s="66"/>
    </row>
    <row r="1835" spans="4:6" x14ac:dyDescent="0.35">
      <c r="D1835" s="66"/>
      <c r="E1835" s="66"/>
      <c r="F1835" s="66"/>
    </row>
    <row r="1836" spans="4:6" x14ac:dyDescent="0.35">
      <c r="D1836" s="66"/>
      <c r="E1836" s="66"/>
      <c r="F1836" s="66"/>
    </row>
    <row r="1837" spans="4:6" x14ac:dyDescent="0.35">
      <c r="D1837" s="66"/>
      <c r="E1837" s="66"/>
      <c r="F1837" s="66"/>
    </row>
    <row r="1838" spans="4:6" x14ac:dyDescent="0.35">
      <c r="D1838" s="66"/>
      <c r="E1838" s="66"/>
      <c r="F1838" s="66"/>
    </row>
    <row r="1839" spans="4:6" x14ac:dyDescent="0.35">
      <c r="D1839" s="66"/>
      <c r="E1839" s="66"/>
      <c r="F1839" s="66"/>
    </row>
    <row r="1840" spans="4:6" x14ac:dyDescent="0.35">
      <c r="D1840" s="66"/>
      <c r="E1840" s="66"/>
      <c r="F1840" s="66"/>
    </row>
    <row r="1841" spans="4:6" x14ac:dyDescent="0.35">
      <c r="D1841" s="66"/>
      <c r="E1841" s="66"/>
      <c r="F1841" s="66"/>
    </row>
    <row r="1842" spans="4:6" x14ac:dyDescent="0.35">
      <c r="D1842" s="66"/>
      <c r="E1842" s="66"/>
      <c r="F1842" s="66"/>
    </row>
    <row r="1843" spans="4:6" x14ac:dyDescent="0.35">
      <c r="D1843" s="66"/>
      <c r="E1843" s="66"/>
      <c r="F1843" s="66"/>
    </row>
    <row r="1844" spans="4:6" x14ac:dyDescent="0.35">
      <c r="D1844" s="66"/>
      <c r="E1844" s="66"/>
      <c r="F1844" s="66"/>
    </row>
    <row r="1845" spans="4:6" x14ac:dyDescent="0.35">
      <c r="D1845" s="66"/>
      <c r="E1845" s="66"/>
      <c r="F1845" s="66"/>
    </row>
    <row r="1846" spans="4:6" x14ac:dyDescent="0.35">
      <c r="D1846" s="66"/>
      <c r="E1846" s="66"/>
      <c r="F1846" s="66"/>
    </row>
    <row r="1847" spans="4:6" x14ac:dyDescent="0.35">
      <c r="D1847" s="66"/>
      <c r="E1847" s="66"/>
      <c r="F1847" s="66"/>
    </row>
    <row r="1848" spans="4:6" x14ac:dyDescent="0.35">
      <c r="D1848" s="66"/>
      <c r="E1848" s="66"/>
      <c r="F1848" s="66"/>
    </row>
    <row r="1849" spans="4:6" x14ac:dyDescent="0.35">
      <c r="D1849" s="66"/>
      <c r="E1849" s="66"/>
      <c r="F1849" s="66"/>
    </row>
    <row r="1850" spans="4:6" x14ac:dyDescent="0.35">
      <c r="D1850" s="66"/>
      <c r="E1850" s="66"/>
      <c r="F1850" s="66"/>
    </row>
    <row r="1851" spans="4:6" x14ac:dyDescent="0.35">
      <c r="D1851" s="66"/>
      <c r="E1851" s="66"/>
      <c r="F1851" s="66"/>
    </row>
    <row r="1852" spans="4:6" x14ac:dyDescent="0.35">
      <c r="D1852" s="66"/>
      <c r="E1852" s="66"/>
      <c r="F1852" s="66"/>
    </row>
    <row r="1853" spans="4:6" x14ac:dyDescent="0.35">
      <c r="D1853" s="66"/>
      <c r="E1853" s="66"/>
      <c r="F1853" s="66"/>
    </row>
    <row r="1854" spans="4:6" x14ac:dyDescent="0.35">
      <c r="D1854" s="66"/>
      <c r="E1854" s="66"/>
      <c r="F1854" s="66"/>
    </row>
    <row r="1855" spans="4:6" x14ac:dyDescent="0.35">
      <c r="D1855" s="66"/>
      <c r="E1855" s="66"/>
      <c r="F1855" s="66"/>
    </row>
    <row r="1856" spans="4:6" x14ac:dyDescent="0.35">
      <c r="D1856" s="66"/>
      <c r="E1856" s="66"/>
      <c r="F1856" s="66"/>
    </row>
    <row r="1857" spans="4:6" x14ac:dyDescent="0.35">
      <c r="D1857" s="66"/>
      <c r="E1857" s="66"/>
      <c r="F1857" s="66"/>
    </row>
    <row r="1858" spans="4:6" x14ac:dyDescent="0.35">
      <c r="D1858" s="66"/>
      <c r="E1858" s="66"/>
      <c r="F1858" s="66"/>
    </row>
    <row r="1859" spans="4:6" x14ac:dyDescent="0.35">
      <c r="D1859" s="66"/>
      <c r="E1859" s="66"/>
      <c r="F1859" s="66"/>
    </row>
    <row r="1860" spans="4:6" x14ac:dyDescent="0.35">
      <c r="D1860" s="66"/>
      <c r="E1860" s="66"/>
      <c r="F1860" s="66"/>
    </row>
    <row r="1861" spans="4:6" x14ac:dyDescent="0.35">
      <c r="D1861" s="66"/>
      <c r="E1861" s="66"/>
      <c r="F1861" s="66"/>
    </row>
    <row r="1862" spans="4:6" x14ac:dyDescent="0.35">
      <c r="D1862" s="66"/>
      <c r="E1862" s="66"/>
      <c r="F1862" s="66"/>
    </row>
    <row r="1863" spans="4:6" x14ac:dyDescent="0.35">
      <c r="D1863" s="66"/>
      <c r="E1863" s="66"/>
      <c r="F1863" s="66"/>
    </row>
    <row r="1864" spans="4:6" x14ac:dyDescent="0.35">
      <c r="D1864" s="66"/>
      <c r="E1864" s="66"/>
      <c r="F1864" s="66"/>
    </row>
    <row r="1865" spans="4:6" x14ac:dyDescent="0.35">
      <c r="D1865" s="66"/>
      <c r="E1865" s="66"/>
      <c r="F1865" s="66"/>
    </row>
    <row r="1866" spans="4:6" x14ac:dyDescent="0.35">
      <c r="D1866" s="66"/>
      <c r="E1866" s="66"/>
      <c r="F1866" s="66"/>
    </row>
    <row r="1867" spans="4:6" x14ac:dyDescent="0.35">
      <c r="D1867" s="66"/>
      <c r="E1867" s="66"/>
      <c r="F1867" s="66"/>
    </row>
    <row r="1868" spans="4:6" x14ac:dyDescent="0.35">
      <c r="D1868" s="66"/>
      <c r="E1868" s="66"/>
      <c r="F1868" s="66"/>
    </row>
    <row r="1869" spans="4:6" x14ac:dyDescent="0.35">
      <c r="D1869" s="66"/>
      <c r="E1869" s="66"/>
      <c r="F1869" s="66"/>
    </row>
    <row r="1870" spans="4:6" x14ac:dyDescent="0.35">
      <c r="D1870" s="66"/>
      <c r="E1870" s="66"/>
      <c r="F1870" s="66"/>
    </row>
    <row r="1871" spans="4:6" x14ac:dyDescent="0.35">
      <c r="D1871" s="66"/>
      <c r="E1871" s="66"/>
      <c r="F1871" s="66"/>
    </row>
    <row r="1872" spans="4:6" x14ac:dyDescent="0.35">
      <c r="D1872" s="66"/>
      <c r="E1872" s="66"/>
      <c r="F1872" s="66"/>
    </row>
    <row r="1873" spans="4:6" x14ac:dyDescent="0.35">
      <c r="D1873" s="66"/>
      <c r="E1873" s="66"/>
      <c r="F1873" s="66"/>
    </row>
    <row r="1874" spans="4:6" x14ac:dyDescent="0.35">
      <c r="D1874" s="66"/>
      <c r="E1874" s="66"/>
      <c r="F1874" s="66"/>
    </row>
    <row r="1875" spans="4:6" x14ac:dyDescent="0.35">
      <c r="D1875" s="66"/>
      <c r="E1875" s="66"/>
      <c r="F1875" s="66"/>
    </row>
    <row r="1876" spans="4:6" x14ac:dyDescent="0.35">
      <c r="D1876" s="66"/>
      <c r="E1876" s="66"/>
      <c r="F1876" s="66"/>
    </row>
    <row r="1877" spans="4:6" x14ac:dyDescent="0.35">
      <c r="D1877" s="66"/>
      <c r="E1877" s="66"/>
      <c r="F1877" s="66"/>
    </row>
    <row r="1878" spans="4:6" x14ac:dyDescent="0.35">
      <c r="D1878" s="66"/>
      <c r="E1878" s="66"/>
      <c r="F1878" s="66"/>
    </row>
    <row r="1879" spans="4:6" x14ac:dyDescent="0.35">
      <c r="D1879" s="66"/>
      <c r="E1879" s="66"/>
      <c r="F1879" s="66"/>
    </row>
    <row r="1880" spans="4:6" x14ac:dyDescent="0.35">
      <c r="D1880" s="66"/>
      <c r="E1880" s="66"/>
      <c r="F1880" s="66"/>
    </row>
    <row r="1881" spans="4:6" x14ac:dyDescent="0.35">
      <c r="D1881" s="66"/>
      <c r="E1881" s="66"/>
      <c r="F1881" s="66"/>
    </row>
    <row r="1882" spans="4:6" x14ac:dyDescent="0.35">
      <c r="D1882" s="66"/>
      <c r="E1882" s="66"/>
      <c r="F1882" s="66"/>
    </row>
    <row r="1883" spans="4:6" x14ac:dyDescent="0.35">
      <c r="D1883" s="66"/>
      <c r="E1883" s="66"/>
      <c r="F1883" s="66"/>
    </row>
    <row r="1884" spans="4:6" x14ac:dyDescent="0.35">
      <c r="D1884" s="66"/>
      <c r="E1884" s="66"/>
      <c r="F1884" s="66"/>
    </row>
    <row r="1885" spans="4:6" x14ac:dyDescent="0.35">
      <c r="D1885" s="66"/>
      <c r="E1885" s="66"/>
      <c r="F1885" s="66"/>
    </row>
    <row r="1886" spans="4:6" x14ac:dyDescent="0.35">
      <c r="D1886" s="66"/>
      <c r="E1886" s="66"/>
      <c r="F1886" s="66"/>
    </row>
    <row r="1887" spans="4:6" x14ac:dyDescent="0.35">
      <c r="D1887" s="66"/>
      <c r="E1887" s="66"/>
      <c r="F1887" s="66"/>
    </row>
    <row r="1888" spans="4:6" x14ac:dyDescent="0.35">
      <c r="D1888" s="66"/>
      <c r="E1888" s="66"/>
      <c r="F1888" s="66"/>
    </row>
    <row r="1889" spans="4:6" x14ac:dyDescent="0.35">
      <c r="D1889" s="66"/>
      <c r="E1889" s="66"/>
      <c r="F1889" s="66"/>
    </row>
    <row r="1890" spans="4:6" x14ac:dyDescent="0.35">
      <c r="D1890" s="66"/>
      <c r="E1890" s="66"/>
      <c r="F1890" s="66"/>
    </row>
    <row r="1891" spans="4:6" x14ac:dyDescent="0.35">
      <c r="D1891" s="66"/>
      <c r="E1891" s="66"/>
      <c r="F1891" s="66"/>
    </row>
    <row r="1892" spans="4:6" x14ac:dyDescent="0.35">
      <c r="D1892" s="66"/>
      <c r="E1892" s="66"/>
      <c r="F1892" s="66"/>
    </row>
    <row r="1893" spans="4:6" x14ac:dyDescent="0.35">
      <c r="D1893" s="66"/>
      <c r="E1893" s="66"/>
      <c r="F1893" s="66"/>
    </row>
    <row r="1894" spans="4:6" x14ac:dyDescent="0.35">
      <c r="D1894" s="66"/>
      <c r="E1894" s="66"/>
      <c r="F1894" s="66"/>
    </row>
    <row r="1895" spans="4:6" x14ac:dyDescent="0.35">
      <c r="D1895" s="66"/>
      <c r="E1895" s="66"/>
      <c r="F1895" s="66"/>
    </row>
    <row r="1896" spans="4:6" x14ac:dyDescent="0.35">
      <c r="D1896" s="66"/>
      <c r="E1896" s="66"/>
      <c r="F1896" s="66"/>
    </row>
    <row r="1897" spans="4:6" x14ac:dyDescent="0.35">
      <c r="D1897" s="66"/>
      <c r="E1897" s="66"/>
      <c r="F1897" s="66"/>
    </row>
    <row r="1898" spans="4:6" x14ac:dyDescent="0.35">
      <c r="D1898" s="66"/>
      <c r="E1898" s="66"/>
      <c r="F1898" s="66"/>
    </row>
    <row r="1899" spans="4:6" x14ac:dyDescent="0.35">
      <c r="D1899" s="66"/>
      <c r="E1899" s="66"/>
      <c r="F1899" s="66"/>
    </row>
    <row r="1900" spans="4:6" x14ac:dyDescent="0.35">
      <c r="D1900" s="66"/>
      <c r="E1900" s="66"/>
      <c r="F1900" s="66"/>
    </row>
    <row r="1901" spans="4:6" x14ac:dyDescent="0.35">
      <c r="D1901" s="66"/>
      <c r="E1901" s="66"/>
      <c r="F1901" s="66"/>
    </row>
    <row r="1902" spans="4:6" x14ac:dyDescent="0.35">
      <c r="D1902" s="66"/>
      <c r="E1902" s="66"/>
      <c r="F1902" s="66"/>
    </row>
    <row r="1903" spans="4:6" x14ac:dyDescent="0.35">
      <c r="D1903" s="66"/>
      <c r="E1903" s="66"/>
      <c r="F1903" s="66"/>
    </row>
    <row r="1904" spans="4:6" x14ac:dyDescent="0.35">
      <c r="D1904" s="66"/>
      <c r="E1904" s="66"/>
      <c r="F1904" s="66"/>
    </row>
    <row r="1905" spans="4:6" x14ac:dyDescent="0.35">
      <c r="D1905" s="66"/>
      <c r="E1905" s="66"/>
      <c r="F1905" s="66"/>
    </row>
    <row r="1906" spans="4:6" x14ac:dyDescent="0.35">
      <c r="D1906" s="66"/>
      <c r="E1906" s="66"/>
      <c r="F1906" s="66"/>
    </row>
    <row r="1907" spans="4:6" x14ac:dyDescent="0.35">
      <c r="D1907" s="66"/>
      <c r="E1907" s="66"/>
      <c r="F1907" s="66"/>
    </row>
    <row r="1908" spans="4:6" x14ac:dyDescent="0.35">
      <c r="D1908" s="66"/>
      <c r="E1908" s="66"/>
      <c r="F1908" s="66"/>
    </row>
    <row r="1909" spans="4:6" x14ac:dyDescent="0.35">
      <c r="D1909" s="66"/>
      <c r="E1909" s="66"/>
      <c r="F1909" s="66"/>
    </row>
    <row r="1910" spans="4:6" x14ac:dyDescent="0.35">
      <c r="D1910" s="66"/>
      <c r="E1910" s="66"/>
      <c r="F1910" s="66"/>
    </row>
    <row r="1911" spans="4:6" x14ac:dyDescent="0.35">
      <c r="D1911" s="66"/>
      <c r="E1911" s="66"/>
      <c r="F1911" s="66"/>
    </row>
    <row r="1912" spans="4:6" x14ac:dyDescent="0.35">
      <c r="D1912" s="66"/>
      <c r="E1912" s="66"/>
      <c r="F1912" s="66"/>
    </row>
    <row r="1913" spans="4:6" x14ac:dyDescent="0.35">
      <c r="D1913" s="66"/>
      <c r="E1913" s="66"/>
      <c r="F1913" s="66"/>
    </row>
    <row r="1914" spans="4:6" x14ac:dyDescent="0.35">
      <c r="D1914" s="66"/>
      <c r="E1914" s="66"/>
      <c r="F1914" s="66"/>
    </row>
    <row r="1915" spans="4:6" x14ac:dyDescent="0.35">
      <c r="D1915" s="66"/>
      <c r="E1915" s="66"/>
      <c r="F1915" s="66"/>
    </row>
    <row r="1916" spans="4:6" x14ac:dyDescent="0.35">
      <c r="D1916" s="66"/>
      <c r="E1916" s="66"/>
      <c r="F1916" s="66"/>
    </row>
    <row r="1917" spans="4:6" x14ac:dyDescent="0.35">
      <c r="D1917" s="66"/>
      <c r="E1917" s="66"/>
      <c r="F1917" s="66"/>
    </row>
    <row r="1918" spans="4:6" x14ac:dyDescent="0.35">
      <c r="D1918" s="66"/>
      <c r="E1918" s="66"/>
      <c r="F1918" s="66"/>
    </row>
    <row r="1919" spans="4:6" x14ac:dyDescent="0.35">
      <c r="D1919" s="66"/>
      <c r="E1919" s="66"/>
      <c r="F1919" s="66"/>
    </row>
    <row r="1920" spans="4:6" x14ac:dyDescent="0.35">
      <c r="D1920" s="66"/>
      <c r="E1920" s="66"/>
      <c r="F1920" s="66"/>
    </row>
    <row r="1921" spans="4:6" x14ac:dyDescent="0.35">
      <c r="D1921" s="66"/>
      <c r="E1921" s="66"/>
      <c r="F1921" s="66"/>
    </row>
    <row r="1922" spans="4:6" x14ac:dyDescent="0.35">
      <c r="D1922" s="66"/>
      <c r="E1922" s="66"/>
      <c r="F1922" s="66"/>
    </row>
    <row r="1923" spans="4:6" x14ac:dyDescent="0.35">
      <c r="D1923" s="66"/>
      <c r="E1923" s="66"/>
      <c r="F1923" s="66"/>
    </row>
    <row r="1924" spans="4:6" x14ac:dyDescent="0.35">
      <c r="D1924" s="66"/>
      <c r="E1924" s="66"/>
      <c r="F1924" s="66"/>
    </row>
    <row r="1925" spans="4:6" x14ac:dyDescent="0.35">
      <c r="D1925" s="66"/>
      <c r="E1925" s="66"/>
      <c r="F1925" s="66"/>
    </row>
    <row r="1926" spans="4:6" x14ac:dyDescent="0.35">
      <c r="D1926" s="66"/>
      <c r="E1926" s="66"/>
      <c r="F1926" s="66"/>
    </row>
    <row r="1927" spans="4:6" x14ac:dyDescent="0.35">
      <c r="D1927" s="66"/>
      <c r="E1927" s="66"/>
      <c r="F1927" s="66"/>
    </row>
    <row r="1928" spans="4:6" x14ac:dyDescent="0.35">
      <c r="D1928" s="66"/>
      <c r="E1928" s="66"/>
      <c r="F1928" s="66"/>
    </row>
    <row r="1929" spans="4:6" x14ac:dyDescent="0.35">
      <c r="D1929" s="66"/>
      <c r="E1929" s="66"/>
      <c r="F1929" s="66"/>
    </row>
    <row r="1930" spans="4:6" x14ac:dyDescent="0.35">
      <c r="D1930" s="66"/>
      <c r="E1930" s="66"/>
      <c r="F1930" s="66"/>
    </row>
    <row r="1931" spans="4:6" x14ac:dyDescent="0.35">
      <c r="D1931" s="66"/>
      <c r="E1931" s="66"/>
      <c r="F1931" s="66"/>
    </row>
    <row r="1932" spans="4:6" x14ac:dyDescent="0.35">
      <c r="D1932" s="66"/>
      <c r="E1932" s="66"/>
      <c r="F1932" s="66"/>
    </row>
    <row r="1933" spans="4:6" x14ac:dyDescent="0.35">
      <c r="D1933" s="66"/>
      <c r="E1933" s="66"/>
      <c r="F1933" s="66"/>
    </row>
    <row r="1934" spans="4:6" x14ac:dyDescent="0.35">
      <c r="D1934" s="66"/>
      <c r="E1934" s="66"/>
      <c r="F1934" s="66"/>
    </row>
    <row r="1935" spans="4:6" x14ac:dyDescent="0.35">
      <c r="D1935" s="66"/>
      <c r="E1935" s="66"/>
      <c r="F1935" s="66"/>
    </row>
    <row r="1936" spans="4:6" x14ac:dyDescent="0.35">
      <c r="D1936" s="66"/>
      <c r="E1936" s="66"/>
      <c r="F1936" s="66"/>
    </row>
    <row r="1937" spans="4:6" x14ac:dyDescent="0.35">
      <c r="D1937" s="66"/>
      <c r="E1937" s="66"/>
      <c r="F1937" s="66"/>
    </row>
    <row r="1938" spans="4:6" x14ac:dyDescent="0.35">
      <c r="D1938" s="66"/>
      <c r="E1938" s="66"/>
      <c r="F1938" s="66"/>
    </row>
    <row r="1939" spans="4:6" x14ac:dyDescent="0.35">
      <c r="D1939" s="66"/>
      <c r="E1939" s="66"/>
      <c r="F1939" s="66"/>
    </row>
    <row r="1940" spans="4:6" x14ac:dyDescent="0.35">
      <c r="D1940" s="66"/>
      <c r="E1940" s="66"/>
      <c r="F1940" s="66"/>
    </row>
    <row r="1941" spans="4:6" x14ac:dyDescent="0.35">
      <c r="D1941" s="66"/>
      <c r="E1941" s="66"/>
      <c r="F1941" s="66"/>
    </row>
    <row r="1942" spans="4:6" x14ac:dyDescent="0.35">
      <c r="D1942" s="66"/>
      <c r="E1942" s="66"/>
      <c r="F1942" s="66"/>
    </row>
    <row r="1943" spans="4:6" x14ac:dyDescent="0.35">
      <c r="D1943" s="66"/>
      <c r="E1943" s="66"/>
      <c r="F1943" s="66"/>
    </row>
    <row r="1944" spans="4:6" x14ac:dyDescent="0.35">
      <c r="D1944" s="66"/>
      <c r="E1944" s="66"/>
      <c r="F1944" s="66"/>
    </row>
    <row r="1945" spans="4:6" x14ac:dyDescent="0.35">
      <c r="D1945" s="66"/>
      <c r="E1945" s="66"/>
      <c r="F1945" s="66"/>
    </row>
    <row r="1946" spans="4:6" x14ac:dyDescent="0.35">
      <c r="D1946" s="66"/>
      <c r="E1946" s="66"/>
      <c r="F1946" s="66"/>
    </row>
    <row r="1947" spans="4:6" x14ac:dyDescent="0.35">
      <c r="D1947" s="66"/>
      <c r="E1947" s="66"/>
      <c r="F1947" s="66"/>
    </row>
    <row r="1948" spans="4:6" x14ac:dyDescent="0.35">
      <c r="D1948" s="66"/>
      <c r="E1948" s="66"/>
      <c r="F1948" s="66"/>
    </row>
    <row r="1949" spans="4:6" x14ac:dyDescent="0.35">
      <c r="D1949" s="66"/>
      <c r="E1949" s="66"/>
      <c r="F1949" s="66"/>
    </row>
    <row r="1950" spans="4:6" x14ac:dyDescent="0.35">
      <c r="D1950" s="66"/>
      <c r="E1950" s="66"/>
      <c r="F1950" s="66"/>
    </row>
    <row r="1951" spans="4:6" x14ac:dyDescent="0.35">
      <c r="D1951" s="66"/>
      <c r="E1951" s="66"/>
      <c r="F1951" s="66"/>
    </row>
    <row r="1952" spans="4:6" x14ac:dyDescent="0.35">
      <c r="D1952" s="66"/>
      <c r="E1952" s="66"/>
      <c r="F1952" s="66"/>
    </row>
    <row r="1953" spans="4:6" x14ac:dyDescent="0.35">
      <c r="D1953" s="66"/>
      <c r="E1953" s="66"/>
      <c r="F1953" s="66"/>
    </row>
    <row r="1954" spans="4:6" x14ac:dyDescent="0.35">
      <c r="D1954" s="66"/>
      <c r="E1954" s="66"/>
      <c r="F1954" s="66"/>
    </row>
    <row r="1955" spans="4:6" x14ac:dyDescent="0.35">
      <c r="D1955" s="66"/>
      <c r="E1955" s="66"/>
      <c r="F1955" s="66"/>
    </row>
    <row r="1956" spans="4:6" x14ac:dyDescent="0.35">
      <c r="D1956" s="66"/>
      <c r="E1956" s="66"/>
      <c r="F1956" s="66"/>
    </row>
    <row r="1957" spans="4:6" x14ac:dyDescent="0.35">
      <c r="D1957" s="66"/>
      <c r="E1957" s="66"/>
      <c r="F1957" s="66"/>
    </row>
    <row r="1958" spans="4:6" x14ac:dyDescent="0.35">
      <c r="D1958" s="66"/>
      <c r="E1958" s="66"/>
      <c r="F1958" s="66"/>
    </row>
    <row r="1959" spans="4:6" x14ac:dyDescent="0.35">
      <c r="D1959" s="66"/>
      <c r="E1959" s="66"/>
      <c r="F1959" s="66"/>
    </row>
    <row r="1960" spans="4:6" x14ac:dyDescent="0.35">
      <c r="D1960" s="66"/>
      <c r="E1960" s="66"/>
      <c r="F1960" s="66"/>
    </row>
    <row r="1961" spans="4:6" x14ac:dyDescent="0.35">
      <c r="D1961" s="66"/>
      <c r="E1961" s="66"/>
      <c r="F1961" s="66"/>
    </row>
    <row r="1962" spans="4:6" x14ac:dyDescent="0.35">
      <c r="D1962" s="66"/>
      <c r="E1962" s="66"/>
      <c r="F1962" s="66"/>
    </row>
    <row r="1963" spans="4:6" x14ac:dyDescent="0.35">
      <c r="D1963" s="66"/>
      <c r="E1963" s="66"/>
      <c r="F1963" s="66"/>
    </row>
    <row r="1964" spans="4:6" x14ac:dyDescent="0.35">
      <c r="D1964" s="66"/>
      <c r="E1964" s="66"/>
      <c r="F1964" s="66"/>
    </row>
    <row r="1965" spans="4:6" x14ac:dyDescent="0.35">
      <c r="D1965" s="66"/>
      <c r="E1965" s="66"/>
      <c r="F1965" s="66"/>
    </row>
    <row r="1966" spans="4:6" x14ac:dyDescent="0.35">
      <c r="D1966" s="66"/>
      <c r="E1966" s="66"/>
      <c r="F1966" s="66"/>
    </row>
    <row r="1967" spans="4:6" x14ac:dyDescent="0.35">
      <c r="D1967" s="66"/>
      <c r="E1967" s="66"/>
      <c r="F1967" s="66"/>
    </row>
    <row r="1968" spans="4:6" x14ac:dyDescent="0.35">
      <c r="D1968" s="66"/>
      <c r="E1968" s="66"/>
      <c r="F1968" s="66"/>
    </row>
    <row r="1969" spans="4:6" x14ac:dyDescent="0.35">
      <c r="D1969" s="66"/>
      <c r="E1969" s="66"/>
      <c r="F1969" s="66"/>
    </row>
    <row r="1970" spans="4:6" x14ac:dyDescent="0.35">
      <c r="D1970" s="66"/>
      <c r="E1970" s="66"/>
      <c r="F1970" s="66"/>
    </row>
    <row r="1971" spans="4:6" x14ac:dyDescent="0.35">
      <c r="D1971" s="66"/>
      <c r="E1971" s="66"/>
      <c r="F1971" s="66"/>
    </row>
    <row r="1972" spans="4:6" x14ac:dyDescent="0.35">
      <c r="D1972" s="66"/>
      <c r="E1972" s="66"/>
      <c r="F1972" s="66"/>
    </row>
    <row r="1973" spans="4:6" x14ac:dyDescent="0.35">
      <c r="D1973" s="66"/>
      <c r="E1973" s="66"/>
      <c r="F1973" s="66"/>
    </row>
    <row r="1974" spans="4:6" x14ac:dyDescent="0.35">
      <c r="D1974" s="66"/>
      <c r="E1974" s="66"/>
      <c r="F1974" s="66"/>
    </row>
    <row r="1975" spans="4:6" x14ac:dyDescent="0.35">
      <c r="D1975" s="66"/>
      <c r="E1975" s="66"/>
      <c r="F1975" s="66"/>
    </row>
    <row r="1976" spans="4:6" x14ac:dyDescent="0.35">
      <c r="D1976" s="66"/>
      <c r="E1976" s="66"/>
      <c r="F1976" s="66"/>
    </row>
    <row r="1977" spans="4:6" x14ac:dyDescent="0.35">
      <c r="D1977" s="66"/>
      <c r="E1977" s="66"/>
      <c r="F1977" s="66"/>
    </row>
    <row r="1978" spans="4:6" x14ac:dyDescent="0.35">
      <c r="D1978" s="66"/>
      <c r="E1978" s="66"/>
      <c r="F1978" s="66"/>
    </row>
    <row r="1979" spans="4:6" x14ac:dyDescent="0.35">
      <c r="D1979" s="66"/>
      <c r="E1979" s="66"/>
      <c r="F1979" s="66"/>
    </row>
    <row r="1980" spans="4:6" x14ac:dyDescent="0.35">
      <c r="D1980" s="66"/>
      <c r="E1980" s="66"/>
      <c r="F1980" s="66"/>
    </row>
    <row r="1981" spans="4:6" x14ac:dyDescent="0.35">
      <c r="D1981" s="66"/>
      <c r="E1981" s="66"/>
      <c r="F1981" s="66"/>
    </row>
    <row r="1982" spans="4:6" x14ac:dyDescent="0.35">
      <c r="D1982" s="66"/>
      <c r="E1982" s="66"/>
      <c r="F1982" s="66"/>
    </row>
    <row r="1983" spans="4:6" x14ac:dyDescent="0.35">
      <c r="D1983" s="66"/>
      <c r="E1983" s="66"/>
      <c r="F1983" s="66"/>
    </row>
    <row r="1984" spans="4:6" x14ac:dyDescent="0.35">
      <c r="D1984" s="66"/>
      <c r="E1984" s="66"/>
      <c r="F1984" s="66"/>
    </row>
    <row r="1985" spans="4:6" x14ac:dyDescent="0.35">
      <c r="D1985" s="66"/>
      <c r="E1985" s="66"/>
      <c r="F1985" s="66"/>
    </row>
    <row r="1986" spans="4:6" x14ac:dyDescent="0.35">
      <c r="D1986" s="66"/>
      <c r="E1986" s="66"/>
      <c r="F1986" s="66"/>
    </row>
    <row r="1987" spans="4:6" x14ac:dyDescent="0.35">
      <c r="D1987" s="66"/>
      <c r="E1987" s="66"/>
      <c r="F1987" s="66"/>
    </row>
    <row r="1988" spans="4:6" x14ac:dyDescent="0.35">
      <c r="D1988" s="66"/>
      <c r="E1988" s="66"/>
      <c r="F1988" s="66"/>
    </row>
    <row r="1989" spans="4:6" x14ac:dyDescent="0.35">
      <c r="D1989" s="66"/>
      <c r="E1989" s="66"/>
      <c r="F1989" s="66"/>
    </row>
    <row r="1990" spans="4:6" x14ac:dyDescent="0.35">
      <c r="D1990" s="66"/>
      <c r="E1990" s="66"/>
      <c r="F1990" s="66"/>
    </row>
    <row r="1991" spans="4:6" x14ac:dyDescent="0.35">
      <c r="D1991" s="66"/>
      <c r="E1991" s="66"/>
      <c r="F1991" s="66"/>
    </row>
    <row r="1992" spans="4:6" x14ac:dyDescent="0.35">
      <c r="D1992" s="66"/>
      <c r="E1992" s="66"/>
      <c r="F1992" s="66"/>
    </row>
    <row r="1993" spans="4:6" x14ac:dyDescent="0.35">
      <c r="D1993" s="66"/>
      <c r="E1993" s="66"/>
      <c r="F1993" s="66"/>
    </row>
    <row r="1994" spans="4:6" x14ac:dyDescent="0.35">
      <c r="D1994" s="66"/>
      <c r="E1994" s="66"/>
      <c r="F1994" s="66"/>
    </row>
    <row r="1995" spans="4:6" x14ac:dyDescent="0.35">
      <c r="D1995" s="66"/>
      <c r="E1995" s="66"/>
      <c r="F1995" s="66"/>
    </row>
    <row r="1996" spans="4:6" x14ac:dyDescent="0.35">
      <c r="D1996" s="66"/>
      <c r="E1996" s="66"/>
      <c r="F1996" s="66"/>
    </row>
    <row r="1997" spans="4:6" x14ac:dyDescent="0.35">
      <c r="D1997" s="66"/>
      <c r="E1997" s="66"/>
      <c r="F1997" s="66"/>
    </row>
    <row r="1998" spans="4:6" x14ac:dyDescent="0.35">
      <c r="D1998" s="66"/>
      <c r="E1998" s="66"/>
      <c r="F1998" s="66"/>
    </row>
    <row r="1999" spans="4:6" x14ac:dyDescent="0.35">
      <c r="D1999" s="66"/>
      <c r="E1999" s="66"/>
      <c r="F1999" s="66"/>
    </row>
    <row r="2000" spans="4:6" x14ac:dyDescent="0.35">
      <c r="D2000" s="66"/>
      <c r="E2000" s="66"/>
      <c r="F2000" s="66"/>
    </row>
    <row r="2001" spans="4:6" x14ac:dyDescent="0.35">
      <c r="D2001" s="66"/>
      <c r="E2001" s="66"/>
      <c r="F2001" s="66"/>
    </row>
    <row r="2002" spans="4:6" x14ac:dyDescent="0.35">
      <c r="D2002" s="66"/>
      <c r="E2002" s="66"/>
      <c r="F2002" s="66"/>
    </row>
    <row r="2003" spans="4:6" x14ac:dyDescent="0.35">
      <c r="D2003" s="66"/>
      <c r="E2003" s="66"/>
      <c r="F2003" s="66"/>
    </row>
    <row r="2004" spans="4:6" x14ac:dyDescent="0.35">
      <c r="D2004" s="66"/>
      <c r="E2004" s="66"/>
      <c r="F2004" s="66"/>
    </row>
    <row r="2005" spans="4:6" x14ac:dyDescent="0.35">
      <c r="D2005" s="66"/>
      <c r="E2005" s="66"/>
      <c r="F2005" s="66"/>
    </row>
    <row r="2006" spans="4:6" x14ac:dyDescent="0.35">
      <c r="D2006" s="66"/>
      <c r="E2006" s="66"/>
      <c r="F2006" s="66"/>
    </row>
    <row r="2007" spans="4:6" x14ac:dyDescent="0.35">
      <c r="D2007" s="66"/>
      <c r="E2007" s="66"/>
      <c r="F2007" s="66"/>
    </row>
    <row r="2008" spans="4:6" x14ac:dyDescent="0.35">
      <c r="D2008" s="66"/>
      <c r="E2008" s="66"/>
      <c r="F2008" s="66"/>
    </row>
    <row r="2009" spans="4:6" x14ac:dyDescent="0.35">
      <c r="D2009" s="66"/>
      <c r="E2009" s="66"/>
      <c r="F2009" s="66"/>
    </row>
    <row r="2010" spans="4:6" x14ac:dyDescent="0.35">
      <c r="D2010" s="66"/>
      <c r="E2010" s="66"/>
      <c r="F2010" s="66"/>
    </row>
    <row r="2011" spans="4:6" x14ac:dyDescent="0.35">
      <c r="D2011" s="66"/>
      <c r="E2011" s="66"/>
      <c r="F2011" s="66"/>
    </row>
    <row r="2012" spans="4:6" x14ac:dyDescent="0.35">
      <c r="D2012" s="66"/>
      <c r="E2012" s="66"/>
      <c r="F2012" s="66"/>
    </row>
    <row r="2013" spans="4:6" x14ac:dyDescent="0.35">
      <c r="D2013" s="66"/>
      <c r="E2013" s="66"/>
      <c r="F2013" s="66"/>
    </row>
    <row r="2014" spans="4:6" x14ac:dyDescent="0.35">
      <c r="D2014" s="66"/>
      <c r="E2014" s="66"/>
      <c r="F2014" s="66"/>
    </row>
    <row r="2015" spans="4:6" x14ac:dyDescent="0.35">
      <c r="D2015" s="66"/>
      <c r="E2015" s="66"/>
      <c r="F2015" s="66"/>
    </row>
    <row r="2016" spans="4:6" x14ac:dyDescent="0.35">
      <c r="D2016" s="66"/>
      <c r="E2016" s="66"/>
      <c r="F2016" s="66"/>
    </row>
    <row r="2017" spans="4:6" x14ac:dyDescent="0.35">
      <c r="D2017" s="66"/>
      <c r="E2017" s="66"/>
      <c r="F2017" s="66"/>
    </row>
    <row r="2018" spans="4:6" x14ac:dyDescent="0.35">
      <c r="D2018" s="66"/>
      <c r="E2018" s="66"/>
      <c r="F2018" s="66"/>
    </row>
    <row r="2019" spans="4:6" x14ac:dyDescent="0.35">
      <c r="D2019" s="66"/>
      <c r="E2019" s="66"/>
      <c r="F2019" s="66"/>
    </row>
    <row r="2020" spans="4:6" x14ac:dyDescent="0.35">
      <c r="D2020" s="66"/>
      <c r="E2020" s="66"/>
      <c r="F2020" s="66"/>
    </row>
    <row r="2021" spans="4:6" x14ac:dyDescent="0.35">
      <c r="D2021" s="66"/>
      <c r="E2021" s="66"/>
      <c r="F2021" s="66"/>
    </row>
    <row r="2022" spans="4:6" x14ac:dyDescent="0.35">
      <c r="D2022" s="66"/>
      <c r="E2022" s="66"/>
      <c r="F2022" s="66"/>
    </row>
    <row r="2023" spans="4:6" x14ac:dyDescent="0.35">
      <c r="D2023" s="66"/>
      <c r="E2023" s="66"/>
      <c r="F2023" s="66"/>
    </row>
    <row r="2024" spans="4:6" x14ac:dyDescent="0.35">
      <c r="D2024" s="66"/>
      <c r="E2024" s="66"/>
      <c r="F2024" s="66"/>
    </row>
    <row r="2025" spans="4:6" x14ac:dyDescent="0.35">
      <c r="D2025" s="66"/>
      <c r="E2025" s="66"/>
      <c r="F2025" s="66"/>
    </row>
    <row r="2026" spans="4:6" x14ac:dyDescent="0.35">
      <c r="D2026" s="66"/>
      <c r="E2026" s="66"/>
      <c r="F2026" s="66"/>
    </row>
    <row r="2027" spans="4:6" x14ac:dyDescent="0.35">
      <c r="D2027" s="66"/>
      <c r="E2027" s="66"/>
      <c r="F2027" s="66"/>
    </row>
    <row r="2028" spans="4:6" x14ac:dyDescent="0.35">
      <c r="D2028" s="66"/>
      <c r="E2028" s="66"/>
      <c r="F2028" s="66"/>
    </row>
    <row r="2029" spans="4:6" x14ac:dyDescent="0.35">
      <c r="D2029" s="66"/>
      <c r="E2029" s="66"/>
      <c r="F2029" s="66"/>
    </row>
    <row r="2030" spans="4:6" x14ac:dyDescent="0.35">
      <c r="D2030" s="66"/>
      <c r="E2030" s="66"/>
      <c r="F2030" s="66"/>
    </row>
    <row r="2031" spans="4:6" x14ac:dyDescent="0.35">
      <c r="D2031" s="66"/>
      <c r="E2031" s="66"/>
      <c r="F2031" s="66"/>
    </row>
    <row r="2032" spans="4:6" x14ac:dyDescent="0.35">
      <c r="D2032" s="66"/>
      <c r="E2032" s="66"/>
      <c r="F2032" s="66"/>
    </row>
    <row r="2033" spans="4:6" x14ac:dyDescent="0.35">
      <c r="D2033" s="66"/>
      <c r="E2033" s="66"/>
      <c r="F2033" s="66"/>
    </row>
    <row r="2034" spans="4:6" x14ac:dyDescent="0.35">
      <c r="D2034" s="66"/>
      <c r="E2034" s="66"/>
      <c r="F2034" s="66"/>
    </row>
    <row r="2035" spans="4:6" x14ac:dyDescent="0.35">
      <c r="D2035" s="66"/>
      <c r="E2035" s="66"/>
      <c r="F2035" s="66"/>
    </row>
    <row r="2036" spans="4:6" x14ac:dyDescent="0.35">
      <c r="D2036" s="66"/>
      <c r="E2036" s="66"/>
      <c r="F2036" s="66"/>
    </row>
    <row r="2037" spans="4:6" x14ac:dyDescent="0.35">
      <c r="D2037" s="66"/>
      <c r="E2037" s="66"/>
      <c r="F2037" s="66"/>
    </row>
    <row r="2038" spans="4:6" x14ac:dyDescent="0.35">
      <c r="D2038" s="66"/>
      <c r="E2038" s="66"/>
      <c r="F2038" s="66"/>
    </row>
    <row r="2039" spans="4:6" x14ac:dyDescent="0.35">
      <c r="D2039" s="66"/>
      <c r="E2039" s="66"/>
      <c r="F2039" s="66"/>
    </row>
    <row r="2040" spans="4:6" x14ac:dyDescent="0.35">
      <c r="D2040" s="66"/>
      <c r="E2040" s="66"/>
      <c r="F2040" s="66"/>
    </row>
    <row r="2041" spans="4:6" x14ac:dyDescent="0.35">
      <c r="D2041" s="66"/>
      <c r="E2041" s="66"/>
      <c r="F2041" s="66"/>
    </row>
    <row r="2042" spans="4:6" x14ac:dyDescent="0.35">
      <c r="D2042" s="66"/>
      <c r="E2042" s="66"/>
      <c r="F2042" s="66"/>
    </row>
    <row r="2043" spans="4:6" x14ac:dyDescent="0.35">
      <c r="D2043" s="66"/>
      <c r="E2043" s="66"/>
      <c r="F2043" s="66"/>
    </row>
    <row r="2044" spans="4:6" x14ac:dyDescent="0.35">
      <c r="D2044" s="66"/>
      <c r="E2044" s="66"/>
      <c r="F2044" s="66"/>
    </row>
    <row r="2045" spans="4:6" x14ac:dyDescent="0.35">
      <c r="D2045" s="66"/>
      <c r="E2045" s="66"/>
      <c r="F2045" s="66"/>
    </row>
    <row r="2046" spans="4:6" x14ac:dyDescent="0.35">
      <c r="D2046" s="66"/>
      <c r="E2046" s="66"/>
      <c r="F2046" s="66"/>
    </row>
    <row r="2047" spans="4:6" x14ac:dyDescent="0.35">
      <c r="D2047" s="66"/>
      <c r="E2047" s="66"/>
      <c r="F2047" s="66"/>
    </row>
    <row r="2048" spans="4:6" x14ac:dyDescent="0.35">
      <c r="D2048" s="66"/>
      <c r="E2048" s="66"/>
      <c r="F2048" s="66"/>
    </row>
    <row r="2049" spans="4:6" x14ac:dyDescent="0.35">
      <c r="D2049" s="66"/>
      <c r="E2049" s="66"/>
      <c r="F2049" s="66"/>
    </row>
    <row r="2050" spans="4:6" x14ac:dyDescent="0.35">
      <c r="D2050" s="66"/>
      <c r="E2050" s="66"/>
      <c r="F2050" s="66"/>
    </row>
    <row r="2051" spans="4:6" x14ac:dyDescent="0.35">
      <c r="D2051" s="66"/>
      <c r="E2051" s="66"/>
      <c r="F2051" s="66"/>
    </row>
    <row r="2052" spans="4:6" x14ac:dyDescent="0.35">
      <c r="D2052" s="66"/>
      <c r="E2052" s="66"/>
      <c r="F2052" s="66"/>
    </row>
    <row r="2053" spans="4:6" x14ac:dyDescent="0.35">
      <c r="D2053" s="66"/>
      <c r="E2053" s="66"/>
      <c r="F2053" s="66"/>
    </row>
    <row r="2054" spans="4:6" x14ac:dyDescent="0.35">
      <c r="D2054" s="66"/>
      <c r="E2054" s="66"/>
      <c r="F2054" s="66"/>
    </row>
    <row r="2055" spans="4:6" x14ac:dyDescent="0.35">
      <c r="D2055" s="66"/>
      <c r="E2055" s="66"/>
      <c r="F2055" s="66"/>
    </row>
    <row r="2056" spans="4:6" x14ac:dyDescent="0.35">
      <c r="D2056" s="66"/>
      <c r="E2056" s="66"/>
      <c r="F2056" s="66"/>
    </row>
    <row r="2057" spans="4:6" x14ac:dyDescent="0.35">
      <c r="D2057" s="66"/>
      <c r="E2057" s="66"/>
      <c r="F2057" s="66"/>
    </row>
    <row r="2058" spans="4:6" x14ac:dyDescent="0.35">
      <c r="D2058" s="66"/>
      <c r="E2058" s="66"/>
      <c r="F2058" s="66"/>
    </row>
    <row r="2059" spans="4:6" x14ac:dyDescent="0.35">
      <c r="D2059" s="66"/>
      <c r="E2059" s="66"/>
      <c r="F2059" s="66"/>
    </row>
    <row r="2060" spans="4:6" x14ac:dyDescent="0.35">
      <c r="D2060" s="66"/>
      <c r="E2060" s="66"/>
      <c r="F2060" s="66"/>
    </row>
    <row r="2061" spans="4:6" x14ac:dyDescent="0.35">
      <c r="D2061" s="66"/>
      <c r="E2061" s="66"/>
      <c r="F2061" s="66"/>
    </row>
    <row r="2062" spans="4:6" x14ac:dyDescent="0.35">
      <c r="D2062" s="66"/>
      <c r="E2062" s="66"/>
      <c r="F2062" s="66"/>
    </row>
    <row r="2063" spans="4:6" x14ac:dyDescent="0.35">
      <c r="D2063" s="66"/>
      <c r="E2063" s="66"/>
      <c r="F2063" s="66"/>
    </row>
    <row r="2064" spans="4:6" x14ac:dyDescent="0.35">
      <c r="D2064" s="66"/>
      <c r="E2064" s="66"/>
      <c r="F2064" s="66"/>
    </row>
    <row r="2065" spans="4:6" x14ac:dyDescent="0.35">
      <c r="D2065" s="66"/>
      <c r="E2065" s="66"/>
      <c r="F2065" s="66"/>
    </row>
    <row r="2066" spans="4:6" x14ac:dyDescent="0.35">
      <c r="D2066" s="66"/>
      <c r="E2066" s="66"/>
      <c r="F2066" s="66"/>
    </row>
    <row r="2067" spans="4:6" x14ac:dyDescent="0.35">
      <c r="D2067" s="66"/>
      <c r="E2067" s="66"/>
      <c r="F2067" s="66"/>
    </row>
    <row r="2068" spans="4:6" x14ac:dyDescent="0.35">
      <c r="D2068" s="66"/>
      <c r="E2068" s="66"/>
      <c r="F2068" s="66"/>
    </row>
    <row r="2069" spans="4:6" x14ac:dyDescent="0.35">
      <c r="D2069" s="66"/>
      <c r="E2069" s="66"/>
      <c r="F2069" s="66"/>
    </row>
    <row r="2070" spans="4:6" x14ac:dyDescent="0.35">
      <c r="D2070" s="66"/>
      <c r="E2070" s="66"/>
      <c r="F2070" s="66"/>
    </row>
    <row r="2071" spans="4:6" x14ac:dyDescent="0.35">
      <c r="D2071" s="66"/>
      <c r="E2071" s="66"/>
      <c r="F2071" s="66"/>
    </row>
    <row r="2072" spans="4:6" x14ac:dyDescent="0.35">
      <c r="D2072" s="66"/>
      <c r="E2072" s="66"/>
      <c r="F2072" s="66"/>
    </row>
    <row r="2073" spans="4:6" x14ac:dyDescent="0.35">
      <c r="D2073" s="66"/>
      <c r="E2073" s="66"/>
      <c r="F2073" s="66"/>
    </row>
    <row r="2074" spans="4:6" x14ac:dyDescent="0.35">
      <c r="D2074" s="66"/>
      <c r="E2074" s="66"/>
      <c r="F2074" s="66"/>
    </row>
    <row r="2075" spans="4:6" x14ac:dyDescent="0.35">
      <c r="D2075" s="66"/>
      <c r="E2075" s="66"/>
      <c r="F2075" s="66"/>
    </row>
    <row r="2076" spans="4:6" x14ac:dyDescent="0.35">
      <c r="D2076" s="66"/>
      <c r="E2076" s="66"/>
      <c r="F2076" s="66"/>
    </row>
    <row r="2077" spans="4:6" x14ac:dyDescent="0.35">
      <c r="D2077" s="66"/>
      <c r="E2077" s="66"/>
      <c r="F2077" s="66"/>
    </row>
    <row r="2078" spans="4:6" x14ac:dyDescent="0.35">
      <c r="D2078" s="66"/>
      <c r="E2078" s="66"/>
      <c r="F2078" s="66"/>
    </row>
    <row r="2079" spans="4:6" x14ac:dyDescent="0.35">
      <c r="D2079" s="66"/>
      <c r="E2079" s="66"/>
      <c r="F2079" s="66"/>
    </row>
    <row r="2080" spans="4:6" x14ac:dyDescent="0.35">
      <c r="D2080" s="66"/>
      <c r="E2080" s="66"/>
      <c r="F2080" s="66"/>
    </row>
    <row r="2081" spans="4:6" x14ac:dyDescent="0.35">
      <c r="D2081" s="66"/>
      <c r="E2081" s="66"/>
      <c r="F2081" s="66"/>
    </row>
    <row r="2082" spans="4:6" x14ac:dyDescent="0.35">
      <c r="D2082" s="66"/>
      <c r="E2082" s="66"/>
      <c r="F2082" s="66"/>
    </row>
    <row r="2083" spans="4:6" x14ac:dyDescent="0.35">
      <c r="D2083" s="66"/>
      <c r="E2083" s="66"/>
      <c r="F2083" s="66"/>
    </row>
    <row r="2084" spans="4:6" x14ac:dyDescent="0.35">
      <c r="D2084" s="66"/>
      <c r="E2084" s="66"/>
      <c r="F2084" s="66"/>
    </row>
    <row r="2085" spans="4:6" x14ac:dyDescent="0.35">
      <c r="D2085" s="66"/>
      <c r="E2085" s="66"/>
      <c r="F2085" s="66"/>
    </row>
    <row r="2086" spans="4:6" x14ac:dyDescent="0.35">
      <c r="D2086" s="66"/>
      <c r="E2086" s="66"/>
      <c r="F2086" s="66"/>
    </row>
    <row r="2087" spans="4:6" x14ac:dyDescent="0.35">
      <c r="D2087" s="66"/>
      <c r="E2087" s="66"/>
      <c r="F2087" s="66"/>
    </row>
    <row r="2088" spans="4:6" x14ac:dyDescent="0.35">
      <c r="D2088" s="66"/>
      <c r="E2088" s="66"/>
      <c r="F2088" s="66"/>
    </row>
    <row r="2089" spans="4:6" x14ac:dyDescent="0.35">
      <c r="D2089" s="66"/>
      <c r="E2089" s="66"/>
      <c r="F2089" s="66"/>
    </row>
    <row r="2090" spans="4:6" x14ac:dyDescent="0.35">
      <c r="D2090" s="66"/>
      <c r="E2090" s="66"/>
      <c r="F2090" s="66"/>
    </row>
    <row r="2091" spans="4:6" x14ac:dyDescent="0.35">
      <c r="D2091" s="66"/>
      <c r="E2091" s="66"/>
      <c r="F2091" s="66"/>
    </row>
    <row r="2092" spans="4:6" x14ac:dyDescent="0.35">
      <c r="D2092" s="66"/>
      <c r="E2092" s="66"/>
      <c r="F2092" s="66"/>
    </row>
    <row r="2093" spans="4:6" x14ac:dyDescent="0.35">
      <c r="D2093" s="66"/>
      <c r="E2093" s="66"/>
      <c r="F2093" s="66"/>
    </row>
    <row r="2094" spans="4:6" x14ac:dyDescent="0.35">
      <c r="D2094" s="66"/>
      <c r="E2094" s="66"/>
      <c r="F2094" s="66"/>
    </row>
    <row r="2095" spans="4:6" x14ac:dyDescent="0.35">
      <c r="D2095" s="66"/>
      <c r="E2095" s="66"/>
      <c r="F2095" s="66"/>
    </row>
    <row r="2096" spans="4:6" x14ac:dyDescent="0.35">
      <c r="D2096" s="66"/>
      <c r="E2096" s="66"/>
      <c r="F2096" s="66"/>
    </row>
    <row r="2097" spans="4:6" x14ac:dyDescent="0.35">
      <c r="D2097" s="66"/>
      <c r="E2097" s="66"/>
      <c r="F2097" s="66"/>
    </row>
    <row r="2098" spans="4:6" x14ac:dyDescent="0.35">
      <c r="D2098" s="66"/>
      <c r="E2098" s="66"/>
      <c r="F2098" s="66"/>
    </row>
    <row r="2099" spans="4:6" x14ac:dyDescent="0.35">
      <c r="D2099" s="66"/>
      <c r="E2099" s="66"/>
      <c r="F2099" s="66"/>
    </row>
    <row r="2100" spans="4:6" x14ac:dyDescent="0.35">
      <c r="D2100" s="66"/>
      <c r="E2100" s="66"/>
      <c r="F2100" s="66"/>
    </row>
    <row r="2101" spans="4:6" x14ac:dyDescent="0.35">
      <c r="D2101" s="66"/>
      <c r="E2101" s="66"/>
      <c r="F2101" s="66"/>
    </row>
    <row r="2102" spans="4:6" x14ac:dyDescent="0.35">
      <c r="D2102" s="66"/>
      <c r="E2102" s="66"/>
      <c r="F2102" s="66"/>
    </row>
    <row r="2103" spans="4:6" x14ac:dyDescent="0.35">
      <c r="D2103" s="66"/>
      <c r="E2103" s="66"/>
      <c r="F2103" s="66"/>
    </row>
    <row r="2104" spans="4:6" x14ac:dyDescent="0.35">
      <c r="D2104" s="66"/>
      <c r="E2104" s="66"/>
      <c r="F2104" s="66"/>
    </row>
    <row r="2105" spans="4:6" x14ac:dyDescent="0.35">
      <c r="D2105" s="66"/>
      <c r="E2105" s="66"/>
      <c r="F2105" s="66"/>
    </row>
    <row r="2106" spans="4:6" x14ac:dyDescent="0.35">
      <c r="D2106" s="66"/>
      <c r="E2106" s="66"/>
      <c r="F2106" s="66"/>
    </row>
    <row r="2107" spans="4:6" x14ac:dyDescent="0.35">
      <c r="D2107" s="66"/>
      <c r="E2107" s="66"/>
      <c r="F2107" s="66"/>
    </row>
    <row r="2108" spans="4:6" x14ac:dyDescent="0.35">
      <c r="D2108" s="66"/>
      <c r="E2108" s="66"/>
      <c r="F2108" s="66"/>
    </row>
    <row r="2109" spans="4:6" x14ac:dyDescent="0.35">
      <c r="D2109" s="66"/>
      <c r="E2109" s="66"/>
      <c r="F2109" s="66"/>
    </row>
    <row r="2110" spans="4:6" x14ac:dyDescent="0.35">
      <c r="D2110" s="66"/>
      <c r="E2110" s="66"/>
      <c r="F2110" s="66"/>
    </row>
    <row r="2111" spans="4:6" x14ac:dyDescent="0.35">
      <c r="D2111" s="66"/>
      <c r="E2111" s="66"/>
      <c r="F2111" s="66"/>
    </row>
    <row r="2112" spans="4:6" x14ac:dyDescent="0.35">
      <c r="D2112" s="66"/>
      <c r="E2112" s="66"/>
      <c r="F2112" s="66"/>
    </row>
    <row r="2113" spans="4:6" x14ac:dyDescent="0.35">
      <c r="D2113" s="66"/>
      <c r="E2113" s="66"/>
      <c r="F2113" s="66"/>
    </row>
    <row r="2114" spans="4:6" x14ac:dyDescent="0.35">
      <c r="D2114" s="66"/>
      <c r="E2114" s="66"/>
      <c r="F2114" s="66"/>
    </row>
    <row r="2115" spans="4:6" x14ac:dyDescent="0.35">
      <c r="D2115" s="66"/>
      <c r="E2115" s="66"/>
      <c r="F2115" s="66"/>
    </row>
    <row r="2116" spans="4:6" x14ac:dyDescent="0.35">
      <c r="D2116" s="66"/>
      <c r="E2116" s="66"/>
      <c r="F2116" s="66"/>
    </row>
    <row r="2117" spans="4:6" x14ac:dyDescent="0.35">
      <c r="D2117" s="66"/>
      <c r="E2117" s="66"/>
      <c r="F2117" s="66"/>
    </row>
    <row r="2118" spans="4:6" x14ac:dyDescent="0.35">
      <c r="D2118" s="66"/>
      <c r="E2118" s="66"/>
      <c r="F2118" s="66"/>
    </row>
    <row r="2119" spans="4:6" x14ac:dyDescent="0.35">
      <c r="D2119" s="66"/>
      <c r="E2119" s="66"/>
      <c r="F2119" s="66"/>
    </row>
    <row r="2120" spans="4:6" x14ac:dyDescent="0.35">
      <c r="D2120" s="66"/>
      <c r="E2120" s="66"/>
      <c r="F2120" s="66"/>
    </row>
    <row r="2121" spans="4:6" x14ac:dyDescent="0.35">
      <c r="D2121" s="66"/>
      <c r="E2121" s="66"/>
      <c r="F2121" s="66"/>
    </row>
    <row r="2122" spans="4:6" x14ac:dyDescent="0.35">
      <c r="D2122" s="66"/>
      <c r="E2122" s="66"/>
      <c r="F2122" s="66"/>
    </row>
    <row r="2123" spans="4:6" x14ac:dyDescent="0.35">
      <c r="D2123" s="66"/>
      <c r="E2123" s="66"/>
      <c r="F2123" s="66"/>
    </row>
    <row r="2124" spans="4:6" x14ac:dyDescent="0.35">
      <c r="D2124" s="66"/>
      <c r="E2124" s="66"/>
      <c r="F2124" s="66"/>
    </row>
    <row r="2125" spans="4:6" x14ac:dyDescent="0.35">
      <c r="D2125" s="66"/>
      <c r="E2125" s="66"/>
      <c r="F2125" s="66"/>
    </row>
    <row r="2126" spans="4:6" x14ac:dyDescent="0.35">
      <c r="D2126" s="66"/>
      <c r="E2126" s="66"/>
      <c r="F2126" s="66"/>
    </row>
    <row r="2127" spans="4:6" x14ac:dyDescent="0.35">
      <c r="D2127" s="66"/>
      <c r="E2127" s="66"/>
      <c r="F2127" s="66"/>
    </row>
    <row r="2128" spans="4:6" x14ac:dyDescent="0.35">
      <c r="D2128" s="66"/>
      <c r="E2128" s="66"/>
      <c r="F2128" s="66"/>
    </row>
    <row r="2129" spans="4:6" x14ac:dyDescent="0.35">
      <c r="D2129" s="66"/>
      <c r="E2129" s="66"/>
      <c r="F2129" s="66"/>
    </row>
    <row r="2130" spans="4:6" x14ac:dyDescent="0.35">
      <c r="D2130" s="66"/>
      <c r="E2130" s="66"/>
      <c r="F2130" s="66"/>
    </row>
    <row r="2131" spans="4:6" x14ac:dyDescent="0.35">
      <c r="D2131" s="66"/>
      <c r="E2131" s="66"/>
      <c r="F2131" s="66"/>
    </row>
    <row r="2132" spans="4:6" x14ac:dyDescent="0.35">
      <c r="D2132" s="66"/>
      <c r="E2132" s="66"/>
      <c r="F2132" s="66"/>
    </row>
    <row r="2133" spans="4:6" x14ac:dyDescent="0.35">
      <c r="D2133" s="66"/>
      <c r="E2133" s="66"/>
      <c r="F2133" s="66"/>
    </row>
    <row r="2134" spans="4:6" x14ac:dyDescent="0.35">
      <c r="D2134" s="66"/>
      <c r="E2134" s="66"/>
      <c r="F2134" s="66"/>
    </row>
    <row r="2135" spans="4:6" x14ac:dyDescent="0.35">
      <c r="D2135" s="66"/>
      <c r="E2135" s="66"/>
      <c r="F2135" s="66"/>
    </row>
    <row r="2136" spans="4:6" x14ac:dyDescent="0.35">
      <c r="D2136" s="66"/>
      <c r="E2136" s="66"/>
      <c r="F2136" s="66"/>
    </row>
    <row r="2137" spans="4:6" x14ac:dyDescent="0.35">
      <c r="D2137" s="66"/>
      <c r="E2137" s="66"/>
      <c r="F2137" s="66"/>
    </row>
    <row r="2138" spans="4:6" x14ac:dyDescent="0.35">
      <c r="D2138" s="66"/>
      <c r="E2138" s="66"/>
      <c r="F2138" s="66"/>
    </row>
    <row r="2139" spans="4:6" x14ac:dyDescent="0.35">
      <c r="D2139" s="66"/>
      <c r="E2139" s="66"/>
      <c r="F2139" s="66"/>
    </row>
    <row r="2140" spans="4:6" x14ac:dyDescent="0.35">
      <c r="D2140" s="66"/>
      <c r="E2140" s="66"/>
      <c r="F2140" s="66"/>
    </row>
    <row r="2141" spans="4:6" x14ac:dyDescent="0.35">
      <c r="D2141" s="66"/>
      <c r="E2141" s="66"/>
      <c r="F2141" s="66"/>
    </row>
    <row r="2142" spans="4:6" x14ac:dyDescent="0.35">
      <c r="D2142" s="66"/>
      <c r="E2142" s="66"/>
      <c r="F2142" s="66"/>
    </row>
    <row r="2143" spans="4:6" x14ac:dyDescent="0.35">
      <c r="D2143" s="66"/>
      <c r="E2143" s="66"/>
      <c r="F2143" s="66"/>
    </row>
    <row r="2144" spans="4:6" x14ac:dyDescent="0.35">
      <c r="D2144" s="66"/>
      <c r="E2144" s="66"/>
      <c r="F2144" s="66"/>
    </row>
    <row r="2145" spans="4:6" x14ac:dyDescent="0.35">
      <c r="D2145" s="66"/>
      <c r="E2145" s="66"/>
      <c r="F2145" s="66"/>
    </row>
    <row r="2146" spans="4:6" x14ac:dyDescent="0.35">
      <c r="D2146" s="66"/>
      <c r="E2146" s="66"/>
      <c r="F2146" s="66"/>
    </row>
    <row r="2147" spans="4:6" x14ac:dyDescent="0.35">
      <c r="D2147" s="66"/>
      <c r="E2147" s="66"/>
      <c r="F2147" s="66"/>
    </row>
    <row r="2148" spans="4:6" x14ac:dyDescent="0.35">
      <c r="D2148" s="66"/>
      <c r="E2148" s="66"/>
      <c r="F2148" s="66"/>
    </row>
    <row r="2149" spans="4:6" x14ac:dyDescent="0.35">
      <c r="D2149" s="66"/>
      <c r="E2149" s="66"/>
      <c r="F2149" s="66"/>
    </row>
    <row r="2150" spans="4:6" x14ac:dyDescent="0.35">
      <c r="D2150" s="66"/>
      <c r="E2150" s="66"/>
      <c r="F2150" s="66"/>
    </row>
    <row r="2151" spans="4:6" x14ac:dyDescent="0.35">
      <c r="D2151" s="66"/>
      <c r="E2151" s="66"/>
      <c r="F2151" s="66"/>
    </row>
    <row r="2152" spans="4:6" x14ac:dyDescent="0.35">
      <c r="D2152" s="66"/>
      <c r="E2152" s="66"/>
      <c r="F2152" s="66"/>
    </row>
    <row r="2153" spans="4:6" x14ac:dyDescent="0.35">
      <c r="D2153" s="66"/>
      <c r="E2153" s="66"/>
      <c r="F2153" s="66"/>
    </row>
    <row r="2154" spans="4:6" x14ac:dyDescent="0.35">
      <c r="D2154" s="66"/>
      <c r="E2154" s="66"/>
      <c r="F2154" s="66"/>
    </row>
    <row r="2155" spans="4:6" x14ac:dyDescent="0.35">
      <c r="D2155" s="66"/>
      <c r="E2155" s="66"/>
      <c r="F2155" s="66"/>
    </row>
    <row r="2156" spans="4:6" x14ac:dyDescent="0.35">
      <c r="D2156" s="66"/>
      <c r="E2156" s="66"/>
      <c r="F2156" s="66"/>
    </row>
    <row r="2157" spans="4:6" x14ac:dyDescent="0.35">
      <c r="D2157" s="66"/>
      <c r="E2157" s="66"/>
      <c r="F2157" s="66"/>
    </row>
    <row r="2158" spans="4:6" x14ac:dyDescent="0.35">
      <c r="D2158" s="66"/>
      <c r="E2158" s="66"/>
      <c r="F2158" s="66"/>
    </row>
    <row r="2159" spans="4:6" x14ac:dyDescent="0.35">
      <c r="D2159" s="66"/>
      <c r="E2159" s="66"/>
      <c r="F2159" s="66"/>
    </row>
    <row r="2160" spans="4:6" x14ac:dyDescent="0.35">
      <c r="D2160" s="66"/>
      <c r="E2160" s="66"/>
      <c r="F2160" s="66"/>
    </row>
    <row r="2161" spans="4:6" x14ac:dyDescent="0.35">
      <c r="D2161" s="66"/>
      <c r="E2161" s="66"/>
      <c r="F2161" s="66"/>
    </row>
    <row r="2162" spans="4:6" x14ac:dyDescent="0.35">
      <c r="D2162" s="66"/>
      <c r="E2162" s="66"/>
      <c r="F2162" s="66"/>
    </row>
    <row r="2163" spans="4:6" x14ac:dyDescent="0.35">
      <c r="D2163" s="66"/>
      <c r="E2163" s="66"/>
      <c r="F2163" s="66"/>
    </row>
    <row r="2164" spans="4:6" x14ac:dyDescent="0.35">
      <c r="D2164" s="66"/>
      <c r="E2164" s="66"/>
      <c r="F2164" s="66"/>
    </row>
    <row r="2165" spans="4:6" x14ac:dyDescent="0.35">
      <c r="D2165" s="66"/>
      <c r="E2165" s="66"/>
      <c r="F2165" s="66"/>
    </row>
    <row r="2166" spans="4:6" x14ac:dyDescent="0.35">
      <c r="D2166" s="66"/>
      <c r="E2166" s="66"/>
      <c r="F2166" s="66"/>
    </row>
    <row r="2167" spans="4:6" x14ac:dyDescent="0.35">
      <c r="D2167" s="66"/>
      <c r="E2167" s="66"/>
      <c r="F2167" s="66"/>
    </row>
    <row r="2168" spans="4:6" x14ac:dyDescent="0.35">
      <c r="D2168" s="66"/>
      <c r="E2168" s="66"/>
      <c r="F2168" s="66"/>
    </row>
    <row r="2169" spans="4:6" x14ac:dyDescent="0.35">
      <c r="D2169" s="66"/>
      <c r="E2169" s="66"/>
      <c r="F2169" s="66"/>
    </row>
    <row r="2170" spans="4:6" x14ac:dyDescent="0.35">
      <c r="D2170" s="66"/>
      <c r="E2170" s="66"/>
      <c r="F2170" s="66"/>
    </row>
    <row r="2171" spans="4:6" x14ac:dyDescent="0.35">
      <c r="D2171" s="66"/>
      <c r="E2171" s="66"/>
      <c r="F2171" s="66"/>
    </row>
    <row r="2172" spans="4:6" x14ac:dyDescent="0.35">
      <c r="D2172" s="66"/>
      <c r="E2172" s="66"/>
      <c r="F2172" s="66"/>
    </row>
    <row r="2173" spans="4:6" x14ac:dyDescent="0.35">
      <c r="D2173" s="66"/>
      <c r="E2173" s="66"/>
      <c r="F2173" s="66"/>
    </row>
    <row r="2174" spans="4:6" x14ac:dyDescent="0.35">
      <c r="D2174" s="66"/>
      <c r="E2174" s="66"/>
      <c r="F2174" s="66"/>
    </row>
    <row r="2175" spans="4:6" x14ac:dyDescent="0.35">
      <c r="D2175" s="66"/>
      <c r="E2175" s="66"/>
      <c r="F2175" s="66"/>
    </row>
    <row r="2176" spans="4:6" x14ac:dyDescent="0.35">
      <c r="D2176" s="66"/>
      <c r="E2176" s="66"/>
      <c r="F2176" s="66"/>
    </row>
    <row r="2177" spans="4:6" x14ac:dyDescent="0.35">
      <c r="D2177" s="66"/>
      <c r="E2177" s="66"/>
      <c r="F2177" s="66"/>
    </row>
    <row r="2178" spans="4:6" x14ac:dyDescent="0.35">
      <c r="D2178" s="66"/>
      <c r="E2178" s="66"/>
      <c r="F2178" s="66"/>
    </row>
    <row r="2179" spans="4:6" x14ac:dyDescent="0.35">
      <c r="D2179" s="66"/>
      <c r="E2179" s="66"/>
      <c r="F2179" s="66"/>
    </row>
    <row r="2180" spans="4:6" x14ac:dyDescent="0.35">
      <c r="D2180" s="66"/>
      <c r="E2180" s="66"/>
      <c r="F2180" s="66"/>
    </row>
    <row r="2181" spans="4:6" x14ac:dyDescent="0.35">
      <c r="D2181" s="66"/>
      <c r="E2181" s="66"/>
      <c r="F2181" s="66"/>
    </row>
    <row r="2182" spans="4:6" x14ac:dyDescent="0.35">
      <c r="D2182" s="66"/>
      <c r="E2182" s="66"/>
      <c r="F2182" s="66"/>
    </row>
    <row r="2183" spans="4:6" x14ac:dyDescent="0.35">
      <c r="D2183" s="66"/>
      <c r="E2183" s="66"/>
      <c r="F2183" s="66"/>
    </row>
    <row r="2184" spans="4:6" x14ac:dyDescent="0.35">
      <c r="D2184" s="66"/>
      <c r="E2184" s="66"/>
      <c r="F2184" s="66"/>
    </row>
    <row r="2185" spans="4:6" x14ac:dyDescent="0.35">
      <c r="D2185" s="66"/>
      <c r="E2185" s="66"/>
      <c r="F2185" s="66"/>
    </row>
    <row r="2186" spans="4:6" x14ac:dyDescent="0.35">
      <c r="D2186" s="66"/>
      <c r="E2186" s="66"/>
      <c r="F2186" s="66"/>
    </row>
    <row r="2187" spans="4:6" x14ac:dyDescent="0.35">
      <c r="D2187" s="66"/>
      <c r="E2187" s="66"/>
      <c r="F2187" s="66"/>
    </row>
    <row r="2188" spans="4:6" x14ac:dyDescent="0.35">
      <c r="D2188" s="66"/>
      <c r="E2188" s="66"/>
      <c r="F2188" s="66"/>
    </row>
    <row r="2189" spans="4:6" x14ac:dyDescent="0.35">
      <c r="D2189" s="66"/>
      <c r="E2189" s="66"/>
      <c r="F2189" s="66"/>
    </row>
    <row r="2190" spans="4:6" x14ac:dyDescent="0.35">
      <c r="D2190" s="66"/>
      <c r="E2190" s="66"/>
      <c r="F2190" s="66"/>
    </row>
    <row r="2191" spans="4:6" x14ac:dyDescent="0.35">
      <c r="D2191" s="66"/>
      <c r="E2191" s="66"/>
      <c r="F2191" s="66"/>
    </row>
    <row r="2192" spans="4:6" x14ac:dyDescent="0.35">
      <c r="D2192" s="66"/>
      <c r="E2192" s="66"/>
      <c r="F2192" s="66"/>
    </row>
    <row r="2193" spans="4:6" x14ac:dyDescent="0.35">
      <c r="D2193" s="66"/>
      <c r="E2193" s="66"/>
      <c r="F2193" s="66"/>
    </row>
    <row r="2194" spans="4:6" x14ac:dyDescent="0.35">
      <c r="D2194" s="66"/>
      <c r="E2194" s="66"/>
      <c r="F2194" s="66"/>
    </row>
    <row r="2195" spans="4:6" x14ac:dyDescent="0.35">
      <c r="D2195" s="66"/>
      <c r="E2195" s="66"/>
      <c r="F2195" s="66"/>
    </row>
    <row r="2196" spans="4:6" x14ac:dyDescent="0.35">
      <c r="D2196" s="66"/>
      <c r="E2196" s="66"/>
      <c r="F2196" s="66"/>
    </row>
    <row r="2197" spans="4:6" x14ac:dyDescent="0.35">
      <c r="D2197" s="66"/>
      <c r="E2197" s="66"/>
      <c r="F2197" s="66"/>
    </row>
    <row r="2198" spans="4:6" x14ac:dyDescent="0.35">
      <c r="D2198" s="66"/>
      <c r="E2198" s="66"/>
      <c r="F2198" s="66"/>
    </row>
    <row r="2199" spans="4:6" x14ac:dyDescent="0.35">
      <c r="D2199" s="66"/>
      <c r="E2199" s="66"/>
      <c r="F2199" s="66"/>
    </row>
    <row r="2200" spans="4:6" x14ac:dyDescent="0.35">
      <c r="D2200" s="66"/>
      <c r="E2200" s="66"/>
      <c r="F2200" s="66"/>
    </row>
    <row r="2201" spans="4:6" x14ac:dyDescent="0.35">
      <c r="D2201" s="66"/>
      <c r="E2201" s="66"/>
      <c r="F2201" s="66"/>
    </row>
    <row r="2202" spans="4:6" x14ac:dyDescent="0.35">
      <c r="D2202" s="66"/>
      <c r="E2202" s="66"/>
      <c r="F2202" s="66"/>
    </row>
    <row r="2203" spans="4:6" x14ac:dyDescent="0.35">
      <c r="D2203" s="66"/>
      <c r="E2203" s="66"/>
      <c r="F2203" s="66"/>
    </row>
    <row r="2204" spans="4:6" x14ac:dyDescent="0.35">
      <c r="D2204" s="66"/>
      <c r="E2204" s="66"/>
      <c r="F2204" s="66"/>
    </row>
    <row r="2205" spans="4:6" x14ac:dyDescent="0.35">
      <c r="D2205" s="66"/>
      <c r="E2205" s="66"/>
      <c r="F2205" s="66"/>
    </row>
    <row r="2206" spans="4:6" x14ac:dyDescent="0.35">
      <c r="D2206" s="66"/>
      <c r="E2206" s="66"/>
      <c r="F2206" s="66"/>
    </row>
    <row r="2207" spans="4:6" x14ac:dyDescent="0.35">
      <c r="D2207" s="66"/>
      <c r="E2207" s="66"/>
      <c r="F2207" s="66"/>
    </row>
    <row r="2208" spans="4:6" x14ac:dyDescent="0.35">
      <c r="D2208" s="66"/>
      <c r="E2208" s="66"/>
      <c r="F2208" s="66"/>
    </row>
    <row r="2209" spans="4:6" x14ac:dyDescent="0.35">
      <c r="D2209" s="66"/>
      <c r="E2209" s="66"/>
      <c r="F2209" s="66"/>
    </row>
    <row r="2210" spans="4:6" x14ac:dyDescent="0.35">
      <c r="D2210" s="66"/>
      <c r="E2210" s="66"/>
      <c r="F2210" s="66"/>
    </row>
    <row r="2211" spans="4:6" x14ac:dyDescent="0.35">
      <c r="D2211" s="66"/>
      <c r="E2211" s="66"/>
      <c r="F2211" s="66"/>
    </row>
    <row r="2212" spans="4:6" x14ac:dyDescent="0.35">
      <c r="D2212" s="66"/>
      <c r="E2212" s="66"/>
      <c r="F2212" s="66"/>
    </row>
    <row r="2213" spans="4:6" x14ac:dyDescent="0.35">
      <c r="D2213" s="66"/>
      <c r="E2213" s="66"/>
      <c r="F2213" s="66"/>
    </row>
    <row r="2214" spans="4:6" x14ac:dyDescent="0.35">
      <c r="D2214" s="66"/>
      <c r="E2214" s="66"/>
      <c r="F2214" s="66"/>
    </row>
    <row r="2215" spans="4:6" x14ac:dyDescent="0.35">
      <c r="D2215" s="66"/>
      <c r="E2215" s="66"/>
      <c r="F2215" s="66"/>
    </row>
    <row r="2216" spans="4:6" x14ac:dyDescent="0.35">
      <c r="D2216" s="66"/>
      <c r="E2216" s="66"/>
      <c r="F2216" s="66"/>
    </row>
    <row r="2217" spans="4:6" x14ac:dyDescent="0.35">
      <c r="D2217" s="66"/>
      <c r="E2217" s="66"/>
      <c r="F2217" s="66"/>
    </row>
    <row r="2218" spans="4:6" x14ac:dyDescent="0.35">
      <c r="D2218" s="66"/>
      <c r="E2218" s="66"/>
      <c r="F2218" s="66"/>
    </row>
    <row r="2219" spans="4:6" x14ac:dyDescent="0.35">
      <c r="D2219" s="66"/>
      <c r="E2219" s="66"/>
      <c r="F2219" s="66"/>
    </row>
    <row r="2220" spans="4:6" x14ac:dyDescent="0.35">
      <c r="D2220" s="66"/>
      <c r="E2220" s="66"/>
      <c r="F2220" s="66"/>
    </row>
    <row r="2221" spans="4:6" x14ac:dyDescent="0.35">
      <c r="D2221" s="66"/>
      <c r="E2221" s="66"/>
      <c r="F2221" s="66"/>
    </row>
    <row r="2222" spans="4:6" x14ac:dyDescent="0.35">
      <c r="D2222" s="66"/>
      <c r="E2222" s="66"/>
      <c r="F2222" s="66"/>
    </row>
    <row r="2223" spans="4:6" x14ac:dyDescent="0.35">
      <c r="D2223" s="66"/>
      <c r="E2223" s="66"/>
      <c r="F2223" s="66"/>
    </row>
    <row r="2224" spans="4:6" x14ac:dyDescent="0.35">
      <c r="D2224" s="66"/>
      <c r="E2224" s="66"/>
      <c r="F2224" s="66"/>
    </row>
    <row r="2225" spans="4:6" x14ac:dyDescent="0.35">
      <c r="D2225" s="66"/>
      <c r="E2225" s="66"/>
      <c r="F2225" s="66"/>
    </row>
    <row r="2226" spans="4:6" x14ac:dyDescent="0.35">
      <c r="D2226" s="66"/>
      <c r="E2226" s="66"/>
      <c r="F2226" s="66"/>
    </row>
    <row r="2227" spans="4:6" x14ac:dyDescent="0.35">
      <c r="D2227" s="66"/>
      <c r="E2227" s="66"/>
      <c r="F2227" s="66"/>
    </row>
    <row r="2228" spans="4:6" x14ac:dyDescent="0.35">
      <c r="D2228" s="66"/>
      <c r="E2228" s="66"/>
      <c r="F2228" s="66"/>
    </row>
    <row r="2229" spans="4:6" x14ac:dyDescent="0.35">
      <c r="D2229" s="66"/>
      <c r="E2229" s="66"/>
      <c r="F2229" s="66"/>
    </row>
    <row r="2230" spans="4:6" x14ac:dyDescent="0.35">
      <c r="D2230" s="66"/>
      <c r="E2230" s="66"/>
      <c r="F2230" s="66"/>
    </row>
    <row r="2231" spans="4:6" x14ac:dyDescent="0.35">
      <c r="D2231" s="66"/>
      <c r="E2231" s="66"/>
      <c r="F2231" s="66"/>
    </row>
    <row r="2232" spans="4:6" x14ac:dyDescent="0.35">
      <c r="D2232" s="66"/>
      <c r="E2232" s="66"/>
      <c r="F2232" s="66"/>
    </row>
    <row r="2233" spans="4:6" x14ac:dyDescent="0.35">
      <c r="D2233" s="66"/>
      <c r="E2233" s="66"/>
      <c r="F2233" s="66"/>
    </row>
    <row r="2234" spans="4:6" x14ac:dyDescent="0.35">
      <c r="D2234" s="66"/>
      <c r="E2234" s="66"/>
      <c r="F2234" s="66"/>
    </row>
    <row r="2235" spans="4:6" x14ac:dyDescent="0.35">
      <c r="D2235" s="66"/>
      <c r="E2235" s="66"/>
      <c r="F2235" s="66"/>
    </row>
    <row r="2236" spans="4:6" x14ac:dyDescent="0.35">
      <c r="D2236" s="66"/>
      <c r="E2236" s="66"/>
      <c r="F2236" s="66"/>
    </row>
    <row r="2237" spans="4:6" x14ac:dyDescent="0.35">
      <c r="D2237" s="66"/>
      <c r="E2237" s="66"/>
      <c r="F2237" s="66"/>
    </row>
    <row r="2238" spans="4:6" x14ac:dyDescent="0.35">
      <c r="D2238" s="66"/>
      <c r="E2238" s="66"/>
      <c r="F2238" s="66"/>
    </row>
    <row r="2239" spans="4:6" x14ac:dyDescent="0.35">
      <c r="D2239" s="66"/>
      <c r="E2239" s="66"/>
      <c r="F2239" s="66"/>
    </row>
    <row r="2240" spans="4:6" x14ac:dyDescent="0.35">
      <c r="D2240" s="66"/>
      <c r="E2240" s="66"/>
      <c r="F2240" s="66"/>
    </row>
    <row r="2241" spans="4:6" x14ac:dyDescent="0.35">
      <c r="D2241" s="66"/>
      <c r="E2241" s="66"/>
      <c r="F2241" s="66"/>
    </row>
    <row r="2242" spans="4:6" x14ac:dyDescent="0.35">
      <c r="D2242" s="66"/>
      <c r="E2242" s="66"/>
      <c r="F2242" s="66"/>
    </row>
    <row r="2243" spans="4:6" x14ac:dyDescent="0.35">
      <c r="D2243" s="66"/>
      <c r="E2243" s="66"/>
      <c r="F2243" s="66"/>
    </row>
    <row r="2244" spans="4:6" x14ac:dyDescent="0.35">
      <c r="D2244" s="66"/>
      <c r="E2244" s="66"/>
      <c r="F2244" s="66"/>
    </row>
    <row r="2245" spans="4:6" x14ac:dyDescent="0.35">
      <c r="D2245" s="66"/>
      <c r="E2245" s="66"/>
      <c r="F2245" s="66"/>
    </row>
    <row r="2246" spans="4:6" x14ac:dyDescent="0.35">
      <c r="D2246" s="66"/>
      <c r="E2246" s="66"/>
      <c r="F2246" s="66"/>
    </row>
    <row r="2247" spans="4:6" x14ac:dyDescent="0.35">
      <c r="D2247" s="66"/>
      <c r="E2247" s="66"/>
      <c r="F2247" s="66"/>
    </row>
    <row r="2248" spans="4:6" x14ac:dyDescent="0.35">
      <c r="D2248" s="66"/>
      <c r="E2248" s="66"/>
      <c r="F2248" s="66"/>
    </row>
    <row r="2249" spans="4:6" x14ac:dyDescent="0.35">
      <c r="D2249" s="66"/>
      <c r="E2249" s="66"/>
      <c r="F2249" s="66"/>
    </row>
    <row r="2250" spans="4:6" x14ac:dyDescent="0.35">
      <c r="D2250" s="66"/>
      <c r="E2250" s="66"/>
      <c r="F2250" s="66"/>
    </row>
    <row r="2251" spans="4:6" x14ac:dyDescent="0.35">
      <c r="D2251" s="66"/>
      <c r="E2251" s="66"/>
      <c r="F2251" s="66"/>
    </row>
    <row r="2252" spans="4:6" x14ac:dyDescent="0.35">
      <c r="D2252" s="66"/>
      <c r="E2252" s="66"/>
      <c r="F2252" s="66"/>
    </row>
    <row r="2253" spans="4:6" x14ac:dyDescent="0.35">
      <c r="D2253" s="66"/>
      <c r="E2253" s="66"/>
      <c r="F2253" s="66"/>
    </row>
    <row r="2254" spans="4:6" x14ac:dyDescent="0.35">
      <c r="D2254" s="66"/>
      <c r="E2254" s="66"/>
      <c r="F2254" s="66"/>
    </row>
    <row r="2255" spans="4:6" x14ac:dyDescent="0.35">
      <c r="D2255" s="66"/>
      <c r="E2255" s="66"/>
      <c r="F2255" s="66"/>
    </row>
    <row r="2256" spans="4:6" x14ac:dyDescent="0.35">
      <c r="D2256" s="66"/>
      <c r="E2256" s="66"/>
      <c r="F2256" s="66"/>
    </row>
    <row r="2257" spans="4:6" x14ac:dyDescent="0.35">
      <c r="D2257" s="66"/>
      <c r="E2257" s="66"/>
      <c r="F2257" s="66"/>
    </row>
    <row r="2258" spans="4:6" x14ac:dyDescent="0.35">
      <c r="D2258" s="66"/>
      <c r="E2258" s="66"/>
      <c r="F2258" s="66"/>
    </row>
    <row r="2259" spans="4:6" x14ac:dyDescent="0.35">
      <c r="D2259" s="66"/>
      <c r="E2259" s="66"/>
      <c r="F2259" s="66"/>
    </row>
    <row r="2260" spans="4:6" x14ac:dyDescent="0.35">
      <c r="D2260" s="66"/>
      <c r="E2260" s="66"/>
      <c r="F2260" s="66"/>
    </row>
    <row r="2261" spans="4:6" x14ac:dyDescent="0.35">
      <c r="D2261" s="66"/>
      <c r="E2261" s="66"/>
      <c r="F2261" s="66"/>
    </row>
    <row r="2262" spans="4:6" x14ac:dyDescent="0.35">
      <c r="D2262" s="66"/>
      <c r="E2262" s="66"/>
      <c r="F2262" s="66"/>
    </row>
    <row r="2263" spans="4:6" x14ac:dyDescent="0.35">
      <c r="D2263" s="66"/>
      <c r="E2263" s="66"/>
      <c r="F2263" s="66"/>
    </row>
    <row r="2264" spans="4:6" x14ac:dyDescent="0.35">
      <c r="D2264" s="66"/>
      <c r="E2264" s="66"/>
      <c r="F2264" s="66"/>
    </row>
    <row r="2265" spans="4:6" x14ac:dyDescent="0.35">
      <c r="D2265" s="66"/>
      <c r="E2265" s="66"/>
      <c r="F2265" s="66"/>
    </row>
    <row r="2266" spans="4:6" x14ac:dyDescent="0.35">
      <c r="D2266" s="66"/>
      <c r="E2266" s="66"/>
      <c r="F2266" s="66"/>
    </row>
    <row r="2267" spans="4:6" x14ac:dyDescent="0.35">
      <c r="D2267" s="66"/>
      <c r="E2267" s="66"/>
      <c r="F2267" s="66"/>
    </row>
    <row r="2268" spans="4:6" x14ac:dyDescent="0.35">
      <c r="D2268" s="66"/>
      <c r="E2268" s="66"/>
      <c r="F2268" s="66"/>
    </row>
    <row r="2269" spans="4:6" x14ac:dyDescent="0.35">
      <c r="D2269" s="66"/>
      <c r="E2269" s="66"/>
      <c r="F2269" s="66"/>
    </row>
    <row r="2270" spans="4:6" x14ac:dyDescent="0.35">
      <c r="D2270" s="66"/>
      <c r="E2270" s="66"/>
      <c r="F2270" s="66"/>
    </row>
    <row r="2271" spans="4:6" x14ac:dyDescent="0.35">
      <c r="D2271" s="66"/>
      <c r="E2271" s="66"/>
      <c r="F2271" s="66"/>
    </row>
    <row r="2272" spans="4:6" x14ac:dyDescent="0.35">
      <c r="D2272" s="66"/>
      <c r="E2272" s="66"/>
      <c r="F2272" s="66"/>
    </row>
    <row r="2273" spans="4:6" x14ac:dyDescent="0.35">
      <c r="D2273" s="66"/>
      <c r="E2273" s="66"/>
      <c r="F2273" s="66"/>
    </row>
    <row r="2274" spans="4:6" x14ac:dyDescent="0.35">
      <c r="D2274" s="66"/>
      <c r="E2274" s="66"/>
      <c r="F2274" s="66"/>
    </row>
    <row r="2275" spans="4:6" x14ac:dyDescent="0.35">
      <c r="D2275" s="66"/>
      <c r="E2275" s="66"/>
      <c r="F2275" s="66"/>
    </row>
    <row r="2276" spans="4:6" x14ac:dyDescent="0.35">
      <c r="D2276" s="66"/>
      <c r="E2276" s="66"/>
      <c r="F2276" s="66"/>
    </row>
    <row r="2277" spans="4:6" x14ac:dyDescent="0.35">
      <c r="D2277" s="66"/>
      <c r="E2277" s="66"/>
      <c r="F2277" s="66"/>
    </row>
    <row r="2278" spans="4:6" x14ac:dyDescent="0.35">
      <c r="D2278" s="66"/>
      <c r="E2278" s="66"/>
      <c r="F2278" s="66"/>
    </row>
    <row r="2279" spans="4:6" x14ac:dyDescent="0.35">
      <c r="D2279" s="66"/>
      <c r="E2279" s="66"/>
      <c r="F2279" s="66"/>
    </row>
    <row r="2280" spans="4:6" x14ac:dyDescent="0.35">
      <c r="D2280" s="66"/>
      <c r="E2280" s="66"/>
      <c r="F2280" s="66"/>
    </row>
    <row r="2281" spans="4:6" x14ac:dyDescent="0.35">
      <c r="D2281" s="66"/>
      <c r="E2281" s="66"/>
      <c r="F2281" s="66"/>
    </row>
    <row r="2282" spans="4:6" x14ac:dyDescent="0.35">
      <c r="D2282" s="66"/>
      <c r="E2282" s="66"/>
      <c r="F2282" s="66"/>
    </row>
    <row r="2283" spans="4:6" x14ac:dyDescent="0.35">
      <c r="D2283" s="66"/>
      <c r="E2283" s="66"/>
      <c r="F2283" s="66"/>
    </row>
    <row r="2284" spans="4:6" x14ac:dyDescent="0.35">
      <c r="D2284" s="66"/>
      <c r="E2284" s="66"/>
      <c r="F2284" s="66"/>
    </row>
    <row r="2285" spans="4:6" x14ac:dyDescent="0.35">
      <c r="D2285" s="66"/>
      <c r="E2285" s="66"/>
      <c r="F2285" s="66"/>
    </row>
    <row r="2286" spans="4:6" x14ac:dyDescent="0.35">
      <c r="D2286" s="66"/>
      <c r="E2286" s="66"/>
      <c r="F2286" s="66"/>
    </row>
    <row r="2287" spans="4:6" x14ac:dyDescent="0.35">
      <c r="D2287" s="66"/>
      <c r="E2287" s="66"/>
      <c r="F2287" s="66"/>
    </row>
    <row r="2288" spans="4:6" x14ac:dyDescent="0.35">
      <c r="D2288" s="66"/>
      <c r="E2288" s="66"/>
      <c r="F2288" s="66"/>
    </row>
    <row r="2289" spans="4:6" x14ac:dyDescent="0.35">
      <c r="D2289" s="66"/>
      <c r="E2289" s="66"/>
      <c r="F2289" s="66"/>
    </row>
    <row r="2290" spans="4:6" x14ac:dyDescent="0.35">
      <c r="D2290" s="66"/>
      <c r="E2290" s="66"/>
      <c r="F2290" s="66"/>
    </row>
    <row r="2291" spans="4:6" x14ac:dyDescent="0.35">
      <c r="D2291" s="66"/>
      <c r="E2291" s="66"/>
      <c r="F2291" s="66"/>
    </row>
    <row r="2292" spans="4:6" x14ac:dyDescent="0.35">
      <c r="D2292" s="66"/>
      <c r="E2292" s="66"/>
      <c r="F2292" s="66"/>
    </row>
    <row r="2293" spans="4:6" x14ac:dyDescent="0.35">
      <c r="D2293" s="66"/>
      <c r="E2293" s="66"/>
      <c r="F2293" s="66"/>
    </row>
    <row r="2294" spans="4:6" x14ac:dyDescent="0.35">
      <c r="D2294" s="66"/>
      <c r="E2294" s="66"/>
      <c r="F2294" s="66"/>
    </row>
    <row r="2295" spans="4:6" x14ac:dyDescent="0.35">
      <c r="D2295" s="66"/>
      <c r="E2295" s="66"/>
      <c r="F2295" s="66"/>
    </row>
    <row r="2296" spans="4:6" x14ac:dyDescent="0.35">
      <c r="D2296" s="66"/>
      <c r="E2296" s="66"/>
      <c r="F2296" s="66"/>
    </row>
    <row r="2297" spans="4:6" x14ac:dyDescent="0.35">
      <c r="D2297" s="66"/>
      <c r="E2297" s="66"/>
      <c r="F2297" s="66"/>
    </row>
    <row r="2298" spans="4:6" x14ac:dyDescent="0.35">
      <c r="D2298" s="66"/>
      <c r="E2298" s="66"/>
      <c r="F2298" s="66"/>
    </row>
    <row r="2299" spans="4:6" x14ac:dyDescent="0.35">
      <c r="D2299" s="66"/>
      <c r="E2299" s="66"/>
      <c r="F2299" s="66"/>
    </row>
    <row r="2300" spans="4:6" x14ac:dyDescent="0.35">
      <c r="D2300" s="66"/>
      <c r="E2300" s="66"/>
      <c r="F2300" s="66"/>
    </row>
    <row r="2301" spans="4:6" x14ac:dyDescent="0.35">
      <c r="D2301" s="66"/>
      <c r="E2301" s="66"/>
      <c r="F2301" s="66"/>
    </row>
    <row r="2302" spans="4:6" x14ac:dyDescent="0.35">
      <c r="D2302" s="66"/>
      <c r="E2302" s="66"/>
      <c r="F2302" s="66"/>
    </row>
    <row r="2303" spans="4:6" x14ac:dyDescent="0.35">
      <c r="D2303" s="66"/>
      <c r="E2303" s="66"/>
      <c r="F2303" s="66"/>
    </row>
    <row r="2304" spans="4:6" x14ac:dyDescent="0.35">
      <c r="D2304" s="66"/>
      <c r="E2304" s="66"/>
      <c r="F2304" s="66"/>
    </row>
    <row r="2305" spans="4:6" x14ac:dyDescent="0.35">
      <c r="D2305" s="66"/>
      <c r="E2305" s="66"/>
      <c r="F2305" s="66"/>
    </row>
    <row r="2306" spans="4:6" x14ac:dyDescent="0.35">
      <c r="D2306" s="66"/>
      <c r="E2306" s="66"/>
      <c r="F2306" s="66"/>
    </row>
    <row r="2307" spans="4:6" x14ac:dyDescent="0.35">
      <c r="D2307" s="66"/>
      <c r="E2307" s="66"/>
      <c r="F2307" s="66"/>
    </row>
    <row r="2308" spans="4:6" x14ac:dyDescent="0.35">
      <c r="D2308" s="66"/>
      <c r="E2308" s="66"/>
      <c r="F2308" s="66"/>
    </row>
    <row r="2309" spans="4:6" x14ac:dyDescent="0.35">
      <c r="D2309" s="66"/>
      <c r="E2309" s="66"/>
      <c r="F2309" s="66"/>
    </row>
    <row r="2310" spans="4:6" x14ac:dyDescent="0.35">
      <c r="D2310" s="66"/>
      <c r="E2310" s="66"/>
      <c r="F2310" s="66"/>
    </row>
    <row r="2311" spans="4:6" x14ac:dyDescent="0.35">
      <c r="D2311" s="66"/>
      <c r="E2311" s="66"/>
      <c r="F2311" s="66"/>
    </row>
    <row r="2312" spans="4:6" x14ac:dyDescent="0.35">
      <c r="D2312" s="66"/>
      <c r="E2312" s="66"/>
      <c r="F2312" s="66"/>
    </row>
    <row r="2313" spans="4:6" x14ac:dyDescent="0.35">
      <c r="D2313" s="66"/>
      <c r="E2313" s="66"/>
      <c r="F2313" s="66"/>
    </row>
    <row r="2314" spans="4:6" x14ac:dyDescent="0.35">
      <c r="D2314" s="66"/>
      <c r="E2314" s="66"/>
      <c r="F2314" s="66"/>
    </row>
    <row r="2315" spans="4:6" x14ac:dyDescent="0.35">
      <c r="D2315" s="66"/>
      <c r="E2315" s="66"/>
      <c r="F2315" s="66"/>
    </row>
    <row r="2316" spans="4:6" x14ac:dyDescent="0.35">
      <c r="D2316" s="66"/>
      <c r="E2316" s="66"/>
      <c r="F2316" s="66"/>
    </row>
    <row r="2317" spans="4:6" x14ac:dyDescent="0.35">
      <c r="D2317" s="66"/>
      <c r="E2317" s="66"/>
      <c r="F2317" s="66"/>
    </row>
    <row r="2318" spans="4:6" x14ac:dyDescent="0.35">
      <c r="D2318" s="66"/>
      <c r="E2318" s="66"/>
      <c r="F2318" s="66"/>
    </row>
    <row r="2319" spans="4:6" x14ac:dyDescent="0.35">
      <c r="D2319" s="66"/>
      <c r="E2319" s="66"/>
      <c r="F2319" s="66"/>
    </row>
    <row r="2320" spans="4:6" x14ac:dyDescent="0.35">
      <c r="D2320" s="66"/>
      <c r="E2320" s="66"/>
      <c r="F2320" s="66"/>
    </row>
    <row r="2321" spans="4:6" x14ac:dyDescent="0.35">
      <c r="D2321" s="66"/>
      <c r="E2321" s="66"/>
      <c r="F2321" s="66"/>
    </row>
    <row r="2322" spans="4:6" x14ac:dyDescent="0.35">
      <c r="D2322" s="66"/>
      <c r="E2322" s="66"/>
      <c r="F2322" s="66"/>
    </row>
    <row r="2323" spans="4:6" x14ac:dyDescent="0.35">
      <c r="D2323" s="66"/>
      <c r="E2323" s="66"/>
      <c r="F2323" s="66"/>
    </row>
    <row r="2324" spans="4:6" x14ac:dyDescent="0.35">
      <c r="D2324" s="66"/>
      <c r="E2324" s="66"/>
      <c r="F2324" s="66"/>
    </row>
    <row r="2325" spans="4:6" x14ac:dyDescent="0.35">
      <c r="D2325" s="66"/>
      <c r="E2325" s="66"/>
      <c r="F2325" s="66"/>
    </row>
    <row r="2326" spans="4:6" x14ac:dyDescent="0.35">
      <c r="D2326" s="66"/>
      <c r="E2326" s="66"/>
      <c r="F2326" s="66"/>
    </row>
    <row r="2327" spans="4:6" x14ac:dyDescent="0.35">
      <c r="D2327" s="66"/>
      <c r="E2327" s="66"/>
      <c r="F2327" s="66"/>
    </row>
    <row r="2328" spans="4:6" x14ac:dyDescent="0.35">
      <c r="D2328" s="66"/>
      <c r="E2328" s="66"/>
      <c r="F2328" s="66"/>
    </row>
    <row r="2329" spans="4:6" x14ac:dyDescent="0.35">
      <c r="D2329" s="66"/>
      <c r="E2329" s="66"/>
      <c r="F2329" s="66"/>
    </row>
    <row r="2330" spans="4:6" x14ac:dyDescent="0.35">
      <c r="D2330" s="66"/>
      <c r="E2330" s="66"/>
      <c r="F2330" s="66"/>
    </row>
    <row r="2331" spans="4:6" x14ac:dyDescent="0.35">
      <c r="D2331" s="66"/>
      <c r="E2331" s="66"/>
      <c r="F2331" s="66"/>
    </row>
    <row r="2332" spans="4:6" x14ac:dyDescent="0.35">
      <c r="D2332" s="66"/>
      <c r="E2332" s="66"/>
      <c r="F2332" s="66"/>
    </row>
    <row r="2333" spans="4:6" x14ac:dyDescent="0.35">
      <c r="D2333" s="66"/>
      <c r="E2333" s="66"/>
      <c r="F2333" s="66"/>
    </row>
    <row r="2334" spans="4:6" x14ac:dyDescent="0.35">
      <c r="D2334" s="66"/>
      <c r="E2334" s="66"/>
      <c r="F2334" s="66"/>
    </row>
    <row r="2335" spans="4:6" x14ac:dyDescent="0.35">
      <c r="D2335" s="66"/>
      <c r="E2335" s="66"/>
      <c r="F2335" s="66"/>
    </row>
    <row r="2336" spans="4:6" x14ac:dyDescent="0.35">
      <c r="D2336" s="66"/>
      <c r="E2336" s="66"/>
      <c r="F2336" s="66"/>
    </row>
    <row r="2337" spans="4:6" x14ac:dyDescent="0.35">
      <c r="D2337" s="66"/>
      <c r="E2337" s="66"/>
      <c r="F2337" s="66"/>
    </row>
    <row r="2338" spans="4:6" x14ac:dyDescent="0.35">
      <c r="D2338" s="66"/>
      <c r="E2338" s="66"/>
      <c r="F2338" s="66"/>
    </row>
    <row r="2339" spans="4:6" x14ac:dyDescent="0.35">
      <c r="D2339" s="66"/>
      <c r="E2339" s="66"/>
      <c r="F2339" s="66"/>
    </row>
    <row r="2340" spans="4:6" x14ac:dyDescent="0.35">
      <c r="D2340" s="66"/>
      <c r="E2340" s="66"/>
      <c r="F2340" s="66"/>
    </row>
    <row r="2341" spans="4:6" x14ac:dyDescent="0.35">
      <c r="D2341" s="66"/>
      <c r="E2341" s="66"/>
      <c r="F2341" s="66"/>
    </row>
    <row r="2342" spans="4:6" x14ac:dyDescent="0.35">
      <c r="D2342" s="66"/>
      <c r="E2342" s="66"/>
      <c r="F2342" s="66"/>
    </row>
    <row r="2343" spans="4:6" x14ac:dyDescent="0.35">
      <c r="D2343" s="66"/>
      <c r="E2343" s="66"/>
      <c r="F2343" s="66"/>
    </row>
    <row r="2344" spans="4:6" x14ac:dyDescent="0.35">
      <c r="D2344" s="66"/>
      <c r="E2344" s="66"/>
      <c r="F2344" s="66"/>
    </row>
    <row r="2345" spans="4:6" x14ac:dyDescent="0.35">
      <c r="D2345" s="66"/>
      <c r="E2345" s="66"/>
      <c r="F2345" s="66"/>
    </row>
    <row r="2346" spans="4:6" x14ac:dyDescent="0.35">
      <c r="D2346" s="66"/>
      <c r="E2346" s="66"/>
      <c r="F2346" s="66"/>
    </row>
    <row r="2347" spans="4:6" x14ac:dyDescent="0.35">
      <c r="D2347" s="66"/>
      <c r="E2347" s="66"/>
      <c r="F2347" s="66"/>
    </row>
    <row r="2348" spans="4:6" x14ac:dyDescent="0.35">
      <c r="D2348" s="66"/>
      <c r="E2348" s="66"/>
      <c r="F2348" s="66"/>
    </row>
    <row r="2349" spans="4:6" x14ac:dyDescent="0.35">
      <c r="D2349" s="66"/>
      <c r="E2349" s="66"/>
      <c r="F2349" s="66"/>
    </row>
    <row r="2350" spans="4:6" x14ac:dyDescent="0.35">
      <c r="D2350" s="66"/>
      <c r="E2350" s="66"/>
      <c r="F2350" s="66"/>
    </row>
    <row r="2351" spans="4:6" x14ac:dyDescent="0.35">
      <c r="D2351" s="66"/>
      <c r="E2351" s="66"/>
      <c r="F2351" s="66"/>
    </row>
    <row r="2352" spans="4:6" x14ac:dyDescent="0.35">
      <c r="D2352" s="66"/>
      <c r="E2352" s="66"/>
      <c r="F2352" s="66"/>
    </row>
    <row r="2353" spans="4:6" x14ac:dyDescent="0.35">
      <c r="D2353" s="66"/>
      <c r="E2353" s="66"/>
      <c r="F2353" s="66"/>
    </row>
    <row r="2354" spans="4:6" x14ac:dyDescent="0.35">
      <c r="D2354" s="66"/>
      <c r="E2354" s="66"/>
      <c r="F2354" s="66"/>
    </row>
    <row r="2355" spans="4:6" x14ac:dyDescent="0.35">
      <c r="D2355" s="66"/>
      <c r="E2355" s="66"/>
      <c r="F2355" s="66"/>
    </row>
    <row r="2356" spans="4:6" x14ac:dyDescent="0.35">
      <c r="D2356" s="66"/>
      <c r="E2356" s="66"/>
      <c r="F2356" s="66"/>
    </row>
    <row r="2357" spans="4:6" x14ac:dyDescent="0.35">
      <c r="D2357" s="66"/>
      <c r="E2357" s="66"/>
      <c r="F2357" s="66"/>
    </row>
    <row r="2358" spans="4:6" x14ac:dyDescent="0.35">
      <c r="D2358" s="66"/>
      <c r="E2358" s="66"/>
      <c r="F2358" s="66"/>
    </row>
    <row r="2359" spans="4:6" x14ac:dyDescent="0.35">
      <c r="D2359" s="66"/>
      <c r="E2359" s="66"/>
      <c r="F2359" s="66"/>
    </row>
    <row r="2360" spans="4:6" x14ac:dyDescent="0.35">
      <c r="D2360" s="66"/>
      <c r="E2360" s="66"/>
      <c r="F2360" s="66"/>
    </row>
    <row r="2361" spans="4:6" x14ac:dyDescent="0.35">
      <c r="D2361" s="66"/>
      <c r="E2361" s="66"/>
      <c r="F2361" s="66"/>
    </row>
    <row r="2362" spans="4:6" x14ac:dyDescent="0.35">
      <c r="D2362" s="66"/>
      <c r="E2362" s="66"/>
      <c r="F2362" s="66"/>
    </row>
    <row r="2363" spans="4:6" x14ac:dyDescent="0.35">
      <c r="D2363" s="66"/>
      <c r="E2363" s="66"/>
      <c r="F2363" s="66"/>
    </row>
    <row r="2364" spans="4:6" x14ac:dyDescent="0.35">
      <c r="D2364" s="66"/>
      <c r="E2364" s="66"/>
      <c r="F2364" s="66"/>
    </row>
    <row r="2365" spans="4:6" x14ac:dyDescent="0.35">
      <c r="D2365" s="66"/>
      <c r="E2365" s="66"/>
      <c r="F2365" s="66"/>
    </row>
    <row r="2366" spans="4:6" x14ac:dyDescent="0.35">
      <c r="D2366" s="66"/>
      <c r="E2366" s="66"/>
      <c r="F2366" s="66"/>
    </row>
    <row r="2367" spans="4:6" x14ac:dyDescent="0.35">
      <c r="D2367" s="66"/>
      <c r="E2367" s="66"/>
      <c r="F2367" s="66"/>
    </row>
    <row r="2368" spans="4:6" x14ac:dyDescent="0.35">
      <c r="D2368" s="66"/>
      <c r="E2368" s="66"/>
      <c r="F2368" s="66"/>
    </row>
    <row r="2369" spans="4:6" x14ac:dyDescent="0.35">
      <c r="D2369" s="66"/>
      <c r="E2369" s="66"/>
      <c r="F2369" s="66"/>
    </row>
    <row r="2370" spans="4:6" x14ac:dyDescent="0.35">
      <c r="D2370" s="66"/>
      <c r="E2370" s="66"/>
      <c r="F2370" s="66"/>
    </row>
    <row r="2371" spans="4:6" x14ac:dyDescent="0.35">
      <c r="D2371" s="66"/>
      <c r="E2371" s="66"/>
      <c r="F2371" s="66"/>
    </row>
    <row r="2372" spans="4:6" x14ac:dyDescent="0.35">
      <c r="D2372" s="66"/>
      <c r="E2372" s="66"/>
      <c r="F2372" s="66"/>
    </row>
    <row r="2373" spans="4:6" x14ac:dyDescent="0.35">
      <c r="D2373" s="66"/>
      <c r="E2373" s="66"/>
      <c r="F2373" s="66"/>
    </row>
    <row r="2374" spans="4:6" x14ac:dyDescent="0.35">
      <c r="D2374" s="66"/>
      <c r="E2374" s="66"/>
      <c r="F2374" s="66"/>
    </row>
    <row r="2375" spans="4:6" x14ac:dyDescent="0.35">
      <c r="D2375" s="66"/>
      <c r="E2375" s="66"/>
      <c r="F2375" s="66"/>
    </row>
    <row r="2376" spans="4:6" x14ac:dyDescent="0.35">
      <c r="D2376" s="66"/>
      <c r="E2376" s="66"/>
      <c r="F2376" s="66"/>
    </row>
    <row r="2377" spans="4:6" x14ac:dyDescent="0.35">
      <c r="D2377" s="66"/>
      <c r="E2377" s="66"/>
      <c r="F2377" s="66"/>
    </row>
    <row r="2378" spans="4:6" x14ac:dyDescent="0.35">
      <c r="D2378" s="66"/>
      <c r="E2378" s="66"/>
      <c r="F2378" s="66"/>
    </row>
    <row r="2379" spans="4:6" x14ac:dyDescent="0.35">
      <c r="D2379" s="66"/>
      <c r="E2379" s="66"/>
      <c r="F2379" s="66"/>
    </row>
    <row r="2380" spans="4:6" x14ac:dyDescent="0.35">
      <c r="D2380" s="66"/>
      <c r="E2380" s="66"/>
      <c r="F2380" s="66"/>
    </row>
    <row r="2381" spans="4:6" x14ac:dyDescent="0.35">
      <c r="D2381" s="66"/>
      <c r="E2381" s="66"/>
      <c r="F2381" s="66"/>
    </row>
    <row r="2382" spans="4:6" x14ac:dyDescent="0.35">
      <c r="D2382" s="66"/>
      <c r="E2382" s="66"/>
      <c r="F2382" s="66"/>
    </row>
    <row r="2383" spans="4:6" x14ac:dyDescent="0.35">
      <c r="D2383" s="66"/>
      <c r="E2383" s="66"/>
      <c r="F2383" s="66"/>
    </row>
    <row r="2384" spans="4:6" x14ac:dyDescent="0.35">
      <c r="D2384" s="66"/>
      <c r="E2384" s="66"/>
      <c r="F2384" s="66"/>
    </row>
    <row r="2385" spans="4:6" x14ac:dyDescent="0.35">
      <c r="D2385" s="66"/>
      <c r="E2385" s="66"/>
      <c r="F2385" s="66"/>
    </row>
    <row r="2386" spans="4:6" x14ac:dyDescent="0.35">
      <c r="D2386" s="66"/>
      <c r="E2386" s="66"/>
      <c r="F2386" s="66"/>
    </row>
    <row r="2387" spans="4:6" x14ac:dyDescent="0.35">
      <c r="D2387" s="66"/>
      <c r="E2387" s="66"/>
      <c r="F2387" s="66"/>
    </row>
    <row r="2388" spans="4:6" x14ac:dyDescent="0.35">
      <c r="D2388" s="66"/>
      <c r="E2388" s="66"/>
      <c r="F2388" s="66"/>
    </row>
    <row r="2389" spans="4:6" x14ac:dyDescent="0.35">
      <c r="D2389" s="66"/>
      <c r="E2389" s="66"/>
      <c r="F2389" s="66"/>
    </row>
    <row r="2390" spans="4:6" x14ac:dyDescent="0.35">
      <c r="D2390" s="66"/>
      <c r="E2390" s="66"/>
      <c r="F2390" s="66"/>
    </row>
    <row r="2391" spans="4:6" x14ac:dyDescent="0.35">
      <c r="D2391" s="66"/>
      <c r="E2391" s="66"/>
      <c r="F2391" s="66"/>
    </row>
    <row r="2392" spans="4:6" x14ac:dyDescent="0.35">
      <c r="D2392" s="66"/>
      <c r="E2392" s="66"/>
      <c r="F2392" s="66"/>
    </row>
    <row r="2393" spans="4:6" x14ac:dyDescent="0.35">
      <c r="D2393" s="66"/>
      <c r="E2393" s="66"/>
      <c r="F2393" s="66"/>
    </row>
    <row r="2394" spans="4:6" x14ac:dyDescent="0.35">
      <c r="D2394" s="66"/>
      <c r="E2394" s="66"/>
      <c r="F2394" s="66"/>
    </row>
    <row r="2395" spans="4:6" x14ac:dyDescent="0.35">
      <c r="D2395" s="66"/>
      <c r="E2395" s="66"/>
      <c r="F2395" s="66"/>
    </row>
    <row r="2396" spans="4:6" x14ac:dyDescent="0.35">
      <c r="D2396" s="66"/>
      <c r="E2396" s="66"/>
      <c r="F2396" s="66"/>
    </row>
    <row r="2397" spans="4:6" x14ac:dyDescent="0.35">
      <c r="D2397" s="66"/>
      <c r="E2397" s="66"/>
      <c r="F2397" s="66"/>
    </row>
    <row r="2398" spans="4:6" x14ac:dyDescent="0.35">
      <c r="D2398" s="66"/>
      <c r="E2398" s="66"/>
      <c r="F2398" s="66"/>
    </row>
    <row r="2399" spans="4:6" x14ac:dyDescent="0.35">
      <c r="D2399" s="66"/>
      <c r="E2399" s="66"/>
      <c r="F2399" s="66"/>
    </row>
    <row r="2400" spans="4:6" x14ac:dyDescent="0.35">
      <c r="D2400" s="66"/>
      <c r="E2400" s="66"/>
      <c r="F2400" s="66"/>
    </row>
    <row r="2401" spans="4:6" x14ac:dyDescent="0.35">
      <c r="D2401" s="66"/>
      <c r="E2401" s="66"/>
      <c r="F2401" s="66"/>
    </row>
    <row r="2402" spans="4:6" x14ac:dyDescent="0.35">
      <c r="D2402" s="66"/>
      <c r="E2402" s="66"/>
      <c r="F2402" s="66"/>
    </row>
    <row r="2403" spans="4:6" x14ac:dyDescent="0.35">
      <c r="D2403" s="66"/>
      <c r="E2403" s="66"/>
      <c r="F2403" s="66"/>
    </row>
    <row r="2404" spans="4:6" x14ac:dyDescent="0.35">
      <c r="D2404" s="66"/>
      <c r="E2404" s="66"/>
      <c r="F2404" s="66"/>
    </row>
    <row r="2405" spans="4:6" x14ac:dyDescent="0.35">
      <c r="D2405" s="66"/>
      <c r="E2405" s="66"/>
      <c r="F2405" s="66"/>
    </row>
    <row r="2406" spans="4:6" x14ac:dyDescent="0.35">
      <c r="D2406" s="66"/>
      <c r="E2406" s="66"/>
      <c r="F2406" s="66"/>
    </row>
    <row r="2407" spans="4:6" x14ac:dyDescent="0.35">
      <c r="D2407" s="66"/>
      <c r="E2407" s="66"/>
      <c r="F2407" s="66"/>
    </row>
    <row r="2408" spans="4:6" x14ac:dyDescent="0.35">
      <c r="D2408" s="66"/>
      <c r="E2408" s="66"/>
      <c r="F2408" s="66"/>
    </row>
    <row r="2409" spans="4:6" x14ac:dyDescent="0.35">
      <c r="D2409" s="66"/>
      <c r="E2409" s="66"/>
      <c r="F2409" s="66"/>
    </row>
    <row r="2410" spans="4:6" x14ac:dyDescent="0.35">
      <c r="D2410" s="66"/>
      <c r="E2410" s="66"/>
      <c r="F2410" s="66"/>
    </row>
    <row r="2411" spans="4:6" x14ac:dyDescent="0.35">
      <c r="D2411" s="66"/>
      <c r="E2411" s="66"/>
      <c r="F2411" s="66"/>
    </row>
    <row r="2412" spans="4:6" x14ac:dyDescent="0.35">
      <c r="D2412" s="66"/>
      <c r="E2412" s="66"/>
      <c r="F2412" s="66"/>
    </row>
    <row r="2413" spans="4:6" x14ac:dyDescent="0.35">
      <c r="D2413" s="66"/>
      <c r="E2413" s="66"/>
      <c r="F2413" s="66"/>
    </row>
    <row r="2414" spans="4:6" x14ac:dyDescent="0.35">
      <c r="D2414" s="66"/>
      <c r="E2414" s="66"/>
      <c r="F2414" s="66"/>
    </row>
    <row r="2415" spans="4:6" x14ac:dyDescent="0.35">
      <c r="D2415" s="66"/>
      <c r="E2415" s="66"/>
      <c r="F2415" s="66"/>
    </row>
    <row r="2416" spans="4:6" x14ac:dyDescent="0.35">
      <c r="D2416" s="66"/>
      <c r="E2416" s="66"/>
      <c r="F2416" s="66"/>
    </row>
    <row r="2417" spans="4:6" x14ac:dyDescent="0.35">
      <c r="D2417" s="66"/>
      <c r="E2417" s="66"/>
      <c r="F2417" s="66"/>
    </row>
    <row r="2418" spans="4:6" x14ac:dyDescent="0.35">
      <c r="D2418" s="66"/>
      <c r="E2418" s="66"/>
      <c r="F2418" s="66"/>
    </row>
    <row r="2419" spans="4:6" x14ac:dyDescent="0.35">
      <c r="D2419" s="66"/>
      <c r="E2419" s="66"/>
      <c r="F2419" s="66"/>
    </row>
    <row r="2420" spans="4:6" x14ac:dyDescent="0.35">
      <c r="D2420" s="66"/>
      <c r="E2420" s="66"/>
      <c r="F2420" s="66"/>
    </row>
    <row r="2421" spans="4:6" x14ac:dyDescent="0.35">
      <c r="D2421" s="66"/>
      <c r="E2421" s="66"/>
      <c r="F2421" s="66"/>
    </row>
    <row r="2422" spans="4:6" x14ac:dyDescent="0.35">
      <c r="D2422" s="66"/>
      <c r="E2422" s="66"/>
      <c r="F2422" s="66"/>
    </row>
    <row r="2423" spans="4:6" x14ac:dyDescent="0.35">
      <c r="D2423" s="66"/>
      <c r="E2423" s="66"/>
      <c r="F2423" s="66"/>
    </row>
    <row r="2424" spans="4:6" x14ac:dyDescent="0.35">
      <c r="D2424" s="66"/>
      <c r="E2424" s="66"/>
      <c r="F2424" s="66"/>
    </row>
    <row r="2425" spans="4:6" x14ac:dyDescent="0.35">
      <c r="D2425" s="66"/>
      <c r="E2425" s="66"/>
      <c r="F2425" s="66"/>
    </row>
    <row r="2426" spans="4:6" x14ac:dyDescent="0.35">
      <c r="D2426" s="66"/>
      <c r="E2426" s="66"/>
      <c r="F2426" s="66"/>
    </row>
    <row r="2427" spans="4:6" x14ac:dyDescent="0.35">
      <c r="D2427" s="66"/>
      <c r="E2427" s="66"/>
      <c r="F2427" s="66"/>
    </row>
    <row r="2428" spans="4:6" x14ac:dyDescent="0.35">
      <c r="D2428" s="66"/>
      <c r="E2428" s="66"/>
      <c r="F2428" s="66"/>
    </row>
    <row r="2429" spans="4:6" x14ac:dyDescent="0.35">
      <c r="D2429" s="66"/>
      <c r="E2429" s="66"/>
      <c r="F2429" s="66"/>
    </row>
    <row r="2430" spans="4:6" x14ac:dyDescent="0.35">
      <c r="D2430" s="66"/>
      <c r="E2430" s="66"/>
      <c r="F2430" s="66"/>
    </row>
    <row r="2431" spans="4:6" x14ac:dyDescent="0.35">
      <c r="D2431" s="66"/>
      <c r="E2431" s="66"/>
      <c r="F2431" s="66"/>
    </row>
    <row r="2432" spans="4:6" x14ac:dyDescent="0.35">
      <c r="D2432" s="66"/>
      <c r="E2432" s="66"/>
      <c r="F2432" s="66"/>
    </row>
    <row r="2433" spans="4:6" x14ac:dyDescent="0.35">
      <c r="D2433" s="66"/>
      <c r="E2433" s="66"/>
      <c r="F2433" s="66"/>
    </row>
    <row r="2434" spans="4:6" x14ac:dyDescent="0.35">
      <c r="D2434" s="66"/>
      <c r="E2434" s="66"/>
      <c r="F2434" s="66"/>
    </row>
    <row r="2435" spans="4:6" x14ac:dyDescent="0.35">
      <c r="D2435" s="66"/>
      <c r="E2435" s="66"/>
      <c r="F2435" s="66"/>
    </row>
    <row r="2436" spans="4:6" x14ac:dyDescent="0.35">
      <c r="D2436" s="66"/>
      <c r="E2436" s="66"/>
      <c r="F2436" s="66"/>
    </row>
    <row r="2437" spans="4:6" x14ac:dyDescent="0.35">
      <c r="D2437" s="66"/>
      <c r="E2437" s="66"/>
      <c r="F2437" s="66"/>
    </row>
    <row r="2438" spans="4:6" x14ac:dyDescent="0.35">
      <c r="D2438" s="66"/>
      <c r="E2438" s="66"/>
      <c r="F2438" s="66"/>
    </row>
    <row r="2439" spans="4:6" x14ac:dyDescent="0.35">
      <c r="D2439" s="66"/>
      <c r="E2439" s="66"/>
      <c r="F2439" s="66"/>
    </row>
    <row r="2440" spans="4:6" x14ac:dyDescent="0.35">
      <c r="D2440" s="66"/>
      <c r="E2440" s="66"/>
      <c r="F2440" s="66"/>
    </row>
    <row r="2441" spans="4:6" x14ac:dyDescent="0.35">
      <c r="D2441" s="66"/>
      <c r="E2441" s="66"/>
      <c r="F2441" s="66"/>
    </row>
    <row r="2442" spans="4:6" x14ac:dyDescent="0.35">
      <c r="D2442" s="66"/>
      <c r="E2442" s="66"/>
      <c r="F2442" s="66"/>
    </row>
    <row r="2443" spans="4:6" x14ac:dyDescent="0.35">
      <c r="D2443" s="66"/>
      <c r="E2443" s="66"/>
      <c r="F2443" s="66"/>
    </row>
    <row r="2444" spans="4:6" x14ac:dyDescent="0.35">
      <c r="D2444" s="66"/>
      <c r="E2444" s="66"/>
      <c r="F2444" s="66"/>
    </row>
    <row r="2445" spans="4:6" x14ac:dyDescent="0.35">
      <c r="D2445" s="66"/>
      <c r="E2445" s="66"/>
      <c r="F2445" s="66"/>
    </row>
    <row r="2446" spans="4:6" x14ac:dyDescent="0.35">
      <c r="D2446" s="66"/>
      <c r="E2446" s="66"/>
      <c r="F2446" s="66"/>
    </row>
    <row r="2447" spans="4:6" x14ac:dyDescent="0.35">
      <c r="D2447" s="66"/>
      <c r="E2447" s="66"/>
      <c r="F2447" s="66"/>
    </row>
    <row r="2448" spans="4:6" x14ac:dyDescent="0.35">
      <c r="D2448" s="66"/>
      <c r="E2448" s="66"/>
      <c r="F2448" s="66"/>
    </row>
    <row r="2449" spans="4:6" x14ac:dyDescent="0.35">
      <c r="D2449" s="66"/>
      <c r="E2449" s="66"/>
      <c r="F2449" s="66"/>
    </row>
    <row r="2450" spans="4:6" x14ac:dyDescent="0.35">
      <c r="D2450" s="66"/>
      <c r="E2450" s="66"/>
      <c r="F2450" s="66"/>
    </row>
    <row r="2451" spans="4:6" x14ac:dyDescent="0.35">
      <c r="D2451" s="66"/>
      <c r="E2451" s="66"/>
      <c r="F2451" s="66"/>
    </row>
    <row r="2452" spans="4:6" x14ac:dyDescent="0.35">
      <c r="D2452" s="66"/>
      <c r="E2452" s="66"/>
      <c r="F2452" s="66"/>
    </row>
    <row r="2453" spans="4:6" x14ac:dyDescent="0.35">
      <c r="D2453" s="66"/>
      <c r="E2453" s="66"/>
      <c r="F2453" s="66"/>
    </row>
    <row r="2454" spans="4:6" x14ac:dyDescent="0.35">
      <c r="D2454" s="66"/>
      <c r="E2454" s="66"/>
      <c r="F2454" s="66"/>
    </row>
    <row r="2455" spans="4:6" x14ac:dyDescent="0.35">
      <c r="D2455" s="66"/>
      <c r="E2455" s="66"/>
      <c r="F2455" s="66"/>
    </row>
    <row r="2456" spans="4:6" x14ac:dyDescent="0.35">
      <c r="D2456" s="66"/>
      <c r="E2456" s="66"/>
      <c r="F2456" s="66"/>
    </row>
    <row r="2457" spans="4:6" x14ac:dyDescent="0.35">
      <c r="D2457" s="66"/>
      <c r="E2457" s="66"/>
      <c r="F2457" s="66"/>
    </row>
    <row r="2458" spans="4:6" x14ac:dyDescent="0.35">
      <c r="D2458" s="66"/>
      <c r="E2458" s="66"/>
      <c r="F2458" s="66"/>
    </row>
    <row r="2459" spans="4:6" x14ac:dyDescent="0.35">
      <c r="D2459" s="66"/>
      <c r="E2459" s="66"/>
      <c r="F2459" s="66"/>
    </row>
    <row r="2460" spans="4:6" x14ac:dyDescent="0.35">
      <c r="D2460" s="66"/>
      <c r="E2460" s="66"/>
      <c r="F2460" s="66"/>
    </row>
    <row r="2461" spans="4:6" x14ac:dyDescent="0.35">
      <c r="D2461" s="66"/>
      <c r="E2461" s="66"/>
      <c r="F2461" s="66"/>
    </row>
    <row r="2462" spans="4:6" x14ac:dyDescent="0.35">
      <c r="D2462" s="66"/>
      <c r="E2462" s="66"/>
      <c r="F2462" s="66"/>
    </row>
    <row r="2463" spans="4:6" x14ac:dyDescent="0.35">
      <c r="D2463" s="66"/>
      <c r="E2463" s="66"/>
      <c r="F2463" s="66"/>
    </row>
    <row r="2464" spans="4:6" x14ac:dyDescent="0.35">
      <c r="D2464" s="66"/>
      <c r="E2464" s="66"/>
      <c r="F2464" s="66"/>
    </row>
    <row r="2465" spans="4:6" x14ac:dyDescent="0.35">
      <c r="D2465" s="66"/>
      <c r="E2465" s="66"/>
      <c r="F2465" s="66"/>
    </row>
    <row r="2466" spans="4:6" x14ac:dyDescent="0.35">
      <c r="D2466" s="66"/>
      <c r="E2466" s="66"/>
      <c r="F2466" s="66"/>
    </row>
    <row r="2467" spans="4:6" x14ac:dyDescent="0.35">
      <c r="D2467" s="66"/>
      <c r="E2467" s="66"/>
      <c r="F2467" s="66"/>
    </row>
    <row r="2468" spans="4:6" x14ac:dyDescent="0.35">
      <c r="D2468" s="66"/>
      <c r="E2468" s="66"/>
      <c r="F2468" s="66"/>
    </row>
    <row r="2469" spans="4:6" x14ac:dyDescent="0.35">
      <c r="D2469" s="66"/>
      <c r="E2469" s="66"/>
      <c r="F2469" s="66"/>
    </row>
    <row r="2470" spans="4:6" x14ac:dyDescent="0.35">
      <c r="D2470" s="66"/>
      <c r="E2470" s="66"/>
      <c r="F2470" s="66"/>
    </row>
    <row r="2471" spans="4:6" x14ac:dyDescent="0.35">
      <c r="D2471" s="66"/>
      <c r="E2471" s="66"/>
      <c r="F2471" s="66"/>
    </row>
    <row r="2472" spans="4:6" x14ac:dyDescent="0.35">
      <c r="D2472" s="66"/>
      <c r="E2472" s="66"/>
      <c r="F2472" s="66"/>
    </row>
    <row r="2473" spans="4:6" x14ac:dyDescent="0.35">
      <c r="D2473" s="66"/>
      <c r="E2473" s="66"/>
      <c r="F2473" s="66"/>
    </row>
    <row r="2474" spans="4:6" x14ac:dyDescent="0.35">
      <c r="D2474" s="66"/>
      <c r="E2474" s="66"/>
      <c r="F2474" s="66"/>
    </row>
    <row r="2475" spans="4:6" x14ac:dyDescent="0.35">
      <c r="D2475" s="66"/>
      <c r="E2475" s="66"/>
      <c r="F2475" s="66"/>
    </row>
    <row r="2476" spans="4:6" x14ac:dyDescent="0.35">
      <c r="D2476" s="66"/>
      <c r="E2476" s="66"/>
      <c r="F2476" s="66"/>
    </row>
    <row r="2477" spans="4:6" x14ac:dyDescent="0.35">
      <c r="D2477" s="66"/>
      <c r="E2477" s="66"/>
      <c r="F2477" s="66"/>
    </row>
    <row r="2478" spans="4:6" x14ac:dyDescent="0.35">
      <c r="D2478" s="66"/>
      <c r="E2478" s="66"/>
      <c r="F2478" s="66"/>
    </row>
    <row r="2479" spans="4:6" x14ac:dyDescent="0.35">
      <c r="D2479" s="66"/>
      <c r="E2479" s="66"/>
      <c r="F2479" s="66"/>
    </row>
    <row r="2480" spans="4:6" x14ac:dyDescent="0.35">
      <c r="D2480" s="66"/>
      <c r="E2480" s="66"/>
      <c r="F2480" s="66"/>
    </row>
    <row r="2481" spans="4:6" x14ac:dyDescent="0.35">
      <c r="D2481" s="66"/>
      <c r="E2481" s="66"/>
      <c r="F2481" s="66"/>
    </row>
    <row r="2482" spans="4:6" x14ac:dyDescent="0.35">
      <c r="D2482" s="66"/>
      <c r="E2482" s="66"/>
      <c r="F2482" s="66"/>
    </row>
    <row r="2483" spans="4:6" x14ac:dyDescent="0.35">
      <c r="D2483" s="66"/>
      <c r="E2483" s="66"/>
      <c r="F2483" s="66"/>
    </row>
    <row r="2484" spans="4:6" x14ac:dyDescent="0.35">
      <c r="D2484" s="66"/>
      <c r="E2484" s="66"/>
      <c r="F2484" s="66"/>
    </row>
    <row r="2485" spans="4:6" x14ac:dyDescent="0.35">
      <c r="D2485" s="66"/>
      <c r="E2485" s="66"/>
      <c r="F2485" s="66"/>
    </row>
    <row r="2486" spans="4:6" x14ac:dyDescent="0.35">
      <c r="D2486" s="66"/>
      <c r="E2486" s="66"/>
      <c r="F2486" s="66"/>
    </row>
    <row r="2487" spans="4:6" x14ac:dyDescent="0.35">
      <c r="D2487" s="66"/>
      <c r="E2487" s="66"/>
      <c r="F2487" s="66"/>
    </row>
    <row r="2488" spans="4:6" x14ac:dyDescent="0.35">
      <c r="D2488" s="66"/>
      <c r="E2488" s="66"/>
      <c r="F2488" s="66"/>
    </row>
    <row r="2489" spans="4:6" x14ac:dyDescent="0.35">
      <c r="D2489" s="66"/>
      <c r="E2489" s="66"/>
      <c r="F2489" s="66"/>
    </row>
    <row r="2490" spans="4:6" x14ac:dyDescent="0.35">
      <c r="D2490" s="66"/>
      <c r="E2490" s="66"/>
      <c r="F2490" s="66"/>
    </row>
    <row r="2491" spans="4:6" x14ac:dyDescent="0.35">
      <c r="D2491" s="66"/>
      <c r="E2491" s="66"/>
      <c r="F2491" s="66"/>
    </row>
    <row r="2492" spans="4:6" x14ac:dyDescent="0.35">
      <c r="D2492" s="66"/>
      <c r="E2492" s="66"/>
      <c r="F2492" s="66"/>
    </row>
    <row r="2493" spans="4:6" x14ac:dyDescent="0.35">
      <c r="D2493" s="66"/>
      <c r="E2493" s="66"/>
      <c r="F2493" s="66"/>
    </row>
    <row r="2494" spans="4:6" x14ac:dyDescent="0.35">
      <c r="D2494" s="66"/>
      <c r="E2494" s="66"/>
      <c r="F2494" s="66"/>
    </row>
    <row r="2495" spans="4:6" x14ac:dyDescent="0.35">
      <c r="D2495" s="66"/>
      <c r="E2495" s="66"/>
      <c r="F2495" s="66"/>
    </row>
    <row r="2496" spans="4:6" x14ac:dyDescent="0.35">
      <c r="D2496" s="66"/>
      <c r="E2496" s="66"/>
      <c r="F2496" s="66"/>
    </row>
    <row r="2497" spans="4:6" x14ac:dyDescent="0.35">
      <c r="D2497" s="66"/>
      <c r="E2497" s="66"/>
      <c r="F2497" s="66"/>
    </row>
    <row r="2498" spans="4:6" x14ac:dyDescent="0.35">
      <c r="D2498" s="66"/>
      <c r="E2498" s="66"/>
      <c r="F2498" s="66"/>
    </row>
    <row r="2499" spans="4:6" x14ac:dyDescent="0.35">
      <c r="D2499" s="66"/>
      <c r="E2499" s="66"/>
      <c r="F2499" s="66"/>
    </row>
    <row r="2500" spans="4:6" x14ac:dyDescent="0.35">
      <c r="D2500" s="66"/>
      <c r="E2500" s="66"/>
      <c r="F2500" s="66"/>
    </row>
    <row r="2501" spans="4:6" x14ac:dyDescent="0.35">
      <c r="D2501" s="66"/>
      <c r="E2501" s="66"/>
      <c r="F2501" s="66"/>
    </row>
    <row r="2502" spans="4:6" x14ac:dyDescent="0.35">
      <c r="D2502" s="66"/>
      <c r="E2502" s="66"/>
      <c r="F2502" s="66"/>
    </row>
    <row r="2503" spans="4:6" x14ac:dyDescent="0.35">
      <c r="D2503" s="66"/>
      <c r="E2503" s="66"/>
      <c r="F2503" s="66"/>
    </row>
    <row r="2504" spans="4:6" x14ac:dyDescent="0.35">
      <c r="D2504" s="66"/>
      <c r="E2504" s="66"/>
      <c r="F2504" s="66"/>
    </row>
    <row r="2505" spans="4:6" x14ac:dyDescent="0.35">
      <c r="D2505" s="66"/>
      <c r="E2505" s="66"/>
      <c r="F2505" s="66"/>
    </row>
    <row r="2506" spans="4:6" x14ac:dyDescent="0.35">
      <c r="D2506" s="66"/>
      <c r="E2506" s="66"/>
      <c r="F2506" s="66"/>
    </row>
    <row r="2507" spans="4:6" x14ac:dyDescent="0.35">
      <c r="D2507" s="66"/>
      <c r="E2507" s="66"/>
      <c r="F2507" s="66"/>
    </row>
    <row r="2508" spans="4:6" x14ac:dyDescent="0.35">
      <c r="D2508" s="66"/>
      <c r="E2508" s="66"/>
      <c r="F2508" s="66"/>
    </row>
    <row r="2509" spans="4:6" x14ac:dyDescent="0.35">
      <c r="D2509" s="66"/>
      <c r="E2509" s="66"/>
      <c r="F2509" s="66"/>
    </row>
    <row r="2510" spans="4:6" x14ac:dyDescent="0.35">
      <c r="D2510" s="66"/>
      <c r="E2510" s="66"/>
      <c r="F2510" s="66"/>
    </row>
    <row r="2511" spans="4:6" x14ac:dyDescent="0.35">
      <c r="D2511" s="66"/>
      <c r="E2511" s="66"/>
      <c r="F2511" s="66"/>
    </row>
    <row r="2512" spans="4:6" x14ac:dyDescent="0.35">
      <c r="D2512" s="66"/>
      <c r="E2512" s="66"/>
      <c r="F2512" s="66"/>
    </row>
    <row r="2513" spans="4:6" x14ac:dyDescent="0.35">
      <c r="D2513" s="66"/>
      <c r="E2513" s="66"/>
      <c r="F2513" s="66"/>
    </row>
    <row r="2514" spans="4:6" x14ac:dyDescent="0.35">
      <c r="D2514" s="66"/>
      <c r="E2514" s="66"/>
      <c r="F2514" s="66"/>
    </row>
    <row r="2515" spans="4:6" x14ac:dyDescent="0.35">
      <c r="D2515" s="66"/>
      <c r="E2515" s="66"/>
      <c r="F2515" s="66"/>
    </row>
    <row r="2516" spans="4:6" x14ac:dyDescent="0.35">
      <c r="D2516" s="66"/>
      <c r="E2516" s="66"/>
      <c r="F2516" s="66"/>
    </row>
    <row r="2517" spans="4:6" x14ac:dyDescent="0.35">
      <c r="D2517" s="66"/>
      <c r="E2517" s="66"/>
      <c r="F2517" s="66"/>
    </row>
    <row r="2518" spans="4:6" x14ac:dyDescent="0.35">
      <c r="D2518" s="66"/>
      <c r="E2518" s="66"/>
      <c r="F2518" s="66"/>
    </row>
    <row r="2519" spans="4:6" x14ac:dyDescent="0.35">
      <c r="D2519" s="66"/>
      <c r="E2519" s="66"/>
      <c r="F2519" s="66"/>
    </row>
    <row r="2520" spans="4:6" x14ac:dyDescent="0.35">
      <c r="D2520" s="66"/>
      <c r="E2520" s="66"/>
      <c r="F2520" s="66"/>
    </row>
    <row r="2521" spans="4:6" x14ac:dyDescent="0.35">
      <c r="D2521" s="66"/>
      <c r="E2521" s="66"/>
      <c r="F2521" s="66"/>
    </row>
    <row r="2522" spans="4:6" x14ac:dyDescent="0.35">
      <c r="D2522" s="66"/>
      <c r="E2522" s="66"/>
      <c r="F2522" s="66"/>
    </row>
    <row r="2523" spans="4:6" x14ac:dyDescent="0.35">
      <c r="D2523" s="66"/>
      <c r="E2523" s="66"/>
      <c r="F2523" s="66"/>
    </row>
    <row r="2524" spans="4:6" x14ac:dyDescent="0.35">
      <c r="D2524" s="66"/>
      <c r="E2524" s="66"/>
      <c r="F2524" s="66"/>
    </row>
    <row r="2525" spans="4:6" x14ac:dyDescent="0.35">
      <c r="D2525" s="66"/>
      <c r="E2525" s="66"/>
      <c r="F2525" s="66"/>
    </row>
    <row r="2526" spans="4:6" x14ac:dyDescent="0.35">
      <c r="D2526" s="66"/>
      <c r="E2526" s="66"/>
      <c r="F2526" s="66"/>
    </row>
    <row r="2527" spans="4:6" x14ac:dyDescent="0.35">
      <c r="D2527" s="66"/>
      <c r="E2527" s="66"/>
      <c r="F2527" s="66"/>
    </row>
    <row r="2528" spans="4:6" x14ac:dyDescent="0.35">
      <c r="D2528" s="66"/>
      <c r="E2528" s="66"/>
      <c r="F2528" s="66"/>
    </row>
    <row r="2529" spans="4:6" x14ac:dyDescent="0.35">
      <c r="D2529" s="66"/>
      <c r="E2529" s="66"/>
      <c r="F2529" s="66"/>
    </row>
    <row r="2530" spans="4:6" x14ac:dyDescent="0.35">
      <c r="D2530" s="66"/>
      <c r="E2530" s="66"/>
      <c r="F2530" s="66"/>
    </row>
    <row r="2531" spans="4:6" x14ac:dyDescent="0.35">
      <c r="D2531" s="66"/>
      <c r="E2531" s="66"/>
      <c r="F2531" s="66"/>
    </row>
    <row r="2532" spans="4:6" x14ac:dyDescent="0.35">
      <c r="D2532" s="66"/>
      <c r="E2532" s="66"/>
      <c r="F2532" s="66"/>
    </row>
    <row r="2533" spans="4:6" x14ac:dyDescent="0.35">
      <c r="D2533" s="66"/>
      <c r="E2533" s="66"/>
      <c r="F2533" s="66"/>
    </row>
    <row r="2534" spans="4:6" x14ac:dyDescent="0.35">
      <c r="D2534" s="66"/>
      <c r="E2534" s="66"/>
      <c r="F2534" s="66"/>
    </row>
    <row r="2535" spans="4:6" x14ac:dyDescent="0.35">
      <c r="D2535" s="66"/>
      <c r="E2535" s="66"/>
      <c r="F2535" s="66"/>
    </row>
    <row r="2536" spans="4:6" x14ac:dyDescent="0.35">
      <c r="D2536" s="66"/>
      <c r="E2536" s="66"/>
      <c r="F2536" s="66"/>
    </row>
    <row r="2537" spans="4:6" x14ac:dyDescent="0.35">
      <c r="D2537" s="66"/>
      <c r="E2537" s="66"/>
      <c r="F2537" s="66"/>
    </row>
    <row r="2538" spans="4:6" x14ac:dyDescent="0.35">
      <c r="D2538" s="66"/>
      <c r="E2538" s="66"/>
      <c r="F2538" s="66"/>
    </row>
    <row r="2539" spans="4:6" x14ac:dyDescent="0.35">
      <c r="D2539" s="66"/>
      <c r="E2539" s="66"/>
      <c r="F2539" s="66"/>
    </row>
    <row r="2540" spans="4:6" x14ac:dyDescent="0.35">
      <c r="D2540" s="66"/>
      <c r="E2540" s="66"/>
      <c r="F2540" s="66"/>
    </row>
    <row r="2541" spans="4:6" x14ac:dyDescent="0.35">
      <c r="D2541" s="66"/>
      <c r="E2541" s="66"/>
      <c r="F2541" s="66"/>
    </row>
    <row r="2542" spans="4:6" x14ac:dyDescent="0.35">
      <c r="D2542" s="66"/>
      <c r="E2542" s="66"/>
      <c r="F2542" s="66"/>
    </row>
    <row r="2543" spans="4:6" x14ac:dyDescent="0.35">
      <c r="D2543" s="66"/>
      <c r="E2543" s="66"/>
      <c r="F2543" s="66"/>
    </row>
    <row r="2544" spans="4:6" x14ac:dyDescent="0.35">
      <c r="D2544" s="66"/>
      <c r="E2544" s="66"/>
      <c r="F2544" s="66"/>
    </row>
    <row r="2545" spans="4:6" x14ac:dyDescent="0.35">
      <c r="D2545" s="66"/>
      <c r="E2545" s="66"/>
      <c r="F2545" s="66"/>
    </row>
    <row r="2546" spans="4:6" x14ac:dyDescent="0.35">
      <c r="D2546" s="66"/>
      <c r="E2546" s="66"/>
      <c r="F2546" s="66"/>
    </row>
    <row r="2547" spans="4:6" x14ac:dyDescent="0.35">
      <c r="D2547" s="66"/>
      <c r="E2547" s="66"/>
      <c r="F2547" s="66"/>
    </row>
    <row r="2548" spans="4:6" x14ac:dyDescent="0.35">
      <c r="D2548" s="66"/>
      <c r="E2548" s="66"/>
      <c r="F2548" s="66"/>
    </row>
    <row r="2549" spans="4:6" x14ac:dyDescent="0.35">
      <c r="D2549" s="66"/>
      <c r="E2549" s="66"/>
      <c r="F2549" s="66"/>
    </row>
    <row r="2550" spans="4:6" x14ac:dyDescent="0.35">
      <c r="D2550" s="66"/>
      <c r="E2550" s="66"/>
      <c r="F2550" s="66"/>
    </row>
    <row r="2551" spans="4:6" x14ac:dyDescent="0.35">
      <c r="D2551" s="66"/>
      <c r="E2551" s="66"/>
      <c r="F2551" s="66"/>
    </row>
    <row r="2552" spans="4:6" x14ac:dyDescent="0.35">
      <c r="D2552" s="66"/>
      <c r="E2552" s="66"/>
      <c r="F2552" s="66"/>
    </row>
    <row r="2553" spans="4:6" x14ac:dyDescent="0.35">
      <c r="D2553" s="66"/>
      <c r="E2553" s="66"/>
      <c r="F2553" s="66"/>
    </row>
    <row r="2554" spans="4:6" x14ac:dyDescent="0.35">
      <c r="D2554" s="66"/>
      <c r="E2554" s="66"/>
      <c r="F2554" s="66"/>
    </row>
    <row r="2555" spans="4:6" x14ac:dyDescent="0.35">
      <c r="D2555" s="66"/>
      <c r="E2555" s="66"/>
      <c r="F2555" s="66"/>
    </row>
    <row r="2556" spans="4:6" x14ac:dyDescent="0.35">
      <c r="D2556" s="66"/>
      <c r="E2556" s="66"/>
      <c r="F2556" s="66"/>
    </row>
    <row r="2557" spans="4:6" x14ac:dyDescent="0.35">
      <c r="D2557" s="66"/>
      <c r="E2557" s="66"/>
      <c r="F2557" s="66"/>
    </row>
    <row r="2558" spans="4:6" x14ac:dyDescent="0.35">
      <c r="D2558" s="66"/>
      <c r="E2558" s="66"/>
      <c r="F2558" s="66"/>
    </row>
    <row r="2559" spans="4:6" x14ac:dyDescent="0.35">
      <c r="D2559" s="66"/>
      <c r="E2559" s="66"/>
      <c r="F2559" s="66"/>
    </row>
    <row r="2560" spans="4:6" x14ac:dyDescent="0.35">
      <c r="D2560" s="66"/>
      <c r="E2560" s="66"/>
      <c r="F2560" s="66"/>
    </row>
    <row r="2561" spans="4:6" x14ac:dyDescent="0.35">
      <c r="D2561" s="66"/>
      <c r="E2561" s="66"/>
      <c r="F2561" s="66"/>
    </row>
    <row r="2562" spans="4:6" x14ac:dyDescent="0.35">
      <c r="D2562" s="66"/>
      <c r="E2562" s="66"/>
      <c r="F2562" s="66"/>
    </row>
    <row r="2563" spans="4:6" x14ac:dyDescent="0.35">
      <c r="D2563" s="66"/>
      <c r="E2563" s="66"/>
      <c r="F2563" s="66"/>
    </row>
    <row r="2564" spans="4:6" x14ac:dyDescent="0.35">
      <c r="D2564" s="66"/>
      <c r="E2564" s="66"/>
      <c r="F2564" s="66"/>
    </row>
    <row r="2565" spans="4:6" x14ac:dyDescent="0.35">
      <c r="D2565" s="66"/>
      <c r="E2565" s="66"/>
      <c r="F2565" s="66"/>
    </row>
    <row r="2566" spans="4:6" x14ac:dyDescent="0.35">
      <c r="D2566" s="66"/>
      <c r="E2566" s="66"/>
      <c r="F2566" s="66"/>
    </row>
    <row r="2567" spans="4:6" x14ac:dyDescent="0.35">
      <c r="D2567" s="66"/>
      <c r="E2567" s="66"/>
      <c r="F2567" s="66"/>
    </row>
    <row r="2568" spans="4:6" x14ac:dyDescent="0.35">
      <c r="D2568" s="66"/>
      <c r="E2568" s="66"/>
      <c r="F2568" s="66"/>
    </row>
    <row r="2569" spans="4:6" x14ac:dyDescent="0.35">
      <c r="D2569" s="66"/>
      <c r="E2569" s="66"/>
      <c r="F2569" s="66"/>
    </row>
    <row r="2570" spans="4:6" x14ac:dyDescent="0.35">
      <c r="D2570" s="66"/>
      <c r="E2570" s="66"/>
      <c r="F2570" s="66"/>
    </row>
    <row r="2571" spans="4:6" x14ac:dyDescent="0.35">
      <c r="D2571" s="66"/>
      <c r="E2571" s="66"/>
      <c r="F2571" s="66"/>
    </row>
    <row r="2572" spans="4:6" x14ac:dyDescent="0.35">
      <c r="D2572" s="66"/>
      <c r="E2572" s="66"/>
      <c r="F2572" s="66"/>
    </row>
    <row r="2573" spans="4:6" x14ac:dyDescent="0.35">
      <c r="D2573" s="66"/>
      <c r="E2573" s="66"/>
      <c r="F2573" s="66"/>
    </row>
    <row r="2574" spans="4:6" x14ac:dyDescent="0.35">
      <c r="D2574" s="66"/>
      <c r="E2574" s="66"/>
      <c r="F2574" s="66"/>
    </row>
    <row r="2575" spans="4:6" x14ac:dyDescent="0.35">
      <c r="D2575" s="66"/>
      <c r="E2575" s="66"/>
      <c r="F2575" s="66"/>
    </row>
    <row r="2576" spans="4:6" x14ac:dyDescent="0.35">
      <c r="D2576" s="66"/>
      <c r="E2576" s="66"/>
      <c r="F2576" s="66"/>
    </row>
    <row r="2577" spans="4:6" x14ac:dyDescent="0.35">
      <c r="D2577" s="66"/>
      <c r="E2577" s="66"/>
      <c r="F2577" s="66"/>
    </row>
    <row r="2578" spans="4:6" x14ac:dyDescent="0.35">
      <c r="D2578" s="66"/>
      <c r="E2578" s="66"/>
      <c r="F2578" s="66"/>
    </row>
    <row r="2579" spans="4:6" x14ac:dyDescent="0.35">
      <c r="D2579" s="66"/>
      <c r="E2579" s="66"/>
      <c r="F2579" s="66"/>
    </row>
    <row r="2580" spans="4:6" x14ac:dyDescent="0.35">
      <c r="D2580" s="66"/>
      <c r="E2580" s="66"/>
      <c r="F2580" s="66"/>
    </row>
    <row r="2581" spans="4:6" x14ac:dyDescent="0.35">
      <c r="D2581" s="66"/>
      <c r="E2581" s="66"/>
      <c r="F2581" s="66"/>
    </row>
    <row r="2582" spans="4:6" x14ac:dyDescent="0.35">
      <c r="D2582" s="66"/>
      <c r="E2582" s="66"/>
      <c r="F2582" s="66"/>
    </row>
    <row r="2583" spans="4:6" x14ac:dyDescent="0.35">
      <c r="D2583" s="66"/>
      <c r="E2583" s="66"/>
      <c r="F2583" s="66"/>
    </row>
    <row r="2584" spans="4:6" x14ac:dyDescent="0.35">
      <c r="D2584" s="66"/>
      <c r="E2584" s="66"/>
      <c r="F2584" s="66"/>
    </row>
    <row r="2585" spans="4:6" x14ac:dyDescent="0.35">
      <c r="D2585" s="66"/>
      <c r="E2585" s="66"/>
      <c r="F2585" s="66"/>
    </row>
    <row r="2586" spans="4:6" x14ac:dyDescent="0.35">
      <c r="D2586" s="66"/>
      <c r="E2586" s="66"/>
      <c r="F2586" s="66"/>
    </row>
    <row r="2587" spans="4:6" x14ac:dyDescent="0.35">
      <c r="D2587" s="66"/>
      <c r="E2587" s="66"/>
      <c r="F2587" s="66"/>
    </row>
    <row r="2588" spans="4:6" x14ac:dyDescent="0.35">
      <c r="D2588" s="66"/>
      <c r="E2588" s="66"/>
      <c r="F2588" s="66"/>
    </row>
    <row r="2589" spans="4:6" x14ac:dyDescent="0.35">
      <c r="D2589" s="66"/>
      <c r="E2589" s="66"/>
      <c r="F2589" s="66"/>
    </row>
    <row r="2590" spans="4:6" x14ac:dyDescent="0.35">
      <c r="D2590" s="66"/>
      <c r="E2590" s="66"/>
      <c r="F2590" s="66"/>
    </row>
    <row r="2591" spans="4:6" x14ac:dyDescent="0.35">
      <c r="D2591" s="66"/>
      <c r="E2591" s="66"/>
      <c r="F2591" s="66"/>
    </row>
    <row r="2592" spans="4:6" x14ac:dyDescent="0.35">
      <c r="D2592" s="66"/>
      <c r="E2592" s="66"/>
      <c r="F2592" s="66"/>
    </row>
    <row r="2593" spans="4:6" x14ac:dyDescent="0.35">
      <c r="D2593" s="66"/>
      <c r="E2593" s="66"/>
      <c r="F2593" s="66"/>
    </row>
    <row r="2594" spans="4:6" x14ac:dyDescent="0.35">
      <c r="D2594" s="66"/>
      <c r="E2594" s="66"/>
      <c r="F2594" s="66"/>
    </row>
    <row r="2595" spans="4:6" x14ac:dyDescent="0.35">
      <c r="D2595" s="66"/>
      <c r="E2595" s="66"/>
      <c r="F2595" s="66"/>
    </row>
    <row r="2596" spans="4:6" x14ac:dyDescent="0.35">
      <c r="D2596" s="66"/>
      <c r="E2596" s="66"/>
      <c r="F2596" s="66"/>
    </row>
    <row r="2597" spans="4:6" x14ac:dyDescent="0.35">
      <c r="D2597" s="66"/>
      <c r="E2597" s="66"/>
      <c r="F2597" s="66"/>
    </row>
    <row r="2598" spans="4:6" x14ac:dyDescent="0.35">
      <c r="D2598" s="66"/>
      <c r="E2598" s="66"/>
      <c r="F2598" s="66"/>
    </row>
    <row r="2599" spans="4:6" x14ac:dyDescent="0.35">
      <c r="D2599" s="66"/>
      <c r="E2599" s="66"/>
      <c r="F2599" s="66"/>
    </row>
    <row r="2600" spans="4:6" x14ac:dyDescent="0.35">
      <c r="D2600" s="66"/>
      <c r="E2600" s="66"/>
      <c r="F2600" s="66"/>
    </row>
    <row r="2601" spans="4:6" x14ac:dyDescent="0.35">
      <c r="D2601" s="66"/>
      <c r="E2601" s="66"/>
      <c r="F2601" s="66"/>
    </row>
    <row r="2602" spans="4:6" x14ac:dyDescent="0.35">
      <c r="D2602" s="66"/>
      <c r="E2602" s="66"/>
      <c r="F2602" s="66"/>
    </row>
    <row r="2603" spans="4:6" x14ac:dyDescent="0.35">
      <c r="D2603" s="66"/>
      <c r="E2603" s="66"/>
      <c r="F2603" s="66"/>
    </row>
    <row r="2604" spans="4:6" x14ac:dyDescent="0.35">
      <c r="D2604" s="66"/>
      <c r="E2604" s="66"/>
      <c r="F2604" s="66"/>
    </row>
    <row r="2605" spans="4:6" x14ac:dyDescent="0.35">
      <c r="D2605" s="66"/>
      <c r="E2605" s="66"/>
      <c r="F2605" s="66"/>
    </row>
    <row r="2606" spans="4:6" x14ac:dyDescent="0.35">
      <c r="D2606" s="66"/>
      <c r="E2606" s="66"/>
      <c r="F2606" s="66"/>
    </row>
    <row r="2607" spans="4:6" x14ac:dyDescent="0.35">
      <c r="D2607" s="66"/>
      <c r="E2607" s="66"/>
      <c r="F2607" s="66"/>
    </row>
    <row r="2608" spans="4:6" x14ac:dyDescent="0.35">
      <c r="D2608" s="66"/>
      <c r="E2608" s="66"/>
      <c r="F2608" s="66"/>
    </row>
    <row r="2609" spans="4:6" x14ac:dyDescent="0.35">
      <c r="D2609" s="66"/>
      <c r="E2609" s="66"/>
      <c r="F2609" s="66"/>
    </row>
    <row r="2610" spans="4:6" x14ac:dyDescent="0.35">
      <c r="D2610" s="66"/>
      <c r="E2610" s="66"/>
      <c r="F2610" s="66"/>
    </row>
    <row r="2611" spans="4:6" x14ac:dyDescent="0.35">
      <c r="D2611" s="66"/>
      <c r="E2611" s="66"/>
      <c r="F2611" s="66"/>
    </row>
    <row r="2612" spans="4:6" x14ac:dyDescent="0.35">
      <c r="D2612" s="66"/>
      <c r="E2612" s="66"/>
      <c r="F2612" s="66"/>
    </row>
    <row r="2613" spans="4:6" x14ac:dyDescent="0.35">
      <c r="D2613" s="66"/>
      <c r="E2613" s="66"/>
      <c r="F2613" s="66"/>
    </row>
    <row r="2614" spans="4:6" x14ac:dyDescent="0.35">
      <c r="D2614" s="66"/>
      <c r="E2614" s="66"/>
      <c r="F2614" s="66"/>
    </row>
    <row r="2615" spans="4:6" x14ac:dyDescent="0.35">
      <c r="D2615" s="66"/>
      <c r="E2615" s="66"/>
      <c r="F2615" s="66"/>
    </row>
    <row r="2616" spans="4:6" x14ac:dyDescent="0.35">
      <c r="D2616" s="66"/>
      <c r="E2616" s="66"/>
      <c r="F2616" s="66"/>
    </row>
    <row r="2617" spans="4:6" x14ac:dyDescent="0.35">
      <c r="D2617" s="66"/>
      <c r="E2617" s="66"/>
      <c r="F2617" s="66"/>
    </row>
    <row r="2618" spans="4:6" x14ac:dyDescent="0.35">
      <c r="D2618" s="66"/>
      <c r="E2618" s="66"/>
      <c r="F2618" s="66"/>
    </row>
    <row r="2619" spans="4:6" x14ac:dyDescent="0.35">
      <c r="D2619" s="66"/>
      <c r="E2619" s="66"/>
      <c r="F2619" s="66"/>
    </row>
    <row r="2620" spans="4:6" x14ac:dyDescent="0.35">
      <c r="D2620" s="66"/>
      <c r="E2620" s="66"/>
      <c r="F2620" s="66"/>
    </row>
    <row r="2621" spans="4:6" x14ac:dyDescent="0.35">
      <c r="D2621" s="66"/>
      <c r="E2621" s="66"/>
      <c r="F2621" s="66"/>
    </row>
    <row r="2622" spans="4:6" x14ac:dyDescent="0.35">
      <c r="D2622" s="66"/>
      <c r="E2622" s="66"/>
      <c r="F2622" s="66"/>
    </row>
    <row r="2623" spans="4:6" x14ac:dyDescent="0.35">
      <c r="D2623" s="66"/>
      <c r="E2623" s="66"/>
      <c r="F2623" s="66"/>
    </row>
    <row r="2624" spans="4:6" x14ac:dyDescent="0.35">
      <c r="D2624" s="66"/>
      <c r="E2624" s="66"/>
      <c r="F2624" s="66"/>
    </row>
    <row r="2625" spans="4:6" x14ac:dyDescent="0.35">
      <c r="D2625" s="66"/>
      <c r="E2625" s="66"/>
      <c r="F2625" s="66"/>
    </row>
    <row r="2626" spans="4:6" x14ac:dyDescent="0.35">
      <c r="D2626" s="66"/>
      <c r="E2626" s="66"/>
      <c r="F2626" s="66"/>
    </row>
    <row r="2627" spans="4:6" x14ac:dyDescent="0.35">
      <c r="D2627" s="66"/>
      <c r="E2627" s="66"/>
      <c r="F2627" s="66"/>
    </row>
    <row r="2628" spans="4:6" x14ac:dyDescent="0.35">
      <c r="D2628" s="66"/>
      <c r="E2628" s="66"/>
      <c r="F2628" s="66"/>
    </row>
    <row r="2629" spans="4:6" x14ac:dyDescent="0.35">
      <c r="D2629" s="66"/>
      <c r="E2629" s="66"/>
      <c r="F2629" s="66"/>
    </row>
    <row r="2630" spans="4:6" x14ac:dyDescent="0.35">
      <c r="D2630" s="66"/>
      <c r="E2630" s="66"/>
      <c r="F2630" s="66"/>
    </row>
    <row r="2631" spans="4:6" x14ac:dyDescent="0.35">
      <c r="D2631" s="66"/>
      <c r="E2631" s="66"/>
      <c r="F2631" s="66"/>
    </row>
    <row r="2632" spans="4:6" x14ac:dyDescent="0.35">
      <c r="D2632" s="66"/>
      <c r="E2632" s="66"/>
      <c r="F2632" s="66"/>
    </row>
    <row r="2633" spans="4:6" x14ac:dyDescent="0.35">
      <c r="D2633" s="66"/>
      <c r="E2633" s="66"/>
      <c r="F2633" s="66"/>
    </row>
    <row r="2634" spans="4:6" x14ac:dyDescent="0.35">
      <c r="D2634" s="66"/>
      <c r="E2634" s="66"/>
      <c r="F2634" s="66"/>
    </row>
    <row r="2635" spans="4:6" x14ac:dyDescent="0.35">
      <c r="D2635" s="66"/>
      <c r="E2635" s="66"/>
      <c r="F2635" s="66"/>
    </row>
    <row r="2636" spans="4:6" x14ac:dyDescent="0.35">
      <c r="D2636" s="66"/>
      <c r="E2636" s="66"/>
      <c r="F2636" s="66"/>
    </row>
    <row r="2637" spans="4:6" x14ac:dyDescent="0.35">
      <c r="D2637" s="66"/>
      <c r="E2637" s="66"/>
      <c r="F2637" s="66"/>
    </row>
    <row r="2638" spans="4:6" x14ac:dyDescent="0.35">
      <c r="D2638" s="66"/>
      <c r="E2638" s="66"/>
      <c r="F2638" s="66"/>
    </row>
    <row r="2639" spans="4:6" x14ac:dyDescent="0.35">
      <c r="D2639" s="66"/>
      <c r="E2639" s="66"/>
      <c r="F2639" s="66"/>
    </row>
    <row r="2640" spans="4:6" x14ac:dyDescent="0.35">
      <c r="D2640" s="66"/>
      <c r="E2640" s="66"/>
      <c r="F2640" s="66"/>
    </row>
    <row r="2641" spans="4:6" x14ac:dyDescent="0.35">
      <c r="D2641" s="66"/>
      <c r="E2641" s="66"/>
      <c r="F2641" s="66"/>
    </row>
    <row r="2642" spans="4:6" x14ac:dyDescent="0.35">
      <c r="D2642" s="66"/>
      <c r="E2642" s="66"/>
      <c r="F2642" s="66"/>
    </row>
    <row r="2643" spans="4:6" x14ac:dyDescent="0.35">
      <c r="D2643" s="66"/>
      <c r="E2643" s="66"/>
      <c r="F2643" s="66"/>
    </row>
    <row r="2644" spans="4:6" x14ac:dyDescent="0.35">
      <c r="D2644" s="66"/>
      <c r="E2644" s="66"/>
      <c r="F2644" s="66"/>
    </row>
    <row r="2645" spans="4:6" x14ac:dyDescent="0.35">
      <c r="D2645" s="66"/>
      <c r="E2645" s="66"/>
      <c r="F2645" s="66"/>
    </row>
    <row r="2646" spans="4:6" x14ac:dyDescent="0.35">
      <c r="D2646" s="66"/>
      <c r="E2646" s="66"/>
      <c r="F2646" s="66"/>
    </row>
    <row r="2647" spans="4:6" x14ac:dyDescent="0.35">
      <c r="D2647" s="66"/>
      <c r="E2647" s="66"/>
      <c r="F2647" s="66"/>
    </row>
    <row r="2648" spans="4:6" x14ac:dyDescent="0.35">
      <c r="D2648" s="66"/>
      <c r="E2648" s="66"/>
      <c r="F2648" s="66"/>
    </row>
    <row r="2649" spans="4:6" x14ac:dyDescent="0.35">
      <c r="D2649" s="66"/>
      <c r="E2649" s="66"/>
      <c r="F2649" s="66"/>
    </row>
    <row r="2650" spans="4:6" x14ac:dyDescent="0.35">
      <c r="D2650" s="66"/>
      <c r="E2650" s="66"/>
      <c r="F2650" s="66"/>
    </row>
    <row r="2651" spans="4:6" x14ac:dyDescent="0.35">
      <c r="D2651" s="66"/>
      <c r="E2651" s="66"/>
      <c r="F2651" s="66"/>
    </row>
    <row r="2652" spans="4:6" x14ac:dyDescent="0.35">
      <c r="D2652" s="66"/>
      <c r="E2652" s="66"/>
      <c r="F2652" s="66"/>
    </row>
    <row r="2653" spans="4:6" x14ac:dyDescent="0.35">
      <c r="D2653" s="66"/>
      <c r="E2653" s="66"/>
      <c r="F2653" s="66"/>
    </row>
    <row r="2654" spans="4:6" x14ac:dyDescent="0.35">
      <c r="D2654" s="66"/>
      <c r="E2654" s="66"/>
      <c r="F2654" s="66"/>
    </row>
    <row r="2655" spans="4:6" x14ac:dyDescent="0.35">
      <c r="D2655" s="66"/>
      <c r="E2655" s="66"/>
      <c r="F2655" s="66"/>
    </row>
    <row r="2656" spans="4:6" x14ac:dyDescent="0.35">
      <c r="D2656" s="66"/>
      <c r="E2656" s="66"/>
      <c r="F2656" s="66"/>
    </row>
    <row r="2657" spans="4:6" x14ac:dyDescent="0.35">
      <c r="D2657" s="66"/>
      <c r="E2657" s="66"/>
      <c r="F2657" s="66"/>
    </row>
    <row r="2658" spans="4:6" x14ac:dyDescent="0.35">
      <c r="D2658" s="66"/>
      <c r="E2658" s="66"/>
      <c r="F2658" s="66"/>
    </row>
    <row r="2659" spans="4:6" x14ac:dyDescent="0.35">
      <c r="D2659" s="66"/>
      <c r="E2659" s="66"/>
      <c r="F2659" s="66"/>
    </row>
    <row r="2660" spans="4:6" x14ac:dyDescent="0.35">
      <c r="D2660" s="66"/>
      <c r="E2660" s="66"/>
      <c r="F2660" s="66"/>
    </row>
    <row r="2661" spans="4:6" x14ac:dyDescent="0.35">
      <c r="D2661" s="66"/>
      <c r="E2661" s="66"/>
      <c r="F2661" s="66"/>
    </row>
    <row r="2662" spans="4:6" x14ac:dyDescent="0.35">
      <c r="D2662" s="66"/>
      <c r="E2662" s="66"/>
      <c r="F2662" s="66"/>
    </row>
    <row r="2663" spans="4:6" x14ac:dyDescent="0.35">
      <c r="D2663" s="66"/>
      <c r="E2663" s="66"/>
      <c r="F2663" s="66"/>
    </row>
    <row r="2664" spans="4:6" x14ac:dyDescent="0.35">
      <c r="D2664" s="66"/>
      <c r="E2664" s="66"/>
      <c r="F2664" s="66"/>
    </row>
    <row r="2665" spans="4:6" x14ac:dyDescent="0.35">
      <c r="D2665" s="66"/>
      <c r="E2665" s="66"/>
      <c r="F2665" s="66"/>
    </row>
    <row r="2666" spans="4:6" x14ac:dyDescent="0.35">
      <c r="D2666" s="66"/>
      <c r="E2666" s="66"/>
      <c r="F2666" s="66"/>
    </row>
    <row r="2667" spans="4:6" x14ac:dyDescent="0.35">
      <c r="D2667" s="66"/>
      <c r="E2667" s="66"/>
      <c r="F2667" s="66"/>
    </row>
    <row r="2668" spans="4:6" x14ac:dyDescent="0.35">
      <c r="D2668" s="66"/>
      <c r="E2668" s="66"/>
      <c r="F2668" s="66"/>
    </row>
    <row r="2669" spans="4:6" x14ac:dyDescent="0.35">
      <c r="D2669" s="66"/>
      <c r="E2669" s="66"/>
      <c r="F2669" s="66"/>
    </row>
    <row r="2670" spans="4:6" x14ac:dyDescent="0.35">
      <c r="D2670" s="66"/>
      <c r="E2670" s="66"/>
      <c r="F2670" s="66"/>
    </row>
    <row r="2671" spans="4:6" x14ac:dyDescent="0.35">
      <c r="D2671" s="66"/>
      <c r="E2671" s="66"/>
      <c r="F2671" s="66"/>
    </row>
    <row r="2672" spans="4:6" x14ac:dyDescent="0.35">
      <c r="D2672" s="66"/>
      <c r="E2672" s="66"/>
      <c r="F2672" s="66"/>
    </row>
    <row r="2673" spans="4:6" x14ac:dyDescent="0.35">
      <c r="D2673" s="66"/>
      <c r="E2673" s="66"/>
      <c r="F2673" s="66"/>
    </row>
    <row r="2674" spans="4:6" x14ac:dyDescent="0.35">
      <c r="D2674" s="66"/>
      <c r="E2674" s="66"/>
      <c r="F2674" s="66"/>
    </row>
    <row r="2675" spans="4:6" x14ac:dyDescent="0.35">
      <c r="D2675" s="66"/>
      <c r="E2675" s="66"/>
      <c r="F2675" s="66"/>
    </row>
    <row r="2676" spans="4:6" x14ac:dyDescent="0.35">
      <c r="D2676" s="66"/>
      <c r="E2676" s="66"/>
      <c r="F2676" s="66"/>
    </row>
    <row r="2677" spans="4:6" x14ac:dyDescent="0.35">
      <c r="D2677" s="66"/>
      <c r="E2677" s="66"/>
      <c r="F2677" s="66"/>
    </row>
    <row r="2678" spans="4:6" x14ac:dyDescent="0.35">
      <c r="D2678" s="66"/>
      <c r="E2678" s="66"/>
      <c r="F2678" s="66"/>
    </row>
    <row r="2679" spans="4:6" x14ac:dyDescent="0.35">
      <c r="D2679" s="66"/>
      <c r="E2679" s="66"/>
      <c r="F2679" s="66"/>
    </row>
    <row r="2680" spans="4:6" x14ac:dyDescent="0.35">
      <c r="D2680" s="66"/>
      <c r="E2680" s="66"/>
      <c r="F2680" s="66"/>
    </row>
    <row r="2681" spans="4:6" x14ac:dyDescent="0.35">
      <c r="D2681" s="66"/>
      <c r="E2681" s="66"/>
      <c r="F2681" s="66"/>
    </row>
    <row r="2682" spans="4:6" x14ac:dyDescent="0.35">
      <c r="D2682" s="66"/>
      <c r="E2682" s="66"/>
      <c r="F2682" s="66"/>
    </row>
    <row r="2683" spans="4:6" x14ac:dyDescent="0.35">
      <c r="D2683" s="66"/>
      <c r="E2683" s="66"/>
      <c r="F2683" s="66"/>
    </row>
    <row r="2684" spans="4:6" x14ac:dyDescent="0.35">
      <c r="D2684" s="66"/>
      <c r="E2684" s="66"/>
      <c r="F2684" s="66"/>
    </row>
    <row r="2685" spans="4:6" x14ac:dyDescent="0.35">
      <c r="D2685" s="66"/>
      <c r="E2685" s="66"/>
      <c r="F2685" s="66"/>
    </row>
    <row r="2686" spans="4:6" x14ac:dyDescent="0.35">
      <c r="D2686" s="66"/>
      <c r="E2686" s="66"/>
      <c r="F2686" s="66"/>
    </row>
    <row r="2687" spans="4:6" x14ac:dyDescent="0.35">
      <c r="D2687" s="66"/>
      <c r="E2687" s="66"/>
      <c r="F2687" s="66"/>
    </row>
    <row r="2688" spans="4:6" x14ac:dyDescent="0.35">
      <c r="D2688" s="66"/>
      <c r="E2688" s="66"/>
      <c r="F2688" s="66"/>
    </row>
    <row r="2689" spans="4:6" x14ac:dyDescent="0.35">
      <c r="D2689" s="66"/>
      <c r="E2689" s="66"/>
      <c r="F2689" s="66"/>
    </row>
    <row r="2690" spans="4:6" x14ac:dyDescent="0.35">
      <c r="D2690" s="66"/>
      <c r="E2690" s="66"/>
      <c r="F2690" s="66"/>
    </row>
    <row r="2691" spans="4:6" x14ac:dyDescent="0.35">
      <c r="D2691" s="66"/>
      <c r="E2691" s="66"/>
      <c r="F2691" s="66"/>
    </row>
    <row r="2692" spans="4:6" x14ac:dyDescent="0.35">
      <c r="D2692" s="66"/>
      <c r="E2692" s="66"/>
      <c r="F2692" s="66"/>
    </row>
    <row r="2693" spans="4:6" x14ac:dyDescent="0.35">
      <c r="D2693" s="66"/>
      <c r="E2693" s="66"/>
      <c r="F2693" s="66"/>
    </row>
    <row r="2694" spans="4:6" x14ac:dyDescent="0.35">
      <c r="D2694" s="66"/>
      <c r="E2694" s="66"/>
      <c r="F2694" s="66"/>
    </row>
    <row r="2695" spans="4:6" x14ac:dyDescent="0.35">
      <c r="D2695" s="66"/>
      <c r="E2695" s="66"/>
      <c r="F2695" s="66"/>
    </row>
    <row r="2696" spans="4:6" x14ac:dyDescent="0.35">
      <c r="D2696" s="66"/>
      <c r="E2696" s="66"/>
      <c r="F2696" s="66"/>
    </row>
    <row r="2697" spans="4:6" x14ac:dyDescent="0.35">
      <c r="D2697" s="66"/>
      <c r="E2697" s="66"/>
      <c r="F2697" s="66"/>
    </row>
    <row r="2698" spans="4:6" x14ac:dyDescent="0.35">
      <c r="D2698" s="66"/>
      <c r="E2698" s="66"/>
      <c r="F2698" s="66"/>
    </row>
    <row r="2699" spans="4:6" x14ac:dyDescent="0.35">
      <c r="D2699" s="66"/>
      <c r="E2699" s="66"/>
      <c r="F2699" s="66"/>
    </row>
    <row r="2700" spans="4:6" x14ac:dyDescent="0.35">
      <c r="D2700" s="66"/>
      <c r="E2700" s="66"/>
      <c r="F2700" s="66"/>
    </row>
    <row r="2701" spans="4:6" x14ac:dyDescent="0.35">
      <c r="D2701" s="66"/>
      <c r="E2701" s="66"/>
      <c r="F2701" s="66"/>
    </row>
    <row r="2702" spans="4:6" x14ac:dyDescent="0.35">
      <c r="D2702" s="66"/>
      <c r="E2702" s="66"/>
      <c r="F2702" s="66"/>
    </row>
    <row r="2703" spans="4:6" x14ac:dyDescent="0.35">
      <c r="D2703" s="66"/>
      <c r="E2703" s="66"/>
      <c r="F2703" s="66"/>
    </row>
    <row r="2704" spans="4:6" x14ac:dyDescent="0.35">
      <c r="D2704" s="66"/>
      <c r="E2704" s="66"/>
      <c r="F2704" s="66"/>
    </row>
    <row r="2705" spans="4:6" x14ac:dyDescent="0.35">
      <c r="D2705" s="66"/>
      <c r="E2705" s="66"/>
      <c r="F2705" s="66"/>
    </row>
    <row r="2706" spans="4:6" x14ac:dyDescent="0.35">
      <c r="D2706" s="66"/>
      <c r="E2706" s="66"/>
      <c r="F2706" s="66"/>
    </row>
    <row r="2707" spans="4:6" x14ac:dyDescent="0.35">
      <c r="D2707" s="66"/>
      <c r="E2707" s="66"/>
      <c r="F2707" s="66"/>
    </row>
    <row r="2708" spans="4:6" x14ac:dyDescent="0.35">
      <c r="D2708" s="66"/>
      <c r="E2708" s="66"/>
      <c r="F2708" s="66"/>
    </row>
    <row r="2709" spans="4:6" x14ac:dyDescent="0.35">
      <c r="D2709" s="66"/>
      <c r="E2709" s="66"/>
      <c r="F2709" s="66"/>
    </row>
    <row r="2710" spans="4:6" x14ac:dyDescent="0.35">
      <c r="D2710" s="66"/>
      <c r="E2710" s="66"/>
      <c r="F2710" s="66"/>
    </row>
    <row r="2711" spans="4:6" x14ac:dyDescent="0.35">
      <c r="D2711" s="66"/>
      <c r="E2711" s="66"/>
      <c r="F2711" s="66"/>
    </row>
    <row r="2712" spans="4:6" x14ac:dyDescent="0.35">
      <c r="D2712" s="66"/>
      <c r="E2712" s="66"/>
      <c r="F2712" s="66"/>
    </row>
    <row r="2713" spans="4:6" x14ac:dyDescent="0.35">
      <c r="D2713" s="66"/>
      <c r="E2713" s="66"/>
      <c r="F2713" s="66"/>
    </row>
    <row r="2714" spans="4:6" x14ac:dyDescent="0.35">
      <c r="D2714" s="66"/>
      <c r="E2714" s="66"/>
      <c r="F2714" s="66"/>
    </row>
    <row r="2715" spans="4:6" x14ac:dyDescent="0.35">
      <c r="D2715" s="66"/>
      <c r="E2715" s="66"/>
      <c r="F2715" s="66"/>
    </row>
    <row r="2716" spans="4:6" x14ac:dyDescent="0.35">
      <c r="D2716" s="66"/>
      <c r="E2716" s="66"/>
      <c r="F2716" s="66"/>
    </row>
    <row r="2717" spans="4:6" x14ac:dyDescent="0.35">
      <c r="D2717" s="66"/>
      <c r="E2717" s="66"/>
      <c r="F2717" s="66"/>
    </row>
    <row r="2718" spans="4:6" x14ac:dyDescent="0.35">
      <c r="D2718" s="66"/>
      <c r="E2718" s="66"/>
      <c r="F2718" s="66"/>
    </row>
    <row r="2719" spans="4:6" x14ac:dyDescent="0.35">
      <c r="D2719" s="66"/>
      <c r="E2719" s="66"/>
      <c r="F2719" s="66"/>
    </row>
    <row r="2720" spans="4:6" x14ac:dyDescent="0.35">
      <c r="D2720" s="66"/>
      <c r="E2720" s="66"/>
      <c r="F2720" s="66"/>
    </row>
    <row r="2721" spans="4:6" x14ac:dyDescent="0.35">
      <c r="D2721" s="66"/>
      <c r="E2721" s="66"/>
      <c r="F2721" s="66"/>
    </row>
    <row r="2722" spans="4:6" x14ac:dyDescent="0.35">
      <c r="D2722" s="66"/>
      <c r="E2722" s="66"/>
      <c r="F2722" s="66"/>
    </row>
    <row r="2723" spans="4:6" x14ac:dyDescent="0.35">
      <c r="D2723" s="66"/>
      <c r="E2723" s="66"/>
      <c r="F2723" s="66"/>
    </row>
    <row r="2724" spans="4:6" x14ac:dyDescent="0.35">
      <c r="D2724" s="66"/>
      <c r="E2724" s="66"/>
      <c r="F2724" s="66"/>
    </row>
    <row r="2725" spans="4:6" x14ac:dyDescent="0.35">
      <c r="D2725" s="66"/>
      <c r="E2725" s="66"/>
      <c r="F2725" s="66"/>
    </row>
    <row r="2726" spans="4:6" x14ac:dyDescent="0.35">
      <c r="D2726" s="66"/>
      <c r="E2726" s="66"/>
      <c r="F2726" s="66"/>
    </row>
    <row r="2727" spans="4:6" x14ac:dyDescent="0.35">
      <c r="D2727" s="66"/>
      <c r="E2727" s="66"/>
      <c r="F2727" s="66"/>
    </row>
    <row r="2728" spans="4:6" x14ac:dyDescent="0.35">
      <c r="D2728" s="66"/>
      <c r="E2728" s="66"/>
      <c r="F2728" s="66"/>
    </row>
    <row r="2729" spans="4:6" x14ac:dyDescent="0.35">
      <c r="D2729" s="66"/>
      <c r="E2729" s="66"/>
      <c r="F2729" s="66"/>
    </row>
    <row r="2730" spans="4:6" x14ac:dyDescent="0.35">
      <c r="D2730" s="66"/>
      <c r="E2730" s="66"/>
      <c r="F2730" s="66"/>
    </row>
    <row r="2731" spans="4:6" x14ac:dyDescent="0.35">
      <c r="D2731" s="66"/>
      <c r="E2731" s="66"/>
      <c r="F2731" s="66"/>
    </row>
    <row r="2732" spans="4:6" x14ac:dyDescent="0.35">
      <c r="D2732" s="66"/>
      <c r="E2732" s="66"/>
      <c r="F2732" s="66"/>
    </row>
    <row r="2733" spans="4:6" x14ac:dyDescent="0.35">
      <c r="D2733" s="66"/>
      <c r="E2733" s="66"/>
      <c r="F2733" s="66"/>
    </row>
    <row r="2734" spans="4:6" x14ac:dyDescent="0.35">
      <c r="D2734" s="66"/>
      <c r="E2734" s="66"/>
      <c r="F2734" s="66"/>
    </row>
    <row r="2735" spans="4:6" x14ac:dyDescent="0.35">
      <c r="D2735" s="66"/>
      <c r="E2735" s="66"/>
      <c r="F2735" s="66"/>
    </row>
    <row r="2736" spans="4:6" x14ac:dyDescent="0.35">
      <c r="D2736" s="66"/>
      <c r="E2736" s="66"/>
      <c r="F2736" s="66"/>
    </row>
    <row r="2737" spans="4:6" x14ac:dyDescent="0.35">
      <c r="D2737" s="66"/>
      <c r="E2737" s="66"/>
      <c r="F2737" s="66"/>
    </row>
    <row r="2738" spans="4:6" x14ac:dyDescent="0.35">
      <c r="D2738" s="66"/>
      <c r="E2738" s="66"/>
      <c r="F2738" s="66"/>
    </row>
    <row r="2739" spans="4:6" x14ac:dyDescent="0.35">
      <c r="D2739" s="66"/>
      <c r="E2739" s="66"/>
      <c r="F2739" s="66"/>
    </row>
    <row r="2740" spans="4:6" x14ac:dyDescent="0.35">
      <c r="D2740" s="66"/>
      <c r="E2740" s="66"/>
      <c r="F2740" s="66"/>
    </row>
    <row r="2741" spans="4:6" x14ac:dyDescent="0.35">
      <c r="D2741" s="66"/>
      <c r="E2741" s="66"/>
      <c r="F2741" s="66"/>
    </row>
    <row r="2742" spans="4:6" x14ac:dyDescent="0.35">
      <c r="D2742" s="66"/>
      <c r="E2742" s="66"/>
      <c r="F2742" s="66"/>
    </row>
    <row r="2743" spans="4:6" x14ac:dyDescent="0.35">
      <c r="D2743" s="66"/>
      <c r="E2743" s="66"/>
      <c r="F2743" s="66"/>
    </row>
    <row r="2744" spans="4:6" x14ac:dyDescent="0.35">
      <c r="D2744" s="66"/>
      <c r="E2744" s="66"/>
      <c r="F2744" s="66"/>
    </row>
    <row r="2745" spans="4:6" x14ac:dyDescent="0.35">
      <c r="D2745" s="66"/>
      <c r="E2745" s="66"/>
      <c r="F2745" s="66"/>
    </row>
    <row r="2746" spans="4:6" x14ac:dyDescent="0.35">
      <c r="D2746" s="66"/>
      <c r="E2746" s="66"/>
      <c r="F2746" s="66"/>
    </row>
    <row r="2747" spans="4:6" x14ac:dyDescent="0.35">
      <c r="D2747" s="66"/>
      <c r="E2747" s="66"/>
      <c r="F2747" s="66"/>
    </row>
    <row r="2748" spans="4:6" x14ac:dyDescent="0.35">
      <c r="D2748" s="66"/>
      <c r="E2748" s="66"/>
      <c r="F2748" s="66"/>
    </row>
    <row r="2749" spans="4:6" x14ac:dyDescent="0.35">
      <c r="D2749" s="66"/>
      <c r="E2749" s="66"/>
      <c r="F2749" s="66"/>
    </row>
    <row r="2750" spans="4:6" x14ac:dyDescent="0.35">
      <c r="D2750" s="66"/>
      <c r="E2750" s="66"/>
      <c r="F2750" s="66"/>
    </row>
    <row r="2751" spans="4:6" x14ac:dyDescent="0.35">
      <c r="D2751" s="66"/>
      <c r="E2751" s="66"/>
      <c r="F2751" s="66"/>
    </row>
    <row r="2752" spans="4:6" x14ac:dyDescent="0.35">
      <c r="D2752" s="66"/>
      <c r="E2752" s="66"/>
      <c r="F2752" s="66"/>
    </row>
    <row r="2753" spans="4:6" x14ac:dyDescent="0.35">
      <c r="D2753" s="66"/>
      <c r="E2753" s="66"/>
      <c r="F2753" s="66"/>
    </row>
    <row r="2754" spans="4:6" x14ac:dyDescent="0.35">
      <c r="D2754" s="66"/>
      <c r="E2754" s="66"/>
      <c r="F2754" s="66"/>
    </row>
    <row r="2755" spans="4:6" x14ac:dyDescent="0.35">
      <c r="D2755" s="66"/>
      <c r="E2755" s="66"/>
      <c r="F2755" s="66"/>
    </row>
    <row r="2756" spans="4:6" x14ac:dyDescent="0.35">
      <c r="D2756" s="66"/>
      <c r="E2756" s="66"/>
      <c r="F2756" s="66"/>
    </row>
    <row r="2757" spans="4:6" x14ac:dyDescent="0.35">
      <c r="D2757" s="66"/>
      <c r="E2757" s="66"/>
      <c r="F2757" s="66"/>
    </row>
    <row r="2758" spans="4:6" x14ac:dyDescent="0.35">
      <c r="D2758" s="66"/>
      <c r="E2758" s="66"/>
      <c r="F2758" s="66"/>
    </row>
    <row r="2759" spans="4:6" x14ac:dyDescent="0.35">
      <c r="D2759" s="66"/>
      <c r="E2759" s="66"/>
      <c r="F2759" s="66"/>
    </row>
    <row r="2760" spans="4:6" x14ac:dyDescent="0.35">
      <c r="D2760" s="66"/>
      <c r="E2760" s="66"/>
      <c r="F2760" s="66"/>
    </row>
    <row r="2761" spans="4:6" x14ac:dyDescent="0.35">
      <c r="D2761" s="66"/>
      <c r="E2761" s="66"/>
      <c r="F2761" s="66"/>
    </row>
    <row r="2762" spans="4:6" x14ac:dyDescent="0.35">
      <c r="D2762" s="66"/>
      <c r="E2762" s="66"/>
      <c r="F2762" s="66"/>
    </row>
    <row r="2763" spans="4:6" x14ac:dyDescent="0.35">
      <c r="D2763" s="66"/>
      <c r="E2763" s="66"/>
      <c r="F2763" s="66"/>
    </row>
    <row r="2764" spans="4:6" x14ac:dyDescent="0.35">
      <c r="D2764" s="66"/>
      <c r="E2764" s="66"/>
      <c r="F2764" s="66"/>
    </row>
    <row r="2765" spans="4:6" x14ac:dyDescent="0.35">
      <c r="D2765" s="66"/>
      <c r="E2765" s="66"/>
      <c r="F2765" s="66"/>
    </row>
    <row r="2766" spans="4:6" x14ac:dyDescent="0.35">
      <c r="D2766" s="66"/>
      <c r="E2766" s="66"/>
      <c r="F2766" s="66"/>
    </row>
    <row r="2767" spans="4:6" x14ac:dyDescent="0.35">
      <c r="D2767" s="66"/>
      <c r="E2767" s="66"/>
      <c r="F2767" s="66"/>
    </row>
    <row r="2768" spans="4:6" x14ac:dyDescent="0.35">
      <c r="D2768" s="66"/>
      <c r="E2768" s="66"/>
      <c r="F2768" s="66"/>
    </row>
    <row r="2769" spans="4:6" x14ac:dyDescent="0.35">
      <c r="D2769" s="66"/>
      <c r="E2769" s="66"/>
      <c r="F2769" s="66"/>
    </row>
    <row r="2770" spans="4:6" x14ac:dyDescent="0.35">
      <c r="D2770" s="66"/>
      <c r="E2770" s="66"/>
      <c r="F2770" s="66"/>
    </row>
    <row r="2771" spans="4:6" x14ac:dyDescent="0.35">
      <c r="D2771" s="66"/>
      <c r="E2771" s="66"/>
      <c r="F2771" s="66"/>
    </row>
    <row r="2772" spans="4:6" x14ac:dyDescent="0.35">
      <c r="D2772" s="66"/>
      <c r="E2772" s="66"/>
      <c r="F2772" s="66"/>
    </row>
    <row r="2773" spans="4:6" x14ac:dyDescent="0.35">
      <c r="D2773" s="66"/>
      <c r="E2773" s="66"/>
      <c r="F2773" s="66"/>
    </row>
    <row r="2774" spans="4:6" x14ac:dyDescent="0.35">
      <c r="D2774" s="66"/>
      <c r="E2774" s="66"/>
      <c r="F2774" s="66"/>
    </row>
    <row r="2775" spans="4:6" x14ac:dyDescent="0.35">
      <c r="D2775" s="66"/>
      <c r="E2775" s="66"/>
      <c r="F2775" s="66"/>
    </row>
    <row r="2776" spans="4:6" x14ac:dyDescent="0.35">
      <c r="D2776" s="66"/>
      <c r="E2776" s="66"/>
      <c r="F2776" s="66"/>
    </row>
    <row r="2777" spans="4:6" x14ac:dyDescent="0.35">
      <c r="D2777" s="66"/>
      <c r="E2777" s="66"/>
      <c r="F2777" s="66"/>
    </row>
    <row r="2778" spans="4:6" x14ac:dyDescent="0.35">
      <c r="D2778" s="66"/>
      <c r="E2778" s="66"/>
      <c r="F2778" s="66"/>
    </row>
    <row r="2779" spans="4:6" x14ac:dyDescent="0.35">
      <c r="D2779" s="66"/>
      <c r="E2779" s="66"/>
      <c r="F2779" s="66"/>
    </row>
    <row r="2780" spans="4:6" x14ac:dyDescent="0.35">
      <c r="D2780" s="66"/>
      <c r="E2780" s="66"/>
      <c r="F2780" s="66"/>
    </row>
    <row r="2781" spans="4:6" x14ac:dyDescent="0.35">
      <c r="D2781" s="66"/>
      <c r="E2781" s="66"/>
      <c r="F2781" s="66"/>
    </row>
    <row r="2782" spans="4:6" x14ac:dyDescent="0.35">
      <c r="D2782" s="66"/>
      <c r="E2782" s="66"/>
      <c r="F2782" s="66"/>
    </row>
    <row r="2783" spans="4:6" x14ac:dyDescent="0.35">
      <c r="D2783" s="66"/>
      <c r="E2783" s="66"/>
      <c r="F2783" s="66"/>
    </row>
    <row r="2784" spans="4:6" x14ac:dyDescent="0.35">
      <c r="D2784" s="66"/>
      <c r="E2784" s="66"/>
      <c r="F2784" s="66"/>
    </row>
    <row r="2785" spans="4:6" x14ac:dyDescent="0.35">
      <c r="D2785" s="66"/>
      <c r="E2785" s="66"/>
      <c r="F2785" s="66"/>
    </row>
    <row r="2786" spans="4:6" x14ac:dyDescent="0.35">
      <c r="D2786" s="66"/>
      <c r="E2786" s="66"/>
      <c r="F2786" s="66"/>
    </row>
    <row r="2787" spans="4:6" x14ac:dyDescent="0.35">
      <c r="D2787" s="66"/>
      <c r="E2787" s="66"/>
      <c r="F2787" s="66"/>
    </row>
    <row r="2788" spans="4:6" x14ac:dyDescent="0.35">
      <c r="D2788" s="66"/>
      <c r="E2788" s="66"/>
      <c r="F2788" s="66"/>
    </row>
    <row r="2789" spans="4:6" x14ac:dyDescent="0.35">
      <c r="D2789" s="66"/>
      <c r="E2789" s="66"/>
      <c r="F2789" s="66"/>
    </row>
    <row r="2790" spans="4:6" x14ac:dyDescent="0.35">
      <c r="D2790" s="66"/>
      <c r="E2790" s="66"/>
      <c r="F2790" s="66"/>
    </row>
    <row r="2791" spans="4:6" x14ac:dyDescent="0.35">
      <c r="D2791" s="66"/>
      <c r="E2791" s="66"/>
      <c r="F2791" s="66"/>
    </row>
    <row r="2792" spans="4:6" x14ac:dyDescent="0.35">
      <c r="D2792" s="66"/>
      <c r="E2792" s="66"/>
      <c r="F2792" s="66"/>
    </row>
    <row r="2793" spans="4:6" x14ac:dyDescent="0.35">
      <c r="D2793" s="66"/>
      <c r="E2793" s="66"/>
      <c r="F2793" s="66"/>
    </row>
    <row r="2794" spans="4:6" x14ac:dyDescent="0.35">
      <c r="D2794" s="66"/>
      <c r="E2794" s="66"/>
      <c r="F2794" s="66"/>
    </row>
    <row r="2795" spans="4:6" x14ac:dyDescent="0.35">
      <c r="D2795" s="66"/>
      <c r="E2795" s="66"/>
      <c r="F2795" s="66"/>
    </row>
    <row r="2796" spans="4:6" x14ac:dyDescent="0.35">
      <c r="D2796" s="66"/>
      <c r="E2796" s="66"/>
      <c r="F2796" s="66"/>
    </row>
    <row r="2797" spans="4:6" x14ac:dyDescent="0.35">
      <c r="D2797" s="66"/>
      <c r="E2797" s="66"/>
      <c r="F2797" s="66"/>
    </row>
    <row r="2798" spans="4:6" x14ac:dyDescent="0.35">
      <c r="D2798" s="66"/>
      <c r="E2798" s="66"/>
      <c r="F2798" s="66"/>
    </row>
    <row r="2799" spans="4:6" x14ac:dyDescent="0.35">
      <c r="D2799" s="66"/>
      <c r="E2799" s="66"/>
      <c r="F2799" s="66"/>
    </row>
    <row r="2800" spans="4:6" x14ac:dyDescent="0.35">
      <c r="D2800" s="66"/>
      <c r="E2800" s="66"/>
      <c r="F2800" s="66"/>
    </row>
    <row r="2801" spans="4:6" x14ac:dyDescent="0.35">
      <c r="D2801" s="66"/>
      <c r="E2801" s="66"/>
      <c r="F2801" s="66"/>
    </row>
    <row r="2802" spans="4:6" x14ac:dyDescent="0.35">
      <c r="D2802" s="66"/>
      <c r="E2802" s="66"/>
      <c r="F2802" s="66"/>
    </row>
    <row r="2803" spans="4:6" x14ac:dyDescent="0.35">
      <c r="D2803" s="66"/>
      <c r="E2803" s="66"/>
      <c r="F2803" s="66"/>
    </row>
    <row r="2804" spans="4:6" x14ac:dyDescent="0.35">
      <c r="D2804" s="66"/>
      <c r="E2804" s="66"/>
      <c r="F2804" s="66"/>
    </row>
    <row r="2805" spans="4:6" x14ac:dyDescent="0.35">
      <c r="D2805" s="66"/>
      <c r="E2805" s="66"/>
      <c r="F2805" s="66"/>
    </row>
    <row r="2806" spans="4:6" x14ac:dyDescent="0.35">
      <c r="D2806" s="66"/>
      <c r="E2806" s="66"/>
      <c r="F2806" s="66"/>
    </row>
    <row r="2807" spans="4:6" x14ac:dyDescent="0.35">
      <c r="D2807" s="66"/>
      <c r="E2807" s="66"/>
      <c r="F2807" s="66"/>
    </row>
    <row r="2808" spans="4:6" x14ac:dyDescent="0.35">
      <c r="D2808" s="66"/>
      <c r="E2808" s="66"/>
      <c r="F2808" s="66"/>
    </row>
    <row r="2809" spans="4:6" x14ac:dyDescent="0.35">
      <c r="D2809" s="66"/>
      <c r="E2809" s="66"/>
      <c r="F2809" s="66"/>
    </row>
    <row r="2810" spans="4:6" x14ac:dyDescent="0.35">
      <c r="D2810" s="66"/>
      <c r="E2810" s="66"/>
      <c r="F2810" s="66"/>
    </row>
    <row r="2811" spans="4:6" x14ac:dyDescent="0.35">
      <c r="D2811" s="66"/>
      <c r="E2811" s="66"/>
      <c r="F2811" s="66"/>
    </row>
    <row r="2812" spans="4:6" x14ac:dyDescent="0.35">
      <c r="D2812" s="66"/>
      <c r="E2812" s="66"/>
      <c r="F2812" s="66"/>
    </row>
    <row r="2813" spans="4:6" x14ac:dyDescent="0.35">
      <c r="D2813" s="66"/>
      <c r="E2813" s="66"/>
      <c r="F2813" s="66"/>
    </row>
    <row r="2814" spans="4:6" x14ac:dyDescent="0.35">
      <c r="D2814" s="66"/>
      <c r="E2814" s="66"/>
      <c r="F2814" s="66"/>
    </row>
    <row r="2815" spans="4:6" x14ac:dyDescent="0.35">
      <c r="D2815" s="66"/>
      <c r="E2815" s="66"/>
      <c r="F2815" s="66"/>
    </row>
    <row r="2816" spans="4:6" x14ac:dyDescent="0.35">
      <c r="D2816" s="66"/>
      <c r="E2816" s="66"/>
      <c r="F2816" s="66"/>
    </row>
    <row r="2817" spans="4:6" x14ac:dyDescent="0.35">
      <c r="D2817" s="66"/>
      <c r="E2817" s="66"/>
      <c r="F2817" s="66"/>
    </row>
    <row r="2818" spans="4:6" x14ac:dyDescent="0.35">
      <c r="D2818" s="66"/>
      <c r="E2818" s="66"/>
      <c r="F2818" s="66"/>
    </row>
    <row r="2819" spans="4:6" x14ac:dyDescent="0.35">
      <c r="D2819" s="66"/>
      <c r="E2819" s="66"/>
      <c r="F2819" s="66"/>
    </row>
    <row r="2820" spans="4:6" x14ac:dyDescent="0.35">
      <c r="D2820" s="66"/>
      <c r="E2820" s="66"/>
      <c r="F2820" s="66"/>
    </row>
    <row r="2821" spans="4:6" x14ac:dyDescent="0.35">
      <c r="D2821" s="66"/>
      <c r="E2821" s="66"/>
      <c r="F2821" s="66"/>
    </row>
    <row r="2822" spans="4:6" x14ac:dyDescent="0.35">
      <c r="D2822" s="66"/>
      <c r="E2822" s="66"/>
      <c r="F2822" s="66"/>
    </row>
    <row r="2823" spans="4:6" x14ac:dyDescent="0.35">
      <c r="D2823" s="66"/>
      <c r="E2823" s="66"/>
      <c r="F2823" s="66"/>
    </row>
    <row r="2824" spans="4:6" x14ac:dyDescent="0.35">
      <c r="D2824" s="66"/>
      <c r="E2824" s="66"/>
      <c r="F2824" s="66"/>
    </row>
    <row r="2825" spans="4:6" x14ac:dyDescent="0.35">
      <c r="D2825" s="66"/>
      <c r="E2825" s="66"/>
      <c r="F2825" s="66"/>
    </row>
    <row r="2826" spans="4:6" x14ac:dyDescent="0.35">
      <c r="D2826" s="66"/>
      <c r="E2826" s="66"/>
      <c r="F2826" s="66"/>
    </row>
    <row r="2827" spans="4:6" x14ac:dyDescent="0.35">
      <c r="D2827" s="66"/>
      <c r="E2827" s="66"/>
      <c r="F2827" s="66"/>
    </row>
    <row r="2828" spans="4:6" x14ac:dyDescent="0.35">
      <c r="D2828" s="66"/>
      <c r="E2828" s="66"/>
      <c r="F2828" s="66"/>
    </row>
    <row r="2829" spans="4:6" x14ac:dyDescent="0.35">
      <c r="D2829" s="66"/>
      <c r="E2829" s="66"/>
      <c r="F2829" s="66"/>
    </row>
    <row r="2830" spans="4:6" x14ac:dyDescent="0.35">
      <c r="D2830" s="66"/>
      <c r="E2830" s="66"/>
      <c r="F2830" s="66"/>
    </row>
    <row r="2831" spans="4:6" x14ac:dyDescent="0.35">
      <c r="D2831" s="66"/>
      <c r="E2831" s="66"/>
      <c r="F2831" s="66"/>
    </row>
    <row r="2832" spans="4:6" x14ac:dyDescent="0.35">
      <c r="D2832" s="66"/>
      <c r="E2832" s="66"/>
      <c r="F2832" s="66"/>
    </row>
    <row r="2833" spans="4:6" x14ac:dyDescent="0.35">
      <c r="D2833" s="66"/>
      <c r="E2833" s="66"/>
      <c r="F2833" s="66"/>
    </row>
    <row r="2834" spans="4:6" x14ac:dyDescent="0.35">
      <c r="D2834" s="66"/>
      <c r="E2834" s="66"/>
      <c r="F2834" s="66"/>
    </row>
    <row r="2835" spans="4:6" x14ac:dyDescent="0.35">
      <c r="D2835" s="66"/>
      <c r="E2835" s="66"/>
      <c r="F2835" s="66"/>
    </row>
    <row r="2836" spans="4:6" x14ac:dyDescent="0.35">
      <c r="D2836" s="66"/>
      <c r="E2836" s="66"/>
      <c r="F2836" s="66"/>
    </row>
    <row r="2837" spans="4:6" x14ac:dyDescent="0.35">
      <c r="D2837" s="66"/>
      <c r="E2837" s="66"/>
      <c r="F2837" s="66"/>
    </row>
    <row r="2838" spans="4:6" x14ac:dyDescent="0.35">
      <c r="D2838" s="66"/>
      <c r="E2838" s="66"/>
      <c r="F2838" s="66"/>
    </row>
    <row r="2839" spans="4:6" x14ac:dyDescent="0.35">
      <c r="D2839" s="66"/>
      <c r="E2839" s="66"/>
      <c r="F2839" s="66"/>
    </row>
    <row r="2840" spans="4:6" x14ac:dyDescent="0.35">
      <c r="D2840" s="66"/>
      <c r="E2840" s="66"/>
      <c r="F2840" s="66"/>
    </row>
    <row r="2841" spans="4:6" x14ac:dyDescent="0.35">
      <c r="D2841" s="66"/>
      <c r="E2841" s="66"/>
      <c r="F2841" s="66"/>
    </row>
    <row r="2842" spans="4:6" x14ac:dyDescent="0.35">
      <c r="D2842" s="66"/>
      <c r="E2842" s="66"/>
      <c r="F2842" s="66"/>
    </row>
    <row r="2843" spans="4:6" x14ac:dyDescent="0.35">
      <c r="D2843" s="66"/>
      <c r="E2843" s="66"/>
      <c r="F2843" s="66"/>
    </row>
    <row r="2844" spans="4:6" x14ac:dyDescent="0.35">
      <c r="D2844" s="66"/>
      <c r="E2844" s="66"/>
      <c r="F2844" s="66"/>
    </row>
    <row r="2845" spans="4:6" x14ac:dyDescent="0.35">
      <c r="D2845" s="66"/>
      <c r="E2845" s="66"/>
      <c r="F2845" s="66"/>
    </row>
    <row r="2846" spans="4:6" x14ac:dyDescent="0.35">
      <c r="D2846" s="66"/>
      <c r="E2846" s="66"/>
      <c r="F2846" s="66"/>
    </row>
    <row r="2847" spans="4:6" x14ac:dyDescent="0.35">
      <c r="D2847" s="66"/>
      <c r="E2847" s="66"/>
      <c r="F2847" s="66"/>
    </row>
    <row r="2848" spans="4:6" x14ac:dyDescent="0.35">
      <c r="D2848" s="66"/>
      <c r="E2848" s="66"/>
      <c r="F2848" s="66"/>
    </row>
    <row r="2849" spans="4:6" x14ac:dyDescent="0.35">
      <c r="D2849" s="66"/>
      <c r="E2849" s="66"/>
      <c r="F2849" s="66"/>
    </row>
    <row r="2850" spans="4:6" x14ac:dyDescent="0.35">
      <c r="D2850" s="66"/>
      <c r="E2850" s="66"/>
      <c r="F2850" s="66"/>
    </row>
    <row r="2851" spans="4:6" x14ac:dyDescent="0.35">
      <c r="D2851" s="66"/>
      <c r="E2851" s="66"/>
      <c r="F2851" s="66"/>
    </row>
    <row r="2852" spans="4:6" x14ac:dyDescent="0.35">
      <c r="D2852" s="66"/>
      <c r="E2852" s="66"/>
      <c r="F2852" s="66"/>
    </row>
    <row r="2853" spans="4:6" x14ac:dyDescent="0.35">
      <c r="D2853" s="66"/>
      <c r="E2853" s="66"/>
      <c r="F2853" s="66"/>
    </row>
    <row r="2854" spans="4:6" x14ac:dyDescent="0.35">
      <c r="D2854" s="66"/>
      <c r="E2854" s="66"/>
      <c r="F2854" s="66"/>
    </row>
    <row r="2855" spans="4:6" x14ac:dyDescent="0.35">
      <c r="D2855" s="66"/>
      <c r="E2855" s="66"/>
      <c r="F2855" s="66"/>
    </row>
    <row r="2856" spans="4:6" x14ac:dyDescent="0.35">
      <c r="D2856" s="66"/>
      <c r="E2856" s="66"/>
      <c r="F2856" s="66"/>
    </row>
    <row r="2857" spans="4:6" x14ac:dyDescent="0.35">
      <c r="D2857" s="66"/>
      <c r="E2857" s="66"/>
      <c r="F2857" s="66"/>
    </row>
    <row r="2858" spans="4:6" x14ac:dyDescent="0.35">
      <c r="D2858" s="66"/>
      <c r="E2858" s="66"/>
      <c r="F2858" s="66"/>
    </row>
    <row r="2859" spans="4:6" x14ac:dyDescent="0.35">
      <c r="D2859" s="66"/>
      <c r="E2859" s="66"/>
      <c r="F2859" s="66"/>
    </row>
    <row r="2860" spans="4:6" x14ac:dyDescent="0.35">
      <c r="D2860" s="66"/>
      <c r="E2860" s="66"/>
      <c r="F2860" s="66"/>
    </row>
    <row r="2861" spans="4:6" x14ac:dyDescent="0.35">
      <c r="D2861" s="66"/>
      <c r="E2861" s="66"/>
      <c r="F2861" s="66"/>
    </row>
    <row r="2862" spans="4:6" x14ac:dyDescent="0.35">
      <c r="D2862" s="66"/>
      <c r="E2862" s="66"/>
      <c r="F2862" s="66"/>
    </row>
    <row r="2863" spans="4:6" x14ac:dyDescent="0.35">
      <c r="D2863" s="66"/>
      <c r="E2863" s="66"/>
      <c r="F2863" s="66"/>
    </row>
    <row r="2864" spans="4:6" x14ac:dyDescent="0.35">
      <c r="D2864" s="66"/>
      <c r="E2864" s="66"/>
      <c r="F2864" s="66"/>
    </row>
    <row r="2865" spans="4:6" x14ac:dyDescent="0.35">
      <c r="D2865" s="66"/>
      <c r="E2865" s="66"/>
      <c r="F2865" s="66"/>
    </row>
    <row r="2866" spans="4:6" x14ac:dyDescent="0.35">
      <c r="D2866" s="66"/>
      <c r="E2866" s="66"/>
      <c r="F2866" s="66"/>
    </row>
    <row r="2867" spans="4:6" x14ac:dyDescent="0.35">
      <c r="D2867" s="66"/>
      <c r="E2867" s="66"/>
      <c r="F2867" s="66"/>
    </row>
    <row r="2868" spans="4:6" x14ac:dyDescent="0.35">
      <c r="D2868" s="66"/>
      <c r="E2868" s="66"/>
      <c r="F2868" s="66"/>
    </row>
    <row r="2869" spans="4:6" x14ac:dyDescent="0.35">
      <c r="D2869" s="66"/>
      <c r="E2869" s="66"/>
      <c r="F2869" s="66"/>
    </row>
    <row r="2870" spans="4:6" x14ac:dyDescent="0.35">
      <c r="D2870" s="66"/>
      <c r="E2870" s="66"/>
      <c r="F2870" s="66"/>
    </row>
    <row r="2871" spans="4:6" x14ac:dyDescent="0.35">
      <c r="D2871" s="66"/>
      <c r="E2871" s="66"/>
      <c r="F2871" s="66"/>
    </row>
    <row r="2872" spans="4:6" x14ac:dyDescent="0.35">
      <c r="D2872" s="66"/>
      <c r="E2872" s="66"/>
      <c r="F2872" s="66"/>
    </row>
    <row r="2873" spans="4:6" x14ac:dyDescent="0.35">
      <c r="D2873" s="66"/>
      <c r="E2873" s="66"/>
      <c r="F2873" s="66"/>
    </row>
    <row r="2874" spans="4:6" x14ac:dyDescent="0.35">
      <c r="D2874" s="66"/>
      <c r="E2874" s="66"/>
      <c r="F2874" s="66"/>
    </row>
    <row r="2875" spans="4:6" x14ac:dyDescent="0.35">
      <c r="D2875" s="66"/>
      <c r="E2875" s="66"/>
      <c r="F2875" s="66"/>
    </row>
    <row r="2876" spans="4:6" x14ac:dyDescent="0.35">
      <c r="D2876" s="66"/>
      <c r="E2876" s="66"/>
      <c r="F2876" s="66"/>
    </row>
    <row r="2877" spans="4:6" x14ac:dyDescent="0.35">
      <c r="D2877" s="66"/>
      <c r="E2877" s="66"/>
      <c r="F2877" s="66"/>
    </row>
    <row r="2878" spans="4:6" x14ac:dyDescent="0.35">
      <c r="D2878" s="66"/>
      <c r="E2878" s="66"/>
      <c r="F2878" s="66"/>
    </row>
    <row r="2879" spans="4:6" x14ac:dyDescent="0.35">
      <c r="D2879" s="66"/>
      <c r="E2879" s="66"/>
      <c r="F2879" s="66"/>
    </row>
    <row r="2880" spans="4:6" x14ac:dyDescent="0.35">
      <c r="D2880" s="66"/>
      <c r="E2880" s="66"/>
      <c r="F2880" s="66"/>
    </row>
    <row r="2881" spans="4:6" x14ac:dyDescent="0.35">
      <c r="D2881" s="66"/>
      <c r="E2881" s="66"/>
      <c r="F2881" s="66"/>
    </row>
    <row r="2882" spans="4:6" x14ac:dyDescent="0.35">
      <c r="D2882" s="66"/>
      <c r="E2882" s="66"/>
      <c r="F2882" s="66"/>
    </row>
    <row r="2883" spans="4:6" x14ac:dyDescent="0.35">
      <c r="D2883" s="66"/>
      <c r="E2883" s="66"/>
      <c r="F2883" s="66"/>
    </row>
    <row r="2884" spans="4:6" x14ac:dyDescent="0.35">
      <c r="D2884" s="66"/>
      <c r="E2884" s="66"/>
      <c r="F2884" s="66"/>
    </row>
    <row r="2885" spans="4:6" x14ac:dyDescent="0.35">
      <c r="D2885" s="66"/>
      <c r="E2885" s="66"/>
      <c r="F2885" s="66"/>
    </row>
    <row r="2886" spans="4:6" x14ac:dyDescent="0.35">
      <c r="D2886" s="66"/>
      <c r="E2886" s="66"/>
      <c r="F2886" s="66"/>
    </row>
    <row r="2887" spans="4:6" x14ac:dyDescent="0.35">
      <c r="D2887" s="66"/>
      <c r="E2887" s="66"/>
      <c r="F2887" s="66"/>
    </row>
    <row r="2888" spans="4:6" x14ac:dyDescent="0.35">
      <c r="D2888" s="66"/>
      <c r="E2888" s="66"/>
      <c r="F2888" s="66"/>
    </row>
    <row r="2889" spans="4:6" x14ac:dyDescent="0.35">
      <c r="D2889" s="66"/>
      <c r="E2889" s="66"/>
      <c r="F2889" s="66"/>
    </row>
    <row r="2890" spans="4:6" x14ac:dyDescent="0.35">
      <c r="D2890" s="66"/>
      <c r="E2890" s="66"/>
      <c r="F2890" s="66"/>
    </row>
    <row r="2891" spans="4:6" x14ac:dyDescent="0.35">
      <c r="D2891" s="66"/>
      <c r="E2891" s="66"/>
      <c r="F2891" s="66"/>
    </row>
    <row r="2892" spans="4:6" x14ac:dyDescent="0.35">
      <c r="D2892" s="66"/>
      <c r="E2892" s="66"/>
      <c r="F2892" s="66"/>
    </row>
    <row r="2893" spans="4:6" x14ac:dyDescent="0.35">
      <c r="D2893" s="66"/>
      <c r="E2893" s="66"/>
      <c r="F2893" s="66"/>
    </row>
    <row r="2894" spans="4:6" x14ac:dyDescent="0.35">
      <c r="D2894" s="66"/>
      <c r="E2894" s="66"/>
      <c r="F2894" s="66"/>
    </row>
    <row r="2895" spans="4:6" x14ac:dyDescent="0.35">
      <c r="D2895" s="66"/>
      <c r="E2895" s="66"/>
      <c r="F2895" s="66"/>
    </row>
    <row r="2896" spans="4:6" x14ac:dyDescent="0.35">
      <c r="D2896" s="66"/>
      <c r="E2896" s="66"/>
      <c r="F2896" s="66"/>
    </row>
    <row r="2897" spans="4:6" x14ac:dyDescent="0.35">
      <c r="D2897" s="66"/>
      <c r="E2897" s="66"/>
      <c r="F2897" s="66"/>
    </row>
    <row r="2898" spans="4:6" x14ac:dyDescent="0.35">
      <c r="D2898" s="66"/>
      <c r="E2898" s="66"/>
      <c r="F2898" s="66"/>
    </row>
    <row r="2899" spans="4:6" x14ac:dyDescent="0.35">
      <c r="D2899" s="66"/>
      <c r="E2899" s="66"/>
      <c r="F2899" s="66"/>
    </row>
    <row r="2900" spans="4:6" x14ac:dyDescent="0.35">
      <c r="D2900" s="66"/>
      <c r="E2900" s="66"/>
      <c r="F2900" s="66"/>
    </row>
    <row r="2901" spans="4:6" x14ac:dyDescent="0.35">
      <c r="D2901" s="66"/>
      <c r="E2901" s="66"/>
      <c r="F2901" s="66"/>
    </row>
    <row r="2902" spans="4:6" x14ac:dyDescent="0.35">
      <c r="D2902" s="66"/>
      <c r="E2902" s="66"/>
      <c r="F2902" s="66"/>
    </row>
    <row r="2903" spans="4:6" x14ac:dyDescent="0.35">
      <c r="D2903" s="66"/>
      <c r="E2903" s="66"/>
      <c r="F2903" s="66"/>
    </row>
    <row r="2904" spans="4:6" x14ac:dyDescent="0.35">
      <c r="D2904" s="66"/>
      <c r="E2904" s="66"/>
      <c r="F2904" s="66"/>
    </row>
    <row r="2905" spans="4:6" x14ac:dyDescent="0.35">
      <c r="D2905" s="66"/>
      <c r="E2905" s="66"/>
      <c r="F2905" s="66"/>
    </row>
    <row r="2906" spans="4:6" x14ac:dyDescent="0.35">
      <c r="D2906" s="66"/>
      <c r="E2906" s="66"/>
      <c r="F2906" s="66"/>
    </row>
    <row r="2907" spans="4:6" x14ac:dyDescent="0.35">
      <c r="D2907" s="66"/>
      <c r="E2907" s="66"/>
      <c r="F2907" s="66"/>
    </row>
    <row r="2908" spans="4:6" x14ac:dyDescent="0.35">
      <c r="D2908" s="66"/>
      <c r="E2908" s="66"/>
      <c r="F2908" s="66"/>
    </row>
    <row r="2909" spans="4:6" x14ac:dyDescent="0.35">
      <c r="D2909" s="66"/>
      <c r="E2909" s="66"/>
      <c r="F2909" s="66"/>
    </row>
    <row r="2910" spans="4:6" x14ac:dyDescent="0.35">
      <c r="D2910" s="66"/>
      <c r="E2910" s="66"/>
      <c r="F2910" s="66"/>
    </row>
    <row r="2911" spans="4:6" x14ac:dyDescent="0.35">
      <c r="D2911" s="66"/>
      <c r="E2911" s="66"/>
      <c r="F2911" s="66"/>
    </row>
    <row r="2912" spans="4:6" x14ac:dyDescent="0.35">
      <c r="D2912" s="66"/>
      <c r="E2912" s="66"/>
      <c r="F2912" s="66"/>
    </row>
    <row r="2913" spans="4:6" x14ac:dyDescent="0.35">
      <c r="D2913" s="66"/>
      <c r="E2913" s="66"/>
      <c r="F2913" s="66"/>
    </row>
    <row r="2914" spans="4:6" x14ac:dyDescent="0.35">
      <c r="D2914" s="66"/>
      <c r="E2914" s="66"/>
      <c r="F2914" s="66"/>
    </row>
    <row r="2915" spans="4:6" x14ac:dyDescent="0.35">
      <c r="D2915" s="66"/>
      <c r="E2915" s="66"/>
      <c r="F2915" s="66"/>
    </row>
    <row r="2916" spans="4:6" x14ac:dyDescent="0.35">
      <c r="D2916" s="66"/>
      <c r="E2916" s="66"/>
      <c r="F2916" s="66"/>
    </row>
    <row r="2917" spans="4:6" x14ac:dyDescent="0.35">
      <c r="D2917" s="66"/>
      <c r="E2917" s="66"/>
      <c r="F2917" s="66"/>
    </row>
    <row r="2918" spans="4:6" x14ac:dyDescent="0.35">
      <c r="D2918" s="66"/>
      <c r="E2918" s="66"/>
      <c r="F2918" s="66"/>
    </row>
    <row r="2919" spans="4:6" x14ac:dyDescent="0.35">
      <c r="D2919" s="66"/>
      <c r="E2919" s="66"/>
      <c r="F2919" s="66"/>
    </row>
    <row r="2920" spans="4:6" x14ac:dyDescent="0.35">
      <c r="D2920" s="66"/>
      <c r="E2920" s="66"/>
      <c r="F2920" s="66"/>
    </row>
    <row r="2921" spans="4:6" x14ac:dyDescent="0.35">
      <c r="D2921" s="66"/>
      <c r="E2921" s="66"/>
      <c r="F2921" s="66"/>
    </row>
    <row r="2922" spans="4:6" x14ac:dyDescent="0.35">
      <c r="D2922" s="66"/>
      <c r="E2922" s="66"/>
      <c r="F2922" s="66"/>
    </row>
    <row r="2923" spans="4:6" x14ac:dyDescent="0.35">
      <c r="D2923" s="66"/>
      <c r="E2923" s="66"/>
      <c r="F2923" s="66"/>
    </row>
    <row r="2924" spans="4:6" x14ac:dyDescent="0.35">
      <c r="D2924" s="66"/>
      <c r="E2924" s="66"/>
      <c r="F2924" s="66"/>
    </row>
    <row r="2925" spans="4:6" x14ac:dyDescent="0.35">
      <c r="D2925" s="66"/>
      <c r="E2925" s="66"/>
      <c r="F2925" s="66"/>
    </row>
    <row r="2926" spans="4:6" x14ac:dyDescent="0.35">
      <c r="D2926" s="66"/>
      <c r="E2926" s="66"/>
      <c r="F2926" s="66"/>
    </row>
    <row r="2927" spans="4:6" x14ac:dyDescent="0.35">
      <c r="D2927" s="66"/>
      <c r="E2927" s="66"/>
      <c r="F2927" s="66"/>
    </row>
    <row r="2928" spans="4:6" x14ac:dyDescent="0.35">
      <c r="D2928" s="66"/>
      <c r="E2928" s="66"/>
      <c r="F2928" s="66"/>
    </row>
    <row r="2929" spans="4:6" x14ac:dyDescent="0.35">
      <c r="D2929" s="66"/>
      <c r="E2929" s="66"/>
      <c r="F2929" s="66"/>
    </row>
    <row r="2930" spans="4:6" x14ac:dyDescent="0.35">
      <c r="D2930" s="66"/>
      <c r="E2930" s="66"/>
      <c r="F2930" s="66"/>
    </row>
    <row r="2931" spans="4:6" x14ac:dyDescent="0.35">
      <c r="D2931" s="66"/>
      <c r="E2931" s="66"/>
      <c r="F2931" s="66"/>
    </row>
    <row r="2932" spans="4:6" x14ac:dyDescent="0.35">
      <c r="D2932" s="66"/>
      <c r="E2932" s="66"/>
      <c r="F2932" s="66"/>
    </row>
    <row r="2933" spans="4:6" x14ac:dyDescent="0.35">
      <c r="D2933" s="66"/>
      <c r="E2933" s="66"/>
      <c r="F2933" s="66"/>
    </row>
    <row r="2934" spans="4:6" x14ac:dyDescent="0.35">
      <c r="D2934" s="66"/>
      <c r="E2934" s="66"/>
      <c r="F2934" s="66"/>
    </row>
    <row r="2935" spans="4:6" x14ac:dyDescent="0.35">
      <c r="D2935" s="66"/>
      <c r="E2935" s="66"/>
      <c r="F2935" s="66"/>
    </row>
    <row r="2936" spans="4:6" x14ac:dyDescent="0.35">
      <c r="D2936" s="66"/>
      <c r="E2936" s="66"/>
      <c r="F2936" s="66"/>
    </row>
    <row r="2937" spans="4:6" x14ac:dyDescent="0.35">
      <c r="D2937" s="66"/>
      <c r="E2937" s="66"/>
      <c r="F2937" s="66"/>
    </row>
    <row r="2938" spans="4:6" x14ac:dyDescent="0.35">
      <c r="D2938" s="66"/>
      <c r="E2938" s="66"/>
      <c r="F2938" s="66"/>
    </row>
    <row r="2939" spans="4:6" x14ac:dyDescent="0.35">
      <c r="D2939" s="66"/>
      <c r="E2939" s="66"/>
      <c r="F2939" s="66"/>
    </row>
    <row r="2940" spans="4:6" x14ac:dyDescent="0.35">
      <c r="D2940" s="66"/>
      <c r="E2940" s="66"/>
      <c r="F2940" s="66"/>
    </row>
    <row r="2941" spans="4:6" x14ac:dyDescent="0.35">
      <c r="D2941" s="66"/>
      <c r="E2941" s="66"/>
      <c r="F2941" s="66"/>
    </row>
    <row r="2942" spans="4:6" x14ac:dyDescent="0.35">
      <c r="D2942" s="66"/>
      <c r="E2942" s="66"/>
      <c r="F2942" s="66"/>
    </row>
    <row r="2943" spans="4:6" x14ac:dyDescent="0.35">
      <c r="D2943" s="66"/>
      <c r="E2943" s="66"/>
      <c r="F2943" s="66"/>
    </row>
    <row r="2944" spans="4:6" x14ac:dyDescent="0.35">
      <c r="D2944" s="66"/>
      <c r="E2944" s="66"/>
      <c r="F2944" s="66"/>
    </row>
    <row r="2945" spans="4:6" x14ac:dyDescent="0.35">
      <c r="D2945" s="66"/>
      <c r="E2945" s="66"/>
      <c r="F2945" s="66"/>
    </row>
    <row r="2946" spans="4:6" x14ac:dyDescent="0.35">
      <c r="D2946" s="66"/>
      <c r="E2946" s="66"/>
      <c r="F2946" s="66"/>
    </row>
    <row r="2947" spans="4:6" x14ac:dyDescent="0.35">
      <c r="D2947" s="66"/>
      <c r="E2947" s="66"/>
      <c r="F2947" s="66"/>
    </row>
    <row r="2948" spans="4:6" x14ac:dyDescent="0.35">
      <c r="D2948" s="66"/>
      <c r="E2948" s="66"/>
      <c r="F2948" s="66"/>
    </row>
    <row r="2949" spans="4:6" x14ac:dyDescent="0.35">
      <c r="D2949" s="66"/>
      <c r="E2949" s="66"/>
      <c r="F2949" s="66"/>
    </row>
    <row r="2950" spans="4:6" x14ac:dyDescent="0.35">
      <c r="D2950" s="66"/>
      <c r="E2950" s="66"/>
      <c r="F2950" s="66"/>
    </row>
    <row r="2951" spans="4:6" x14ac:dyDescent="0.35">
      <c r="D2951" s="66"/>
      <c r="E2951" s="66"/>
      <c r="F2951" s="66"/>
    </row>
    <row r="2952" spans="4:6" x14ac:dyDescent="0.35">
      <c r="D2952" s="66"/>
      <c r="E2952" s="66"/>
      <c r="F2952" s="66"/>
    </row>
    <row r="2953" spans="4:6" x14ac:dyDescent="0.35">
      <c r="D2953" s="66"/>
      <c r="E2953" s="66"/>
      <c r="F2953" s="66"/>
    </row>
    <row r="2954" spans="4:6" x14ac:dyDescent="0.35">
      <c r="D2954" s="66"/>
      <c r="E2954" s="66"/>
      <c r="F2954" s="66"/>
    </row>
    <row r="2955" spans="4:6" x14ac:dyDescent="0.35">
      <c r="D2955" s="66"/>
      <c r="E2955" s="66"/>
      <c r="F2955" s="66"/>
    </row>
    <row r="2956" spans="4:6" x14ac:dyDescent="0.35">
      <c r="D2956" s="66"/>
      <c r="E2956" s="66"/>
      <c r="F2956" s="66"/>
    </row>
    <row r="2957" spans="4:6" x14ac:dyDescent="0.35">
      <c r="D2957" s="66"/>
      <c r="E2957" s="66"/>
      <c r="F2957" s="66"/>
    </row>
    <row r="2958" spans="4:6" x14ac:dyDescent="0.35">
      <c r="D2958" s="66"/>
      <c r="E2958" s="66"/>
      <c r="F2958" s="66"/>
    </row>
    <row r="2959" spans="4:6" x14ac:dyDescent="0.35">
      <c r="D2959" s="66"/>
      <c r="E2959" s="66"/>
      <c r="F2959" s="66"/>
    </row>
    <row r="2960" spans="4:6" x14ac:dyDescent="0.35">
      <c r="D2960" s="66"/>
      <c r="E2960" s="66"/>
      <c r="F2960" s="66"/>
    </row>
    <row r="2961" spans="4:6" x14ac:dyDescent="0.35">
      <c r="D2961" s="66"/>
      <c r="E2961" s="66"/>
      <c r="F2961" s="66"/>
    </row>
    <row r="2962" spans="4:6" x14ac:dyDescent="0.35">
      <c r="D2962" s="66"/>
      <c r="E2962" s="66"/>
      <c r="F2962" s="66"/>
    </row>
    <row r="2963" spans="4:6" x14ac:dyDescent="0.35">
      <c r="D2963" s="66"/>
      <c r="E2963" s="66"/>
      <c r="F2963" s="66"/>
    </row>
    <row r="2964" spans="4:6" x14ac:dyDescent="0.35">
      <c r="D2964" s="66"/>
      <c r="E2964" s="66"/>
      <c r="F2964" s="66"/>
    </row>
    <row r="2965" spans="4:6" x14ac:dyDescent="0.35">
      <c r="D2965" s="66"/>
      <c r="E2965" s="66"/>
      <c r="F2965" s="66"/>
    </row>
    <row r="2966" spans="4:6" x14ac:dyDescent="0.35">
      <c r="D2966" s="66"/>
      <c r="E2966" s="66"/>
      <c r="F2966" s="66"/>
    </row>
    <row r="2967" spans="4:6" x14ac:dyDescent="0.35">
      <c r="D2967" s="66"/>
      <c r="E2967" s="66"/>
      <c r="F2967" s="66"/>
    </row>
    <row r="2968" spans="4:6" x14ac:dyDescent="0.35">
      <c r="D2968" s="66"/>
      <c r="E2968" s="66"/>
      <c r="F2968" s="66"/>
    </row>
    <row r="2969" spans="4:6" x14ac:dyDescent="0.35">
      <c r="D2969" s="66"/>
      <c r="E2969" s="66"/>
      <c r="F2969" s="66"/>
    </row>
    <row r="2970" spans="4:6" x14ac:dyDescent="0.35">
      <c r="D2970" s="66"/>
      <c r="E2970" s="66"/>
      <c r="F2970" s="66"/>
    </row>
    <row r="2971" spans="4:6" x14ac:dyDescent="0.35">
      <c r="D2971" s="66"/>
      <c r="E2971" s="66"/>
      <c r="F2971" s="66"/>
    </row>
    <row r="2972" spans="4:6" x14ac:dyDescent="0.35">
      <c r="D2972" s="66"/>
      <c r="E2972" s="66"/>
      <c r="F2972" s="66"/>
    </row>
    <row r="2973" spans="4:6" x14ac:dyDescent="0.35">
      <c r="D2973" s="66"/>
      <c r="E2973" s="66"/>
      <c r="F2973" s="66"/>
    </row>
    <row r="2974" spans="4:6" x14ac:dyDescent="0.35">
      <c r="D2974" s="66"/>
      <c r="E2974" s="66"/>
      <c r="F2974" s="66"/>
    </row>
    <row r="2975" spans="4:6" x14ac:dyDescent="0.35">
      <c r="D2975" s="66"/>
      <c r="E2975" s="66"/>
      <c r="F2975" s="66"/>
    </row>
    <row r="2976" spans="4:6" x14ac:dyDescent="0.35">
      <c r="D2976" s="66"/>
      <c r="E2976" s="66"/>
      <c r="F2976" s="66"/>
    </row>
    <row r="2977" spans="4:6" x14ac:dyDescent="0.35">
      <c r="D2977" s="66"/>
      <c r="E2977" s="66"/>
      <c r="F2977" s="66"/>
    </row>
    <row r="2978" spans="4:6" x14ac:dyDescent="0.35">
      <c r="D2978" s="66"/>
      <c r="E2978" s="66"/>
      <c r="F2978" s="66"/>
    </row>
    <row r="2979" spans="4:6" x14ac:dyDescent="0.35">
      <c r="D2979" s="66"/>
      <c r="E2979" s="66"/>
      <c r="F2979" s="66"/>
    </row>
    <row r="2980" spans="4:6" x14ac:dyDescent="0.35">
      <c r="D2980" s="66"/>
      <c r="E2980" s="66"/>
      <c r="F2980" s="66"/>
    </row>
    <row r="2981" spans="4:6" x14ac:dyDescent="0.35">
      <c r="D2981" s="66"/>
      <c r="E2981" s="66"/>
      <c r="F2981" s="66"/>
    </row>
    <row r="2982" spans="4:6" x14ac:dyDescent="0.35">
      <c r="D2982" s="66"/>
      <c r="E2982" s="66"/>
      <c r="F2982" s="66"/>
    </row>
    <row r="2983" spans="4:6" x14ac:dyDescent="0.35">
      <c r="D2983" s="66"/>
      <c r="E2983" s="66"/>
      <c r="F2983" s="66"/>
    </row>
    <row r="2984" spans="4:6" x14ac:dyDescent="0.35">
      <c r="D2984" s="66"/>
      <c r="E2984" s="66"/>
      <c r="F2984" s="66"/>
    </row>
    <row r="2985" spans="4:6" x14ac:dyDescent="0.35">
      <c r="D2985" s="66"/>
      <c r="E2985" s="66"/>
      <c r="F2985" s="66"/>
    </row>
    <row r="2986" spans="4:6" x14ac:dyDescent="0.35">
      <c r="D2986" s="66"/>
      <c r="E2986" s="66"/>
      <c r="F2986" s="66"/>
    </row>
    <row r="2987" spans="4:6" x14ac:dyDescent="0.35">
      <c r="D2987" s="66"/>
      <c r="E2987" s="66"/>
      <c r="F2987" s="66"/>
    </row>
    <row r="2988" spans="4:6" x14ac:dyDescent="0.35">
      <c r="D2988" s="66"/>
      <c r="E2988" s="66"/>
      <c r="F2988" s="66"/>
    </row>
    <row r="2989" spans="4:6" x14ac:dyDescent="0.35">
      <c r="D2989" s="66"/>
      <c r="E2989" s="66"/>
      <c r="F2989" s="66"/>
    </row>
    <row r="2990" spans="4:6" x14ac:dyDescent="0.35">
      <c r="D2990" s="66"/>
      <c r="E2990" s="66"/>
      <c r="F2990" s="66"/>
    </row>
    <row r="2991" spans="4:6" x14ac:dyDescent="0.35">
      <c r="D2991" s="66"/>
      <c r="E2991" s="66"/>
      <c r="F2991" s="66"/>
    </row>
    <row r="2992" spans="4:6" x14ac:dyDescent="0.35">
      <c r="D2992" s="66"/>
      <c r="E2992" s="66"/>
      <c r="F2992" s="66"/>
    </row>
    <row r="2993" spans="4:6" x14ac:dyDescent="0.35">
      <c r="D2993" s="66"/>
      <c r="E2993" s="66"/>
      <c r="F2993" s="66"/>
    </row>
    <row r="2994" spans="4:6" x14ac:dyDescent="0.35">
      <c r="D2994" s="66"/>
      <c r="E2994" s="66"/>
      <c r="F2994" s="66"/>
    </row>
    <row r="2995" spans="4:6" x14ac:dyDescent="0.35">
      <c r="D2995" s="66"/>
      <c r="E2995" s="66"/>
      <c r="F2995" s="66"/>
    </row>
    <row r="2996" spans="4:6" x14ac:dyDescent="0.35">
      <c r="D2996" s="66"/>
      <c r="E2996" s="66"/>
      <c r="F2996" s="66"/>
    </row>
    <row r="2997" spans="4:6" x14ac:dyDescent="0.35">
      <c r="D2997" s="66"/>
      <c r="E2997" s="66"/>
      <c r="F2997" s="66"/>
    </row>
    <row r="2998" spans="4:6" x14ac:dyDescent="0.35">
      <c r="D2998" s="66"/>
      <c r="E2998" s="66"/>
      <c r="F2998" s="66"/>
    </row>
    <row r="2999" spans="4:6" x14ac:dyDescent="0.35">
      <c r="D2999" s="66"/>
      <c r="E2999" s="66"/>
      <c r="F2999" s="66"/>
    </row>
    <row r="3000" spans="4:6" x14ac:dyDescent="0.35">
      <c r="D3000" s="66"/>
      <c r="E3000" s="66"/>
      <c r="F3000" s="66"/>
    </row>
    <row r="3001" spans="4:6" x14ac:dyDescent="0.35">
      <c r="D3001" s="66"/>
      <c r="E3001" s="66"/>
      <c r="F3001" s="66"/>
    </row>
    <row r="3002" spans="4:6" x14ac:dyDescent="0.35">
      <c r="D3002" s="66"/>
      <c r="E3002" s="66"/>
      <c r="F3002" s="66"/>
    </row>
    <row r="3003" spans="4:6" x14ac:dyDescent="0.35">
      <c r="D3003" s="66"/>
      <c r="E3003" s="66"/>
      <c r="F3003" s="66"/>
    </row>
    <row r="3004" spans="4:6" x14ac:dyDescent="0.35">
      <c r="D3004" s="66"/>
      <c r="E3004" s="66"/>
      <c r="F3004" s="66"/>
    </row>
    <row r="3005" spans="4:6" x14ac:dyDescent="0.35">
      <c r="D3005" s="66"/>
      <c r="E3005" s="66"/>
      <c r="F3005" s="66"/>
    </row>
    <row r="3006" spans="4:6" x14ac:dyDescent="0.35">
      <c r="D3006" s="66"/>
      <c r="E3006" s="66"/>
      <c r="F3006" s="66"/>
    </row>
    <row r="3007" spans="4:6" x14ac:dyDescent="0.35">
      <c r="D3007" s="66"/>
      <c r="E3007" s="66"/>
      <c r="F3007" s="66"/>
    </row>
    <row r="3008" spans="4:6" x14ac:dyDescent="0.35">
      <c r="D3008" s="66"/>
      <c r="E3008" s="66"/>
      <c r="F3008" s="66"/>
    </row>
    <row r="3009" spans="4:6" x14ac:dyDescent="0.35">
      <c r="D3009" s="66"/>
      <c r="E3009" s="66"/>
      <c r="F3009" s="66"/>
    </row>
    <row r="3010" spans="4:6" x14ac:dyDescent="0.35">
      <c r="D3010" s="66"/>
      <c r="E3010" s="66"/>
      <c r="F3010" s="66"/>
    </row>
    <row r="3011" spans="4:6" x14ac:dyDescent="0.35">
      <c r="D3011" s="66"/>
      <c r="E3011" s="66"/>
      <c r="F3011" s="66"/>
    </row>
    <row r="3012" spans="4:6" x14ac:dyDescent="0.35">
      <c r="D3012" s="66"/>
      <c r="E3012" s="66"/>
      <c r="F3012" s="66"/>
    </row>
    <row r="3013" spans="4:6" x14ac:dyDescent="0.35">
      <c r="D3013" s="66"/>
      <c r="E3013" s="66"/>
      <c r="F3013" s="66"/>
    </row>
    <row r="3014" spans="4:6" x14ac:dyDescent="0.35">
      <c r="D3014" s="66"/>
      <c r="E3014" s="66"/>
      <c r="F3014" s="66"/>
    </row>
    <row r="3015" spans="4:6" x14ac:dyDescent="0.35">
      <c r="D3015" s="66"/>
      <c r="E3015" s="66"/>
      <c r="F3015" s="66"/>
    </row>
    <row r="3016" spans="4:6" x14ac:dyDescent="0.35">
      <c r="D3016" s="66"/>
      <c r="E3016" s="66"/>
      <c r="F3016" s="66"/>
    </row>
    <row r="3017" spans="4:6" x14ac:dyDescent="0.35">
      <c r="D3017" s="66"/>
      <c r="E3017" s="66"/>
      <c r="F3017" s="66"/>
    </row>
    <row r="3018" spans="4:6" x14ac:dyDescent="0.35">
      <c r="D3018" s="66"/>
      <c r="E3018" s="66"/>
      <c r="F3018" s="66"/>
    </row>
    <row r="3019" spans="4:6" x14ac:dyDescent="0.35">
      <c r="D3019" s="66"/>
      <c r="E3019" s="66"/>
      <c r="F3019" s="66"/>
    </row>
    <row r="3020" spans="4:6" x14ac:dyDescent="0.35">
      <c r="D3020" s="66"/>
      <c r="E3020" s="66"/>
      <c r="F3020" s="66"/>
    </row>
    <row r="3021" spans="4:6" x14ac:dyDescent="0.35">
      <c r="D3021" s="66"/>
      <c r="E3021" s="66"/>
      <c r="F3021" s="66"/>
    </row>
    <row r="3022" spans="4:6" x14ac:dyDescent="0.35">
      <c r="D3022" s="66"/>
      <c r="E3022" s="66"/>
      <c r="F3022" s="66"/>
    </row>
    <row r="3023" spans="4:6" x14ac:dyDescent="0.35">
      <c r="D3023" s="66"/>
      <c r="E3023" s="66"/>
      <c r="F3023" s="66"/>
    </row>
    <row r="3024" spans="4:6" x14ac:dyDescent="0.35">
      <c r="D3024" s="66"/>
      <c r="E3024" s="66"/>
      <c r="F3024" s="66"/>
    </row>
    <row r="3025" spans="4:6" x14ac:dyDescent="0.35">
      <c r="D3025" s="66"/>
      <c r="E3025" s="66"/>
      <c r="F3025" s="66"/>
    </row>
    <row r="3026" spans="4:6" x14ac:dyDescent="0.35">
      <c r="D3026" s="66"/>
      <c r="E3026" s="66"/>
      <c r="F3026" s="66"/>
    </row>
    <row r="3027" spans="4:6" x14ac:dyDescent="0.35">
      <c r="D3027" s="66"/>
      <c r="E3027" s="66"/>
      <c r="F3027" s="66"/>
    </row>
    <row r="3028" spans="4:6" x14ac:dyDescent="0.35">
      <c r="D3028" s="66"/>
      <c r="E3028" s="66"/>
      <c r="F3028" s="66"/>
    </row>
    <row r="3029" spans="4:6" x14ac:dyDescent="0.35">
      <c r="D3029" s="66"/>
      <c r="E3029" s="66"/>
      <c r="F3029" s="66"/>
    </row>
    <row r="3030" spans="4:6" x14ac:dyDescent="0.35">
      <c r="D3030" s="66"/>
      <c r="E3030" s="66"/>
      <c r="F3030" s="66"/>
    </row>
    <row r="3031" spans="4:6" x14ac:dyDescent="0.35">
      <c r="D3031" s="66"/>
      <c r="E3031" s="66"/>
      <c r="F3031" s="66"/>
    </row>
    <row r="3032" spans="4:6" x14ac:dyDescent="0.35">
      <c r="D3032" s="66"/>
      <c r="E3032" s="66"/>
      <c r="F3032" s="66"/>
    </row>
    <row r="3033" spans="4:6" x14ac:dyDescent="0.35">
      <c r="D3033" s="66"/>
      <c r="E3033" s="66"/>
      <c r="F3033" s="66"/>
    </row>
    <row r="3034" spans="4:6" x14ac:dyDescent="0.35">
      <c r="D3034" s="66"/>
      <c r="E3034" s="66"/>
      <c r="F3034" s="66"/>
    </row>
    <row r="3035" spans="4:6" x14ac:dyDescent="0.35">
      <c r="D3035" s="66"/>
      <c r="E3035" s="66"/>
      <c r="F3035" s="66"/>
    </row>
    <row r="3036" spans="4:6" x14ac:dyDescent="0.35">
      <c r="D3036" s="66"/>
      <c r="E3036" s="66"/>
      <c r="F3036" s="66"/>
    </row>
    <row r="3037" spans="4:6" x14ac:dyDescent="0.35">
      <c r="D3037" s="66"/>
      <c r="E3037" s="66"/>
      <c r="F3037" s="66"/>
    </row>
    <row r="3038" spans="4:6" x14ac:dyDescent="0.35">
      <c r="D3038" s="66"/>
      <c r="E3038" s="66"/>
      <c r="F3038" s="66"/>
    </row>
    <row r="3039" spans="4:6" x14ac:dyDescent="0.35">
      <c r="D3039" s="66"/>
      <c r="E3039" s="66"/>
      <c r="F3039" s="66"/>
    </row>
    <row r="3040" spans="4:6" x14ac:dyDescent="0.35">
      <c r="D3040" s="66"/>
      <c r="E3040" s="66"/>
      <c r="F3040" s="66"/>
    </row>
    <row r="3041" spans="4:6" x14ac:dyDescent="0.35">
      <c r="D3041" s="66"/>
      <c r="E3041" s="66"/>
      <c r="F3041" s="66"/>
    </row>
    <row r="3042" spans="4:6" x14ac:dyDescent="0.35">
      <c r="D3042" s="66"/>
      <c r="E3042" s="66"/>
      <c r="F3042" s="66"/>
    </row>
    <row r="3043" spans="4:6" x14ac:dyDescent="0.35">
      <c r="D3043" s="66"/>
      <c r="E3043" s="66"/>
      <c r="F3043" s="66"/>
    </row>
    <row r="3044" spans="4:6" x14ac:dyDescent="0.35">
      <c r="D3044" s="66"/>
      <c r="E3044" s="66"/>
      <c r="F3044" s="66"/>
    </row>
    <row r="3045" spans="4:6" x14ac:dyDescent="0.35">
      <c r="D3045" s="66"/>
      <c r="E3045" s="66"/>
      <c r="F3045" s="66"/>
    </row>
    <row r="3046" spans="4:6" x14ac:dyDescent="0.35">
      <c r="D3046" s="66"/>
      <c r="E3046" s="66"/>
      <c r="F3046" s="66"/>
    </row>
    <row r="3047" spans="4:6" x14ac:dyDescent="0.35">
      <c r="D3047" s="66"/>
      <c r="E3047" s="66"/>
      <c r="F3047" s="66"/>
    </row>
    <row r="3048" spans="4:6" x14ac:dyDescent="0.35">
      <c r="D3048" s="66"/>
      <c r="E3048" s="66"/>
      <c r="F3048" s="66"/>
    </row>
    <row r="3049" spans="4:6" x14ac:dyDescent="0.35">
      <c r="D3049" s="66"/>
      <c r="E3049" s="66"/>
      <c r="F3049" s="66"/>
    </row>
    <row r="3050" spans="4:6" x14ac:dyDescent="0.35">
      <c r="D3050" s="66"/>
      <c r="E3050" s="66"/>
      <c r="F3050" s="66"/>
    </row>
    <row r="3051" spans="4:6" x14ac:dyDescent="0.35">
      <c r="D3051" s="66"/>
      <c r="E3051" s="66"/>
      <c r="F3051" s="66"/>
    </row>
    <row r="3052" spans="4:6" x14ac:dyDescent="0.35">
      <c r="D3052" s="66"/>
      <c r="E3052" s="66"/>
      <c r="F3052" s="66"/>
    </row>
    <row r="3053" spans="4:6" x14ac:dyDescent="0.35">
      <c r="D3053" s="66"/>
      <c r="E3053" s="66"/>
      <c r="F3053" s="66"/>
    </row>
    <row r="3054" spans="4:6" x14ac:dyDescent="0.35">
      <c r="D3054" s="66"/>
      <c r="E3054" s="66"/>
      <c r="F3054" s="66"/>
    </row>
    <row r="3055" spans="4:6" x14ac:dyDescent="0.35">
      <c r="D3055" s="66"/>
      <c r="E3055" s="66"/>
      <c r="F3055" s="66"/>
    </row>
    <row r="3056" spans="4:6" x14ac:dyDescent="0.35">
      <c r="D3056" s="66"/>
      <c r="E3056" s="66"/>
      <c r="F3056" s="66"/>
    </row>
    <row r="3057" spans="4:6" x14ac:dyDescent="0.35">
      <c r="D3057" s="66"/>
      <c r="E3057" s="66"/>
      <c r="F3057" s="66"/>
    </row>
    <row r="3058" spans="4:6" x14ac:dyDescent="0.35">
      <c r="D3058" s="66"/>
      <c r="E3058" s="66"/>
      <c r="F3058" s="66"/>
    </row>
    <row r="3059" spans="4:6" x14ac:dyDescent="0.35">
      <c r="D3059" s="66"/>
      <c r="E3059" s="66"/>
      <c r="F3059" s="66"/>
    </row>
    <row r="3060" spans="4:6" x14ac:dyDescent="0.35">
      <c r="D3060" s="66"/>
      <c r="E3060" s="66"/>
      <c r="F3060" s="66"/>
    </row>
    <row r="3061" spans="4:6" x14ac:dyDescent="0.35">
      <c r="D3061" s="66"/>
      <c r="E3061" s="66"/>
      <c r="F3061" s="66"/>
    </row>
    <row r="3062" spans="4:6" x14ac:dyDescent="0.35">
      <c r="D3062" s="66"/>
      <c r="E3062" s="66"/>
      <c r="F3062" s="66"/>
    </row>
    <row r="3063" spans="4:6" x14ac:dyDescent="0.35">
      <c r="D3063" s="66"/>
      <c r="E3063" s="66"/>
      <c r="F3063" s="66"/>
    </row>
    <row r="3064" spans="4:6" x14ac:dyDescent="0.35">
      <c r="D3064" s="66"/>
      <c r="E3064" s="66"/>
      <c r="F3064" s="66"/>
    </row>
    <row r="3065" spans="4:6" x14ac:dyDescent="0.35">
      <c r="D3065" s="66"/>
      <c r="E3065" s="66"/>
      <c r="F3065" s="66"/>
    </row>
    <row r="3066" spans="4:6" x14ac:dyDescent="0.35">
      <c r="D3066" s="66"/>
      <c r="E3066" s="66"/>
      <c r="F3066" s="66"/>
    </row>
    <row r="3067" spans="4:6" x14ac:dyDescent="0.35">
      <c r="D3067" s="66"/>
      <c r="E3067" s="66"/>
      <c r="F3067" s="66"/>
    </row>
    <row r="3068" spans="4:6" x14ac:dyDescent="0.35">
      <c r="D3068" s="66"/>
      <c r="E3068" s="66"/>
      <c r="F3068" s="66"/>
    </row>
    <row r="3069" spans="4:6" x14ac:dyDescent="0.35">
      <c r="D3069" s="66"/>
      <c r="E3069" s="66"/>
      <c r="F3069" s="66"/>
    </row>
    <row r="3070" spans="4:6" x14ac:dyDescent="0.35">
      <c r="D3070" s="66"/>
      <c r="E3070" s="66"/>
      <c r="F3070" s="66"/>
    </row>
    <row r="3071" spans="4:6" x14ac:dyDescent="0.35">
      <c r="D3071" s="66"/>
      <c r="E3071" s="66"/>
      <c r="F3071" s="66"/>
    </row>
    <row r="3072" spans="4:6" x14ac:dyDescent="0.35">
      <c r="D3072" s="66"/>
      <c r="E3072" s="66"/>
      <c r="F3072" s="66"/>
    </row>
    <row r="3073" spans="4:6" x14ac:dyDescent="0.35">
      <c r="D3073" s="66"/>
      <c r="E3073" s="66"/>
      <c r="F3073" s="66"/>
    </row>
    <row r="3074" spans="4:6" x14ac:dyDescent="0.35">
      <c r="D3074" s="66"/>
      <c r="E3074" s="66"/>
      <c r="F3074" s="66"/>
    </row>
    <row r="3075" spans="4:6" x14ac:dyDescent="0.35">
      <c r="D3075" s="66"/>
      <c r="E3075" s="66"/>
      <c r="F3075" s="66"/>
    </row>
    <row r="3076" spans="4:6" x14ac:dyDescent="0.35">
      <c r="D3076" s="66"/>
      <c r="E3076" s="66"/>
      <c r="F3076" s="66"/>
    </row>
    <row r="3077" spans="4:6" x14ac:dyDescent="0.35">
      <c r="D3077" s="66"/>
      <c r="E3077" s="66"/>
      <c r="F3077" s="66"/>
    </row>
    <row r="3078" spans="4:6" x14ac:dyDescent="0.35">
      <c r="D3078" s="66"/>
      <c r="E3078" s="66"/>
      <c r="F3078" s="66"/>
    </row>
    <row r="3079" spans="4:6" x14ac:dyDescent="0.35">
      <c r="D3079" s="66"/>
      <c r="E3079" s="66"/>
      <c r="F3079" s="66"/>
    </row>
    <row r="3080" spans="4:6" x14ac:dyDescent="0.35">
      <c r="D3080" s="66"/>
      <c r="E3080" s="66"/>
      <c r="F3080" s="66"/>
    </row>
    <row r="3081" spans="4:6" x14ac:dyDescent="0.35">
      <c r="D3081" s="66"/>
      <c r="E3081" s="66"/>
      <c r="F3081" s="66"/>
    </row>
    <row r="3082" spans="4:6" x14ac:dyDescent="0.35">
      <c r="D3082" s="66"/>
      <c r="E3082" s="66"/>
      <c r="F3082" s="66"/>
    </row>
    <row r="3083" spans="4:6" x14ac:dyDescent="0.35">
      <c r="D3083" s="66"/>
      <c r="E3083" s="66"/>
      <c r="F3083" s="66"/>
    </row>
    <row r="3084" spans="4:6" x14ac:dyDescent="0.35">
      <c r="D3084" s="66"/>
      <c r="E3084" s="66"/>
      <c r="F3084" s="66"/>
    </row>
    <row r="3085" spans="4:6" x14ac:dyDescent="0.35">
      <c r="D3085" s="66"/>
      <c r="E3085" s="66"/>
      <c r="F3085" s="66"/>
    </row>
    <row r="3086" spans="4:6" x14ac:dyDescent="0.35">
      <c r="D3086" s="66"/>
      <c r="E3086" s="66"/>
      <c r="F3086" s="66"/>
    </row>
    <row r="3087" spans="4:6" x14ac:dyDescent="0.35">
      <c r="D3087" s="66"/>
      <c r="E3087" s="66"/>
      <c r="F3087" s="66"/>
    </row>
    <row r="3088" spans="4:6" x14ac:dyDescent="0.35">
      <c r="D3088" s="66"/>
      <c r="E3088" s="66"/>
      <c r="F3088" s="66"/>
    </row>
    <row r="3089" spans="4:6" x14ac:dyDescent="0.35">
      <c r="D3089" s="66"/>
      <c r="E3089" s="66"/>
      <c r="F3089" s="66"/>
    </row>
    <row r="3090" spans="4:6" x14ac:dyDescent="0.35">
      <c r="D3090" s="66"/>
      <c r="E3090" s="66"/>
      <c r="F3090" s="66"/>
    </row>
    <row r="3091" spans="4:6" x14ac:dyDescent="0.35">
      <c r="D3091" s="66"/>
      <c r="E3091" s="66"/>
      <c r="F3091" s="66"/>
    </row>
    <row r="3092" spans="4:6" x14ac:dyDescent="0.35">
      <c r="D3092" s="66"/>
      <c r="E3092" s="66"/>
      <c r="F3092" s="66"/>
    </row>
    <row r="3093" spans="4:6" x14ac:dyDescent="0.35">
      <c r="D3093" s="66"/>
      <c r="E3093" s="66"/>
      <c r="F3093" s="66"/>
    </row>
    <row r="3094" spans="4:6" x14ac:dyDescent="0.35">
      <c r="D3094" s="66"/>
      <c r="E3094" s="66"/>
      <c r="F3094" s="66"/>
    </row>
    <row r="3095" spans="4:6" x14ac:dyDescent="0.35">
      <c r="D3095" s="66"/>
      <c r="E3095" s="66"/>
      <c r="F3095" s="66"/>
    </row>
    <row r="3096" spans="4:6" x14ac:dyDescent="0.35">
      <c r="D3096" s="66"/>
      <c r="E3096" s="66"/>
      <c r="F3096" s="66"/>
    </row>
    <row r="3097" spans="4:6" x14ac:dyDescent="0.35">
      <c r="D3097" s="66"/>
      <c r="E3097" s="66"/>
      <c r="F3097" s="66"/>
    </row>
    <row r="3098" spans="4:6" x14ac:dyDescent="0.35">
      <c r="D3098" s="66"/>
      <c r="E3098" s="66"/>
      <c r="F3098" s="66"/>
    </row>
    <row r="3099" spans="4:6" x14ac:dyDescent="0.35">
      <c r="D3099" s="66"/>
      <c r="E3099" s="66"/>
      <c r="F3099" s="66"/>
    </row>
    <row r="3100" spans="4:6" x14ac:dyDescent="0.35">
      <c r="D3100" s="66"/>
      <c r="E3100" s="66"/>
      <c r="F3100" s="66"/>
    </row>
    <row r="3101" spans="4:6" x14ac:dyDescent="0.35">
      <c r="D3101" s="66"/>
      <c r="E3101" s="66"/>
      <c r="F3101" s="66"/>
    </row>
    <row r="3102" spans="4:6" x14ac:dyDescent="0.35">
      <c r="D3102" s="66"/>
      <c r="E3102" s="66"/>
      <c r="F3102" s="66"/>
    </row>
    <row r="3103" spans="4:6" x14ac:dyDescent="0.35">
      <c r="D3103" s="66"/>
      <c r="E3103" s="66"/>
      <c r="F3103" s="66"/>
    </row>
    <row r="3104" spans="4:6" x14ac:dyDescent="0.35">
      <c r="D3104" s="66"/>
      <c r="E3104" s="66"/>
      <c r="F3104" s="66"/>
    </row>
    <row r="3105" spans="4:6" x14ac:dyDescent="0.35">
      <c r="D3105" s="66"/>
      <c r="E3105" s="66"/>
      <c r="F3105" s="66"/>
    </row>
    <row r="3106" spans="4:6" x14ac:dyDescent="0.35">
      <c r="D3106" s="66"/>
      <c r="E3106" s="66"/>
      <c r="F3106" s="66"/>
    </row>
    <row r="3107" spans="4:6" x14ac:dyDescent="0.35">
      <c r="D3107" s="66"/>
      <c r="E3107" s="66"/>
      <c r="F3107" s="66"/>
    </row>
    <row r="3108" spans="4:6" x14ac:dyDescent="0.35">
      <c r="D3108" s="66"/>
      <c r="E3108" s="66"/>
      <c r="F3108" s="66"/>
    </row>
    <row r="3109" spans="4:6" x14ac:dyDescent="0.35">
      <c r="D3109" s="66"/>
      <c r="E3109" s="66"/>
      <c r="F3109" s="66"/>
    </row>
    <row r="3110" spans="4:6" x14ac:dyDescent="0.35">
      <c r="D3110" s="66"/>
      <c r="E3110" s="66"/>
      <c r="F3110" s="66"/>
    </row>
    <row r="3111" spans="4:6" x14ac:dyDescent="0.35">
      <c r="D3111" s="66"/>
      <c r="E3111" s="66"/>
      <c r="F3111" s="66"/>
    </row>
    <row r="3112" spans="4:6" x14ac:dyDescent="0.35">
      <c r="D3112" s="66"/>
      <c r="E3112" s="66"/>
      <c r="F3112" s="66"/>
    </row>
    <row r="3113" spans="4:6" x14ac:dyDescent="0.35">
      <c r="D3113" s="66"/>
      <c r="E3113" s="66"/>
      <c r="F3113" s="66"/>
    </row>
    <row r="3114" spans="4:6" x14ac:dyDescent="0.35">
      <c r="D3114" s="66"/>
      <c r="E3114" s="66"/>
      <c r="F3114" s="66"/>
    </row>
    <row r="3115" spans="4:6" x14ac:dyDescent="0.35">
      <c r="D3115" s="66"/>
      <c r="E3115" s="66"/>
      <c r="F3115" s="66"/>
    </row>
    <row r="3116" spans="4:6" x14ac:dyDescent="0.35">
      <c r="D3116" s="66"/>
      <c r="E3116" s="66"/>
      <c r="F3116" s="66"/>
    </row>
    <row r="3117" spans="4:6" x14ac:dyDescent="0.35">
      <c r="D3117" s="66"/>
      <c r="E3117" s="66"/>
      <c r="F3117" s="66"/>
    </row>
    <row r="3118" spans="4:6" x14ac:dyDescent="0.35">
      <c r="D3118" s="66"/>
      <c r="E3118" s="66"/>
      <c r="F3118" s="66"/>
    </row>
    <row r="3119" spans="4:6" x14ac:dyDescent="0.35">
      <c r="D3119" s="66"/>
      <c r="E3119" s="66"/>
      <c r="F3119" s="66"/>
    </row>
    <row r="3120" spans="4:6" x14ac:dyDescent="0.35">
      <c r="D3120" s="66"/>
      <c r="E3120" s="66"/>
      <c r="F3120" s="66"/>
    </row>
    <row r="3121" spans="4:6" x14ac:dyDescent="0.35">
      <c r="D3121" s="66"/>
      <c r="E3121" s="66"/>
      <c r="F3121" s="66"/>
    </row>
    <row r="3122" spans="4:6" x14ac:dyDescent="0.35">
      <c r="D3122" s="66"/>
      <c r="E3122" s="66"/>
      <c r="F3122" s="66"/>
    </row>
    <row r="3123" spans="4:6" x14ac:dyDescent="0.35">
      <c r="D3123" s="66"/>
      <c r="E3123" s="66"/>
      <c r="F3123" s="66"/>
    </row>
    <row r="3124" spans="4:6" x14ac:dyDescent="0.35">
      <c r="D3124" s="66"/>
      <c r="E3124" s="66"/>
      <c r="F3124" s="66"/>
    </row>
    <row r="3125" spans="4:6" x14ac:dyDescent="0.35">
      <c r="D3125" s="66"/>
      <c r="E3125" s="66"/>
      <c r="F3125" s="66"/>
    </row>
    <row r="3126" spans="4:6" x14ac:dyDescent="0.35">
      <c r="D3126" s="66"/>
      <c r="E3126" s="66"/>
      <c r="F3126" s="66"/>
    </row>
    <row r="3127" spans="4:6" x14ac:dyDescent="0.35">
      <c r="D3127" s="66"/>
      <c r="E3127" s="66"/>
      <c r="F3127" s="66"/>
    </row>
    <row r="3128" spans="4:6" x14ac:dyDescent="0.35">
      <c r="D3128" s="66"/>
      <c r="E3128" s="66"/>
      <c r="F3128" s="66"/>
    </row>
    <row r="3129" spans="4:6" x14ac:dyDescent="0.35">
      <c r="D3129" s="66"/>
      <c r="E3129" s="66"/>
      <c r="F3129" s="66"/>
    </row>
    <row r="3130" spans="4:6" x14ac:dyDescent="0.35">
      <c r="D3130" s="66"/>
      <c r="E3130" s="66"/>
      <c r="F3130" s="66"/>
    </row>
    <row r="3131" spans="4:6" x14ac:dyDescent="0.35">
      <c r="D3131" s="66"/>
      <c r="E3131" s="66"/>
      <c r="F3131" s="66"/>
    </row>
    <row r="3132" spans="4:6" x14ac:dyDescent="0.35">
      <c r="D3132" s="66"/>
      <c r="E3132" s="66"/>
      <c r="F3132" s="66"/>
    </row>
    <row r="3133" spans="4:6" x14ac:dyDescent="0.35">
      <c r="D3133" s="66"/>
      <c r="E3133" s="66"/>
      <c r="F3133" s="66"/>
    </row>
    <row r="3134" spans="4:6" x14ac:dyDescent="0.35">
      <c r="D3134" s="66"/>
      <c r="E3134" s="66"/>
      <c r="F3134" s="66"/>
    </row>
    <row r="3135" spans="4:6" x14ac:dyDescent="0.35">
      <c r="D3135" s="66"/>
      <c r="E3135" s="66"/>
      <c r="F3135" s="66"/>
    </row>
    <row r="3136" spans="4:6" x14ac:dyDescent="0.35">
      <c r="D3136" s="66"/>
      <c r="E3136" s="66"/>
      <c r="F3136" s="66"/>
    </row>
    <row r="3137" spans="4:6" x14ac:dyDescent="0.35">
      <c r="D3137" s="66"/>
      <c r="E3137" s="66"/>
      <c r="F3137" s="66"/>
    </row>
    <row r="3138" spans="4:6" x14ac:dyDescent="0.35">
      <c r="D3138" s="66"/>
      <c r="E3138" s="66"/>
      <c r="F3138" s="66"/>
    </row>
    <row r="3139" spans="4:6" x14ac:dyDescent="0.35">
      <c r="D3139" s="66"/>
      <c r="E3139" s="66"/>
      <c r="F3139" s="66"/>
    </row>
    <row r="3140" spans="4:6" x14ac:dyDescent="0.35">
      <c r="D3140" s="66"/>
      <c r="E3140" s="66"/>
      <c r="F3140" s="66"/>
    </row>
    <row r="3141" spans="4:6" x14ac:dyDescent="0.35">
      <c r="D3141" s="66"/>
      <c r="E3141" s="66"/>
      <c r="F3141" s="66"/>
    </row>
    <row r="3142" spans="4:6" x14ac:dyDescent="0.35">
      <c r="D3142" s="66"/>
      <c r="E3142" s="66"/>
      <c r="F3142" s="66"/>
    </row>
    <row r="3143" spans="4:6" x14ac:dyDescent="0.35">
      <c r="D3143" s="66"/>
      <c r="E3143" s="66"/>
      <c r="F3143" s="66"/>
    </row>
    <row r="3144" spans="4:6" x14ac:dyDescent="0.35">
      <c r="D3144" s="66"/>
      <c r="E3144" s="66"/>
      <c r="F3144" s="66"/>
    </row>
    <row r="3145" spans="4:6" x14ac:dyDescent="0.35">
      <c r="D3145" s="66"/>
      <c r="E3145" s="66"/>
      <c r="F3145" s="66"/>
    </row>
    <row r="3146" spans="4:6" x14ac:dyDescent="0.35">
      <c r="D3146" s="66"/>
      <c r="E3146" s="66"/>
      <c r="F3146" s="66"/>
    </row>
    <row r="3147" spans="4:6" x14ac:dyDescent="0.35">
      <c r="D3147" s="66"/>
      <c r="E3147" s="66"/>
      <c r="F3147" s="66"/>
    </row>
    <row r="3148" spans="4:6" x14ac:dyDescent="0.35">
      <c r="D3148" s="66"/>
      <c r="E3148" s="66"/>
      <c r="F3148" s="66"/>
    </row>
    <row r="3149" spans="4:6" x14ac:dyDescent="0.35">
      <c r="D3149" s="66"/>
      <c r="E3149" s="66"/>
      <c r="F3149" s="66"/>
    </row>
    <row r="3150" spans="4:6" x14ac:dyDescent="0.35">
      <c r="D3150" s="66"/>
      <c r="E3150" s="66"/>
      <c r="F3150" s="66"/>
    </row>
    <row r="3151" spans="4:6" x14ac:dyDescent="0.35">
      <c r="D3151" s="66"/>
      <c r="E3151" s="66"/>
      <c r="F3151" s="66"/>
    </row>
    <row r="3152" spans="4:6" x14ac:dyDescent="0.35">
      <c r="D3152" s="66"/>
      <c r="E3152" s="66"/>
      <c r="F3152" s="66"/>
    </row>
    <row r="3153" spans="4:6" x14ac:dyDescent="0.35">
      <c r="D3153" s="66"/>
      <c r="E3153" s="66"/>
      <c r="F3153" s="66"/>
    </row>
    <row r="3154" spans="4:6" x14ac:dyDescent="0.35">
      <c r="D3154" s="66"/>
      <c r="E3154" s="66"/>
      <c r="F3154" s="66"/>
    </row>
    <row r="3155" spans="4:6" x14ac:dyDescent="0.35">
      <c r="D3155" s="66"/>
      <c r="E3155" s="66"/>
      <c r="F3155" s="66"/>
    </row>
    <row r="3156" spans="4:6" x14ac:dyDescent="0.35">
      <c r="D3156" s="66"/>
      <c r="E3156" s="66"/>
      <c r="F3156" s="66"/>
    </row>
    <row r="3157" spans="4:6" x14ac:dyDescent="0.35">
      <c r="D3157" s="66"/>
      <c r="E3157" s="66"/>
      <c r="F3157" s="66"/>
    </row>
    <row r="3158" spans="4:6" x14ac:dyDescent="0.35">
      <c r="D3158" s="66"/>
      <c r="E3158" s="66"/>
      <c r="F3158" s="66"/>
    </row>
    <row r="3159" spans="4:6" x14ac:dyDescent="0.35">
      <c r="D3159" s="66"/>
      <c r="E3159" s="66"/>
      <c r="F3159" s="66"/>
    </row>
    <row r="3160" spans="4:6" x14ac:dyDescent="0.35">
      <c r="D3160" s="66"/>
      <c r="E3160" s="66"/>
      <c r="F3160" s="66"/>
    </row>
    <row r="3161" spans="4:6" x14ac:dyDescent="0.35">
      <c r="D3161" s="66"/>
      <c r="E3161" s="66"/>
      <c r="F3161" s="66"/>
    </row>
    <row r="3162" spans="4:6" x14ac:dyDescent="0.35">
      <c r="D3162" s="66"/>
      <c r="E3162" s="66"/>
      <c r="F3162" s="66"/>
    </row>
    <row r="3163" spans="4:6" x14ac:dyDescent="0.35">
      <c r="D3163" s="66"/>
      <c r="E3163" s="66"/>
      <c r="F3163" s="66"/>
    </row>
    <row r="3164" spans="4:6" x14ac:dyDescent="0.35">
      <c r="D3164" s="66"/>
      <c r="E3164" s="66"/>
      <c r="F3164" s="66"/>
    </row>
    <row r="3165" spans="4:6" x14ac:dyDescent="0.35">
      <c r="D3165" s="66"/>
      <c r="E3165" s="66"/>
      <c r="F3165" s="66"/>
    </row>
    <row r="3166" spans="4:6" x14ac:dyDescent="0.35">
      <c r="D3166" s="66"/>
      <c r="E3166" s="66"/>
      <c r="F3166" s="66"/>
    </row>
    <row r="3167" spans="4:6" x14ac:dyDescent="0.35">
      <c r="D3167" s="66"/>
      <c r="E3167" s="66"/>
      <c r="F3167" s="66"/>
    </row>
    <row r="3168" spans="4:6" x14ac:dyDescent="0.35">
      <c r="D3168" s="66"/>
      <c r="E3168" s="66"/>
      <c r="F3168" s="66"/>
    </row>
    <row r="3169" spans="4:6" x14ac:dyDescent="0.35">
      <c r="D3169" s="66"/>
      <c r="E3169" s="66"/>
      <c r="F3169" s="66"/>
    </row>
    <row r="3170" spans="4:6" x14ac:dyDescent="0.35">
      <c r="D3170" s="66"/>
      <c r="E3170" s="66"/>
      <c r="F3170" s="66"/>
    </row>
    <row r="3171" spans="4:6" x14ac:dyDescent="0.35">
      <c r="D3171" s="66"/>
      <c r="E3171" s="66"/>
      <c r="F3171" s="66"/>
    </row>
    <row r="3172" spans="4:6" x14ac:dyDescent="0.35">
      <c r="D3172" s="66"/>
      <c r="E3172" s="66"/>
      <c r="F3172" s="66"/>
    </row>
    <row r="3173" spans="4:6" x14ac:dyDescent="0.35">
      <c r="D3173" s="66"/>
      <c r="E3173" s="66"/>
      <c r="F3173" s="66"/>
    </row>
    <row r="3174" spans="4:6" x14ac:dyDescent="0.35">
      <c r="D3174" s="66"/>
      <c r="E3174" s="66"/>
      <c r="F3174" s="66"/>
    </row>
    <row r="3175" spans="4:6" x14ac:dyDescent="0.35">
      <c r="D3175" s="66"/>
      <c r="E3175" s="66"/>
      <c r="F3175" s="66"/>
    </row>
    <row r="3176" spans="4:6" x14ac:dyDescent="0.35">
      <c r="D3176" s="66"/>
      <c r="E3176" s="66"/>
      <c r="F3176" s="66"/>
    </row>
    <row r="3177" spans="4:6" x14ac:dyDescent="0.35">
      <c r="D3177" s="66"/>
      <c r="E3177" s="66"/>
      <c r="F3177" s="66"/>
    </row>
    <row r="3178" spans="4:6" x14ac:dyDescent="0.35">
      <c r="D3178" s="66"/>
      <c r="E3178" s="66"/>
      <c r="F3178" s="66"/>
    </row>
    <row r="3179" spans="4:6" x14ac:dyDescent="0.35">
      <c r="D3179" s="66"/>
      <c r="E3179" s="66"/>
      <c r="F3179" s="66"/>
    </row>
    <row r="3180" spans="4:6" x14ac:dyDescent="0.35">
      <c r="D3180" s="66"/>
      <c r="E3180" s="66"/>
      <c r="F3180" s="66"/>
    </row>
    <row r="3181" spans="4:6" x14ac:dyDescent="0.35">
      <c r="D3181" s="66"/>
      <c r="E3181" s="66"/>
      <c r="F3181" s="66"/>
    </row>
    <row r="3182" spans="4:6" x14ac:dyDescent="0.35">
      <c r="D3182" s="66"/>
      <c r="E3182" s="66"/>
      <c r="F3182" s="66"/>
    </row>
    <row r="3183" spans="4:6" x14ac:dyDescent="0.35">
      <c r="D3183" s="66"/>
      <c r="E3183" s="66"/>
      <c r="F3183" s="66"/>
    </row>
    <row r="3184" spans="4:6" x14ac:dyDescent="0.35">
      <c r="D3184" s="66"/>
      <c r="E3184" s="66"/>
      <c r="F3184" s="66"/>
    </row>
    <row r="3185" spans="4:6" x14ac:dyDescent="0.35">
      <c r="D3185" s="66"/>
      <c r="E3185" s="66"/>
      <c r="F3185" s="66"/>
    </row>
    <row r="3186" spans="4:6" x14ac:dyDescent="0.35">
      <c r="D3186" s="66"/>
      <c r="E3186" s="66"/>
      <c r="F3186" s="66"/>
    </row>
    <row r="3187" spans="4:6" x14ac:dyDescent="0.35">
      <c r="D3187" s="66"/>
      <c r="E3187" s="66"/>
      <c r="F3187" s="66"/>
    </row>
    <row r="3188" spans="4:6" x14ac:dyDescent="0.35">
      <c r="D3188" s="66"/>
      <c r="E3188" s="66"/>
      <c r="F3188" s="66"/>
    </row>
    <row r="3189" spans="4:6" x14ac:dyDescent="0.35">
      <c r="D3189" s="66"/>
      <c r="E3189" s="66"/>
      <c r="F3189" s="66"/>
    </row>
    <row r="3190" spans="4:6" x14ac:dyDescent="0.35">
      <c r="D3190" s="66"/>
      <c r="E3190" s="66"/>
      <c r="F3190" s="66"/>
    </row>
    <row r="3191" spans="4:6" x14ac:dyDescent="0.35">
      <c r="D3191" s="66"/>
      <c r="E3191" s="66"/>
      <c r="F3191" s="66"/>
    </row>
    <row r="3192" spans="4:6" x14ac:dyDescent="0.35">
      <c r="D3192" s="66"/>
      <c r="E3192" s="66"/>
      <c r="F3192" s="66"/>
    </row>
    <row r="3193" spans="4:6" x14ac:dyDescent="0.35">
      <c r="D3193" s="66"/>
      <c r="E3193" s="66"/>
      <c r="F3193" s="66"/>
    </row>
    <row r="3194" spans="4:6" x14ac:dyDescent="0.35">
      <c r="D3194" s="66"/>
      <c r="E3194" s="66"/>
      <c r="F3194" s="66"/>
    </row>
    <row r="3195" spans="4:6" x14ac:dyDescent="0.35">
      <c r="D3195" s="66"/>
      <c r="E3195" s="66"/>
      <c r="F3195" s="66"/>
    </row>
    <row r="3196" spans="4:6" x14ac:dyDescent="0.35">
      <c r="D3196" s="66"/>
      <c r="E3196" s="66"/>
      <c r="F3196" s="66"/>
    </row>
    <row r="3197" spans="4:6" x14ac:dyDescent="0.35">
      <c r="D3197" s="66"/>
      <c r="E3197" s="66"/>
      <c r="F3197" s="66"/>
    </row>
    <row r="3198" spans="4:6" x14ac:dyDescent="0.35">
      <c r="D3198" s="66"/>
      <c r="E3198" s="66"/>
      <c r="F3198" s="66"/>
    </row>
    <row r="3199" spans="4:6" x14ac:dyDescent="0.35">
      <c r="D3199" s="66"/>
      <c r="E3199" s="66"/>
      <c r="F3199" s="66"/>
    </row>
    <row r="3200" spans="4:6" x14ac:dyDescent="0.35">
      <c r="D3200" s="66"/>
      <c r="E3200" s="66"/>
      <c r="F3200" s="66"/>
    </row>
    <row r="3201" spans="4:6" x14ac:dyDescent="0.35">
      <c r="D3201" s="66"/>
      <c r="E3201" s="66"/>
      <c r="F3201" s="66"/>
    </row>
    <row r="3202" spans="4:6" x14ac:dyDescent="0.35">
      <c r="D3202" s="66"/>
      <c r="E3202" s="66"/>
      <c r="F3202" s="66"/>
    </row>
    <row r="3203" spans="4:6" x14ac:dyDescent="0.35">
      <c r="D3203" s="66"/>
      <c r="E3203" s="66"/>
      <c r="F3203" s="66"/>
    </row>
    <row r="3204" spans="4:6" x14ac:dyDescent="0.35">
      <c r="D3204" s="66"/>
      <c r="E3204" s="66"/>
      <c r="F3204" s="66"/>
    </row>
    <row r="3205" spans="4:6" x14ac:dyDescent="0.35">
      <c r="D3205" s="66"/>
      <c r="E3205" s="66"/>
      <c r="F3205" s="66"/>
    </row>
    <row r="3206" spans="4:6" x14ac:dyDescent="0.35">
      <c r="D3206" s="66"/>
      <c r="E3206" s="66"/>
      <c r="F3206" s="66"/>
    </row>
    <row r="3207" spans="4:6" x14ac:dyDescent="0.35">
      <c r="D3207" s="66"/>
      <c r="E3207" s="66"/>
      <c r="F3207" s="66"/>
    </row>
    <row r="3208" spans="4:6" x14ac:dyDescent="0.35">
      <c r="D3208" s="66"/>
      <c r="E3208" s="66"/>
      <c r="F3208" s="66"/>
    </row>
    <row r="3209" spans="4:6" x14ac:dyDescent="0.35">
      <c r="D3209" s="66"/>
      <c r="E3209" s="66"/>
      <c r="F3209" s="66"/>
    </row>
    <row r="3210" spans="4:6" x14ac:dyDescent="0.35">
      <c r="D3210" s="66"/>
      <c r="E3210" s="66"/>
      <c r="F3210" s="66"/>
    </row>
    <row r="3211" spans="4:6" x14ac:dyDescent="0.35">
      <c r="D3211" s="66"/>
      <c r="E3211" s="66"/>
      <c r="F3211" s="66"/>
    </row>
    <row r="3212" spans="4:6" x14ac:dyDescent="0.35">
      <c r="D3212" s="66"/>
      <c r="E3212" s="66"/>
      <c r="F3212" s="66"/>
    </row>
    <row r="3213" spans="4:6" x14ac:dyDescent="0.35">
      <c r="D3213" s="66"/>
      <c r="E3213" s="66"/>
      <c r="F3213" s="66"/>
    </row>
    <row r="3214" spans="4:6" x14ac:dyDescent="0.35">
      <c r="D3214" s="66"/>
      <c r="E3214" s="66"/>
      <c r="F3214" s="66"/>
    </row>
    <row r="3215" spans="4:6" x14ac:dyDescent="0.35">
      <c r="D3215" s="66"/>
      <c r="E3215" s="66"/>
      <c r="F3215" s="66"/>
    </row>
    <row r="3216" spans="4:6" x14ac:dyDescent="0.35">
      <c r="D3216" s="66"/>
      <c r="E3216" s="66"/>
      <c r="F3216" s="66"/>
    </row>
    <row r="3217" spans="4:6" x14ac:dyDescent="0.35">
      <c r="D3217" s="66"/>
      <c r="E3217" s="66"/>
      <c r="F3217" s="66"/>
    </row>
    <row r="3218" spans="4:6" x14ac:dyDescent="0.35">
      <c r="D3218" s="66"/>
      <c r="E3218" s="66"/>
      <c r="F3218" s="66"/>
    </row>
    <row r="3219" spans="4:6" x14ac:dyDescent="0.35">
      <c r="D3219" s="66"/>
      <c r="E3219" s="66"/>
      <c r="F3219" s="66"/>
    </row>
    <row r="3220" spans="4:6" x14ac:dyDescent="0.35">
      <c r="D3220" s="66"/>
      <c r="E3220" s="66"/>
      <c r="F3220" s="66"/>
    </row>
    <row r="3221" spans="4:6" x14ac:dyDescent="0.35">
      <c r="D3221" s="66"/>
      <c r="E3221" s="66"/>
      <c r="F3221" s="66"/>
    </row>
    <row r="3222" spans="4:6" x14ac:dyDescent="0.35">
      <c r="D3222" s="66"/>
      <c r="E3222" s="66"/>
      <c r="F3222" s="66"/>
    </row>
    <row r="3223" spans="4:6" x14ac:dyDescent="0.35">
      <c r="D3223" s="66"/>
      <c r="E3223" s="66"/>
      <c r="F3223" s="66"/>
    </row>
    <row r="3224" spans="4:6" x14ac:dyDescent="0.35">
      <c r="D3224" s="66"/>
      <c r="E3224" s="66"/>
      <c r="F3224" s="66"/>
    </row>
    <row r="3225" spans="4:6" x14ac:dyDescent="0.35">
      <c r="D3225" s="66"/>
      <c r="E3225" s="66"/>
      <c r="F3225" s="66"/>
    </row>
    <row r="3226" spans="4:6" x14ac:dyDescent="0.35">
      <c r="D3226" s="66"/>
      <c r="E3226" s="66"/>
      <c r="F3226" s="66"/>
    </row>
    <row r="3227" spans="4:6" x14ac:dyDescent="0.35">
      <c r="D3227" s="66"/>
      <c r="E3227" s="66"/>
      <c r="F3227" s="66"/>
    </row>
    <row r="3228" spans="4:6" x14ac:dyDescent="0.35">
      <c r="D3228" s="66"/>
      <c r="E3228" s="66"/>
      <c r="F3228" s="66"/>
    </row>
    <row r="3229" spans="4:6" x14ac:dyDescent="0.35">
      <c r="D3229" s="66"/>
      <c r="E3229" s="66"/>
      <c r="F3229" s="66"/>
    </row>
    <row r="3230" spans="4:6" x14ac:dyDescent="0.35">
      <c r="D3230" s="66"/>
      <c r="E3230" s="66"/>
      <c r="F3230" s="66"/>
    </row>
    <row r="3231" spans="4:6" x14ac:dyDescent="0.35">
      <c r="D3231" s="66"/>
      <c r="E3231" s="66"/>
      <c r="F3231" s="66"/>
    </row>
    <row r="3232" spans="4:6" x14ac:dyDescent="0.35">
      <c r="D3232" s="66"/>
      <c r="E3232" s="66"/>
      <c r="F3232" s="66"/>
    </row>
    <row r="3233" spans="4:6" x14ac:dyDescent="0.35">
      <c r="D3233" s="66"/>
      <c r="E3233" s="66"/>
      <c r="F3233" s="66"/>
    </row>
    <row r="3234" spans="4:6" x14ac:dyDescent="0.35">
      <c r="D3234" s="66"/>
      <c r="E3234" s="66"/>
      <c r="F3234" s="66"/>
    </row>
    <row r="3235" spans="4:6" x14ac:dyDescent="0.35">
      <c r="D3235" s="66"/>
      <c r="E3235" s="66"/>
      <c r="F3235" s="66"/>
    </row>
    <row r="3236" spans="4:6" x14ac:dyDescent="0.35">
      <c r="D3236" s="66"/>
      <c r="E3236" s="66"/>
      <c r="F3236" s="66"/>
    </row>
    <row r="3237" spans="4:6" x14ac:dyDescent="0.35">
      <c r="D3237" s="66"/>
      <c r="E3237" s="66"/>
      <c r="F3237" s="66"/>
    </row>
    <row r="3238" spans="4:6" x14ac:dyDescent="0.35">
      <c r="D3238" s="66"/>
      <c r="E3238" s="66"/>
      <c r="F3238" s="66"/>
    </row>
    <row r="3239" spans="4:6" x14ac:dyDescent="0.35">
      <c r="D3239" s="66"/>
      <c r="E3239" s="66"/>
      <c r="F3239" s="66"/>
    </row>
    <row r="3240" spans="4:6" x14ac:dyDescent="0.35">
      <c r="D3240" s="66"/>
      <c r="E3240" s="66"/>
      <c r="F3240" s="66"/>
    </row>
    <row r="3241" spans="4:6" x14ac:dyDescent="0.35">
      <c r="D3241" s="66"/>
      <c r="E3241" s="66"/>
      <c r="F3241" s="66"/>
    </row>
    <row r="3242" spans="4:6" x14ac:dyDescent="0.35">
      <c r="D3242" s="66"/>
      <c r="E3242" s="66"/>
      <c r="F3242" s="66"/>
    </row>
    <row r="3243" spans="4:6" x14ac:dyDescent="0.35">
      <c r="D3243" s="66"/>
      <c r="E3243" s="66"/>
      <c r="F3243" s="66"/>
    </row>
    <row r="3244" spans="4:6" x14ac:dyDescent="0.35">
      <c r="D3244" s="66"/>
      <c r="E3244" s="66"/>
      <c r="F3244" s="66"/>
    </row>
    <row r="3245" spans="4:6" x14ac:dyDescent="0.35">
      <c r="D3245" s="66"/>
      <c r="E3245" s="66"/>
      <c r="F3245" s="66"/>
    </row>
    <row r="3246" spans="4:6" x14ac:dyDescent="0.35">
      <c r="D3246" s="66"/>
      <c r="E3246" s="66"/>
      <c r="F3246" s="66"/>
    </row>
    <row r="3247" spans="4:6" x14ac:dyDescent="0.35">
      <c r="D3247" s="66"/>
      <c r="E3247" s="66"/>
      <c r="F3247" s="66"/>
    </row>
    <row r="3248" spans="4:6" x14ac:dyDescent="0.35">
      <c r="D3248" s="66"/>
      <c r="E3248" s="66"/>
      <c r="F3248" s="66"/>
    </row>
    <row r="3249" spans="4:6" x14ac:dyDescent="0.35">
      <c r="D3249" s="66"/>
      <c r="E3249" s="66"/>
      <c r="F3249" s="66"/>
    </row>
    <row r="3250" spans="4:6" x14ac:dyDescent="0.35">
      <c r="D3250" s="66"/>
      <c r="E3250" s="66"/>
      <c r="F3250" s="66"/>
    </row>
    <row r="3251" spans="4:6" x14ac:dyDescent="0.35">
      <c r="D3251" s="66"/>
      <c r="E3251" s="66"/>
      <c r="F3251" s="66"/>
    </row>
    <row r="3252" spans="4:6" x14ac:dyDescent="0.35">
      <c r="D3252" s="66"/>
      <c r="E3252" s="66"/>
      <c r="F3252" s="66"/>
    </row>
    <row r="3253" spans="4:6" x14ac:dyDescent="0.35">
      <c r="D3253" s="66"/>
      <c r="E3253" s="66"/>
      <c r="F3253" s="66"/>
    </row>
    <row r="3254" spans="4:6" x14ac:dyDescent="0.35">
      <c r="D3254" s="66"/>
      <c r="E3254" s="66"/>
      <c r="F3254" s="66"/>
    </row>
    <row r="3255" spans="4:6" x14ac:dyDescent="0.35">
      <c r="D3255" s="66"/>
      <c r="E3255" s="66"/>
      <c r="F3255" s="66"/>
    </row>
    <row r="3256" spans="4:6" x14ac:dyDescent="0.35">
      <c r="D3256" s="66"/>
      <c r="E3256" s="66"/>
      <c r="F3256" s="66"/>
    </row>
    <row r="3257" spans="4:6" x14ac:dyDescent="0.35">
      <c r="D3257" s="66"/>
      <c r="E3257" s="66"/>
      <c r="F3257" s="66"/>
    </row>
    <row r="3258" spans="4:6" x14ac:dyDescent="0.35">
      <c r="D3258" s="66"/>
      <c r="E3258" s="66"/>
      <c r="F3258" s="66"/>
    </row>
    <row r="3259" spans="4:6" x14ac:dyDescent="0.35">
      <c r="D3259" s="66"/>
      <c r="E3259" s="66"/>
      <c r="F3259" s="66"/>
    </row>
    <row r="3260" spans="4:6" x14ac:dyDescent="0.35">
      <c r="D3260" s="66"/>
      <c r="E3260" s="66"/>
      <c r="F3260" s="66"/>
    </row>
    <row r="3261" spans="4:6" x14ac:dyDescent="0.35">
      <c r="D3261" s="66"/>
      <c r="E3261" s="66"/>
      <c r="F3261" s="66"/>
    </row>
    <row r="3262" spans="4:6" x14ac:dyDescent="0.35">
      <c r="D3262" s="66"/>
      <c r="E3262" s="66"/>
      <c r="F3262" s="66"/>
    </row>
    <row r="3263" spans="4:6" x14ac:dyDescent="0.35">
      <c r="D3263" s="66"/>
      <c r="E3263" s="66"/>
      <c r="F3263" s="66"/>
    </row>
    <row r="3264" spans="4:6" x14ac:dyDescent="0.35">
      <c r="D3264" s="66"/>
      <c r="E3264" s="66"/>
      <c r="F3264" s="66"/>
    </row>
    <row r="3265" spans="4:6" x14ac:dyDescent="0.35">
      <c r="D3265" s="66"/>
      <c r="E3265" s="66"/>
      <c r="F3265" s="66"/>
    </row>
    <row r="3266" spans="4:6" x14ac:dyDescent="0.35">
      <c r="D3266" s="66"/>
      <c r="E3266" s="66"/>
      <c r="F3266" s="66"/>
    </row>
    <row r="3267" spans="4:6" x14ac:dyDescent="0.35">
      <c r="D3267" s="66"/>
      <c r="E3267" s="66"/>
      <c r="F3267" s="66"/>
    </row>
    <row r="3268" spans="4:6" x14ac:dyDescent="0.35">
      <c r="D3268" s="66"/>
      <c r="E3268" s="66"/>
      <c r="F3268" s="66"/>
    </row>
    <row r="3269" spans="4:6" x14ac:dyDescent="0.35">
      <c r="D3269" s="66"/>
      <c r="E3269" s="66"/>
      <c r="F3269" s="66"/>
    </row>
    <row r="3270" spans="4:6" x14ac:dyDescent="0.35">
      <c r="D3270" s="66"/>
      <c r="E3270" s="66"/>
      <c r="F3270" s="66"/>
    </row>
    <row r="3271" spans="4:6" x14ac:dyDescent="0.35">
      <c r="D3271" s="66"/>
      <c r="E3271" s="66"/>
      <c r="F3271" s="66"/>
    </row>
    <row r="3272" spans="4:6" x14ac:dyDescent="0.35">
      <c r="D3272" s="66"/>
      <c r="E3272" s="66"/>
      <c r="F3272" s="66"/>
    </row>
    <row r="3273" spans="4:6" x14ac:dyDescent="0.35">
      <c r="D3273" s="66"/>
      <c r="E3273" s="66"/>
      <c r="F3273" s="66"/>
    </row>
    <row r="3274" spans="4:6" x14ac:dyDescent="0.35">
      <c r="D3274" s="66"/>
      <c r="E3274" s="66"/>
      <c r="F3274" s="66"/>
    </row>
    <row r="3275" spans="4:6" x14ac:dyDescent="0.35">
      <c r="D3275" s="66"/>
      <c r="E3275" s="66"/>
      <c r="F3275" s="66"/>
    </row>
    <row r="3276" spans="4:6" x14ac:dyDescent="0.35">
      <c r="D3276" s="66"/>
      <c r="E3276" s="66"/>
      <c r="F3276" s="66"/>
    </row>
    <row r="3277" spans="4:6" x14ac:dyDescent="0.35">
      <c r="D3277" s="66"/>
      <c r="E3277" s="66"/>
      <c r="F3277" s="66"/>
    </row>
    <row r="3278" spans="4:6" x14ac:dyDescent="0.35">
      <c r="D3278" s="66"/>
      <c r="E3278" s="66"/>
      <c r="F3278" s="66"/>
    </row>
    <row r="3279" spans="4:6" x14ac:dyDescent="0.35">
      <c r="D3279" s="66"/>
      <c r="E3279" s="66"/>
      <c r="F3279" s="66"/>
    </row>
    <row r="3280" spans="4:6" x14ac:dyDescent="0.35">
      <c r="D3280" s="66"/>
      <c r="E3280" s="66"/>
      <c r="F3280" s="66"/>
    </row>
    <row r="3281" spans="4:6" x14ac:dyDescent="0.35">
      <c r="D3281" s="66"/>
      <c r="E3281" s="66"/>
      <c r="F3281" s="66"/>
    </row>
    <row r="3282" spans="4:6" x14ac:dyDescent="0.35">
      <c r="D3282" s="66"/>
      <c r="E3282" s="66"/>
      <c r="F3282" s="66"/>
    </row>
    <row r="3283" spans="4:6" x14ac:dyDescent="0.35">
      <c r="D3283" s="66"/>
      <c r="E3283" s="66"/>
      <c r="F3283" s="66"/>
    </row>
    <row r="3284" spans="4:6" x14ac:dyDescent="0.35">
      <c r="D3284" s="66"/>
      <c r="E3284" s="66"/>
      <c r="F3284" s="66"/>
    </row>
    <row r="3285" spans="4:6" x14ac:dyDescent="0.35">
      <c r="D3285" s="66"/>
      <c r="E3285" s="66"/>
      <c r="F3285" s="66"/>
    </row>
    <row r="3286" spans="4:6" x14ac:dyDescent="0.35">
      <c r="D3286" s="66"/>
      <c r="E3286" s="66"/>
      <c r="F3286" s="66"/>
    </row>
    <row r="3287" spans="4:6" x14ac:dyDescent="0.35">
      <c r="D3287" s="66"/>
      <c r="E3287" s="66"/>
      <c r="F3287" s="66"/>
    </row>
    <row r="3288" spans="4:6" x14ac:dyDescent="0.35">
      <c r="D3288" s="66"/>
      <c r="E3288" s="66"/>
      <c r="F3288" s="66"/>
    </row>
    <row r="3289" spans="4:6" x14ac:dyDescent="0.35">
      <c r="D3289" s="66"/>
      <c r="E3289" s="66"/>
      <c r="F3289" s="66"/>
    </row>
    <row r="3290" spans="4:6" x14ac:dyDescent="0.35">
      <c r="D3290" s="66"/>
      <c r="E3290" s="66"/>
      <c r="F3290" s="66"/>
    </row>
    <row r="3291" spans="4:6" x14ac:dyDescent="0.35">
      <c r="D3291" s="66"/>
      <c r="E3291" s="66"/>
      <c r="F3291" s="66"/>
    </row>
    <row r="3292" spans="4:6" x14ac:dyDescent="0.35">
      <c r="D3292" s="66"/>
      <c r="E3292" s="66"/>
      <c r="F3292" s="66"/>
    </row>
    <row r="3293" spans="4:6" x14ac:dyDescent="0.35">
      <c r="D3293" s="66"/>
      <c r="E3293" s="66"/>
      <c r="F3293" s="66"/>
    </row>
    <row r="3294" spans="4:6" x14ac:dyDescent="0.35">
      <c r="D3294" s="66"/>
      <c r="E3294" s="66"/>
      <c r="F3294" s="66"/>
    </row>
    <row r="3295" spans="4:6" x14ac:dyDescent="0.35">
      <c r="D3295" s="66"/>
      <c r="E3295" s="66"/>
      <c r="F3295" s="66"/>
    </row>
    <row r="3296" spans="4:6" x14ac:dyDescent="0.35">
      <c r="D3296" s="66"/>
      <c r="E3296" s="66"/>
      <c r="F3296" s="66"/>
    </row>
    <row r="3297" spans="4:6" x14ac:dyDescent="0.35">
      <c r="D3297" s="66"/>
      <c r="E3297" s="66"/>
      <c r="F3297" s="66"/>
    </row>
    <row r="3298" spans="4:6" x14ac:dyDescent="0.35">
      <c r="D3298" s="66"/>
      <c r="E3298" s="66"/>
      <c r="F3298" s="66"/>
    </row>
    <row r="3299" spans="4:6" x14ac:dyDescent="0.35">
      <c r="D3299" s="66"/>
      <c r="E3299" s="66"/>
      <c r="F3299" s="66"/>
    </row>
    <row r="3300" spans="4:6" x14ac:dyDescent="0.35">
      <c r="D3300" s="66"/>
      <c r="E3300" s="66"/>
      <c r="F3300" s="66"/>
    </row>
    <row r="3301" spans="4:6" x14ac:dyDescent="0.35">
      <c r="D3301" s="66"/>
      <c r="E3301" s="66"/>
      <c r="F3301" s="66"/>
    </row>
    <row r="3302" spans="4:6" x14ac:dyDescent="0.35">
      <c r="D3302" s="66"/>
      <c r="E3302" s="66"/>
      <c r="F3302" s="66"/>
    </row>
    <row r="3303" spans="4:6" x14ac:dyDescent="0.35">
      <c r="D3303" s="66"/>
      <c r="E3303" s="66"/>
      <c r="F3303" s="66"/>
    </row>
    <row r="3304" spans="4:6" x14ac:dyDescent="0.35">
      <c r="D3304" s="66"/>
      <c r="E3304" s="66"/>
      <c r="F3304" s="66"/>
    </row>
    <row r="3305" spans="4:6" x14ac:dyDescent="0.35">
      <c r="D3305" s="66"/>
      <c r="E3305" s="66"/>
      <c r="F3305" s="66"/>
    </row>
    <row r="3306" spans="4:6" x14ac:dyDescent="0.35">
      <c r="D3306" s="66"/>
      <c r="E3306" s="66"/>
      <c r="F3306" s="66"/>
    </row>
    <row r="3307" spans="4:6" x14ac:dyDescent="0.35">
      <c r="D3307" s="66"/>
      <c r="E3307" s="66"/>
      <c r="F3307" s="66"/>
    </row>
    <row r="3308" spans="4:6" x14ac:dyDescent="0.35">
      <c r="D3308" s="66"/>
      <c r="E3308" s="66"/>
      <c r="F3308" s="66"/>
    </row>
    <row r="3309" spans="4:6" x14ac:dyDescent="0.35">
      <c r="D3309" s="66"/>
      <c r="E3309" s="66"/>
      <c r="F3309" s="66"/>
    </row>
    <row r="3310" spans="4:6" x14ac:dyDescent="0.35">
      <c r="D3310" s="66"/>
      <c r="E3310" s="66"/>
      <c r="F3310" s="66"/>
    </row>
    <row r="3311" spans="4:6" x14ac:dyDescent="0.35">
      <c r="D3311" s="66"/>
      <c r="E3311" s="66"/>
      <c r="F3311" s="66"/>
    </row>
    <row r="3312" spans="4:6" x14ac:dyDescent="0.35">
      <c r="D3312" s="66"/>
      <c r="E3312" s="66"/>
      <c r="F3312" s="66"/>
    </row>
    <row r="3313" spans="4:6" x14ac:dyDescent="0.35">
      <c r="D3313" s="66"/>
      <c r="E3313" s="66"/>
      <c r="F3313" s="66"/>
    </row>
    <row r="3314" spans="4:6" x14ac:dyDescent="0.35">
      <c r="D3314" s="66"/>
      <c r="E3314" s="66"/>
      <c r="F3314" s="66"/>
    </row>
    <row r="3315" spans="4:6" x14ac:dyDescent="0.35">
      <c r="D3315" s="66"/>
      <c r="E3315" s="66"/>
      <c r="F3315" s="66"/>
    </row>
    <row r="3316" spans="4:6" x14ac:dyDescent="0.35">
      <c r="D3316" s="66"/>
      <c r="E3316" s="66"/>
      <c r="F3316" s="66"/>
    </row>
    <row r="3317" spans="4:6" x14ac:dyDescent="0.35">
      <c r="D3317" s="66"/>
      <c r="E3317" s="66"/>
      <c r="F3317" s="66"/>
    </row>
    <row r="3318" spans="4:6" x14ac:dyDescent="0.35">
      <c r="D3318" s="66"/>
      <c r="E3318" s="66"/>
      <c r="F3318" s="66"/>
    </row>
    <row r="3319" spans="4:6" x14ac:dyDescent="0.35">
      <c r="D3319" s="66"/>
      <c r="E3319" s="66"/>
      <c r="F3319" s="66"/>
    </row>
    <row r="3320" spans="4:6" x14ac:dyDescent="0.35">
      <c r="D3320" s="66"/>
      <c r="E3320" s="66"/>
      <c r="F3320" s="66"/>
    </row>
    <row r="3321" spans="4:6" x14ac:dyDescent="0.35">
      <c r="D3321" s="66"/>
      <c r="E3321" s="66"/>
      <c r="F3321" s="66"/>
    </row>
    <row r="3322" spans="4:6" x14ac:dyDescent="0.35">
      <c r="D3322" s="66"/>
      <c r="E3322" s="66"/>
      <c r="F3322" s="66"/>
    </row>
    <row r="3323" spans="4:6" x14ac:dyDescent="0.35">
      <c r="D3323" s="66"/>
      <c r="E3323" s="66"/>
      <c r="F3323" s="66"/>
    </row>
    <row r="3324" spans="4:6" x14ac:dyDescent="0.35">
      <c r="D3324" s="66"/>
      <c r="E3324" s="66"/>
      <c r="F3324" s="66"/>
    </row>
    <row r="3325" spans="4:6" x14ac:dyDescent="0.35">
      <c r="D3325" s="66"/>
      <c r="E3325" s="66"/>
      <c r="F3325" s="66"/>
    </row>
    <row r="3326" spans="4:6" x14ac:dyDescent="0.35">
      <c r="D3326" s="66"/>
      <c r="E3326" s="66"/>
      <c r="F3326" s="66"/>
    </row>
    <row r="3327" spans="4:6" x14ac:dyDescent="0.35">
      <c r="D3327" s="66"/>
      <c r="E3327" s="66"/>
      <c r="F3327" s="66"/>
    </row>
    <row r="3328" spans="4:6" x14ac:dyDescent="0.35">
      <c r="D3328" s="66"/>
      <c r="E3328" s="66"/>
      <c r="F3328" s="66"/>
    </row>
    <row r="3329" spans="4:6" x14ac:dyDescent="0.35">
      <c r="D3329" s="66"/>
      <c r="E3329" s="66"/>
      <c r="F3329" s="66"/>
    </row>
    <row r="3330" spans="4:6" x14ac:dyDescent="0.35">
      <c r="D3330" s="66"/>
      <c r="E3330" s="66"/>
      <c r="F3330" s="66"/>
    </row>
    <row r="3331" spans="4:6" x14ac:dyDescent="0.35">
      <c r="D3331" s="66"/>
      <c r="E3331" s="66"/>
      <c r="F3331" s="66"/>
    </row>
    <row r="3332" spans="4:6" x14ac:dyDescent="0.35">
      <c r="D3332" s="66"/>
      <c r="E3332" s="66"/>
      <c r="F3332" s="66"/>
    </row>
    <row r="3333" spans="4:6" x14ac:dyDescent="0.35">
      <c r="D3333" s="66"/>
      <c r="E3333" s="66"/>
      <c r="F3333" s="66"/>
    </row>
    <row r="3334" spans="4:6" x14ac:dyDescent="0.35">
      <c r="D3334" s="66"/>
      <c r="E3334" s="66"/>
      <c r="F3334" s="66"/>
    </row>
    <row r="3335" spans="4:6" x14ac:dyDescent="0.35">
      <c r="D3335" s="66"/>
      <c r="E3335" s="66"/>
      <c r="F3335" s="66"/>
    </row>
    <row r="3336" spans="4:6" x14ac:dyDescent="0.35">
      <c r="D3336" s="66"/>
      <c r="E3336" s="66"/>
      <c r="F3336" s="66"/>
    </row>
    <row r="3337" spans="4:6" x14ac:dyDescent="0.35">
      <c r="D3337" s="66"/>
      <c r="E3337" s="66"/>
      <c r="F3337" s="66"/>
    </row>
    <row r="3338" spans="4:6" x14ac:dyDescent="0.35">
      <c r="D3338" s="66"/>
      <c r="E3338" s="66"/>
      <c r="F3338" s="66"/>
    </row>
    <row r="3339" spans="4:6" x14ac:dyDescent="0.35">
      <c r="D3339" s="66"/>
      <c r="E3339" s="66"/>
      <c r="F3339" s="66"/>
    </row>
    <row r="3340" spans="4:6" x14ac:dyDescent="0.35">
      <c r="D3340" s="66"/>
      <c r="E3340" s="66"/>
      <c r="F3340" s="66"/>
    </row>
    <row r="3341" spans="4:6" x14ac:dyDescent="0.35">
      <c r="D3341" s="66"/>
      <c r="E3341" s="66"/>
      <c r="F3341" s="66"/>
    </row>
    <row r="3342" spans="4:6" x14ac:dyDescent="0.35">
      <c r="D3342" s="66"/>
      <c r="E3342" s="66"/>
      <c r="F3342" s="66"/>
    </row>
    <row r="3343" spans="4:6" x14ac:dyDescent="0.35">
      <c r="D3343" s="66"/>
      <c r="E3343" s="66"/>
      <c r="F3343" s="66"/>
    </row>
    <row r="3344" spans="4:6" x14ac:dyDescent="0.35">
      <c r="D3344" s="66"/>
      <c r="E3344" s="66"/>
      <c r="F3344" s="66"/>
    </row>
    <row r="3345" spans="4:6" x14ac:dyDescent="0.35">
      <c r="D3345" s="66"/>
      <c r="E3345" s="66"/>
      <c r="F3345" s="66"/>
    </row>
    <row r="3346" spans="4:6" x14ac:dyDescent="0.35">
      <c r="D3346" s="66"/>
      <c r="E3346" s="66"/>
      <c r="F3346" s="66"/>
    </row>
    <row r="3347" spans="4:6" x14ac:dyDescent="0.35">
      <c r="D3347" s="66"/>
      <c r="E3347" s="66"/>
      <c r="F3347" s="66"/>
    </row>
    <row r="3348" spans="4:6" x14ac:dyDescent="0.35">
      <c r="D3348" s="66"/>
      <c r="E3348" s="66"/>
      <c r="F3348" s="66"/>
    </row>
    <row r="3349" spans="4:6" x14ac:dyDescent="0.35">
      <c r="D3349" s="66"/>
      <c r="E3349" s="66"/>
      <c r="F3349" s="66"/>
    </row>
    <row r="3350" spans="4:6" x14ac:dyDescent="0.35">
      <c r="D3350" s="66"/>
      <c r="E3350" s="66"/>
      <c r="F3350" s="66"/>
    </row>
    <row r="3351" spans="4:6" x14ac:dyDescent="0.35">
      <c r="D3351" s="66"/>
      <c r="E3351" s="66"/>
      <c r="F3351" s="66"/>
    </row>
    <row r="3352" spans="4:6" x14ac:dyDescent="0.35">
      <c r="D3352" s="66"/>
      <c r="E3352" s="66"/>
      <c r="F3352" s="66"/>
    </row>
    <row r="3353" spans="4:6" x14ac:dyDescent="0.35">
      <c r="D3353" s="66"/>
      <c r="E3353" s="66"/>
      <c r="F3353" s="66"/>
    </row>
    <row r="3354" spans="4:6" x14ac:dyDescent="0.35">
      <c r="D3354" s="66"/>
      <c r="E3354" s="66"/>
      <c r="F3354" s="66"/>
    </row>
    <row r="3355" spans="4:6" x14ac:dyDescent="0.35">
      <c r="D3355" s="66"/>
      <c r="E3355" s="66"/>
      <c r="F3355" s="66"/>
    </row>
    <row r="3356" spans="4:6" x14ac:dyDescent="0.35">
      <c r="D3356" s="66"/>
      <c r="E3356" s="66"/>
      <c r="F3356" s="66"/>
    </row>
    <row r="3357" spans="4:6" x14ac:dyDescent="0.35">
      <c r="D3357" s="66"/>
      <c r="E3357" s="66"/>
      <c r="F3357" s="66"/>
    </row>
    <row r="3358" spans="4:6" x14ac:dyDescent="0.35">
      <c r="D3358" s="66"/>
      <c r="E3358" s="66"/>
      <c r="F3358" s="66"/>
    </row>
    <row r="3359" spans="4:6" x14ac:dyDescent="0.35">
      <c r="D3359" s="66"/>
      <c r="E3359" s="66"/>
      <c r="F3359" s="66"/>
    </row>
    <row r="3360" spans="4:6" x14ac:dyDescent="0.35">
      <c r="D3360" s="66"/>
      <c r="E3360" s="66"/>
      <c r="F3360" s="66"/>
    </row>
    <row r="3361" spans="4:6" x14ac:dyDescent="0.35">
      <c r="D3361" s="66"/>
      <c r="E3361" s="66"/>
      <c r="F3361" s="66"/>
    </row>
    <row r="3362" spans="4:6" x14ac:dyDescent="0.35">
      <c r="D3362" s="66"/>
      <c r="E3362" s="66"/>
      <c r="F3362" s="66"/>
    </row>
    <row r="3363" spans="4:6" x14ac:dyDescent="0.35">
      <c r="D3363" s="66"/>
      <c r="E3363" s="66"/>
      <c r="F3363" s="66"/>
    </row>
    <row r="3364" spans="4:6" x14ac:dyDescent="0.35">
      <c r="D3364" s="66"/>
      <c r="E3364" s="66"/>
      <c r="F3364" s="66"/>
    </row>
    <row r="3365" spans="4:6" x14ac:dyDescent="0.35">
      <c r="D3365" s="66"/>
      <c r="E3365" s="66"/>
      <c r="F3365" s="66"/>
    </row>
    <row r="3366" spans="4:6" x14ac:dyDescent="0.35">
      <c r="D3366" s="66"/>
      <c r="E3366" s="66"/>
      <c r="F3366" s="66"/>
    </row>
    <row r="3367" spans="4:6" x14ac:dyDescent="0.35">
      <c r="D3367" s="66"/>
      <c r="E3367" s="66"/>
      <c r="F3367" s="66"/>
    </row>
    <row r="3368" spans="4:6" x14ac:dyDescent="0.35">
      <c r="D3368" s="66"/>
      <c r="E3368" s="66"/>
      <c r="F3368" s="66"/>
    </row>
    <row r="3369" spans="4:6" x14ac:dyDescent="0.35">
      <c r="D3369" s="66"/>
      <c r="E3369" s="66"/>
      <c r="F3369" s="66"/>
    </row>
    <row r="3370" spans="4:6" x14ac:dyDescent="0.35">
      <c r="D3370" s="66"/>
      <c r="E3370" s="66"/>
      <c r="F3370" s="66"/>
    </row>
    <row r="3371" spans="4:6" x14ac:dyDescent="0.35">
      <c r="D3371" s="66"/>
      <c r="E3371" s="66"/>
      <c r="F3371" s="66"/>
    </row>
    <row r="3372" spans="4:6" x14ac:dyDescent="0.35">
      <c r="D3372" s="66"/>
      <c r="E3372" s="66"/>
      <c r="F3372" s="66"/>
    </row>
    <row r="3373" spans="4:6" x14ac:dyDescent="0.35">
      <c r="D3373" s="66"/>
      <c r="E3373" s="66"/>
      <c r="F3373" s="66"/>
    </row>
    <row r="3374" spans="4:6" x14ac:dyDescent="0.35">
      <c r="D3374" s="66"/>
      <c r="E3374" s="66"/>
      <c r="F3374" s="66"/>
    </row>
    <row r="3375" spans="4:6" x14ac:dyDescent="0.35">
      <c r="D3375" s="66"/>
      <c r="E3375" s="66"/>
      <c r="F3375" s="66"/>
    </row>
    <row r="3376" spans="4:6" x14ac:dyDescent="0.35">
      <c r="D3376" s="66"/>
      <c r="E3376" s="66"/>
      <c r="F3376" s="66"/>
    </row>
    <row r="3377" spans="4:6" x14ac:dyDescent="0.35">
      <c r="D3377" s="66"/>
      <c r="E3377" s="66"/>
      <c r="F3377" s="66"/>
    </row>
    <row r="3378" spans="4:6" x14ac:dyDescent="0.35">
      <c r="D3378" s="66"/>
      <c r="E3378" s="66"/>
      <c r="F3378" s="66"/>
    </row>
    <row r="3379" spans="4:6" x14ac:dyDescent="0.35">
      <c r="D3379" s="66"/>
      <c r="E3379" s="66"/>
      <c r="F3379" s="66"/>
    </row>
    <row r="3380" spans="4:6" x14ac:dyDescent="0.35">
      <c r="D3380" s="66"/>
      <c r="E3380" s="66"/>
      <c r="F3380" s="66"/>
    </row>
    <row r="3381" spans="4:6" x14ac:dyDescent="0.35">
      <c r="D3381" s="66"/>
      <c r="E3381" s="66"/>
      <c r="F3381" s="66"/>
    </row>
    <row r="3382" spans="4:6" x14ac:dyDescent="0.35">
      <c r="D3382" s="66"/>
      <c r="E3382" s="66"/>
      <c r="F3382" s="66"/>
    </row>
    <row r="3383" spans="4:6" x14ac:dyDescent="0.35">
      <c r="D3383" s="66"/>
      <c r="E3383" s="66"/>
      <c r="F3383" s="66"/>
    </row>
    <row r="3384" spans="4:6" x14ac:dyDescent="0.35">
      <c r="D3384" s="66"/>
      <c r="E3384" s="66"/>
      <c r="F3384" s="66"/>
    </row>
    <row r="3385" spans="4:6" x14ac:dyDescent="0.35">
      <c r="D3385" s="66"/>
      <c r="E3385" s="66"/>
      <c r="F3385" s="66"/>
    </row>
    <row r="3386" spans="4:6" x14ac:dyDescent="0.35">
      <c r="D3386" s="66"/>
      <c r="E3386" s="66"/>
      <c r="F3386" s="66"/>
    </row>
    <row r="3387" spans="4:6" x14ac:dyDescent="0.35">
      <c r="D3387" s="66"/>
      <c r="E3387" s="66"/>
      <c r="F3387" s="66"/>
    </row>
    <row r="3388" spans="4:6" x14ac:dyDescent="0.35">
      <c r="D3388" s="66"/>
      <c r="E3388" s="66"/>
      <c r="F3388" s="66"/>
    </row>
    <row r="3389" spans="4:6" x14ac:dyDescent="0.35">
      <c r="D3389" s="66"/>
      <c r="E3389" s="66"/>
      <c r="F3389" s="66"/>
    </row>
    <row r="3390" spans="4:6" x14ac:dyDescent="0.35">
      <c r="D3390" s="66"/>
      <c r="E3390" s="66"/>
      <c r="F3390" s="66"/>
    </row>
    <row r="3391" spans="4:6" x14ac:dyDescent="0.35">
      <c r="D3391" s="66"/>
      <c r="E3391" s="66"/>
      <c r="F3391" s="66"/>
    </row>
    <row r="3392" spans="4:6" x14ac:dyDescent="0.35">
      <c r="D3392" s="66"/>
      <c r="E3392" s="66"/>
      <c r="F3392" s="66"/>
    </row>
    <row r="3393" spans="4:6" x14ac:dyDescent="0.35">
      <c r="D3393" s="66"/>
      <c r="E3393" s="66"/>
      <c r="F3393" s="66"/>
    </row>
    <row r="3394" spans="4:6" x14ac:dyDescent="0.35">
      <c r="D3394" s="66"/>
      <c r="E3394" s="66"/>
      <c r="F3394" s="66"/>
    </row>
    <row r="3395" spans="4:6" x14ac:dyDescent="0.35">
      <c r="D3395" s="66"/>
      <c r="E3395" s="66"/>
      <c r="F3395" s="66"/>
    </row>
    <row r="3396" spans="4:6" x14ac:dyDescent="0.35">
      <c r="D3396" s="66"/>
      <c r="E3396" s="66"/>
      <c r="F3396" s="66"/>
    </row>
    <row r="3397" spans="4:6" x14ac:dyDescent="0.35">
      <c r="D3397" s="66"/>
      <c r="E3397" s="66"/>
      <c r="F3397" s="66"/>
    </row>
    <row r="3398" spans="4:6" x14ac:dyDescent="0.35">
      <c r="D3398" s="66"/>
      <c r="E3398" s="66"/>
      <c r="F3398" s="66"/>
    </row>
    <row r="3399" spans="4:6" x14ac:dyDescent="0.35">
      <c r="D3399" s="66"/>
      <c r="E3399" s="66"/>
      <c r="F3399" s="66"/>
    </row>
    <row r="3400" spans="4:6" x14ac:dyDescent="0.35">
      <c r="D3400" s="66"/>
      <c r="E3400" s="66"/>
      <c r="F3400" s="66"/>
    </row>
    <row r="3401" spans="4:6" x14ac:dyDescent="0.35">
      <c r="D3401" s="66"/>
      <c r="E3401" s="66"/>
      <c r="F3401" s="66"/>
    </row>
    <row r="3402" spans="4:6" x14ac:dyDescent="0.35">
      <c r="D3402" s="66"/>
      <c r="E3402" s="66"/>
      <c r="F3402" s="66"/>
    </row>
    <row r="3403" spans="4:6" x14ac:dyDescent="0.35">
      <c r="D3403" s="66"/>
      <c r="E3403" s="66"/>
      <c r="F3403" s="66"/>
    </row>
    <row r="3404" spans="4:6" x14ac:dyDescent="0.35">
      <c r="D3404" s="66"/>
      <c r="E3404" s="66"/>
      <c r="F3404" s="66"/>
    </row>
    <row r="3405" spans="4:6" x14ac:dyDescent="0.35">
      <c r="D3405" s="66"/>
      <c r="E3405" s="66"/>
      <c r="F3405" s="66"/>
    </row>
    <row r="3406" spans="4:6" x14ac:dyDescent="0.35">
      <c r="D3406" s="66"/>
      <c r="E3406" s="66"/>
      <c r="F3406" s="66"/>
    </row>
    <row r="3407" spans="4:6" x14ac:dyDescent="0.35">
      <c r="D3407" s="66"/>
      <c r="E3407" s="66"/>
      <c r="F3407" s="66"/>
    </row>
    <row r="3408" spans="4:6" x14ac:dyDescent="0.35">
      <c r="D3408" s="66"/>
      <c r="E3408" s="66"/>
      <c r="F3408" s="66"/>
    </row>
    <row r="3409" spans="4:6" x14ac:dyDescent="0.35">
      <c r="D3409" s="66"/>
      <c r="E3409" s="66"/>
      <c r="F3409" s="66"/>
    </row>
    <row r="3410" spans="4:6" x14ac:dyDescent="0.35">
      <c r="D3410" s="66"/>
      <c r="E3410" s="66"/>
      <c r="F3410" s="66"/>
    </row>
    <row r="3411" spans="4:6" x14ac:dyDescent="0.35">
      <c r="D3411" s="66"/>
      <c r="E3411" s="66"/>
      <c r="F3411" s="66"/>
    </row>
    <row r="3412" spans="4:6" x14ac:dyDescent="0.35">
      <c r="D3412" s="66"/>
      <c r="E3412" s="66"/>
      <c r="F3412" s="66"/>
    </row>
    <row r="3413" spans="4:6" x14ac:dyDescent="0.35">
      <c r="D3413" s="66"/>
      <c r="E3413" s="66"/>
      <c r="F3413" s="66"/>
    </row>
    <row r="3414" spans="4:6" x14ac:dyDescent="0.35">
      <c r="D3414" s="66"/>
      <c r="E3414" s="66"/>
      <c r="F3414" s="66"/>
    </row>
    <row r="3415" spans="4:6" x14ac:dyDescent="0.35">
      <c r="D3415" s="66"/>
      <c r="E3415" s="66"/>
      <c r="F3415" s="66"/>
    </row>
    <row r="3416" spans="4:6" x14ac:dyDescent="0.35">
      <c r="D3416" s="66"/>
      <c r="E3416" s="66"/>
      <c r="F3416" s="66"/>
    </row>
    <row r="3417" spans="4:6" x14ac:dyDescent="0.35">
      <c r="D3417" s="66"/>
      <c r="E3417" s="66"/>
      <c r="F3417" s="66"/>
    </row>
    <row r="3418" spans="4:6" x14ac:dyDescent="0.35">
      <c r="D3418" s="66"/>
      <c r="E3418" s="66"/>
      <c r="F3418" s="66"/>
    </row>
    <row r="3419" spans="4:6" x14ac:dyDescent="0.35">
      <c r="D3419" s="66"/>
      <c r="E3419" s="66"/>
      <c r="F3419" s="66"/>
    </row>
    <row r="3420" spans="4:6" x14ac:dyDescent="0.35">
      <c r="D3420" s="66"/>
      <c r="E3420" s="66"/>
      <c r="F3420" s="66"/>
    </row>
    <row r="3421" spans="4:6" x14ac:dyDescent="0.35">
      <c r="D3421" s="66"/>
      <c r="E3421" s="66"/>
      <c r="F3421" s="66"/>
    </row>
    <row r="3422" spans="4:6" x14ac:dyDescent="0.35">
      <c r="D3422" s="66"/>
      <c r="E3422" s="66"/>
      <c r="F3422" s="66"/>
    </row>
    <row r="3423" spans="4:6" x14ac:dyDescent="0.35">
      <c r="D3423" s="66"/>
      <c r="E3423" s="66"/>
      <c r="F3423" s="66"/>
    </row>
    <row r="3424" spans="4:6" x14ac:dyDescent="0.35">
      <c r="D3424" s="66"/>
      <c r="E3424" s="66"/>
      <c r="F3424" s="66"/>
    </row>
    <row r="3425" spans="4:6" x14ac:dyDescent="0.35">
      <c r="D3425" s="66"/>
      <c r="E3425" s="66"/>
      <c r="F3425" s="66"/>
    </row>
    <row r="3426" spans="4:6" x14ac:dyDescent="0.35">
      <c r="D3426" s="66"/>
      <c r="E3426" s="66"/>
      <c r="F3426" s="66"/>
    </row>
    <row r="3427" spans="4:6" x14ac:dyDescent="0.35">
      <c r="D3427" s="66"/>
      <c r="E3427" s="66"/>
      <c r="F3427" s="66"/>
    </row>
    <row r="3428" spans="4:6" x14ac:dyDescent="0.35">
      <c r="D3428" s="66"/>
      <c r="E3428" s="66"/>
      <c r="F3428" s="66"/>
    </row>
    <row r="3429" spans="4:6" x14ac:dyDescent="0.35">
      <c r="D3429" s="66"/>
      <c r="E3429" s="66"/>
      <c r="F3429" s="66"/>
    </row>
    <row r="3430" spans="4:6" x14ac:dyDescent="0.35">
      <c r="D3430" s="66"/>
      <c r="E3430" s="66"/>
      <c r="F3430" s="66"/>
    </row>
    <row r="3431" spans="4:6" x14ac:dyDescent="0.35">
      <c r="D3431" s="66"/>
      <c r="E3431" s="66"/>
      <c r="F3431" s="66"/>
    </row>
    <row r="3432" spans="4:6" x14ac:dyDescent="0.35">
      <c r="D3432" s="66"/>
      <c r="E3432" s="66"/>
      <c r="F3432" s="66"/>
    </row>
    <row r="3433" spans="4:6" x14ac:dyDescent="0.35">
      <c r="D3433" s="66"/>
      <c r="E3433" s="66"/>
      <c r="F3433" s="66"/>
    </row>
    <row r="3434" spans="4:6" x14ac:dyDescent="0.35">
      <c r="D3434" s="66"/>
      <c r="E3434" s="66"/>
      <c r="F3434" s="66"/>
    </row>
    <row r="3435" spans="4:6" x14ac:dyDescent="0.35">
      <c r="D3435" s="66"/>
      <c r="E3435" s="66"/>
      <c r="F3435" s="66"/>
    </row>
    <row r="3436" spans="4:6" x14ac:dyDescent="0.35">
      <c r="D3436" s="66"/>
      <c r="E3436" s="66"/>
      <c r="F3436" s="66"/>
    </row>
    <row r="3437" spans="4:6" x14ac:dyDescent="0.35">
      <c r="D3437" s="66"/>
      <c r="E3437" s="66"/>
      <c r="F3437" s="66"/>
    </row>
    <row r="3438" spans="4:6" x14ac:dyDescent="0.35">
      <c r="D3438" s="66"/>
      <c r="E3438" s="66"/>
      <c r="F3438" s="66"/>
    </row>
    <row r="3439" spans="4:6" x14ac:dyDescent="0.35">
      <c r="D3439" s="66"/>
      <c r="E3439" s="66"/>
      <c r="F3439" s="66"/>
    </row>
    <row r="3440" spans="4:6" x14ac:dyDescent="0.35">
      <c r="D3440" s="66"/>
      <c r="E3440" s="66"/>
      <c r="F3440" s="66"/>
    </row>
    <row r="3441" spans="4:6" x14ac:dyDescent="0.35">
      <c r="D3441" s="66"/>
      <c r="E3441" s="66"/>
      <c r="F3441" s="66"/>
    </row>
    <row r="3442" spans="4:6" x14ac:dyDescent="0.35">
      <c r="D3442" s="66"/>
      <c r="E3442" s="66"/>
      <c r="F3442" s="66"/>
    </row>
    <row r="3443" spans="4:6" x14ac:dyDescent="0.35">
      <c r="D3443" s="66"/>
      <c r="E3443" s="66"/>
      <c r="F3443" s="66"/>
    </row>
    <row r="3444" spans="4:6" x14ac:dyDescent="0.35">
      <c r="D3444" s="66"/>
      <c r="E3444" s="66"/>
      <c r="F3444" s="66"/>
    </row>
    <row r="3445" spans="4:6" x14ac:dyDescent="0.35">
      <c r="D3445" s="66"/>
      <c r="E3445" s="66"/>
      <c r="F3445" s="66"/>
    </row>
    <row r="3446" spans="4:6" x14ac:dyDescent="0.35">
      <c r="D3446" s="66"/>
      <c r="E3446" s="66"/>
      <c r="F3446" s="66"/>
    </row>
    <row r="3447" spans="4:6" x14ac:dyDescent="0.35">
      <c r="D3447" s="66"/>
      <c r="E3447" s="66"/>
      <c r="F3447" s="66"/>
    </row>
    <row r="3448" spans="4:6" x14ac:dyDescent="0.35">
      <c r="D3448" s="66"/>
      <c r="E3448" s="66"/>
      <c r="F3448" s="66"/>
    </row>
    <row r="3449" spans="4:6" x14ac:dyDescent="0.35">
      <c r="D3449" s="66"/>
      <c r="E3449" s="66"/>
      <c r="F3449" s="66"/>
    </row>
    <row r="3450" spans="4:6" x14ac:dyDescent="0.35">
      <c r="D3450" s="66"/>
      <c r="E3450" s="66"/>
      <c r="F3450" s="66"/>
    </row>
    <row r="3451" spans="4:6" x14ac:dyDescent="0.35">
      <c r="D3451" s="66"/>
      <c r="E3451" s="66"/>
      <c r="F3451" s="66"/>
    </row>
    <row r="3452" spans="4:6" x14ac:dyDescent="0.35">
      <c r="D3452" s="66"/>
      <c r="E3452" s="66"/>
      <c r="F3452" s="66"/>
    </row>
    <row r="3453" spans="4:6" x14ac:dyDescent="0.35">
      <c r="D3453" s="66"/>
      <c r="E3453" s="66"/>
      <c r="F3453" s="66"/>
    </row>
    <row r="3454" spans="4:6" x14ac:dyDescent="0.35">
      <c r="D3454" s="66"/>
      <c r="E3454" s="66"/>
      <c r="F3454" s="66"/>
    </row>
    <row r="3455" spans="4:6" x14ac:dyDescent="0.35">
      <c r="D3455" s="66"/>
      <c r="E3455" s="66"/>
      <c r="F3455" s="66"/>
    </row>
    <row r="3456" spans="4:6" x14ac:dyDescent="0.35">
      <c r="D3456" s="66"/>
      <c r="E3456" s="66"/>
      <c r="F3456" s="66"/>
    </row>
    <row r="3457" spans="4:6" x14ac:dyDescent="0.35">
      <c r="D3457" s="66"/>
      <c r="E3457" s="66"/>
      <c r="F3457" s="66"/>
    </row>
    <row r="3458" spans="4:6" x14ac:dyDescent="0.35">
      <c r="D3458" s="66"/>
      <c r="E3458" s="66"/>
      <c r="F3458" s="66"/>
    </row>
    <row r="3459" spans="4:6" x14ac:dyDescent="0.35">
      <c r="D3459" s="66"/>
      <c r="E3459" s="66"/>
      <c r="F3459" s="66"/>
    </row>
    <row r="3460" spans="4:6" x14ac:dyDescent="0.35">
      <c r="D3460" s="66"/>
      <c r="E3460" s="66"/>
      <c r="F3460" s="66"/>
    </row>
    <row r="3461" spans="4:6" x14ac:dyDescent="0.35">
      <c r="D3461" s="66"/>
      <c r="E3461" s="66"/>
      <c r="F3461" s="66"/>
    </row>
    <row r="3462" spans="4:6" x14ac:dyDescent="0.35">
      <c r="D3462" s="66"/>
      <c r="E3462" s="66"/>
      <c r="F3462" s="66"/>
    </row>
    <row r="3463" spans="4:6" x14ac:dyDescent="0.35">
      <c r="D3463" s="66"/>
      <c r="E3463" s="66"/>
      <c r="F3463" s="66"/>
    </row>
    <row r="3464" spans="4:6" x14ac:dyDescent="0.35">
      <c r="D3464" s="66"/>
      <c r="E3464" s="66"/>
      <c r="F3464" s="66"/>
    </row>
    <row r="3465" spans="4:6" x14ac:dyDescent="0.35">
      <c r="D3465" s="66"/>
      <c r="E3465" s="66"/>
      <c r="F3465" s="66"/>
    </row>
    <row r="3466" spans="4:6" x14ac:dyDescent="0.35">
      <c r="D3466" s="66"/>
      <c r="E3466" s="66"/>
      <c r="F3466" s="66"/>
    </row>
    <row r="3467" spans="4:6" x14ac:dyDescent="0.35">
      <c r="D3467" s="66"/>
      <c r="E3467" s="66"/>
      <c r="F3467" s="66"/>
    </row>
    <row r="3468" spans="4:6" x14ac:dyDescent="0.35">
      <c r="D3468" s="66"/>
      <c r="E3468" s="66"/>
      <c r="F3468" s="66"/>
    </row>
    <row r="3469" spans="4:6" x14ac:dyDescent="0.35">
      <c r="D3469" s="66"/>
      <c r="E3469" s="66"/>
      <c r="F3469" s="66"/>
    </row>
    <row r="3470" spans="4:6" x14ac:dyDescent="0.35">
      <c r="D3470" s="66"/>
      <c r="E3470" s="66"/>
      <c r="F3470" s="66"/>
    </row>
    <row r="3471" spans="4:6" x14ac:dyDescent="0.35">
      <c r="D3471" s="66"/>
      <c r="E3471" s="66"/>
      <c r="F3471" s="66"/>
    </row>
    <row r="3472" spans="4:6" x14ac:dyDescent="0.35">
      <c r="D3472" s="66"/>
      <c r="E3472" s="66"/>
      <c r="F3472" s="66"/>
    </row>
    <row r="3473" spans="4:6" x14ac:dyDescent="0.35">
      <c r="D3473" s="66"/>
      <c r="E3473" s="66"/>
      <c r="F3473" s="66"/>
    </row>
    <row r="3474" spans="4:6" x14ac:dyDescent="0.35">
      <c r="D3474" s="66"/>
      <c r="E3474" s="66"/>
      <c r="F3474" s="66"/>
    </row>
    <row r="3475" spans="4:6" x14ac:dyDescent="0.35">
      <c r="D3475" s="66"/>
      <c r="E3475" s="66"/>
      <c r="F3475" s="66"/>
    </row>
    <row r="3476" spans="4:6" x14ac:dyDescent="0.35">
      <c r="D3476" s="66"/>
      <c r="E3476" s="66"/>
      <c r="F3476" s="66"/>
    </row>
    <row r="3477" spans="4:6" x14ac:dyDescent="0.35">
      <c r="D3477" s="66"/>
      <c r="E3477" s="66"/>
      <c r="F3477" s="66"/>
    </row>
    <row r="3478" spans="4:6" x14ac:dyDescent="0.35">
      <c r="D3478" s="66"/>
      <c r="E3478" s="66"/>
      <c r="F3478" s="66"/>
    </row>
    <row r="3479" spans="4:6" x14ac:dyDescent="0.35">
      <c r="D3479" s="66"/>
      <c r="E3479" s="66"/>
      <c r="F3479" s="66"/>
    </row>
    <row r="3480" spans="4:6" x14ac:dyDescent="0.35">
      <c r="D3480" s="66"/>
      <c r="E3480" s="66"/>
      <c r="F3480" s="66"/>
    </row>
    <row r="3481" spans="4:6" x14ac:dyDescent="0.35">
      <c r="D3481" s="66"/>
      <c r="E3481" s="66"/>
      <c r="F3481" s="66"/>
    </row>
    <row r="3482" spans="4:6" x14ac:dyDescent="0.35">
      <c r="D3482" s="66"/>
      <c r="E3482" s="66"/>
      <c r="F3482" s="66"/>
    </row>
    <row r="3483" spans="4:6" x14ac:dyDescent="0.35">
      <c r="D3483" s="66"/>
      <c r="E3483" s="66"/>
      <c r="F3483" s="66"/>
    </row>
    <row r="3484" spans="4:6" x14ac:dyDescent="0.35">
      <c r="D3484" s="66"/>
      <c r="E3484" s="66"/>
      <c r="F3484" s="66"/>
    </row>
    <row r="3485" spans="4:6" x14ac:dyDescent="0.35">
      <c r="D3485" s="66"/>
      <c r="E3485" s="66"/>
      <c r="F3485" s="66"/>
    </row>
    <row r="3486" spans="4:6" x14ac:dyDescent="0.35">
      <c r="D3486" s="66"/>
      <c r="E3486" s="66"/>
      <c r="F3486" s="66"/>
    </row>
    <row r="3487" spans="4:6" x14ac:dyDescent="0.35">
      <c r="D3487" s="66"/>
      <c r="E3487" s="66"/>
      <c r="F3487" s="66"/>
    </row>
    <row r="3488" spans="4:6" x14ac:dyDescent="0.35">
      <c r="D3488" s="66"/>
      <c r="E3488" s="66"/>
      <c r="F3488" s="66"/>
    </row>
    <row r="3489" spans="4:6" x14ac:dyDescent="0.35">
      <c r="D3489" s="66"/>
      <c r="E3489" s="66"/>
      <c r="F3489" s="66"/>
    </row>
    <row r="3490" spans="4:6" x14ac:dyDescent="0.35">
      <c r="D3490" s="66"/>
      <c r="E3490" s="66"/>
      <c r="F3490" s="66"/>
    </row>
    <row r="3491" spans="4:6" x14ac:dyDescent="0.35">
      <c r="D3491" s="66"/>
      <c r="E3491" s="66"/>
      <c r="F3491" s="66"/>
    </row>
    <row r="3492" spans="4:6" x14ac:dyDescent="0.35">
      <c r="D3492" s="66"/>
      <c r="E3492" s="66"/>
      <c r="F3492" s="66"/>
    </row>
    <row r="3493" spans="4:6" x14ac:dyDescent="0.35">
      <c r="D3493" s="66"/>
      <c r="E3493" s="66"/>
      <c r="F3493" s="66"/>
    </row>
    <row r="3494" spans="4:6" x14ac:dyDescent="0.35">
      <c r="D3494" s="66"/>
      <c r="E3494" s="66"/>
      <c r="F3494" s="66"/>
    </row>
    <row r="3495" spans="4:6" x14ac:dyDescent="0.35">
      <c r="D3495" s="66"/>
      <c r="E3495" s="66"/>
      <c r="F3495" s="66"/>
    </row>
    <row r="3496" spans="4:6" x14ac:dyDescent="0.35">
      <c r="D3496" s="66"/>
      <c r="E3496" s="66"/>
      <c r="F3496" s="66"/>
    </row>
    <row r="3497" spans="4:6" x14ac:dyDescent="0.35">
      <c r="D3497" s="66"/>
      <c r="E3497" s="66"/>
      <c r="F3497" s="66"/>
    </row>
    <row r="3498" spans="4:6" x14ac:dyDescent="0.35">
      <c r="D3498" s="66"/>
      <c r="E3498" s="66"/>
      <c r="F3498" s="66"/>
    </row>
    <row r="3499" spans="4:6" x14ac:dyDescent="0.35">
      <c r="D3499" s="66"/>
      <c r="E3499" s="66"/>
      <c r="F3499" s="66"/>
    </row>
    <row r="3500" spans="4:6" x14ac:dyDescent="0.35">
      <c r="D3500" s="66"/>
      <c r="E3500" s="66"/>
      <c r="F3500" s="66"/>
    </row>
    <row r="3501" spans="4:6" x14ac:dyDescent="0.35">
      <c r="D3501" s="66"/>
      <c r="E3501" s="66"/>
      <c r="F3501" s="66"/>
    </row>
    <row r="3502" spans="4:6" x14ac:dyDescent="0.35">
      <c r="D3502" s="66"/>
      <c r="E3502" s="66"/>
      <c r="F3502" s="66"/>
    </row>
    <row r="3503" spans="4:6" x14ac:dyDescent="0.35">
      <c r="D3503" s="66"/>
      <c r="E3503" s="66"/>
      <c r="F3503" s="66"/>
    </row>
    <row r="3504" spans="4:6" x14ac:dyDescent="0.35">
      <c r="D3504" s="66"/>
      <c r="E3504" s="66"/>
      <c r="F3504" s="66"/>
    </row>
    <row r="3505" spans="4:6" x14ac:dyDescent="0.35">
      <c r="D3505" s="66"/>
      <c r="E3505" s="66"/>
      <c r="F3505" s="66"/>
    </row>
    <row r="3506" spans="4:6" x14ac:dyDescent="0.35">
      <c r="D3506" s="66"/>
      <c r="E3506" s="66"/>
      <c r="F3506" s="66"/>
    </row>
    <row r="3507" spans="4:6" x14ac:dyDescent="0.35">
      <c r="D3507" s="66"/>
      <c r="E3507" s="66"/>
      <c r="F3507" s="66"/>
    </row>
    <row r="3508" spans="4:6" x14ac:dyDescent="0.35">
      <c r="D3508" s="66"/>
      <c r="E3508" s="66"/>
      <c r="F3508" s="66"/>
    </row>
    <row r="3509" spans="4:6" x14ac:dyDescent="0.35">
      <c r="D3509" s="66"/>
      <c r="E3509" s="66"/>
      <c r="F3509" s="66"/>
    </row>
    <row r="3510" spans="4:6" x14ac:dyDescent="0.35">
      <c r="D3510" s="66"/>
      <c r="E3510" s="66"/>
      <c r="F3510" s="66"/>
    </row>
    <row r="3511" spans="4:6" x14ac:dyDescent="0.35">
      <c r="D3511" s="66"/>
      <c r="E3511" s="66"/>
      <c r="F3511" s="66"/>
    </row>
    <row r="3512" spans="4:6" x14ac:dyDescent="0.35">
      <c r="D3512" s="66"/>
      <c r="E3512" s="66"/>
      <c r="F3512" s="66"/>
    </row>
    <row r="3513" spans="4:6" x14ac:dyDescent="0.35">
      <c r="D3513" s="66"/>
      <c r="E3513" s="66"/>
      <c r="F3513" s="66"/>
    </row>
    <row r="3514" spans="4:6" x14ac:dyDescent="0.35">
      <c r="D3514" s="66"/>
      <c r="E3514" s="66"/>
      <c r="F3514" s="66"/>
    </row>
    <row r="3515" spans="4:6" x14ac:dyDescent="0.35">
      <c r="D3515" s="66"/>
      <c r="E3515" s="66"/>
      <c r="F3515" s="66"/>
    </row>
    <row r="3516" spans="4:6" x14ac:dyDescent="0.35">
      <c r="D3516" s="66"/>
      <c r="E3516" s="66"/>
      <c r="F3516" s="66"/>
    </row>
    <row r="3517" spans="4:6" x14ac:dyDescent="0.35">
      <c r="D3517" s="66"/>
      <c r="E3517" s="66"/>
      <c r="F3517" s="66"/>
    </row>
    <row r="3518" spans="4:6" x14ac:dyDescent="0.35">
      <c r="D3518" s="66"/>
      <c r="E3518" s="66"/>
      <c r="F3518" s="66"/>
    </row>
    <row r="3519" spans="4:6" x14ac:dyDescent="0.35">
      <c r="D3519" s="66"/>
      <c r="E3519" s="66"/>
      <c r="F3519" s="66"/>
    </row>
    <row r="3520" spans="4:6" x14ac:dyDescent="0.35">
      <c r="D3520" s="66"/>
      <c r="E3520" s="66"/>
      <c r="F3520" s="66"/>
    </row>
    <row r="3521" spans="4:6" x14ac:dyDescent="0.35">
      <c r="D3521" s="66"/>
      <c r="E3521" s="66"/>
      <c r="F3521" s="66"/>
    </row>
    <row r="3522" spans="4:6" x14ac:dyDescent="0.35">
      <c r="D3522" s="66"/>
      <c r="E3522" s="66"/>
      <c r="F3522" s="66"/>
    </row>
    <row r="3523" spans="4:6" x14ac:dyDescent="0.35">
      <c r="D3523" s="66"/>
      <c r="E3523" s="66"/>
      <c r="F3523" s="66"/>
    </row>
    <row r="3524" spans="4:6" x14ac:dyDescent="0.35">
      <c r="D3524" s="66"/>
      <c r="E3524" s="66"/>
      <c r="F3524" s="66"/>
    </row>
    <row r="3525" spans="4:6" x14ac:dyDescent="0.35">
      <c r="D3525" s="66"/>
      <c r="E3525" s="66"/>
      <c r="F3525" s="66"/>
    </row>
    <row r="3526" spans="4:6" x14ac:dyDescent="0.35">
      <c r="D3526" s="66"/>
      <c r="E3526" s="66"/>
      <c r="F3526" s="66"/>
    </row>
    <row r="3527" spans="4:6" x14ac:dyDescent="0.35">
      <c r="D3527" s="66"/>
      <c r="E3527" s="66"/>
      <c r="F3527" s="66"/>
    </row>
    <row r="3528" spans="4:6" x14ac:dyDescent="0.35">
      <c r="D3528" s="66"/>
      <c r="E3528" s="66"/>
      <c r="F3528" s="66"/>
    </row>
    <row r="3529" spans="4:6" x14ac:dyDescent="0.35">
      <c r="D3529" s="66"/>
      <c r="E3529" s="66"/>
      <c r="F3529" s="66"/>
    </row>
    <row r="3530" spans="4:6" x14ac:dyDescent="0.35">
      <c r="D3530" s="66"/>
      <c r="E3530" s="66"/>
      <c r="F3530" s="66"/>
    </row>
    <row r="3531" spans="4:6" x14ac:dyDescent="0.35">
      <c r="D3531" s="66"/>
      <c r="E3531" s="66"/>
      <c r="F3531" s="66"/>
    </row>
    <row r="3532" spans="4:6" x14ac:dyDescent="0.35">
      <c r="D3532" s="66"/>
      <c r="E3532" s="66"/>
      <c r="F3532" s="66"/>
    </row>
    <row r="3533" spans="4:6" x14ac:dyDescent="0.35">
      <c r="D3533" s="66"/>
      <c r="E3533" s="66"/>
      <c r="F3533" s="66"/>
    </row>
    <row r="3534" spans="4:6" x14ac:dyDescent="0.35">
      <c r="D3534" s="66"/>
      <c r="E3534" s="66"/>
      <c r="F3534" s="66"/>
    </row>
    <row r="3535" spans="4:6" x14ac:dyDescent="0.35">
      <c r="D3535" s="66"/>
      <c r="E3535" s="66"/>
      <c r="F3535" s="66"/>
    </row>
    <row r="3536" spans="4:6" x14ac:dyDescent="0.35">
      <c r="D3536" s="66"/>
      <c r="E3536" s="66"/>
      <c r="F3536" s="66"/>
    </row>
    <row r="3537" spans="4:6" x14ac:dyDescent="0.35">
      <c r="D3537" s="66"/>
      <c r="E3537" s="66"/>
      <c r="F3537" s="66"/>
    </row>
    <row r="3538" spans="4:6" x14ac:dyDescent="0.35">
      <c r="D3538" s="66"/>
      <c r="E3538" s="66"/>
      <c r="F3538" s="66"/>
    </row>
    <row r="3539" spans="4:6" x14ac:dyDescent="0.35">
      <c r="D3539" s="66"/>
      <c r="E3539" s="66"/>
      <c r="F3539" s="66"/>
    </row>
    <row r="3540" spans="4:6" x14ac:dyDescent="0.35">
      <c r="D3540" s="66"/>
      <c r="E3540" s="66"/>
      <c r="F3540" s="66"/>
    </row>
    <row r="3541" spans="4:6" x14ac:dyDescent="0.35">
      <c r="D3541" s="66"/>
      <c r="E3541" s="66"/>
      <c r="F3541" s="66"/>
    </row>
    <row r="3542" spans="4:6" x14ac:dyDescent="0.35">
      <c r="D3542" s="66"/>
      <c r="E3542" s="66"/>
      <c r="F3542" s="66"/>
    </row>
    <row r="3543" spans="4:6" x14ac:dyDescent="0.35">
      <c r="D3543" s="66"/>
      <c r="E3543" s="66"/>
      <c r="F3543" s="66"/>
    </row>
    <row r="3544" spans="4:6" x14ac:dyDescent="0.35">
      <c r="D3544" s="66"/>
      <c r="E3544" s="66"/>
      <c r="F3544" s="66"/>
    </row>
    <row r="3545" spans="4:6" x14ac:dyDescent="0.35">
      <c r="D3545" s="66"/>
      <c r="E3545" s="66"/>
      <c r="F3545" s="66"/>
    </row>
    <row r="3546" spans="4:6" x14ac:dyDescent="0.35">
      <c r="D3546" s="66"/>
      <c r="E3546" s="66"/>
      <c r="F3546" s="66"/>
    </row>
    <row r="3547" spans="4:6" x14ac:dyDescent="0.35">
      <c r="D3547" s="66"/>
      <c r="E3547" s="66"/>
      <c r="F3547" s="66"/>
    </row>
    <row r="3548" spans="4:6" x14ac:dyDescent="0.35">
      <c r="D3548" s="66"/>
      <c r="E3548" s="66"/>
      <c r="F3548" s="66"/>
    </row>
    <row r="3549" spans="4:6" x14ac:dyDescent="0.35">
      <c r="D3549" s="66"/>
      <c r="E3549" s="66"/>
      <c r="F3549" s="66"/>
    </row>
    <row r="3550" spans="4:6" x14ac:dyDescent="0.35">
      <c r="D3550" s="66"/>
      <c r="E3550" s="66"/>
      <c r="F3550" s="66"/>
    </row>
    <row r="3551" spans="4:6" x14ac:dyDescent="0.35">
      <c r="D3551" s="66"/>
      <c r="E3551" s="66"/>
      <c r="F3551" s="66"/>
    </row>
    <row r="3552" spans="4:6" x14ac:dyDescent="0.35">
      <c r="D3552" s="66"/>
      <c r="E3552" s="66"/>
      <c r="F3552" s="66"/>
    </row>
    <row r="3553" spans="4:6" x14ac:dyDescent="0.35">
      <c r="D3553" s="66"/>
      <c r="E3553" s="66"/>
      <c r="F3553" s="66"/>
    </row>
    <row r="3554" spans="4:6" x14ac:dyDescent="0.35">
      <c r="D3554" s="66"/>
      <c r="E3554" s="66"/>
      <c r="F3554" s="66"/>
    </row>
    <row r="3555" spans="4:6" x14ac:dyDescent="0.35">
      <c r="D3555" s="66"/>
      <c r="E3555" s="66"/>
      <c r="F3555" s="66"/>
    </row>
    <row r="3556" spans="4:6" x14ac:dyDescent="0.35">
      <c r="D3556" s="66"/>
      <c r="E3556" s="66"/>
      <c r="F3556" s="66"/>
    </row>
    <row r="3557" spans="4:6" x14ac:dyDescent="0.35">
      <c r="D3557" s="66"/>
      <c r="E3557" s="66"/>
      <c r="F3557" s="66"/>
    </row>
    <row r="3558" spans="4:6" x14ac:dyDescent="0.35">
      <c r="D3558" s="66"/>
      <c r="E3558" s="66"/>
      <c r="F3558" s="66"/>
    </row>
    <row r="3559" spans="4:6" x14ac:dyDescent="0.35">
      <c r="D3559" s="66"/>
      <c r="E3559" s="66"/>
      <c r="F3559" s="66"/>
    </row>
    <row r="3560" spans="4:6" x14ac:dyDescent="0.35">
      <c r="D3560" s="66"/>
      <c r="E3560" s="66"/>
      <c r="F3560" s="66"/>
    </row>
    <row r="3561" spans="4:6" x14ac:dyDescent="0.35">
      <c r="D3561" s="66"/>
      <c r="E3561" s="66"/>
      <c r="F3561" s="66"/>
    </row>
    <row r="3562" spans="4:6" x14ac:dyDescent="0.35">
      <c r="D3562" s="66"/>
      <c r="E3562" s="66"/>
      <c r="F3562" s="66"/>
    </row>
    <row r="3563" spans="4:6" x14ac:dyDescent="0.35">
      <c r="D3563" s="66"/>
      <c r="E3563" s="66"/>
      <c r="F3563" s="66"/>
    </row>
    <row r="3564" spans="4:6" x14ac:dyDescent="0.35">
      <c r="D3564" s="66"/>
      <c r="E3564" s="66"/>
      <c r="F3564" s="66"/>
    </row>
    <row r="3565" spans="4:6" x14ac:dyDescent="0.35">
      <c r="D3565" s="66"/>
      <c r="E3565" s="66"/>
      <c r="F3565" s="66"/>
    </row>
    <row r="3566" spans="4:6" x14ac:dyDescent="0.35">
      <c r="D3566" s="66"/>
      <c r="E3566" s="66"/>
      <c r="F3566" s="66"/>
    </row>
    <row r="3567" spans="4:6" x14ac:dyDescent="0.35">
      <c r="D3567" s="66"/>
      <c r="E3567" s="66"/>
      <c r="F3567" s="66"/>
    </row>
    <row r="3568" spans="4:6" x14ac:dyDescent="0.35">
      <c r="D3568" s="66"/>
      <c r="E3568" s="66"/>
      <c r="F3568" s="66"/>
    </row>
    <row r="3569" spans="4:6" x14ac:dyDescent="0.35">
      <c r="D3569" s="66"/>
      <c r="E3569" s="66"/>
      <c r="F3569" s="66"/>
    </row>
    <row r="3570" spans="4:6" x14ac:dyDescent="0.35">
      <c r="D3570" s="66"/>
      <c r="E3570" s="66"/>
      <c r="F3570" s="66"/>
    </row>
    <row r="3571" spans="4:6" x14ac:dyDescent="0.35">
      <c r="D3571" s="66"/>
      <c r="E3571" s="66"/>
      <c r="F3571" s="66"/>
    </row>
    <row r="3572" spans="4:6" x14ac:dyDescent="0.35">
      <c r="D3572" s="66"/>
      <c r="E3572" s="66"/>
      <c r="F3572" s="66"/>
    </row>
    <row r="3573" spans="4:6" x14ac:dyDescent="0.35">
      <c r="D3573" s="66"/>
      <c r="E3573" s="66"/>
      <c r="F3573" s="66"/>
    </row>
    <row r="3574" spans="4:6" x14ac:dyDescent="0.35">
      <c r="D3574" s="66"/>
      <c r="E3574" s="66"/>
      <c r="F3574" s="66"/>
    </row>
    <row r="3575" spans="4:6" x14ac:dyDescent="0.35">
      <c r="D3575" s="66"/>
      <c r="E3575" s="66"/>
      <c r="F3575" s="66"/>
    </row>
    <row r="3576" spans="4:6" x14ac:dyDescent="0.35">
      <c r="D3576" s="66"/>
      <c r="E3576" s="66"/>
      <c r="F3576" s="66"/>
    </row>
    <row r="3577" spans="4:6" x14ac:dyDescent="0.35">
      <c r="D3577" s="66"/>
      <c r="E3577" s="66"/>
      <c r="F3577" s="66"/>
    </row>
    <row r="3578" spans="4:6" x14ac:dyDescent="0.35">
      <c r="D3578" s="66"/>
      <c r="E3578" s="66"/>
      <c r="F3578" s="66"/>
    </row>
    <row r="3579" spans="4:6" x14ac:dyDescent="0.35">
      <c r="D3579" s="66"/>
      <c r="E3579" s="66"/>
      <c r="F3579" s="66"/>
    </row>
    <row r="3580" spans="4:6" x14ac:dyDescent="0.35">
      <c r="D3580" s="66"/>
      <c r="E3580" s="66"/>
      <c r="F3580" s="66"/>
    </row>
    <row r="3581" spans="4:6" x14ac:dyDescent="0.35">
      <c r="D3581" s="66"/>
      <c r="E3581" s="66"/>
      <c r="F3581" s="66"/>
    </row>
    <row r="3582" spans="4:6" x14ac:dyDescent="0.35">
      <c r="D3582" s="66"/>
      <c r="E3582" s="66"/>
      <c r="F3582" s="66"/>
    </row>
    <row r="3583" spans="4:6" x14ac:dyDescent="0.35">
      <c r="D3583" s="66"/>
      <c r="E3583" s="66"/>
      <c r="F3583" s="66"/>
    </row>
    <row r="3584" spans="4:6" x14ac:dyDescent="0.35">
      <c r="D3584" s="66"/>
      <c r="E3584" s="66"/>
      <c r="F3584" s="66"/>
    </row>
    <row r="3585" spans="4:6" x14ac:dyDescent="0.35">
      <c r="D3585" s="66"/>
      <c r="E3585" s="66"/>
      <c r="F3585" s="66"/>
    </row>
    <row r="3586" spans="4:6" x14ac:dyDescent="0.35">
      <c r="D3586" s="66"/>
      <c r="E3586" s="66"/>
      <c r="F3586" s="66"/>
    </row>
    <row r="3587" spans="4:6" x14ac:dyDescent="0.35">
      <c r="D3587" s="66"/>
      <c r="E3587" s="66"/>
      <c r="F3587" s="66"/>
    </row>
    <row r="3588" spans="4:6" x14ac:dyDescent="0.35">
      <c r="D3588" s="66"/>
      <c r="E3588" s="66"/>
      <c r="F3588" s="66"/>
    </row>
    <row r="3589" spans="4:6" x14ac:dyDescent="0.35">
      <c r="D3589" s="66"/>
      <c r="E3589" s="66"/>
      <c r="F3589" s="66"/>
    </row>
    <row r="3590" spans="4:6" x14ac:dyDescent="0.35">
      <c r="D3590" s="66"/>
      <c r="E3590" s="66"/>
      <c r="F3590" s="66"/>
    </row>
    <row r="3591" spans="4:6" x14ac:dyDescent="0.35">
      <c r="D3591" s="66"/>
      <c r="E3591" s="66"/>
      <c r="F3591" s="66"/>
    </row>
    <row r="3592" spans="4:6" x14ac:dyDescent="0.35">
      <c r="D3592" s="66"/>
      <c r="E3592" s="66"/>
      <c r="F3592" s="66"/>
    </row>
    <row r="3593" spans="4:6" x14ac:dyDescent="0.35">
      <c r="D3593" s="66"/>
      <c r="E3593" s="66"/>
      <c r="F3593" s="66"/>
    </row>
    <row r="3594" spans="4:6" x14ac:dyDescent="0.35">
      <c r="D3594" s="66"/>
      <c r="E3594" s="66"/>
      <c r="F3594" s="66"/>
    </row>
    <row r="3595" spans="4:6" x14ac:dyDescent="0.35">
      <c r="D3595" s="66"/>
      <c r="E3595" s="66"/>
      <c r="F3595" s="66"/>
    </row>
    <row r="3596" spans="4:6" x14ac:dyDescent="0.35">
      <c r="D3596" s="66"/>
      <c r="E3596" s="66"/>
      <c r="F3596" s="66"/>
    </row>
    <row r="3597" spans="4:6" x14ac:dyDescent="0.35">
      <c r="D3597" s="66"/>
      <c r="E3597" s="66"/>
      <c r="F3597" s="66"/>
    </row>
    <row r="3598" spans="4:6" x14ac:dyDescent="0.35">
      <c r="D3598" s="66"/>
      <c r="E3598" s="66"/>
      <c r="F3598" s="66"/>
    </row>
    <row r="3599" spans="4:6" x14ac:dyDescent="0.35">
      <c r="D3599" s="66"/>
      <c r="E3599" s="66"/>
      <c r="F3599" s="66"/>
    </row>
    <row r="3600" spans="4:6" x14ac:dyDescent="0.35">
      <c r="D3600" s="66"/>
      <c r="E3600" s="66"/>
      <c r="F3600" s="66"/>
    </row>
    <row r="3601" spans="4:6" x14ac:dyDescent="0.35">
      <c r="D3601" s="66"/>
      <c r="E3601" s="66"/>
      <c r="F3601" s="66"/>
    </row>
    <row r="3602" spans="4:6" x14ac:dyDescent="0.35">
      <c r="D3602" s="66"/>
      <c r="E3602" s="66"/>
      <c r="F3602" s="66"/>
    </row>
    <row r="3603" spans="4:6" x14ac:dyDescent="0.35">
      <c r="D3603" s="66"/>
      <c r="E3603" s="66"/>
      <c r="F3603" s="66"/>
    </row>
    <row r="3604" spans="4:6" x14ac:dyDescent="0.35">
      <c r="D3604" s="66"/>
      <c r="E3604" s="66"/>
      <c r="F3604" s="66"/>
    </row>
    <row r="3605" spans="4:6" x14ac:dyDescent="0.35">
      <c r="D3605" s="66"/>
      <c r="E3605" s="66"/>
      <c r="F3605" s="66"/>
    </row>
    <row r="3606" spans="4:6" x14ac:dyDescent="0.35">
      <c r="D3606" s="66"/>
      <c r="E3606" s="66"/>
      <c r="F3606" s="66"/>
    </row>
    <row r="3607" spans="4:6" x14ac:dyDescent="0.35">
      <c r="D3607" s="66"/>
      <c r="E3607" s="66"/>
      <c r="F3607" s="66"/>
    </row>
    <row r="3608" spans="4:6" x14ac:dyDescent="0.35">
      <c r="D3608" s="66"/>
      <c r="E3608" s="66"/>
      <c r="F3608" s="66"/>
    </row>
    <row r="3609" spans="4:6" x14ac:dyDescent="0.35">
      <c r="D3609" s="66"/>
      <c r="E3609" s="66"/>
      <c r="F3609" s="66"/>
    </row>
    <row r="3610" spans="4:6" x14ac:dyDescent="0.35">
      <c r="D3610" s="66"/>
      <c r="E3610" s="66"/>
      <c r="F3610" s="66"/>
    </row>
    <row r="3611" spans="4:6" x14ac:dyDescent="0.35">
      <c r="D3611" s="66"/>
      <c r="E3611" s="66"/>
      <c r="F3611" s="66"/>
    </row>
    <row r="3612" spans="4:6" x14ac:dyDescent="0.35">
      <c r="D3612" s="66"/>
      <c r="E3612" s="66"/>
      <c r="F3612" s="66"/>
    </row>
    <row r="3613" spans="4:6" x14ac:dyDescent="0.35">
      <c r="D3613" s="66"/>
      <c r="E3613" s="66"/>
      <c r="F3613" s="66"/>
    </row>
    <row r="3614" spans="4:6" x14ac:dyDescent="0.35">
      <c r="D3614" s="66"/>
      <c r="E3614" s="66"/>
      <c r="F3614" s="66"/>
    </row>
    <row r="3615" spans="4:6" x14ac:dyDescent="0.35">
      <c r="D3615" s="66"/>
      <c r="E3615" s="66"/>
      <c r="F3615" s="66"/>
    </row>
    <row r="3616" spans="4:6" x14ac:dyDescent="0.35">
      <c r="D3616" s="66"/>
      <c r="E3616" s="66"/>
      <c r="F3616" s="66"/>
    </row>
    <row r="3617" spans="4:6" x14ac:dyDescent="0.35">
      <c r="D3617" s="66"/>
      <c r="E3617" s="66"/>
      <c r="F3617" s="66"/>
    </row>
    <row r="3618" spans="4:6" x14ac:dyDescent="0.35">
      <c r="D3618" s="66"/>
      <c r="E3618" s="66"/>
      <c r="F3618" s="66"/>
    </row>
    <row r="3619" spans="4:6" x14ac:dyDescent="0.35">
      <c r="D3619" s="66"/>
      <c r="E3619" s="66"/>
      <c r="F3619" s="66"/>
    </row>
    <row r="3620" spans="4:6" x14ac:dyDescent="0.35">
      <c r="D3620" s="66"/>
      <c r="E3620" s="66"/>
      <c r="F3620" s="66"/>
    </row>
    <row r="3621" spans="4:6" x14ac:dyDescent="0.35">
      <c r="D3621" s="66"/>
      <c r="E3621" s="66"/>
      <c r="F3621" s="66"/>
    </row>
    <row r="3622" spans="4:6" x14ac:dyDescent="0.35">
      <c r="D3622" s="66"/>
      <c r="E3622" s="66"/>
      <c r="F3622" s="66"/>
    </row>
    <row r="3623" spans="4:6" x14ac:dyDescent="0.35">
      <c r="D3623" s="66"/>
      <c r="E3623" s="66"/>
      <c r="F3623" s="66"/>
    </row>
    <row r="3624" spans="4:6" x14ac:dyDescent="0.35">
      <c r="D3624" s="66"/>
      <c r="E3624" s="66"/>
      <c r="F3624" s="66"/>
    </row>
    <row r="3625" spans="4:6" x14ac:dyDescent="0.35">
      <c r="D3625" s="66"/>
      <c r="E3625" s="66"/>
      <c r="F3625" s="66"/>
    </row>
    <row r="3626" spans="4:6" x14ac:dyDescent="0.35">
      <c r="D3626" s="66"/>
      <c r="E3626" s="66"/>
      <c r="F3626" s="66"/>
    </row>
    <row r="3627" spans="4:6" x14ac:dyDescent="0.35">
      <c r="D3627" s="66"/>
      <c r="E3627" s="66"/>
      <c r="F3627" s="66"/>
    </row>
    <row r="3628" spans="4:6" x14ac:dyDescent="0.35">
      <c r="D3628" s="66"/>
      <c r="E3628" s="66"/>
      <c r="F3628" s="66"/>
    </row>
    <row r="3629" spans="4:6" x14ac:dyDescent="0.35">
      <c r="D3629" s="66"/>
      <c r="E3629" s="66"/>
      <c r="F3629" s="66"/>
    </row>
    <row r="3630" spans="4:6" x14ac:dyDescent="0.35">
      <c r="D3630" s="66"/>
      <c r="E3630" s="66"/>
      <c r="F3630" s="66"/>
    </row>
    <row r="3631" spans="4:6" x14ac:dyDescent="0.35">
      <c r="D3631" s="66"/>
      <c r="E3631" s="66"/>
      <c r="F3631" s="66"/>
    </row>
    <row r="3632" spans="4:6" x14ac:dyDescent="0.35">
      <c r="D3632" s="66"/>
      <c r="E3632" s="66"/>
      <c r="F3632" s="66"/>
    </row>
    <row r="3633" spans="4:6" x14ac:dyDescent="0.35">
      <c r="D3633" s="66"/>
      <c r="E3633" s="66"/>
      <c r="F3633" s="66"/>
    </row>
    <row r="3634" spans="4:6" x14ac:dyDescent="0.35">
      <c r="D3634" s="66"/>
      <c r="E3634" s="66"/>
      <c r="F3634" s="66"/>
    </row>
    <row r="3635" spans="4:6" x14ac:dyDescent="0.35">
      <c r="D3635" s="66"/>
      <c r="E3635" s="66"/>
      <c r="F3635" s="66"/>
    </row>
    <row r="3636" spans="4:6" x14ac:dyDescent="0.35">
      <c r="D3636" s="66"/>
      <c r="E3636" s="66"/>
      <c r="F3636" s="66"/>
    </row>
    <row r="3637" spans="4:6" x14ac:dyDescent="0.35">
      <c r="D3637" s="66"/>
      <c r="E3637" s="66"/>
      <c r="F3637" s="66"/>
    </row>
    <row r="3638" spans="4:6" x14ac:dyDescent="0.35">
      <c r="D3638" s="66"/>
      <c r="E3638" s="66"/>
      <c r="F3638" s="66"/>
    </row>
    <row r="3639" spans="4:6" x14ac:dyDescent="0.35">
      <c r="D3639" s="66"/>
      <c r="E3639" s="66"/>
      <c r="F3639" s="66"/>
    </row>
    <row r="3640" spans="4:6" x14ac:dyDescent="0.35">
      <c r="D3640" s="66"/>
      <c r="E3640" s="66"/>
      <c r="F3640" s="66"/>
    </row>
    <row r="3641" spans="4:6" x14ac:dyDescent="0.35">
      <c r="D3641" s="66"/>
      <c r="E3641" s="66"/>
      <c r="F3641" s="66"/>
    </row>
    <row r="3642" spans="4:6" x14ac:dyDescent="0.35">
      <c r="D3642" s="66"/>
      <c r="E3642" s="66"/>
      <c r="F3642" s="66"/>
    </row>
    <row r="3643" spans="4:6" x14ac:dyDescent="0.35">
      <c r="D3643" s="66"/>
      <c r="E3643" s="66"/>
      <c r="F3643" s="66"/>
    </row>
    <row r="3644" spans="4:6" x14ac:dyDescent="0.35">
      <c r="D3644" s="66"/>
      <c r="E3644" s="66"/>
      <c r="F3644" s="66"/>
    </row>
    <row r="3645" spans="4:6" x14ac:dyDescent="0.35">
      <c r="D3645" s="66"/>
      <c r="E3645" s="66"/>
      <c r="F3645" s="66"/>
    </row>
    <row r="3646" spans="4:6" x14ac:dyDescent="0.35">
      <c r="D3646" s="66"/>
      <c r="E3646" s="66"/>
      <c r="F3646" s="66"/>
    </row>
    <row r="3647" spans="4:6" x14ac:dyDescent="0.35">
      <c r="D3647" s="66"/>
      <c r="E3647" s="66"/>
      <c r="F3647" s="66"/>
    </row>
    <row r="3648" spans="4:6" x14ac:dyDescent="0.35">
      <c r="D3648" s="66"/>
      <c r="E3648" s="66"/>
      <c r="F3648" s="66"/>
    </row>
    <row r="3649" spans="4:6" x14ac:dyDescent="0.35">
      <c r="D3649" s="66"/>
      <c r="E3649" s="66"/>
      <c r="F3649" s="66"/>
    </row>
    <row r="3650" spans="4:6" x14ac:dyDescent="0.35">
      <c r="D3650" s="66"/>
      <c r="E3650" s="66"/>
      <c r="F3650" s="66"/>
    </row>
    <row r="3651" spans="4:6" x14ac:dyDescent="0.35">
      <c r="D3651" s="66"/>
      <c r="E3651" s="66"/>
      <c r="F3651" s="66"/>
    </row>
    <row r="3652" spans="4:6" x14ac:dyDescent="0.35">
      <c r="D3652" s="66"/>
      <c r="E3652" s="66"/>
      <c r="F3652" s="66"/>
    </row>
    <row r="3653" spans="4:6" x14ac:dyDescent="0.35">
      <c r="D3653" s="66"/>
      <c r="E3653" s="66"/>
      <c r="F3653" s="66"/>
    </row>
    <row r="3654" spans="4:6" x14ac:dyDescent="0.35">
      <c r="D3654" s="66"/>
      <c r="E3654" s="66"/>
      <c r="F3654" s="66"/>
    </row>
    <row r="3655" spans="4:6" x14ac:dyDescent="0.35">
      <c r="D3655" s="66"/>
      <c r="E3655" s="66"/>
      <c r="F3655" s="66"/>
    </row>
    <row r="3656" spans="4:6" x14ac:dyDescent="0.35">
      <c r="D3656" s="66"/>
      <c r="E3656" s="66"/>
      <c r="F3656" s="66"/>
    </row>
    <row r="3657" spans="4:6" x14ac:dyDescent="0.35">
      <c r="D3657" s="66"/>
      <c r="E3657" s="66"/>
      <c r="F3657" s="66"/>
    </row>
    <row r="3658" spans="4:6" x14ac:dyDescent="0.35">
      <c r="D3658" s="66"/>
      <c r="E3658" s="66"/>
      <c r="F3658" s="66"/>
    </row>
    <row r="3659" spans="4:6" x14ac:dyDescent="0.35">
      <c r="D3659" s="66"/>
      <c r="E3659" s="66"/>
      <c r="F3659" s="66"/>
    </row>
    <row r="3660" spans="4:6" x14ac:dyDescent="0.35">
      <c r="D3660" s="66"/>
      <c r="E3660" s="66"/>
      <c r="F3660" s="66"/>
    </row>
    <row r="3661" spans="4:6" x14ac:dyDescent="0.35">
      <c r="D3661" s="66"/>
      <c r="E3661" s="66"/>
      <c r="F3661" s="66"/>
    </row>
    <row r="3662" spans="4:6" x14ac:dyDescent="0.35">
      <c r="D3662" s="66"/>
      <c r="E3662" s="66"/>
      <c r="F3662" s="66"/>
    </row>
    <row r="3663" spans="4:6" x14ac:dyDescent="0.35">
      <c r="D3663" s="66"/>
      <c r="E3663" s="66"/>
      <c r="F3663" s="66"/>
    </row>
    <row r="3664" spans="4:6" x14ac:dyDescent="0.35">
      <c r="D3664" s="66"/>
      <c r="E3664" s="66"/>
      <c r="F3664" s="66"/>
    </row>
    <row r="3665" spans="4:6" x14ac:dyDescent="0.35">
      <c r="D3665" s="66"/>
      <c r="E3665" s="66"/>
      <c r="F3665" s="66"/>
    </row>
    <row r="3666" spans="4:6" x14ac:dyDescent="0.35">
      <c r="D3666" s="66"/>
      <c r="E3666" s="66"/>
      <c r="F3666" s="66"/>
    </row>
    <row r="3667" spans="4:6" x14ac:dyDescent="0.35">
      <c r="D3667" s="66"/>
      <c r="E3667" s="66"/>
      <c r="F3667" s="66"/>
    </row>
    <row r="3668" spans="4:6" x14ac:dyDescent="0.35">
      <c r="D3668" s="66"/>
      <c r="E3668" s="66"/>
      <c r="F3668" s="66"/>
    </row>
    <row r="3669" spans="4:6" x14ac:dyDescent="0.35">
      <c r="D3669" s="66"/>
      <c r="E3669" s="66"/>
      <c r="F3669" s="66"/>
    </row>
    <row r="3670" spans="4:6" x14ac:dyDescent="0.35">
      <c r="D3670" s="66"/>
      <c r="E3670" s="66"/>
      <c r="F3670" s="66"/>
    </row>
    <row r="3671" spans="4:6" x14ac:dyDescent="0.35">
      <c r="D3671" s="66"/>
      <c r="E3671" s="66"/>
      <c r="F3671" s="66"/>
    </row>
    <row r="3672" spans="4:6" x14ac:dyDescent="0.35">
      <c r="D3672" s="66"/>
      <c r="E3672" s="66"/>
      <c r="F3672" s="66"/>
    </row>
    <row r="3673" spans="4:6" x14ac:dyDescent="0.35">
      <c r="D3673" s="66"/>
      <c r="E3673" s="66"/>
      <c r="F3673" s="66"/>
    </row>
    <row r="3674" spans="4:6" x14ac:dyDescent="0.35">
      <c r="D3674" s="66"/>
      <c r="E3674" s="66"/>
      <c r="F3674" s="66"/>
    </row>
    <row r="3675" spans="4:6" x14ac:dyDescent="0.35">
      <c r="D3675" s="66"/>
      <c r="E3675" s="66"/>
      <c r="F3675" s="66"/>
    </row>
    <row r="3676" spans="4:6" x14ac:dyDescent="0.35">
      <c r="D3676" s="66"/>
      <c r="E3676" s="66"/>
      <c r="F3676" s="66"/>
    </row>
    <row r="3677" spans="4:6" x14ac:dyDescent="0.35">
      <c r="D3677" s="66"/>
      <c r="E3677" s="66"/>
      <c r="F3677" s="66"/>
    </row>
    <row r="3678" spans="4:6" x14ac:dyDescent="0.35">
      <c r="D3678" s="66"/>
      <c r="E3678" s="66"/>
      <c r="F3678" s="66"/>
    </row>
    <row r="3679" spans="4:6" x14ac:dyDescent="0.35">
      <c r="D3679" s="66"/>
      <c r="E3679" s="66"/>
      <c r="F3679" s="66"/>
    </row>
    <row r="3680" spans="4:6" x14ac:dyDescent="0.35">
      <c r="D3680" s="66"/>
      <c r="E3680" s="66"/>
      <c r="F3680" s="66"/>
    </row>
    <row r="3681" spans="4:6" x14ac:dyDescent="0.35">
      <c r="D3681" s="66"/>
      <c r="E3681" s="66"/>
      <c r="F3681" s="66"/>
    </row>
    <row r="3682" spans="4:6" x14ac:dyDescent="0.35">
      <c r="D3682" s="66"/>
      <c r="E3682" s="66"/>
      <c r="F3682" s="66"/>
    </row>
    <row r="3683" spans="4:6" x14ac:dyDescent="0.35">
      <c r="D3683" s="66"/>
      <c r="E3683" s="66"/>
      <c r="F3683" s="66"/>
    </row>
    <row r="3684" spans="4:6" x14ac:dyDescent="0.35">
      <c r="D3684" s="66"/>
      <c r="E3684" s="66"/>
      <c r="F3684" s="66"/>
    </row>
    <row r="3685" spans="4:6" x14ac:dyDescent="0.35">
      <c r="D3685" s="66"/>
      <c r="E3685" s="66"/>
      <c r="F3685" s="66"/>
    </row>
    <row r="3686" spans="4:6" x14ac:dyDescent="0.35">
      <c r="D3686" s="66"/>
      <c r="E3686" s="66"/>
      <c r="F3686" s="66"/>
    </row>
    <row r="3687" spans="4:6" x14ac:dyDescent="0.35">
      <c r="D3687" s="66"/>
      <c r="E3687" s="66"/>
      <c r="F3687" s="66"/>
    </row>
    <row r="3688" spans="4:6" x14ac:dyDescent="0.35">
      <c r="D3688" s="66"/>
      <c r="E3688" s="66"/>
      <c r="F3688" s="66"/>
    </row>
    <row r="3689" spans="4:6" x14ac:dyDescent="0.35">
      <c r="D3689" s="66"/>
      <c r="E3689" s="66"/>
      <c r="F3689" s="66"/>
    </row>
    <row r="3690" spans="4:6" x14ac:dyDescent="0.35">
      <c r="D3690" s="66"/>
      <c r="E3690" s="66"/>
      <c r="F3690" s="66"/>
    </row>
    <row r="3691" spans="4:6" x14ac:dyDescent="0.35">
      <c r="D3691" s="66"/>
      <c r="E3691" s="66"/>
      <c r="F3691" s="66"/>
    </row>
    <row r="3692" spans="4:6" x14ac:dyDescent="0.35">
      <c r="D3692" s="66"/>
      <c r="E3692" s="66"/>
      <c r="F3692" s="66"/>
    </row>
    <row r="3693" spans="4:6" x14ac:dyDescent="0.35">
      <c r="D3693" s="66"/>
      <c r="E3693" s="66"/>
      <c r="F3693" s="66"/>
    </row>
    <row r="3694" spans="4:6" x14ac:dyDescent="0.35">
      <c r="D3694" s="66"/>
      <c r="E3694" s="66"/>
      <c r="F3694" s="66"/>
    </row>
    <row r="3695" spans="4:6" x14ac:dyDescent="0.35">
      <c r="D3695" s="66"/>
      <c r="E3695" s="66"/>
      <c r="F3695" s="66"/>
    </row>
    <row r="3696" spans="4:6" x14ac:dyDescent="0.35">
      <c r="D3696" s="66"/>
      <c r="E3696" s="66"/>
      <c r="F3696" s="66"/>
    </row>
    <row r="3697" spans="4:6" x14ac:dyDescent="0.35">
      <c r="D3697" s="66"/>
      <c r="E3697" s="66"/>
      <c r="F3697" s="66"/>
    </row>
    <row r="3698" spans="4:6" x14ac:dyDescent="0.35">
      <c r="D3698" s="66"/>
      <c r="E3698" s="66"/>
      <c r="F3698" s="66"/>
    </row>
    <row r="3699" spans="4:6" x14ac:dyDescent="0.35">
      <c r="D3699" s="66"/>
      <c r="E3699" s="66"/>
      <c r="F3699" s="66"/>
    </row>
    <row r="3700" spans="4:6" x14ac:dyDescent="0.35">
      <c r="D3700" s="66"/>
      <c r="E3700" s="66"/>
      <c r="F3700" s="66"/>
    </row>
    <row r="3701" spans="4:6" x14ac:dyDescent="0.35">
      <c r="D3701" s="66"/>
      <c r="E3701" s="66"/>
      <c r="F3701" s="66"/>
    </row>
    <row r="3702" spans="4:6" x14ac:dyDescent="0.35">
      <c r="D3702" s="66"/>
      <c r="E3702" s="66"/>
      <c r="F3702" s="66"/>
    </row>
    <row r="3703" spans="4:6" x14ac:dyDescent="0.35">
      <c r="D3703" s="66"/>
      <c r="E3703" s="66"/>
      <c r="F3703" s="66"/>
    </row>
    <row r="3704" spans="4:6" x14ac:dyDescent="0.35">
      <c r="D3704" s="66"/>
      <c r="E3704" s="66"/>
      <c r="F3704" s="66"/>
    </row>
    <row r="3705" spans="4:6" x14ac:dyDescent="0.35">
      <c r="D3705" s="66"/>
      <c r="E3705" s="66"/>
      <c r="F3705" s="66"/>
    </row>
    <row r="3706" spans="4:6" x14ac:dyDescent="0.35">
      <c r="D3706" s="66"/>
      <c r="E3706" s="66"/>
      <c r="F3706" s="66"/>
    </row>
    <row r="3707" spans="4:6" x14ac:dyDescent="0.35">
      <c r="D3707" s="66"/>
      <c r="E3707" s="66"/>
      <c r="F3707" s="66"/>
    </row>
    <row r="3708" spans="4:6" x14ac:dyDescent="0.35">
      <c r="D3708" s="66"/>
      <c r="E3708" s="66"/>
      <c r="F3708" s="66"/>
    </row>
    <row r="3709" spans="4:6" x14ac:dyDescent="0.35">
      <c r="D3709" s="66"/>
      <c r="E3709" s="66"/>
      <c r="F3709" s="66"/>
    </row>
    <row r="3710" spans="4:6" x14ac:dyDescent="0.35">
      <c r="D3710" s="66"/>
      <c r="E3710" s="66"/>
      <c r="F3710" s="66"/>
    </row>
    <row r="3711" spans="4:6" x14ac:dyDescent="0.35">
      <c r="D3711" s="66"/>
      <c r="E3711" s="66"/>
      <c r="F3711" s="66"/>
    </row>
    <row r="3712" spans="4:6" x14ac:dyDescent="0.35">
      <c r="D3712" s="66"/>
      <c r="E3712" s="66"/>
      <c r="F3712" s="66"/>
    </row>
    <row r="3713" spans="4:6" x14ac:dyDescent="0.35">
      <c r="D3713" s="66"/>
      <c r="E3713" s="66"/>
      <c r="F3713" s="66"/>
    </row>
    <row r="3714" spans="4:6" x14ac:dyDescent="0.35">
      <c r="D3714" s="66"/>
      <c r="E3714" s="66"/>
      <c r="F3714" s="66"/>
    </row>
    <row r="3715" spans="4:6" x14ac:dyDescent="0.35">
      <c r="D3715" s="66"/>
      <c r="E3715" s="66"/>
      <c r="F3715" s="66"/>
    </row>
    <row r="3716" spans="4:6" x14ac:dyDescent="0.35">
      <c r="D3716" s="66"/>
      <c r="E3716" s="66"/>
      <c r="F3716" s="66"/>
    </row>
    <row r="3717" spans="4:6" x14ac:dyDescent="0.35">
      <c r="D3717" s="66"/>
      <c r="E3717" s="66"/>
      <c r="F3717" s="66"/>
    </row>
    <row r="3718" spans="4:6" x14ac:dyDescent="0.35">
      <c r="D3718" s="66"/>
      <c r="E3718" s="66"/>
      <c r="F3718" s="66"/>
    </row>
    <row r="3719" spans="4:6" x14ac:dyDescent="0.35">
      <c r="D3719" s="66"/>
      <c r="E3719" s="66"/>
      <c r="F3719" s="66"/>
    </row>
    <row r="3720" spans="4:6" x14ac:dyDescent="0.35">
      <c r="D3720" s="66"/>
      <c r="E3720" s="66"/>
      <c r="F3720" s="66"/>
    </row>
    <row r="3721" spans="4:6" x14ac:dyDescent="0.35">
      <c r="D3721" s="66"/>
      <c r="E3721" s="66"/>
      <c r="F3721" s="66"/>
    </row>
    <row r="3722" spans="4:6" x14ac:dyDescent="0.35">
      <c r="D3722" s="66"/>
      <c r="E3722" s="66"/>
      <c r="F3722" s="66"/>
    </row>
    <row r="3723" spans="4:6" x14ac:dyDescent="0.35">
      <c r="D3723" s="66"/>
      <c r="E3723" s="66"/>
      <c r="F3723" s="66"/>
    </row>
    <row r="3724" spans="4:6" x14ac:dyDescent="0.35">
      <c r="D3724" s="66"/>
      <c r="E3724" s="66"/>
      <c r="F3724" s="66"/>
    </row>
    <row r="3725" spans="4:6" x14ac:dyDescent="0.35">
      <c r="D3725" s="66"/>
      <c r="E3725" s="66"/>
      <c r="F3725" s="66"/>
    </row>
    <row r="3726" spans="4:6" x14ac:dyDescent="0.35">
      <c r="D3726" s="66"/>
      <c r="E3726" s="66"/>
      <c r="F3726" s="66"/>
    </row>
    <row r="3727" spans="4:6" x14ac:dyDescent="0.35">
      <c r="D3727" s="66"/>
      <c r="E3727" s="66"/>
      <c r="F3727" s="66"/>
    </row>
    <row r="3728" spans="4:6" x14ac:dyDescent="0.35">
      <c r="D3728" s="66"/>
      <c r="E3728" s="66"/>
      <c r="F3728" s="66"/>
    </row>
    <row r="3729" spans="4:6" x14ac:dyDescent="0.35">
      <c r="D3729" s="66"/>
      <c r="E3729" s="66"/>
      <c r="F3729" s="66"/>
    </row>
    <row r="3730" spans="4:6" x14ac:dyDescent="0.35">
      <c r="D3730" s="66"/>
      <c r="E3730" s="66"/>
      <c r="F3730" s="66"/>
    </row>
    <row r="3731" spans="4:6" x14ac:dyDescent="0.35">
      <c r="D3731" s="66"/>
      <c r="E3731" s="66"/>
      <c r="F3731" s="66"/>
    </row>
    <row r="3732" spans="4:6" x14ac:dyDescent="0.35">
      <c r="D3732" s="66"/>
      <c r="E3732" s="66"/>
      <c r="F3732" s="66"/>
    </row>
    <row r="3733" spans="4:6" x14ac:dyDescent="0.35">
      <c r="D3733" s="66"/>
      <c r="E3733" s="66"/>
      <c r="F3733" s="66"/>
    </row>
    <row r="3734" spans="4:6" x14ac:dyDescent="0.35">
      <c r="D3734" s="66"/>
      <c r="E3734" s="66"/>
      <c r="F3734" s="66"/>
    </row>
    <row r="3735" spans="4:6" x14ac:dyDescent="0.35">
      <c r="D3735" s="66"/>
      <c r="E3735" s="66"/>
      <c r="F3735" s="66"/>
    </row>
    <row r="3736" spans="4:6" x14ac:dyDescent="0.35">
      <c r="D3736" s="66"/>
      <c r="E3736" s="66"/>
      <c r="F3736" s="66"/>
    </row>
    <row r="3737" spans="4:6" x14ac:dyDescent="0.35">
      <c r="D3737" s="66"/>
      <c r="E3737" s="66"/>
      <c r="F3737" s="66"/>
    </row>
    <row r="3738" spans="4:6" x14ac:dyDescent="0.35">
      <c r="D3738" s="66"/>
      <c r="E3738" s="66"/>
      <c r="F3738" s="66"/>
    </row>
    <row r="3739" spans="4:6" x14ac:dyDescent="0.35">
      <c r="D3739" s="66"/>
      <c r="E3739" s="66"/>
      <c r="F3739" s="66"/>
    </row>
    <row r="3740" spans="4:6" x14ac:dyDescent="0.35">
      <c r="D3740" s="66"/>
      <c r="E3740" s="66"/>
      <c r="F3740" s="66"/>
    </row>
    <row r="3741" spans="4:6" x14ac:dyDescent="0.35">
      <c r="D3741" s="66"/>
      <c r="E3741" s="66"/>
      <c r="F3741" s="66"/>
    </row>
    <row r="3742" spans="4:6" x14ac:dyDescent="0.35">
      <c r="D3742" s="66"/>
      <c r="E3742" s="66"/>
      <c r="F3742" s="66"/>
    </row>
    <row r="3743" spans="4:6" x14ac:dyDescent="0.35">
      <c r="D3743" s="66"/>
      <c r="E3743" s="66"/>
      <c r="F3743" s="66"/>
    </row>
    <row r="3744" spans="4:6" x14ac:dyDescent="0.35">
      <c r="D3744" s="66"/>
      <c r="E3744" s="66"/>
      <c r="F3744" s="66"/>
    </row>
    <row r="3745" spans="4:6" x14ac:dyDescent="0.35">
      <c r="D3745" s="66"/>
      <c r="E3745" s="66"/>
      <c r="F3745" s="66"/>
    </row>
    <row r="3746" spans="4:6" x14ac:dyDescent="0.35">
      <c r="D3746" s="66"/>
      <c r="E3746" s="66"/>
      <c r="F3746" s="66"/>
    </row>
    <row r="3747" spans="4:6" x14ac:dyDescent="0.35">
      <c r="D3747" s="66"/>
      <c r="E3747" s="66"/>
      <c r="F3747" s="66"/>
    </row>
    <row r="3748" spans="4:6" x14ac:dyDescent="0.35">
      <c r="D3748" s="66"/>
      <c r="E3748" s="66"/>
      <c r="F3748" s="66"/>
    </row>
    <row r="3749" spans="4:6" x14ac:dyDescent="0.35">
      <c r="D3749" s="66"/>
      <c r="E3749" s="66"/>
      <c r="F3749" s="66"/>
    </row>
    <row r="3750" spans="4:6" x14ac:dyDescent="0.35">
      <c r="D3750" s="66"/>
      <c r="E3750" s="66"/>
      <c r="F3750" s="66"/>
    </row>
    <row r="3751" spans="4:6" x14ac:dyDescent="0.35">
      <c r="D3751" s="66"/>
      <c r="E3751" s="66"/>
      <c r="F3751" s="66"/>
    </row>
    <row r="3752" spans="4:6" x14ac:dyDescent="0.35">
      <c r="D3752" s="66"/>
      <c r="E3752" s="66"/>
      <c r="F3752" s="66"/>
    </row>
    <row r="3753" spans="4:6" x14ac:dyDescent="0.35">
      <c r="D3753" s="66"/>
      <c r="E3753" s="66"/>
      <c r="F3753" s="66"/>
    </row>
    <row r="3754" spans="4:6" x14ac:dyDescent="0.35">
      <c r="D3754" s="66"/>
      <c r="E3754" s="66"/>
      <c r="F3754" s="66"/>
    </row>
    <row r="3755" spans="4:6" x14ac:dyDescent="0.35">
      <c r="D3755" s="66"/>
      <c r="E3755" s="66"/>
      <c r="F3755" s="66"/>
    </row>
    <row r="3756" spans="4:6" x14ac:dyDescent="0.35">
      <c r="D3756" s="66"/>
      <c r="E3756" s="66"/>
      <c r="F3756" s="66"/>
    </row>
    <row r="3757" spans="4:6" x14ac:dyDescent="0.35">
      <c r="D3757" s="66"/>
      <c r="E3757" s="66"/>
      <c r="F3757" s="66"/>
    </row>
    <row r="3758" spans="4:6" x14ac:dyDescent="0.35">
      <c r="D3758" s="66"/>
      <c r="E3758" s="66"/>
      <c r="F3758" s="66"/>
    </row>
    <row r="3759" spans="4:6" x14ac:dyDescent="0.35">
      <c r="D3759" s="66"/>
      <c r="E3759" s="66"/>
      <c r="F3759" s="66"/>
    </row>
    <row r="3760" spans="4:6" x14ac:dyDescent="0.35">
      <c r="D3760" s="66"/>
      <c r="E3760" s="66"/>
      <c r="F3760" s="66"/>
    </row>
    <row r="3761" spans="4:6" x14ac:dyDescent="0.35">
      <c r="D3761" s="66"/>
      <c r="E3761" s="66"/>
      <c r="F3761" s="66"/>
    </row>
    <row r="3762" spans="4:6" x14ac:dyDescent="0.35">
      <c r="D3762" s="66"/>
      <c r="E3762" s="66"/>
      <c r="F3762" s="66"/>
    </row>
    <row r="3763" spans="4:6" x14ac:dyDescent="0.35">
      <c r="D3763" s="66"/>
      <c r="E3763" s="66"/>
      <c r="F3763" s="66"/>
    </row>
    <row r="3764" spans="4:6" x14ac:dyDescent="0.35">
      <c r="D3764" s="66"/>
      <c r="E3764" s="66"/>
      <c r="F3764" s="66"/>
    </row>
    <row r="3765" spans="4:6" x14ac:dyDescent="0.35">
      <c r="D3765" s="66"/>
      <c r="E3765" s="66"/>
      <c r="F3765" s="66"/>
    </row>
    <row r="3766" spans="4:6" x14ac:dyDescent="0.35">
      <c r="D3766" s="66"/>
      <c r="E3766" s="66"/>
      <c r="F3766" s="66"/>
    </row>
    <row r="3767" spans="4:6" x14ac:dyDescent="0.35">
      <c r="D3767" s="66"/>
      <c r="E3767" s="66"/>
      <c r="F3767" s="66"/>
    </row>
    <row r="3768" spans="4:6" x14ac:dyDescent="0.35">
      <c r="D3768" s="66"/>
      <c r="E3768" s="66"/>
      <c r="F3768" s="66"/>
    </row>
    <row r="3769" spans="4:6" x14ac:dyDescent="0.35">
      <c r="D3769" s="66"/>
      <c r="E3769" s="66"/>
      <c r="F3769" s="66"/>
    </row>
    <row r="3770" spans="4:6" x14ac:dyDescent="0.35">
      <c r="D3770" s="66"/>
      <c r="E3770" s="66"/>
      <c r="F3770" s="66"/>
    </row>
    <row r="3771" spans="4:6" x14ac:dyDescent="0.35">
      <c r="D3771" s="66"/>
      <c r="E3771" s="66"/>
      <c r="F3771" s="66"/>
    </row>
    <row r="3772" spans="4:6" x14ac:dyDescent="0.35">
      <c r="D3772" s="66"/>
      <c r="E3772" s="66"/>
      <c r="F3772" s="66"/>
    </row>
    <row r="3773" spans="4:6" x14ac:dyDescent="0.35">
      <c r="D3773" s="66"/>
      <c r="E3773" s="66"/>
      <c r="F3773" s="66"/>
    </row>
    <row r="3774" spans="4:6" x14ac:dyDescent="0.35">
      <c r="D3774" s="66"/>
      <c r="E3774" s="66"/>
      <c r="F3774" s="66"/>
    </row>
    <row r="3775" spans="4:6" x14ac:dyDescent="0.35">
      <c r="D3775" s="66"/>
      <c r="E3775" s="66"/>
      <c r="F3775" s="66"/>
    </row>
    <row r="3776" spans="4:6" x14ac:dyDescent="0.35">
      <c r="D3776" s="66"/>
      <c r="E3776" s="66"/>
      <c r="F3776" s="66"/>
    </row>
    <row r="3777" spans="4:6" x14ac:dyDescent="0.35">
      <c r="D3777" s="66"/>
      <c r="E3777" s="66"/>
      <c r="F3777" s="66"/>
    </row>
    <row r="3778" spans="4:6" x14ac:dyDescent="0.35">
      <c r="D3778" s="66"/>
      <c r="E3778" s="66"/>
      <c r="F3778" s="66"/>
    </row>
    <row r="3779" spans="4:6" x14ac:dyDescent="0.35">
      <c r="D3779" s="66"/>
      <c r="E3779" s="66"/>
      <c r="F3779" s="66"/>
    </row>
    <row r="3780" spans="4:6" x14ac:dyDescent="0.35">
      <c r="D3780" s="66"/>
      <c r="E3780" s="66"/>
      <c r="F3780" s="66"/>
    </row>
    <row r="3781" spans="4:6" x14ac:dyDescent="0.35">
      <c r="D3781" s="66"/>
      <c r="E3781" s="66"/>
      <c r="F3781" s="66"/>
    </row>
    <row r="3782" spans="4:6" x14ac:dyDescent="0.35">
      <c r="D3782" s="66"/>
      <c r="E3782" s="66"/>
      <c r="F3782" s="66"/>
    </row>
    <row r="3783" spans="4:6" x14ac:dyDescent="0.35">
      <c r="D3783" s="66"/>
      <c r="E3783" s="66"/>
      <c r="F3783" s="66"/>
    </row>
    <row r="3784" spans="4:6" x14ac:dyDescent="0.35">
      <c r="D3784" s="66"/>
      <c r="E3784" s="66"/>
      <c r="F3784" s="66"/>
    </row>
    <row r="3785" spans="4:6" x14ac:dyDescent="0.35">
      <c r="D3785" s="66"/>
      <c r="E3785" s="66"/>
      <c r="F3785" s="66"/>
    </row>
    <row r="3786" spans="4:6" x14ac:dyDescent="0.35">
      <c r="D3786" s="66"/>
      <c r="E3786" s="66"/>
      <c r="F3786" s="66"/>
    </row>
    <row r="3787" spans="4:6" x14ac:dyDescent="0.35">
      <c r="D3787" s="66"/>
      <c r="E3787" s="66"/>
      <c r="F3787" s="66"/>
    </row>
    <row r="3788" spans="4:6" x14ac:dyDescent="0.35">
      <c r="D3788" s="66"/>
      <c r="E3788" s="66"/>
      <c r="F3788" s="66"/>
    </row>
    <row r="3789" spans="4:6" x14ac:dyDescent="0.35">
      <c r="D3789" s="66"/>
      <c r="E3789" s="66"/>
      <c r="F3789" s="66"/>
    </row>
    <row r="3790" spans="4:6" x14ac:dyDescent="0.35">
      <c r="D3790" s="66"/>
      <c r="E3790" s="66"/>
      <c r="F3790" s="66"/>
    </row>
    <row r="3791" spans="4:6" x14ac:dyDescent="0.35">
      <c r="D3791" s="66"/>
      <c r="E3791" s="66"/>
      <c r="F3791" s="66"/>
    </row>
    <row r="3792" spans="4:6" x14ac:dyDescent="0.35">
      <c r="D3792" s="66"/>
      <c r="E3792" s="66"/>
      <c r="F3792" s="66"/>
    </row>
    <row r="3793" spans="4:6" x14ac:dyDescent="0.35">
      <c r="D3793" s="66"/>
      <c r="E3793" s="66"/>
      <c r="F3793" s="66"/>
    </row>
    <row r="3794" spans="4:6" x14ac:dyDescent="0.35">
      <c r="D3794" s="66"/>
      <c r="E3794" s="66"/>
      <c r="F3794" s="66"/>
    </row>
    <row r="3795" spans="4:6" x14ac:dyDescent="0.35">
      <c r="D3795" s="66"/>
      <c r="E3795" s="66"/>
      <c r="F3795" s="66"/>
    </row>
    <row r="3796" spans="4:6" x14ac:dyDescent="0.35">
      <c r="D3796" s="66"/>
      <c r="E3796" s="66"/>
      <c r="F3796" s="66"/>
    </row>
    <row r="3797" spans="4:6" x14ac:dyDescent="0.35">
      <c r="D3797" s="66"/>
      <c r="E3797" s="66"/>
      <c r="F3797" s="66"/>
    </row>
    <row r="3798" spans="4:6" x14ac:dyDescent="0.35">
      <c r="D3798" s="66"/>
      <c r="E3798" s="66"/>
      <c r="F3798" s="66"/>
    </row>
    <row r="3799" spans="4:6" x14ac:dyDescent="0.35">
      <c r="D3799" s="66"/>
      <c r="E3799" s="66"/>
      <c r="F3799" s="66"/>
    </row>
    <row r="3800" spans="4:6" x14ac:dyDescent="0.35">
      <c r="D3800" s="66"/>
      <c r="E3800" s="66"/>
      <c r="F3800" s="66"/>
    </row>
    <row r="3801" spans="4:6" x14ac:dyDescent="0.35">
      <c r="D3801" s="66"/>
      <c r="E3801" s="66"/>
      <c r="F3801" s="66"/>
    </row>
    <row r="3802" spans="4:6" x14ac:dyDescent="0.35">
      <c r="D3802" s="66"/>
      <c r="E3802" s="66"/>
      <c r="F3802" s="66"/>
    </row>
    <row r="3803" spans="4:6" x14ac:dyDescent="0.35">
      <c r="D3803" s="66"/>
      <c r="E3803" s="66"/>
      <c r="F3803" s="66"/>
    </row>
    <row r="3804" spans="4:6" x14ac:dyDescent="0.35">
      <c r="D3804" s="66"/>
      <c r="E3804" s="66"/>
      <c r="F3804" s="66"/>
    </row>
    <row r="3805" spans="4:6" x14ac:dyDescent="0.35">
      <c r="D3805" s="66"/>
      <c r="E3805" s="66"/>
      <c r="F3805" s="66"/>
    </row>
    <row r="3806" spans="4:6" x14ac:dyDescent="0.35">
      <c r="D3806" s="66"/>
      <c r="E3806" s="66"/>
      <c r="F3806" s="66"/>
    </row>
    <row r="3807" spans="4:6" x14ac:dyDescent="0.35">
      <c r="D3807" s="66"/>
      <c r="E3807" s="66"/>
      <c r="F3807" s="66"/>
    </row>
    <row r="3808" spans="4:6" x14ac:dyDescent="0.35">
      <c r="D3808" s="66"/>
      <c r="E3808" s="66"/>
      <c r="F3808" s="66"/>
    </row>
    <row r="3809" spans="4:6" x14ac:dyDescent="0.35">
      <c r="D3809" s="66"/>
      <c r="E3809" s="66"/>
      <c r="F3809" s="66"/>
    </row>
    <row r="3810" spans="4:6" x14ac:dyDescent="0.35">
      <c r="D3810" s="66"/>
      <c r="E3810" s="66"/>
      <c r="F3810" s="66"/>
    </row>
    <row r="3811" spans="4:6" x14ac:dyDescent="0.35">
      <c r="D3811" s="66"/>
      <c r="E3811" s="66"/>
      <c r="F3811" s="66"/>
    </row>
    <row r="3812" spans="4:6" x14ac:dyDescent="0.35">
      <c r="D3812" s="66"/>
      <c r="E3812" s="66"/>
      <c r="F3812" s="66"/>
    </row>
    <row r="3813" spans="4:6" x14ac:dyDescent="0.35">
      <c r="D3813" s="66"/>
      <c r="E3813" s="66"/>
      <c r="F3813" s="66"/>
    </row>
    <row r="3814" spans="4:6" x14ac:dyDescent="0.35">
      <c r="D3814" s="66"/>
      <c r="E3814" s="66"/>
      <c r="F3814" s="66"/>
    </row>
    <row r="3815" spans="4:6" x14ac:dyDescent="0.35">
      <c r="D3815" s="66"/>
      <c r="E3815" s="66"/>
      <c r="F3815" s="66"/>
    </row>
    <row r="3816" spans="4:6" x14ac:dyDescent="0.35">
      <c r="D3816" s="66"/>
      <c r="E3816" s="66"/>
      <c r="F3816" s="66"/>
    </row>
    <row r="3817" spans="4:6" x14ac:dyDescent="0.35">
      <c r="D3817" s="66"/>
      <c r="E3817" s="66"/>
      <c r="F3817" s="66"/>
    </row>
    <row r="3818" spans="4:6" x14ac:dyDescent="0.35">
      <c r="D3818" s="66"/>
      <c r="E3818" s="66"/>
      <c r="F3818" s="66"/>
    </row>
    <row r="3819" spans="4:6" x14ac:dyDescent="0.35">
      <c r="D3819" s="66"/>
      <c r="E3819" s="66"/>
      <c r="F3819" s="66"/>
    </row>
    <row r="3820" spans="4:6" x14ac:dyDescent="0.35">
      <c r="D3820" s="66"/>
      <c r="E3820" s="66"/>
      <c r="F3820" s="66"/>
    </row>
    <row r="3821" spans="4:6" x14ac:dyDescent="0.35">
      <c r="D3821" s="66"/>
      <c r="E3821" s="66"/>
      <c r="F3821" s="66"/>
    </row>
    <row r="3822" spans="4:6" x14ac:dyDescent="0.35">
      <c r="D3822" s="66"/>
      <c r="E3822" s="66"/>
      <c r="F3822" s="66"/>
    </row>
    <row r="3823" spans="4:6" x14ac:dyDescent="0.35">
      <c r="D3823" s="66"/>
      <c r="E3823" s="66"/>
      <c r="F3823" s="66"/>
    </row>
    <row r="3824" spans="4:6" x14ac:dyDescent="0.35">
      <c r="D3824" s="66"/>
      <c r="E3824" s="66"/>
      <c r="F3824" s="66"/>
    </row>
    <row r="3825" spans="4:6" x14ac:dyDescent="0.35">
      <c r="D3825" s="66"/>
      <c r="E3825" s="66"/>
      <c r="F3825" s="66"/>
    </row>
    <row r="3826" spans="4:6" x14ac:dyDescent="0.35">
      <c r="D3826" s="66"/>
      <c r="E3826" s="66"/>
      <c r="F3826" s="66"/>
    </row>
    <row r="3827" spans="4:6" x14ac:dyDescent="0.35">
      <c r="D3827" s="66"/>
      <c r="E3827" s="66"/>
      <c r="F3827" s="66"/>
    </row>
    <row r="3828" spans="4:6" x14ac:dyDescent="0.35">
      <c r="D3828" s="66"/>
      <c r="E3828" s="66"/>
      <c r="F3828" s="66"/>
    </row>
    <row r="3829" spans="4:6" x14ac:dyDescent="0.35">
      <c r="D3829" s="66"/>
      <c r="E3829" s="66"/>
      <c r="F3829" s="66"/>
    </row>
    <row r="3830" spans="4:6" x14ac:dyDescent="0.35">
      <c r="D3830" s="66"/>
      <c r="E3830" s="66"/>
      <c r="F3830" s="66"/>
    </row>
    <row r="3831" spans="4:6" x14ac:dyDescent="0.35">
      <c r="D3831" s="66"/>
      <c r="E3831" s="66"/>
      <c r="F3831" s="66"/>
    </row>
    <row r="3832" spans="4:6" x14ac:dyDescent="0.35">
      <c r="D3832" s="66"/>
      <c r="E3832" s="66"/>
      <c r="F3832" s="66"/>
    </row>
    <row r="3833" spans="4:6" x14ac:dyDescent="0.35">
      <c r="D3833" s="66"/>
      <c r="E3833" s="66"/>
      <c r="F3833" s="66"/>
    </row>
    <row r="3834" spans="4:6" x14ac:dyDescent="0.35">
      <c r="D3834" s="66"/>
      <c r="E3834" s="66"/>
      <c r="F3834" s="66"/>
    </row>
    <row r="3835" spans="4:6" x14ac:dyDescent="0.35">
      <c r="D3835" s="66"/>
      <c r="E3835" s="66"/>
      <c r="F3835" s="66"/>
    </row>
    <row r="3836" spans="4:6" x14ac:dyDescent="0.35">
      <c r="D3836" s="66"/>
      <c r="E3836" s="66"/>
      <c r="F3836" s="66"/>
    </row>
    <row r="3837" spans="4:6" x14ac:dyDescent="0.35">
      <c r="D3837" s="66"/>
      <c r="E3837" s="66"/>
      <c r="F3837" s="66"/>
    </row>
    <row r="3838" spans="4:6" x14ac:dyDescent="0.35">
      <c r="D3838" s="66"/>
      <c r="E3838" s="66"/>
      <c r="F3838" s="66"/>
    </row>
    <row r="3839" spans="4:6" x14ac:dyDescent="0.35">
      <c r="D3839" s="66"/>
      <c r="E3839" s="66"/>
      <c r="F3839" s="66"/>
    </row>
    <row r="3840" spans="4:6" x14ac:dyDescent="0.35">
      <c r="D3840" s="66"/>
      <c r="E3840" s="66"/>
      <c r="F3840" s="66"/>
    </row>
    <row r="3841" spans="4:6" x14ac:dyDescent="0.35">
      <c r="D3841" s="66"/>
      <c r="E3841" s="66"/>
      <c r="F3841" s="66"/>
    </row>
    <row r="3842" spans="4:6" x14ac:dyDescent="0.35">
      <c r="D3842" s="66"/>
      <c r="E3842" s="66"/>
      <c r="F3842" s="66"/>
    </row>
    <row r="3843" spans="4:6" x14ac:dyDescent="0.35">
      <c r="D3843" s="66"/>
      <c r="E3843" s="66"/>
      <c r="F3843" s="66"/>
    </row>
    <row r="3844" spans="4:6" x14ac:dyDescent="0.35">
      <c r="D3844" s="66"/>
      <c r="E3844" s="66"/>
      <c r="F3844" s="66"/>
    </row>
    <row r="3845" spans="4:6" x14ac:dyDescent="0.35">
      <c r="D3845" s="66"/>
      <c r="E3845" s="66"/>
      <c r="F3845" s="66"/>
    </row>
    <row r="3846" spans="4:6" x14ac:dyDescent="0.35">
      <c r="D3846" s="66"/>
      <c r="E3846" s="66"/>
      <c r="F3846" s="66"/>
    </row>
    <row r="3847" spans="4:6" x14ac:dyDescent="0.35">
      <c r="D3847" s="66"/>
      <c r="E3847" s="66"/>
      <c r="F3847" s="66"/>
    </row>
    <row r="3848" spans="4:6" x14ac:dyDescent="0.35">
      <c r="D3848" s="66"/>
      <c r="E3848" s="66"/>
      <c r="F3848" s="66"/>
    </row>
    <row r="3849" spans="4:6" x14ac:dyDescent="0.35">
      <c r="D3849" s="66"/>
      <c r="E3849" s="66"/>
      <c r="F3849" s="66"/>
    </row>
    <row r="3850" spans="4:6" x14ac:dyDescent="0.35">
      <c r="D3850" s="66"/>
      <c r="E3850" s="66"/>
      <c r="F3850" s="66"/>
    </row>
    <row r="3851" spans="4:6" x14ac:dyDescent="0.35">
      <c r="D3851" s="66"/>
      <c r="E3851" s="66"/>
      <c r="F3851" s="66"/>
    </row>
    <row r="3852" spans="4:6" x14ac:dyDescent="0.35">
      <c r="D3852" s="66"/>
      <c r="E3852" s="66"/>
      <c r="F3852" s="66"/>
    </row>
    <row r="3853" spans="4:6" x14ac:dyDescent="0.35">
      <c r="D3853" s="66"/>
      <c r="E3853" s="66"/>
      <c r="F3853" s="66"/>
    </row>
    <row r="3854" spans="4:6" x14ac:dyDescent="0.35">
      <c r="D3854" s="66"/>
      <c r="E3854" s="66"/>
      <c r="F3854" s="66"/>
    </row>
    <row r="3855" spans="4:6" x14ac:dyDescent="0.35">
      <c r="D3855" s="66"/>
      <c r="E3855" s="66"/>
      <c r="F3855" s="66"/>
    </row>
    <row r="3856" spans="4:6" x14ac:dyDescent="0.35">
      <c r="D3856" s="66"/>
      <c r="E3856" s="66"/>
      <c r="F3856" s="66"/>
    </row>
    <row r="3857" spans="4:6" x14ac:dyDescent="0.35">
      <c r="D3857" s="66"/>
      <c r="E3857" s="66"/>
      <c r="F3857" s="66"/>
    </row>
    <row r="3858" spans="4:6" x14ac:dyDescent="0.35">
      <c r="D3858" s="66"/>
      <c r="E3858" s="66"/>
      <c r="F3858" s="66"/>
    </row>
    <row r="3859" spans="4:6" x14ac:dyDescent="0.35">
      <c r="D3859" s="66"/>
      <c r="E3859" s="66"/>
      <c r="F3859" s="66"/>
    </row>
    <row r="3860" spans="4:6" x14ac:dyDescent="0.35">
      <c r="D3860" s="66"/>
      <c r="E3860" s="66"/>
      <c r="F3860" s="66"/>
    </row>
    <row r="3861" spans="4:6" x14ac:dyDescent="0.35">
      <c r="D3861" s="66"/>
      <c r="E3861" s="66"/>
      <c r="F3861" s="66"/>
    </row>
    <row r="3862" spans="4:6" x14ac:dyDescent="0.35">
      <c r="D3862" s="66"/>
      <c r="E3862" s="66"/>
      <c r="F3862" s="66"/>
    </row>
    <row r="3863" spans="4:6" x14ac:dyDescent="0.35">
      <c r="D3863" s="66"/>
      <c r="E3863" s="66"/>
      <c r="F3863" s="66"/>
    </row>
    <row r="3864" spans="4:6" x14ac:dyDescent="0.35">
      <c r="D3864" s="66"/>
      <c r="E3864" s="66"/>
      <c r="F3864" s="66"/>
    </row>
    <row r="3865" spans="4:6" x14ac:dyDescent="0.35">
      <c r="D3865" s="66"/>
      <c r="E3865" s="66"/>
      <c r="F3865" s="66"/>
    </row>
    <row r="3866" spans="4:6" x14ac:dyDescent="0.35">
      <c r="D3866" s="66"/>
      <c r="E3866" s="66"/>
      <c r="F3866" s="66"/>
    </row>
    <row r="3867" spans="4:6" x14ac:dyDescent="0.35">
      <c r="D3867" s="66"/>
      <c r="E3867" s="66"/>
      <c r="F3867" s="66"/>
    </row>
    <row r="3868" spans="4:6" x14ac:dyDescent="0.35">
      <c r="D3868" s="66"/>
      <c r="E3868" s="66"/>
      <c r="F3868" s="66"/>
    </row>
    <row r="3869" spans="4:6" x14ac:dyDescent="0.35">
      <c r="D3869" s="66"/>
      <c r="E3869" s="66"/>
      <c r="F3869" s="66"/>
    </row>
    <row r="3870" spans="4:6" x14ac:dyDescent="0.35">
      <c r="D3870" s="66"/>
      <c r="E3870" s="66"/>
      <c r="F3870" s="66"/>
    </row>
    <row r="3871" spans="4:6" x14ac:dyDescent="0.35">
      <c r="D3871" s="66"/>
      <c r="E3871" s="66"/>
      <c r="F3871" s="66"/>
    </row>
    <row r="3872" spans="4:6" x14ac:dyDescent="0.35">
      <c r="D3872" s="66"/>
      <c r="E3872" s="66"/>
      <c r="F3872" s="66"/>
    </row>
    <row r="3873" spans="4:6" x14ac:dyDescent="0.35">
      <c r="D3873" s="66"/>
      <c r="E3873" s="66"/>
      <c r="F3873" s="66"/>
    </row>
    <row r="3874" spans="4:6" x14ac:dyDescent="0.35">
      <c r="D3874" s="66"/>
      <c r="E3874" s="66"/>
      <c r="F3874" s="66"/>
    </row>
    <row r="3875" spans="4:6" x14ac:dyDescent="0.35">
      <c r="D3875" s="66"/>
      <c r="E3875" s="66"/>
      <c r="F3875" s="66"/>
    </row>
    <row r="3876" spans="4:6" x14ac:dyDescent="0.35">
      <c r="D3876" s="66"/>
      <c r="E3876" s="66"/>
      <c r="F3876" s="66"/>
    </row>
    <row r="3877" spans="4:6" x14ac:dyDescent="0.35">
      <c r="D3877" s="66"/>
      <c r="E3877" s="66"/>
      <c r="F3877" s="66"/>
    </row>
    <row r="3878" spans="4:6" x14ac:dyDescent="0.35">
      <c r="D3878" s="66"/>
      <c r="E3878" s="66"/>
      <c r="F3878" s="66"/>
    </row>
    <row r="3879" spans="4:6" x14ac:dyDescent="0.35">
      <c r="D3879" s="66"/>
      <c r="E3879" s="66"/>
      <c r="F3879" s="66"/>
    </row>
    <row r="3880" spans="4:6" x14ac:dyDescent="0.35">
      <c r="D3880" s="66"/>
      <c r="E3880" s="66"/>
      <c r="F3880" s="66"/>
    </row>
    <row r="3881" spans="4:6" x14ac:dyDescent="0.35">
      <c r="D3881" s="66"/>
      <c r="E3881" s="66"/>
      <c r="F3881" s="66"/>
    </row>
    <row r="3882" spans="4:6" x14ac:dyDescent="0.35">
      <c r="D3882" s="66"/>
      <c r="E3882" s="66"/>
      <c r="F3882" s="66"/>
    </row>
    <row r="3883" spans="4:6" x14ac:dyDescent="0.35">
      <c r="D3883" s="66"/>
      <c r="E3883" s="66"/>
      <c r="F3883" s="66"/>
    </row>
    <row r="3884" spans="4:6" x14ac:dyDescent="0.35">
      <c r="D3884" s="66"/>
      <c r="E3884" s="66"/>
      <c r="F3884" s="66"/>
    </row>
    <row r="3885" spans="4:6" x14ac:dyDescent="0.35">
      <c r="D3885" s="66"/>
      <c r="E3885" s="66"/>
      <c r="F3885" s="66"/>
    </row>
    <row r="3886" spans="4:6" x14ac:dyDescent="0.35">
      <c r="D3886" s="66"/>
      <c r="E3886" s="66"/>
      <c r="F3886" s="66"/>
    </row>
    <row r="3887" spans="4:6" x14ac:dyDescent="0.35">
      <c r="D3887" s="66"/>
      <c r="E3887" s="66"/>
      <c r="F3887" s="66"/>
    </row>
    <row r="3888" spans="4:6" x14ac:dyDescent="0.35">
      <c r="D3888" s="66"/>
      <c r="E3888" s="66"/>
      <c r="F3888" s="66"/>
    </row>
    <row r="3889" spans="4:6" x14ac:dyDescent="0.35">
      <c r="D3889" s="66"/>
      <c r="E3889" s="66"/>
      <c r="F3889" s="66"/>
    </row>
    <row r="3890" spans="4:6" x14ac:dyDescent="0.35">
      <c r="D3890" s="66"/>
      <c r="E3890" s="66"/>
      <c r="F3890" s="66"/>
    </row>
    <row r="3891" spans="4:6" x14ac:dyDescent="0.35">
      <c r="D3891" s="66"/>
      <c r="E3891" s="66"/>
      <c r="F3891" s="66"/>
    </row>
    <row r="3892" spans="4:6" x14ac:dyDescent="0.35">
      <c r="D3892" s="66"/>
      <c r="E3892" s="66"/>
      <c r="F3892" s="66"/>
    </row>
    <row r="3893" spans="4:6" x14ac:dyDescent="0.35">
      <c r="D3893" s="66"/>
      <c r="E3893" s="66"/>
      <c r="F3893" s="66"/>
    </row>
    <row r="3894" spans="4:6" x14ac:dyDescent="0.35">
      <c r="D3894" s="66"/>
      <c r="E3894" s="66"/>
      <c r="F3894" s="66"/>
    </row>
    <row r="3895" spans="4:6" x14ac:dyDescent="0.35">
      <c r="D3895" s="66"/>
      <c r="E3895" s="66"/>
      <c r="F3895" s="66"/>
    </row>
    <row r="3896" spans="4:6" x14ac:dyDescent="0.35">
      <c r="D3896" s="66"/>
      <c r="E3896" s="66"/>
      <c r="F3896" s="66"/>
    </row>
    <row r="3897" spans="4:6" x14ac:dyDescent="0.35">
      <c r="D3897" s="66"/>
      <c r="E3897" s="66"/>
      <c r="F3897" s="66"/>
    </row>
    <row r="3898" spans="4:6" x14ac:dyDescent="0.35">
      <c r="D3898" s="66"/>
      <c r="E3898" s="66"/>
      <c r="F3898" s="66"/>
    </row>
    <row r="3899" spans="4:6" x14ac:dyDescent="0.35">
      <c r="D3899" s="66"/>
      <c r="E3899" s="66"/>
      <c r="F3899" s="66"/>
    </row>
    <row r="3900" spans="4:6" x14ac:dyDescent="0.35">
      <c r="D3900" s="66"/>
      <c r="E3900" s="66"/>
      <c r="F3900" s="66"/>
    </row>
    <row r="3901" spans="4:6" x14ac:dyDescent="0.35">
      <c r="D3901" s="66"/>
      <c r="E3901" s="66"/>
      <c r="F3901" s="66"/>
    </row>
    <row r="3902" spans="4:6" x14ac:dyDescent="0.35">
      <c r="D3902" s="66"/>
      <c r="E3902" s="66"/>
      <c r="F3902" s="66"/>
    </row>
    <row r="3903" spans="4:6" x14ac:dyDescent="0.35">
      <c r="D3903" s="66"/>
      <c r="E3903" s="66"/>
      <c r="F3903" s="66"/>
    </row>
    <row r="3904" spans="4:6" x14ac:dyDescent="0.35">
      <c r="D3904" s="66"/>
      <c r="E3904" s="66"/>
      <c r="F3904" s="66"/>
    </row>
    <row r="3905" spans="4:6" x14ac:dyDescent="0.35">
      <c r="D3905" s="66"/>
      <c r="E3905" s="66"/>
      <c r="F3905" s="66"/>
    </row>
    <row r="3906" spans="4:6" x14ac:dyDescent="0.35">
      <c r="D3906" s="66"/>
      <c r="E3906" s="66"/>
      <c r="F3906" s="66"/>
    </row>
    <row r="3907" spans="4:6" x14ac:dyDescent="0.35">
      <c r="D3907" s="66"/>
      <c r="E3907" s="66"/>
      <c r="F3907" s="66"/>
    </row>
    <row r="3908" spans="4:6" x14ac:dyDescent="0.35">
      <c r="D3908" s="66"/>
      <c r="E3908" s="66"/>
      <c r="F3908" s="66"/>
    </row>
    <row r="3909" spans="4:6" x14ac:dyDescent="0.35">
      <c r="D3909" s="66"/>
      <c r="E3909" s="66"/>
      <c r="F3909" s="66"/>
    </row>
    <row r="3910" spans="4:6" x14ac:dyDescent="0.35">
      <c r="D3910" s="66"/>
      <c r="E3910" s="66"/>
      <c r="F3910" s="66"/>
    </row>
    <row r="3911" spans="4:6" x14ac:dyDescent="0.35">
      <c r="D3911" s="66"/>
      <c r="E3911" s="66"/>
      <c r="F3911" s="66"/>
    </row>
    <row r="3912" spans="4:6" x14ac:dyDescent="0.35">
      <c r="D3912" s="66"/>
      <c r="E3912" s="66"/>
      <c r="F3912" s="66"/>
    </row>
    <row r="3913" spans="4:6" x14ac:dyDescent="0.35">
      <c r="D3913" s="66"/>
      <c r="E3913" s="66"/>
      <c r="F3913" s="66"/>
    </row>
    <row r="3914" spans="4:6" x14ac:dyDescent="0.35">
      <c r="D3914" s="66"/>
      <c r="E3914" s="66"/>
      <c r="F3914" s="66"/>
    </row>
    <row r="3915" spans="4:6" x14ac:dyDescent="0.35">
      <c r="D3915" s="66"/>
      <c r="E3915" s="66"/>
      <c r="F3915" s="66"/>
    </row>
    <row r="3916" spans="4:6" x14ac:dyDescent="0.35">
      <c r="D3916" s="66"/>
      <c r="E3916" s="66"/>
      <c r="F3916" s="66"/>
    </row>
    <row r="3917" spans="4:6" x14ac:dyDescent="0.35">
      <c r="D3917" s="66"/>
      <c r="E3917" s="66"/>
      <c r="F3917" s="66"/>
    </row>
    <row r="3918" spans="4:6" x14ac:dyDescent="0.35">
      <c r="D3918" s="66"/>
      <c r="E3918" s="66"/>
      <c r="F3918" s="66"/>
    </row>
    <row r="3919" spans="4:6" x14ac:dyDescent="0.35">
      <c r="D3919" s="66"/>
      <c r="E3919" s="66"/>
      <c r="F3919" s="66"/>
    </row>
    <row r="3920" spans="4:6" x14ac:dyDescent="0.35">
      <c r="D3920" s="66"/>
      <c r="E3920" s="66"/>
      <c r="F3920" s="66"/>
    </row>
    <row r="3921" spans="4:6" x14ac:dyDescent="0.35">
      <c r="D3921" s="66"/>
      <c r="E3921" s="66"/>
      <c r="F3921" s="66"/>
    </row>
    <row r="3922" spans="4:6" x14ac:dyDescent="0.35">
      <c r="D3922" s="66"/>
      <c r="E3922" s="66"/>
      <c r="F3922" s="66"/>
    </row>
    <row r="3923" spans="4:6" x14ac:dyDescent="0.35">
      <c r="D3923" s="66"/>
      <c r="E3923" s="66"/>
      <c r="F3923" s="66"/>
    </row>
    <row r="3924" spans="4:6" x14ac:dyDescent="0.35">
      <c r="D3924" s="66"/>
      <c r="E3924" s="66"/>
      <c r="F3924" s="66"/>
    </row>
    <row r="3925" spans="4:6" x14ac:dyDescent="0.35">
      <c r="D3925" s="66"/>
      <c r="E3925" s="66"/>
      <c r="F3925" s="66"/>
    </row>
    <row r="3926" spans="4:6" x14ac:dyDescent="0.35">
      <c r="D3926" s="66"/>
      <c r="E3926" s="66"/>
      <c r="F3926" s="66"/>
    </row>
    <row r="3927" spans="4:6" x14ac:dyDescent="0.35">
      <c r="D3927" s="66"/>
      <c r="E3927" s="66"/>
      <c r="F3927" s="66"/>
    </row>
    <row r="3928" spans="4:6" x14ac:dyDescent="0.35">
      <c r="D3928" s="66"/>
      <c r="E3928" s="66"/>
      <c r="F3928" s="66"/>
    </row>
    <row r="3929" spans="4:6" x14ac:dyDescent="0.35">
      <c r="D3929" s="66"/>
      <c r="E3929" s="66"/>
      <c r="F3929" s="66"/>
    </row>
    <row r="3930" spans="4:6" x14ac:dyDescent="0.35">
      <c r="D3930" s="66"/>
      <c r="E3930" s="66"/>
      <c r="F3930" s="66"/>
    </row>
    <row r="3931" spans="4:6" x14ac:dyDescent="0.35">
      <c r="D3931" s="66"/>
      <c r="E3931" s="66"/>
      <c r="F3931" s="66"/>
    </row>
    <row r="3932" spans="4:6" x14ac:dyDescent="0.35">
      <c r="D3932" s="66"/>
      <c r="E3932" s="66"/>
      <c r="F3932" s="66"/>
    </row>
    <row r="3933" spans="4:6" x14ac:dyDescent="0.35">
      <c r="D3933" s="66"/>
      <c r="E3933" s="66"/>
      <c r="F3933" s="66"/>
    </row>
    <row r="3934" spans="4:6" x14ac:dyDescent="0.35">
      <c r="D3934" s="66"/>
      <c r="E3934" s="66"/>
      <c r="F3934" s="66"/>
    </row>
    <row r="3935" spans="4:6" x14ac:dyDescent="0.35">
      <c r="D3935" s="66"/>
      <c r="E3935" s="66"/>
      <c r="F3935" s="66"/>
    </row>
    <row r="3936" spans="4:6" x14ac:dyDescent="0.35">
      <c r="D3936" s="66"/>
      <c r="E3936" s="66"/>
      <c r="F3936" s="66"/>
    </row>
    <row r="3937" spans="4:6" x14ac:dyDescent="0.35">
      <c r="D3937" s="66"/>
      <c r="E3937" s="66"/>
      <c r="F3937" s="66"/>
    </row>
    <row r="3938" spans="4:6" x14ac:dyDescent="0.35">
      <c r="D3938" s="66"/>
      <c r="E3938" s="66"/>
      <c r="F3938" s="66"/>
    </row>
    <row r="3939" spans="4:6" x14ac:dyDescent="0.35">
      <c r="D3939" s="66"/>
      <c r="E3939" s="66"/>
      <c r="F3939" s="66"/>
    </row>
    <row r="3940" spans="4:6" x14ac:dyDescent="0.35">
      <c r="D3940" s="66"/>
      <c r="E3940" s="66"/>
      <c r="F3940" s="66"/>
    </row>
    <row r="3941" spans="4:6" x14ac:dyDescent="0.35">
      <c r="D3941" s="66"/>
      <c r="E3941" s="66"/>
      <c r="F3941" s="66"/>
    </row>
    <row r="3942" spans="4:6" x14ac:dyDescent="0.35">
      <c r="D3942" s="66"/>
      <c r="E3942" s="66"/>
      <c r="F3942" s="66"/>
    </row>
    <row r="3943" spans="4:6" x14ac:dyDescent="0.35">
      <c r="D3943" s="66"/>
      <c r="E3943" s="66"/>
      <c r="F3943" s="66"/>
    </row>
    <row r="3944" spans="4:6" x14ac:dyDescent="0.35">
      <c r="D3944" s="66"/>
      <c r="E3944" s="66"/>
      <c r="F3944" s="66"/>
    </row>
    <row r="3945" spans="4:6" x14ac:dyDescent="0.35">
      <c r="D3945" s="66"/>
      <c r="E3945" s="66"/>
      <c r="F3945" s="66"/>
    </row>
    <row r="3946" spans="4:6" x14ac:dyDescent="0.35">
      <c r="D3946" s="66"/>
      <c r="E3946" s="66"/>
      <c r="F3946" s="66"/>
    </row>
    <row r="3947" spans="4:6" x14ac:dyDescent="0.35">
      <c r="D3947" s="66"/>
      <c r="E3947" s="66"/>
      <c r="F3947" s="66"/>
    </row>
    <row r="3948" spans="4:6" x14ac:dyDescent="0.35">
      <c r="D3948" s="66"/>
      <c r="E3948" s="66"/>
      <c r="F3948" s="66"/>
    </row>
    <row r="3949" spans="4:6" x14ac:dyDescent="0.35">
      <c r="D3949" s="66"/>
      <c r="E3949" s="66"/>
      <c r="F3949" s="66"/>
    </row>
    <row r="3950" spans="4:6" x14ac:dyDescent="0.35">
      <c r="D3950" s="66"/>
      <c r="E3950" s="66"/>
      <c r="F3950" s="66"/>
    </row>
    <row r="3951" spans="4:6" x14ac:dyDescent="0.35">
      <c r="D3951" s="66"/>
      <c r="E3951" s="66"/>
      <c r="F3951" s="66"/>
    </row>
    <row r="3952" spans="4:6" x14ac:dyDescent="0.35">
      <c r="D3952" s="66"/>
      <c r="E3952" s="66"/>
      <c r="F3952" s="66"/>
    </row>
    <row r="3953" spans="4:6" x14ac:dyDescent="0.35">
      <c r="D3953" s="66"/>
      <c r="E3953" s="66"/>
      <c r="F3953" s="66"/>
    </row>
    <row r="3954" spans="4:6" x14ac:dyDescent="0.35">
      <c r="D3954" s="66"/>
      <c r="E3954" s="66"/>
      <c r="F3954" s="66"/>
    </row>
    <row r="3955" spans="4:6" x14ac:dyDescent="0.35">
      <c r="D3955" s="66"/>
      <c r="E3955" s="66"/>
      <c r="F3955" s="66"/>
    </row>
    <row r="3956" spans="4:6" x14ac:dyDescent="0.35">
      <c r="D3956" s="66"/>
      <c r="E3956" s="66"/>
      <c r="F3956" s="66"/>
    </row>
    <row r="3957" spans="4:6" x14ac:dyDescent="0.35">
      <c r="D3957" s="66"/>
      <c r="E3957" s="66"/>
      <c r="F3957" s="66"/>
    </row>
    <row r="3958" spans="4:6" x14ac:dyDescent="0.35">
      <c r="D3958" s="66"/>
      <c r="E3958" s="66"/>
      <c r="F3958" s="66"/>
    </row>
    <row r="3959" spans="4:6" x14ac:dyDescent="0.35">
      <c r="D3959" s="66"/>
      <c r="E3959" s="66"/>
      <c r="F3959" s="66"/>
    </row>
    <row r="3960" spans="4:6" x14ac:dyDescent="0.35">
      <c r="D3960" s="66"/>
      <c r="E3960" s="66"/>
      <c r="F3960" s="66"/>
    </row>
    <row r="3961" spans="4:6" x14ac:dyDescent="0.35">
      <c r="D3961" s="66"/>
      <c r="E3961" s="66"/>
      <c r="F3961" s="66"/>
    </row>
    <row r="3962" spans="4:6" x14ac:dyDescent="0.35">
      <c r="D3962" s="66"/>
      <c r="E3962" s="66"/>
      <c r="F3962" s="66"/>
    </row>
    <row r="3963" spans="4:6" x14ac:dyDescent="0.35">
      <c r="D3963" s="66"/>
      <c r="E3963" s="66"/>
      <c r="F3963" s="66"/>
    </row>
    <row r="3964" spans="4:6" x14ac:dyDescent="0.35">
      <c r="D3964" s="66"/>
      <c r="E3964" s="66"/>
      <c r="F3964" s="66"/>
    </row>
    <row r="3965" spans="4:6" x14ac:dyDescent="0.35">
      <c r="D3965" s="66"/>
      <c r="E3965" s="66"/>
      <c r="F3965" s="66"/>
    </row>
    <row r="3966" spans="4:6" x14ac:dyDescent="0.35">
      <c r="D3966" s="66"/>
      <c r="E3966" s="66"/>
      <c r="F3966" s="66"/>
    </row>
    <row r="3967" spans="4:6" x14ac:dyDescent="0.35">
      <c r="D3967" s="66"/>
      <c r="E3967" s="66"/>
      <c r="F3967" s="66"/>
    </row>
    <row r="3968" spans="4:6" x14ac:dyDescent="0.35">
      <c r="D3968" s="66"/>
      <c r="E3968" s="66"/>
      <c r="F3968" s="66"/>
    </row>
    <row r="3969" spans="4:6" x14ac:dyDescent="0.35">
      <c r="D3969" s="66"/>
      <c r="E3969" s="66"/>
      <c r="F3969" s="66"/>
    </row>
    <row r="3970" spans="4:6" x14ac:dyDescent="0.35">
      <c r="D3970" s="66"/>
      <c r="E3970" s="66"/>
      <c r="F3970" s="66"/>
    </row>
    <row r="3971" spans="4:6" x14ac:dyDescent="0.35">
      <c r="D3971" s="66"/>
      <c r="E3971" s="66"/>
      <c r="F3971" s="66"/>
    </row>
    <row r="3972" spans="4:6" x14ac:dyDescent="0.35">
      <c r="D3972" s="66"/>
      <c r="E3972" s="66"/>
      <c r="F3972" s="66"/>
    </row>
    <row r="3973" spans="4:6" x14ac:dyDescent="0.35">
      <c r="D3973" s="66"/>
      <c r="E3973" s="66"/>
      <c r="F3973" s="66"/>
    </row>
    <row r="3974" spans="4:6" x14ac:dyDescent="0.35">
      <c r="D3974" s="66"/>
      <c r="E3974" s="66"/>
      <c r="F3974" s="66"/>
    </row>
    <row r="3975" spans="4:6" x14ac:dyDescent="0.35">
      <c r="D3975" s="66"/>
      <c r="E3975" s="66"/>
      <c r="F3975" s="66"/>
    </row>
    <row r="3976" spans="4:6" x14ac:dyDescent="0.35">
      <c r="D3976" s="66"/>
      <c r="E3976" s="66"/>
      <c r="F3976" s="66"/>
    </row>
    <row r="3977" spans="4:6" x14ac:dyDescent="0.35">
      <c r="D3977" s="66"/>
      <c r="E3977" s="66"/>
      <c r="F3977" s="66"/>
    </row>
    <row r="3978" spans="4:6" x14ac:dyDescent="0.35">
      <c r="D3978" s="66"/>
      <c r="E3978" s="66"/>
      <c r="F3978" s="66"/>
    </row>
    <row r="3979" spans="4:6" x14ac:dyDescent="0.35">
      <c r="D3979" s="66"/>
      <c r="E3979" s="66"/>
      <c r="F3979" s="66"/>
    </row>
    <row r="3980" spans="4:6" x14ac:dyDescent="0.35">
      <c r="D3980" s="66"/>
      <c r="E3980" s="66"/>
      <c r="F3980" s="66"/>
    </row>
    <row r="3981" spans="4:6" x14ac:dyDescent="0.35">
      <c r="D3981" s="66"/>
      <c r="E3981" s="66"/>
      <c r="F3981" s="66"/>
    </row>
    <row r="3982" spans="4:6" x14ac:dyDescent="0.35">
      <c r="D3982" s="66"/>
      <c r="E3982" s="66"/>
      <c r="F3982" s="66"/>
    </row>
    <row r="3983" spans="4:6" x14ac:dyDescent="0.35">
      <c r="D3983" s="66"/>
      <c r="E3983" s="66"/>
      <c r="F3983" s="66"/>
    </row>
    <row r="3984" spans="4:6" x14ac:dyDescent="0.35">
      <c r="D3984" s="66"/>
      <c r="E3984" s="66"/>
      <c r="F3984" s="66"/>
    </row>
    <row r="3985" spans="4:6" x14ac:dyDescent="0.35">
      <c r="D3985" s="66"/>
      <c r="E3985" s="66"/>
      <c r="F3985" s="66"/>
    </row>
    <row r="3986" spans="4:6" x14ac:dyDescent="0.35">
      <c r="D3986" s="66"/>
      <c r="E3986" s="66"/>
      <c r="F3986" s="66"/>
    </row>
    <row r="3987" spans="4:6" x14ac:dyDescent="0.35">
      <c r="D3987" s="66"/>
      <c r="E3987" s="66"/>
      <c r="F3987" s="66"/>
    </row>
    <row r="3988" spans="4:6" x14ac:dyDescent="0.35">
      <c r="D3988" s="66"/>
      <c r="E3988" s="66"/>
      <c r="F3988" s="66"/>
    </row>
    <row r="3989" spans="4:6" x14ac:dyDescent="0.35">
      <c r="D3989" s="66"/>
      <c r="E3989" s="66"/>
      <c r="F3989" s="66"/>
    </row>
    <row r="3990" spans="4:6" x14ac:dyDescent="0.35">
      <c r="D3990" s="66"/>
      <c r="E3990" s="66"/>
      <c r="F3990" s="66"/>
    </row>
    <row r="3991" spans="4:6" x14ac:dyDescent="0.35">
      <c r="D3991" s="66"/>
      <c r="E3991" s="66"/>
      <c r="F3991" s="66"/>
    </row>
    <row r="3992" spans="4:6" x14ac:dyDescent="0.35">
      <c r="D3992" s="66"/>
      <c r="E3992" s="66"/>
      <c r="F3992" s="66"/>
    </row>
    <row r="3993" spans="4:6" x14ac:dyDescent="0.35">
      <c r="D3993" s="66"/>
      <c r="E3993" s="66"/>
      <c r="F3993" s="66"/>
    </row>
    <row r="3994" spans="4:6" x14ac:dyDescent="0.35">
      <c r="D3994" s="66"/>
      <c r="E3994" s="66"/>
      <c r="F3994" s="66"/>
    </row>
    <row r="3995" spans="4:6" x14ac:dyDescent="0.35">
      <c r="D3995" s="66"/>
      <c r="E3995" s="66"/>
      <c r="F3995" s="66"/>
    </row>
    <row r="3996" spans="4:6" x14ac:dyDescent="0.35">
      <c r="D3996" s="66"/>
      <c r="E3996" s="66"/>
      <c r="F3996" s="66"/>
    </row>
    <row r="3997" spans="4:6" x14ac:dyDescent="0.35">
      <c r="D3997" s="66"/>
      <c r="E3997" s="66"/>
      <c r="F3997" s="66"/>
    </row>
    <row r="3998" spans="4:6" x14ac:dyDescent="0.35">
      <c r="D3998" s="66"/>
      <c r="E3998" s="66"/>
      <c r="F3998" s="66"/>
    </row>
    <row r="3999" spans="4:6" x14ac:dyDescent="0.35">
      <c r="D3999" s="66"/>
      <c r="E3999" s="66"/>
      <c r="F3999" s="66"/>
    </row>
    <row r="4000" spans="4:6" x14ac:dyDescent="0.35">
      <c r="D4000" s="66"/>
      <c r="E4000" s="66"/>
      <c r="F4000" s="66"/>
    </row>
    <row r="4001" spans="4:6" x14ac:dyDescent="0.35">
      <c r="D4001" s="66"/>
      <c r="E4001" s="66"/>
      <c r="F4001" s="66"/>
    </row>
    <row r="4002" spans="4:6" x14ac:dyDescent="0.35">
      <c r="D4002" s="66"/>
      <c r="E4002" s="66"/>
      <c r="F4002" s="66"/>
    </row>
    <row r="4003" spans="4:6" x14ac:dyDescent="0.35">
      <c r="D4003" s="66"/>
      <c r="E4003" s="66"/>
      <c r="F4003" s="66"/>
    </row>
    <row r="4004" spans="4:6" x14ac:dyDescent="0.35">
      <c r="D4004" s="66"/>
      <c r="E4004" s="66"/>
      <c r="F4004" s="66"/>
    </row>
    <row r="4005" spans="4:6" x14ac:dyDescent="0.35">
      <c r="D4005" s="66"/>
      <c r="E4005" s="66"/>
      <c r="F4005" s="66"/>
    </row>
    <row r="4006" spans="4:6" x14ac:dyDescent="0.35">
      <c r="D4006" s="66"/>
      <c r="E4006" s="66"/>
      <c r="F4006" s="66"/>
    </row>
    <row r="4007" spans="4:6" x14ac:dyDescent="0.35">
      <c r="D4007" s="66"/>
      <c r="E4007" s="66"/>
      <c r="F4007" s="66"/>
    </row>
    <row r="4008" spans="4:6" x14ac:dyDescent="0.35">
      <c r="D4008" s="66"/>
      <c r="E4008" s="66"/>
      <c r="F4008" s="66"/>
    </row>
    <row r="4009" spans="4:6" x14ac:dyDescent="0.35">
      <c r="D4009" s="66"/>
      <c r="E4009" s="66"/>
      <c r="F4009" s="66"/>
    </row>
    <row r="4010" spans="4:6" x14ac:dyDescent="0.35">
      <c r="D4010" s="66"/>
      <c r="E4010" s="66"/>
      <c r="F4010" s="66"/>
    </row>
    <row r="4011" spans="4:6" x14ac:dyDescent="0.35">
      <c r="D4011" s="66"/>
      <c r="E4011" s="66"/>
      <c r="F4011" s="66"/>
    </row>
    <row r="4012" spans="4:6" x14ac:dyDescent="0.35">
      <c r="D4012" s="66"/>
      <c r="E4012" s="66"/>
      <c r="F4012" s="66"/>
    </row>
    <row r="4013" spans="4:6" x14ac:dyDescent="0.35">
      <c r="D4013" s="66"/>
      <c r="E4013" s="66"/>
      <c r="F4013" s="66"/>
    </row>
    <row r="4014" spans="4:6" x14ac:dyDescent="0.35">
      <c r="D4014" s="66"/>
      <c r="E4014" s="66"/>
      <c r="F4014" s="66"/>
    </row>
    <row r="4015" spans="4:6" x14ac:dyDescent="0.35">
      <c r="D4015" s="66"/>
      <c r="E4015" s="66"/>
      <c r="F4015" s="66"/>
    </row>
    <row r="4016" spans="4:6" x14ac:dyDescent="0.35">
      <c r="D4016" s="66"/>
      <c r="E4016" s="66"/>
      <c r="F4016" s="66"/>
    </row>
    <row r="4017" spans="4:6" x14ac:dyDescent="0.35">
      <c r="D4017" s="66"/>
      <c r="E4017" s="66"/>
      <c r="F4017" s="66"/>
    </row>
    <row r="4018" spans="4:6" x14ac:dyDescent="0.35">
      <c r="D4018" s="66"/>
      <c r="E4018" s="66"/>
      <c r="F4018" s="66"/>
    </row>
    <row r="4019" spans="4:6" x14ac:dyDescent="0.35">
      <c r="D4019" s="66"/>
      <c r="E4019" s="66"/>
      <c r="F4019" s="66"/>
    </row>
    <row r="4020" spans="4:6" x14ac:dyDescent="0.35">
      <c r="D4020" s="66"/>
      <c r="E4020" s="66"/>
      <c r="F4020" s="66"/>
    </row>
    <row r="4021" spans="4:6" x14ac:dyDescent="0.35">
      <c r="D4021" s="66"/>
      <c r="E4021" s="66"/>
      <c r="F4021" s="66"/>
    </row>
    <row r="4022" spans="4:6" x14ac:dyDescent="0.35">
      <c r="D4022" s="66"/>
      <c r="E4022" s="66"/>
      <c r="F4022" s="66"/>
    </row>
    <row r="4023" spans="4:6" x14ac:dyDescent="0.35">
      <c r="D4023" s="66"/>
      <c r="E4023" s="66"/>
      <c r="F4023" s="66"/>
    </row>
    <row r="4024" spans="4:6" x14ac:dyDescent="0.35">
      <c r="D4024" s="66"/>
      <c r="E4024" s="66"/>
      <c r="F4024" s="66"/>
    </row>
    <row r="4025" spans="4:6" x14ac:dyDescent="0.35">
      <c r="D4025" s="66"/>
      <c r="E4025" s="66"/>
      <c r="F4025" s="66"/>
    </row>
    <row r="4026" spans="4:6" x14ac:dyDescent="0.35">
      <c r="D4026" s="66"/>
      <c r="E4026" s="66"/>
      <c r="F4026" s="66"/>
    </row>
    <row r="4027" spans="4:6" x14ac:dyDescent="0.35">
      <c r="D4027" s="66"/>
      <c r="E4027" s="66"/>
      <c r="F4027" s="66"/>
    </row>
    <row r="4028" spans="4:6" x14ac:dyDescent="0.35">
      <c r="D4028" s="66"/>
      <c r="E4028" s="66"/>
      <c r="F4028" s="66"/>
    </row>
    <row r="4029" spans="4:6" x14ac:dyDescent="0.35">
      <c r="D4029" s="66"/>
      <c r="E4029" s="66"/>
      <c r="F4029" s="66"/>
    </row>
    <row r="4030" spans="4:6" x14ac:dyDescent="0.35">
      <c r="D4030" s="66"/>
      <c r="E4030" s="66"/>
      <c r="F4030" s="66"/>
    </row>
    <row r="4031" spans="4:6" x14ac:dyDescent="0.35">
      <c r="D4031" s="66"/>
      <c r="E4031" s="66"/>
      <c r="F4031" s="66"/>
    </row>
    <row r="4032" spans="4:6" x14ac:dyDescent="0.35">
      <c r="D4032" s="66"/>
      <c r="E4032" s="66"/>
      <c r="F4032" s="66"/>
    </row>
    <row r="4033" spans="4:6" x14ac:dyDescent="0.35">
      <c r="D4033" s="66"/>
      <c r="E4033" s="66"/>
      <c r="F4033" s="66"/>
    </row>
    <row r="4034" spans="4:6" x14ac:dyDescent="0.35">
      <c r="D4034" s="66"/>
      <c r="E4034" s="66"/>
      <c r="F4034" s="66"/>
    </row>
    <row r="4035" spans="4:6" x14ac:dyDescent="0.35">
      <c r="D4035" s="66"/>
      <c r="E4035" s="66"/>
      <c r="F4035" s="66"/>
    </row>
    <row r="4036" spans="4:6" x14ac:dyDescent="0.35">
      <c r="D4036" s="66"/>
      <c r="E4036" s="66"/>
      <c r="F4036" s="66"/>
    </row>
    <row r="4037" spans="4:6" x14ac:dyDescent="0.35">
      <c r="D4037" s="66"/>
      <c r="E4037" s="66"/>
      <c r="F4037" s="66"/>
    </row>
    <row r="4038" spans="4:6" x14ac:dyDescent="0.35">
      <c r="D4038" s="66"/>
      <c r="E4038" s="66"/>
      <c r="F4038" s="66"/>
    </row>
    <row r="4039" spans="4:6" x14ac:dyDescent="0.35">
      <c r="D4039" s="66"/>
      <c r="E4039" s="66"/>
      <c r="F4039" s="66"/>
    </row>
    <row r="4040" spans="4:6" x14ac:dyDescent="0.35">
      <c r="D4040" s="66"/>
      <c r="E4040" s="66"/>
      <c r="F4040" s="66"/>
    </row>
    <row r="4041" spans="4:6" x14ac:dyDescent="0.35">
      <c r="D4041" s="66"/>
      <c r="E4041" s="66"/>
      <c r="F4041" s="66"/>
    </row>
    <row r="4042" spans="4:6" x14ac:dyDescent="0.35">
      <c r="D4042" s="66"/>
      <c r="E4042" s="66"/>
      <c r="F4042" s="66"/>
    </row>
    <row r="4043" spans="4:6" x14ac:dyDescent="0.35">
      <c r="D4043" s="66"/>
      <c r="E4043" s="66"/>
      <c r="F4043" s="66"/>
    </row>
    <row r="4044" spans="4:6" x14ac:dyDescent="0.35">
      <c r="D4044" s="66"/>
      <c r="E4044" s="66"/>
      <c r="F4044" s="66"/>
    </row>
    <row r="4045" spans="4:6" x14ac:dyDescent="0.35">
      <c r="D4045" s="66"/>
      <c r="E4045" s="66"/>
      <c r="F4045" s="66"/>
    </row>
    <row r="4046" spans="4:6" x14ac:dyDescent="0.35">
      <c r="D4046" s="66"/>
      <c r="E4046" s="66"/>
      <c r="F4046" s="66"/>
    </row>
    <row r="4047" spans="4:6" x14ac:dyDescent="0.35">
      <c r="D4047" s="66"/>
      <c r="E4047" s="66"/>
      <c r="F4047" s="66"/>
    </row>
    <row r="4048" spans="4:6" x14ac:dyDescent="0.35">
      <c r="D4048" s="66"/>
      <c r="E4048" s="66"/>
      <c r="F4048" s="66"/>
    </row>
    <row r="4049" spans="4:6" x14ac:dyDescent="0.35">
      <c r="D4049" s="66"/>
      <c r="E4049" s="66"/>
      <c r="F4049" s="66"/>
    </row>
    <row r="4050" spans="4:6" x14ac:dyDescent="0.35">
      <c r="D4050" s="66"/>
      <c r="E4050" s="66"/>
      <c r="F4050" s="66"/>
    </row>
    <row r="4051" spans="4:6" x14ac:dyDescent="0.35">
      <c r="D4051" s="66"/>
      <c r="E4051" s="66"/>
      <c r="F4051" s="66"/>
    </row>
    <row r="4052" spans="4:6" x14ac:dyDescent="0.35">
      <c r="D4052" s="66"/>
      <c r="E4052" s="66"/>
      <c r="F4052" s="66"/>
    </row>
    <row r="4053" spans="4:6" x14ac:dyDescent="0.35">
      <c r="D4053" s="66"/>
      <c r="E4053" s="66"/>
      <c r="F4053" s="66"/>
    </row>
    <row r="4054" spans="4:6" x14ac:dyDescent="0.35">
      <c r="D4054" s="66"/>
      <c r="E4054" s="66"/>
      <c r="F4054" s="66"/>
    </row>
    <row r="4055" spans="4:6" x14ac:dyDescent="0.35">
      <c r="D4055" s="66"/>
      <c r="E4055" s="66"/>
      <c r="F4055" s="66"/>
    </row>
    <row r="4056" spans="4:6" x14ac:dyDescent="0.35">
      <c r="D4056" s="66"/>
      <c r="E4056" s="66"/>
      <c r="F4056" s="66"/>
    </row>
    <row r="4057" spans="4:6" x14ac:dyDescent="0.35">
      <c r="D4057" s="66"/>
      <c r="E4057" s="66"/>
      <c r="F4057" s="66"/>
    </row>
    <row r="4058" spans="4:6" x14ac:dyDescent="0.35">
      <c r="D4058" s="66"/>
      <c r="E4058" s="66"/>
      <c r="F4058" s="66"/>
    </row>
    <row r="4059" spans="4:6" x14ac:dyDescent="0.35">
      <c r="D4059" s="66"/>
      <c r="E4059" s="66"/>
      <c r="F4059" s="66"/>
    </row>
    <row r="4060" spans="4:6" x14ac:dyDescent="0.35">
      <c r="D4060" s="66"/>
      <c r="E4060" s="66"/>
      <c r="F4060" s="66"/>
    </row>
    <row r="4061" spans="4:6" x14ac:dyDescent="0.35">
      <c r="D4061" s="66"/>
      <c r="E4061" s="66"/>
      <c r="F4061" s="66"/>
    </row>
    <row r="4062" spans="4:6" x14ac:dyDescent="0.35">
      <c r="D4062" s="66"/>
      <c r="E4062" s="66"/>
      <c r="F4062" s="66"/>
    </row>
    <row r="4063" spans="4:6" x14ac:dyDescent="0.35">
      <c r="D4063" s="66"/>
      <c r="E4063" s="66"/>
      <c r="F4063" s="66"/>
    </row>
    <row r="4064" spans="4:6" x14ac:dyDescent="0.35">
      <c r="D4064" s="66"/>
      <c r="E4064" s="66"/>
      <c r="F4064" s="66"/>
    </row>
    <row r="4065" spans="4:6" x14ac:dyDescent="0.35">
      <c r="D4065" s="66"/>
      <c r="E4065" s="66"/>
      <c r="F4065" s="66"/>
    </row>
    <row r="4066" spans="4:6" x14ac:dyDescent="0.35">
      <c r="D4066" s="66"/>
      <c r="E4066" s="66"/>
      <c r="F4066" s="66"/>
    </row>
    <row r="4067" spans="4:6" x14ac:dyDescent="0.35">
      <c r="D4067" s="66"/>
      <c r="E4067" s="66"/>
      <c r="F4067" s="66"/>
    </row>
    <row r="4068" spans="4:6" x14ac:dyDescent="0.35">
      <c r="D4068" s="66"/>
      <c r="E4068" s="66"/>
      <c r="F4068" s="66"/>
    </row>
    <row r="4069" spans="4:6" x14ac:dyDescent="0.35">
      <c r="D4069" s="66"/>
      <c r="E4069" s="66"/>
      <c r="F4069" s="66"/>
    </row>
    <row r="4070" spans="4:6" x14ac:dyDescent="0.35">
      <c r="D4070" s="66"/>
      <c r="E4070" s="66"/>
      <c r="F4070" s="66"/>
    </row>
    <row r="4071" spans="4:6" x14ac:dyDescent="0.35">
      <c r="D4071" s="66"/>
      <c r="E4071" s="66"/>
      <c r="F4071" s="66"/>
    </row>
    <row r="4072" spans="4:6" x14ac:dyDescent="0.35">
      <c r="D4072" s="66"/>
      <c r="E4072" s="66"/>
      <c r="F4072" s="66"/>
    </row>
    <row r="4073" spans="4:6" x14ac:dyDescent="0.35">
      <c r="D4073" s="66"/>
      <c r="E4073" s="66"/>
      <c r="F4073" s="66"/>
    </row>
    <row r="4074" spans="4:6" x14ac:dyDescent="0.35">
      <c r="D4074" s="66"/>
      <c r="E4074" s="66"/>
      <c r="F4074" s="66"/>
    </row>
    <row r="4075" spans="4:6" x14ac:dyDescent="0.35">
      <c r="D4075" s="66"/>
      <c r="E4075" s="66"/>
      <c r="F4075" s="66"/>
    </row>
    <row r="4076" spans="4:6" x14ac:dyDescent="0.35">
      <c r="D4076" s="66"/>
      <c r="E4076" s="66"/>
      <c r="F4076" s="66"/>
    </row>
    <row r="4077" spans="4:6" x14ac:dyDescent="0.35">
      <c r="D4077" s="66"/>
      <c r="E4077" s="66"/>
      <c r="F4077" s="66"/>
    </row>
    <row r="4078" spans="4:6" x14ac:dyDescent="0.35">
      <c r="D4078" s="66"/>
      <c r="E4078" s="66"/>
      <c r="F4078" s="66"/>
    </row>
    <row r="4079" spans="4:6" x14ac:dyDescent="0.35">
      <c r="D4079" s="66"/>
      <c r="E4079" s="66"/>
      <c r="F4079" s="66"/>
    </row>
    <row r="4080" spans="4:6" x14ac:dyDescent="0.35">
      <c r="D4080" s="66"/>
      <c r="E4080" s="66"/>
      <c r="F4080" s="66"/>
    </row>
    <row r="4081" spans="4:6" x14ac:dyDescent="0.35">
      <c r="D4081" s="66"/>
      <c r="E4081" s="66"/>
      <c r="F4081" s="66"/>
    </row>
    <row r="4082" spans="4:6" x14ac:dyDescent="0.35">
      <c r="D4082" s="66"/>
      <c r="E4082" s="66"/>
      <c r="F4082" s="66"/>
    </row>
    <row r="4083" spans="4:6" x14ac:dyDescent="0.35">
      <c r="D4083" s="66"/>
      <c r="E4083" s="66"/>
      <c r="F4083" s="66"/>
    </row>
    <row r="4084" spans="4:6" x14ac:dyDescent="0.35">
      <c r="D4084" s="66"/>
      <c r="E4084" s="66"/>
      <c r="F4084" s="66"/>
    </row>
    <row r="4085" spans="4:6" x14ac:dyDescent="0.35">
      <c r="D4085" s="66"/>
      <c r="E4085" s="66"/>
      <c r="F4085" s="66"/>
    </row>
    <row r="4086" spans="4:6" x14ac:dyDescent="0.35">
      <c r="D4086" s="66"/>
      <c r="E4086" s="66"/>
      <c r="F4086" s="66"/>
    </row>
    <row r="4087" spans="4:6" x14ac:dyDescent="0.35">
      <c r="D4087" s="66"/>
      <c r="E4087" s="66"/>
      <c r="F4087" s="66"/>
    </row>
    <row r="4088" spans="4:6" x14ac:dyDescent="0.35">
      <c r="D4088" s="66"/>
      <c r="E4088" s="66"/>
      <c r="F4088" s="66"/>
    </row>
    <row r="4089" spans="4:6" x14ac:dyDescent="0.35">
      <c r="D4089" s="66"/>
      <c r="E4089" s="66"/>
      <c r="F4089" s="66"/>
    </row>
    <row r="4090" spans="4:6" x14ac:dyDescent="0.35">
      <c r="D4090" s="66"/>
      <c r="E4090" s="66"/>
      <c r="F4090" s="66"/>
    </row>
    <row r="4091" spans="4:6" x14ac:dyDescent="0.35">
      <c r="D4091" s="66"/>
      <c r="E4091" s="66"/>
      <c r="F4091" s="66"/>
    </row>
    <row r="4092" spans="4:6" x14ac:dyDescent="0.35">
      <c r="D4092" s="66"/>
      <c r="E4092" s="66"/>
      <c r="F4092" s="66"/>
    </row>
    <row r="4093" spans="4:6" x14ac:dyDescent="0.35">
      <c r="D4093" s="66"/>
      <c r="E4093" s="66"/>
      <c r="F4093" s="66"/>
    </row>
    <row r="4094" spans="4:6" x14ac:dyDescent="0.35">
      <c r="D4094" s="66"/>
      <c r="E4094" s="66"/>
      <c r="F4094" s="66"/>
    </row>
    <row r="4095" spans="4:6" x14ac:dyDescent="0.35">
      <c r="D4095" s="66"/>
      <c r="E4095" s="66"/>
      <c r="F4095" s="66"/>
    </row>
    <row r="4096" spans="4:6" x14ac:dyDescent="0.35">
      <c r="D4096" s="66"/>
      <c r="E4096" s="66"/>
      <c r="F4096" s="66"/>
    </row>
    <row r="4097" spans="4:6" x14ac:dyDescent="0.35">
      <c r="D4097" s="66"/>
      <c r="E4097" s="66"/>
      <c r="F4097" s="66"/>
    </row>
    <row r="4098" spans="4:6" x14ac:dyDescent="0.35">
      <c r="D4098" s="66"/>
      <c r="E4098" s="66"/>
      <c r="F4098" s="66"/>
    </row>
    <row r="4099" spans="4:6" x14ac:dyDescent="0.35">
      <c r="D4099" s="66"/>
      <c r="E4099" s="66"/>
      <c r="F4099" s="66"/>
    </row>
    <row r="4100" spans="4:6" x14ac:dyDescent="0.35">
      <c r="D4100" s="66"/>
      <c r="E4100" s="66"/>
      <c r="F4100" s="66"/>
    </row>
    <row r="4101" spans="4:6" x14ac:dyDescent="0.35">
      <c r="D4101" s="66"/>
      <c r="E4101" s="66"/>
      <c r="F4101" s="66"/>
    </row>
    <row r="4102" spans="4:6" x14ac:dyDescent="0.35">
      <c r="D4102" s="66"/>
      <c r="E4102" s="66"/>
      <c r="F4102" s="66"/>
    </row>
    <row r="4103" spans="4:6" x14ac:dyDescent="0.35">
      <c r="D4103" s="66"/>
      <c r="E4103" s="66"/>
      <c r="F4103" s="66"/>
    </row>
    <row r="4104" spans="4:6" x14ac:dyDescent="0.35">
      <c r="D4104" s="66"/>
      <c r="E4104" s="66"/>
      <c r="F4104" s="66"/>
    </row>
    <row r="4105" spans="4:6" x14ac:dyDescent="0.35">
      <c r="D4105" s="66"/>
      <c r="E4105" s="66"/>
      <c r="F4105" s="66"/>
    </row>
    <row r="4106" spans="4:6" x14ac:dyDescent="0.35">
      <c r="D4106" s="66"/>
      <c r="E4106" s="66"/>
      <c r="F4106" s="66"/>
    </row>
    <row r="4107" spans="4:6" x14ac:dyDescent="0.35">
      <c r="D4107" s="66"/>
      <c r="E4107" s="66"/>
      <c r="F4107" s="66"/>
    </row>
    <row r="4108" spans="4:6" x14ac:dyDescent="0.35">
      <c r="D4108" s="66"/>
      <c r="E4108" s="66"/>
      <c r="F4108" s="66"/>
    </row>
    <row r="4109" spans="4:6" x14ac:dyDescent="0.35">
      <c r="D4109" s="66"/>
      <c r="E4109" s="66"/>
      <c r="F4109" s="66"/>
    </row>
    <row r="4110" spans="4:6" x14ac:dyDescent="0.35">
      <c r="D4110" s="66"/>
      <c r="E4110" s="66"/>
      <c r="F4110" s="66"/>
    </row>
    <row r="4111" spans="4:6" x14ac:dyDescent="0.35">
      <c r="D4111" s="66"/>
      <c r="E4111" s="66"/>
      <c r="F4111" s="66"/>
    </row>
    <row r="4112" spans="4:6" x14ac:dyDescent="0.35">
      <c r="D4112" s="66"/>
      <c r="E4112" s="66"/>
      <c r="F4112" s="66"/>
    </row>
    <row r="4113" spans="4:6" x14ac:dyDescent="0.35">
      <c r="D4113" s="66"/>
      <c r="E4113" s="66"/>
      <c r="F4113" s="66"/>
    </row>
    <row r="4114" spans="4:6" x14ac:dyDescent="0.35">
      <c r="D4114" s="66"/>
      <c r="E4114" s="66"/>
      <c r="F4114" s="66"/>
    </row>
    <row r="4115" spans="4:6" x14ac:dyDescent="0.35">
      <c r="D4115" s="66"/>
      <c r="E4115" s="66"/>
      <c r="F4115" s="66"/>
    </row>
    <row r="4116" spans="4:6" x14ac:dyDescent="0.35">
      <c r="D4116" s="66"/>
      <c r="E4116" s="66"/>
      <c r="F4116" s="66"/>
    </row>
    <row r="4117" spans="4:6" x14ac:dyDescent="0.35">
      <c r="D4117" s="66"/>
      <c r="E4117" s="66"/>
      <c r="F4117" s="66"/>
    </row>
    <row r="4118" spans="4:6" x14ac:dyDescent="0.35">
      <c r="D4118" s="66"/>
      <c r="E4118" s="66"/>
      <c r="F4118" s="66"/>
    </row>
    <row r="4119" spans="4:6" x14ac:dyDescent="0.35">
      <c r="D4119" s="66"/>
      <c r="E4119" s="66"/>
      <c r="F4119" s="66"/>
    </row>
    <row r="4120" spans="4:6" x14ac:dyDescent="0.35">
      <c r="D4120" s="66"/>
      <c r="E4120" s="66"/>
      <c r="F4120" s="66"/>
    </row>
    <row r="4121" spans="4:6" x14ac:dyDescent="0.35">
      <c r="D4121" s="66"/>
      <c r="E4121" s="66"/>
      <c r="F4121" s="66"/>
    </row>
    <row r="4122" spans="4:6" x14ac:dyDescent="0.35">
      <c r="D4122" s="66"/>
      <c r="E4122" s="66"/>
      <c r="F4122" s="66"/>
    </row>
    <row r="4123" spans="4:6" x14ac:dyDescent="0.35">
      <c r="D4123" s="66"/>
      <c r="E4123" s="66"/>
      <c r="F4123" s="66"/>
    </row>
    <row r="4124" spans="4:6" x14ac:dyDescent="0.35">
      <c r="D4124" s="66"/>
      <c r="E4124" s="66"/>
      <c r="F4124" s="66"/>
    </row>
    <row r="4125" spans="4:6" x14ac:dyDescent="0.35">
      <c r="D4125" s="66"/>
      <c r="E4125" s="66"/>
      <c r="F4125" s="66"/>
    </row>
    <row r="4126" spans="4:6" x14ac:dyDescent="0.35">
      <c r="D4126" s="66"/>
      <c r="E4126" s="66"/>
      <c r="F4126" s="66"/>
    </row>
    <row r="4127" spans="4:6" x14ac:dyDescent="0.35">
      <c r="D4127" s="66"/>
      <c r="E4127" s="66"/>
      <c r="F4127" s="66"/>
    </row>
    <row r="4128" spans="4:6" x14ac:dyDescent="0.35">
      <c r="D4128" s="66"/>
      <c r="E4128" s="66"/>
      <c r="F4128" s="66"/>
    </row>
    <row r="4129" spans="4:6" x14ac:dyDescent="0.35">
      <c r="D4129" s="66"/>
      <c r="E4129" s="66"/>
      <c r="F4129" s="66"/>
    </row>
    <row r="4130" spans="4:6" x14ac:dyDescent="0.35">
      <c r="D4130" s="66"/>
      <c r="E4130" s="66"/>
      <c r="F4130" s="66"/>
    </row>
    <row r="4131" spans="4:6" x14ac:dyDescent="0.35">
      <c r="D4131" s="66"/>
      <c r="E4131" s="66"/>
      <c r="F4131" s="66"/>
    </row>
    <row r="4132" spans="4:6" x14ac:dyDescent="0.35">
      <c r="D4132" s="66"/>
      <c r="E4132" s="66"/>
      <c r="F4132" s="66"/>
    </row>
    <row r="4133" spans="4:6" x14ac:dyDescent="0.35">
      <c r="D4133" s="66"/>
      <c r="E4133" s="66"/>
      <c r="F4133" s="66"/>
    </row>
    <row r="4134" spans="4:6" x14ac:dyDescent="0.35">
      <c r="D4134" s="66"/>
      <c r="E4134" s="66"/>
      <c r="F4134" s="66"/>
    </row>
    <row r="4135" spans="4:6" x14ac:dyDescent="0.35">
      <c r="D4135" s="66"/>
      <c r="E4135" s="66"/>
      <c r="F4135" s="66"/>
    </row>
    <row r="4136" spans="4:6" x14ac:dyDescent="0.35">
      <c r="D4136" s="66"/>
      <c r="E4136" s="66"/>
      <c r="F4136" s="66"/>
    </row>
    <row r="4137" spans="4:6" x14ac:dyDescent="0.35">
      <c r="D4137" s="66"/>
      <c r="E4137" s="66"/>
      <c r="F4137" s="66"/>
    </row>
    <row r="4138" spans="4:6" x14ac:dyDescent="0.35">
      <c r="D4138" s="66"/>
      <c r="E4138" s="66"/>
      <c r="F4138" s="66"/>
    </row>
    <row r="4139" spans="4:6" x14ac:dyDescent="0.35">
      <c r="D4139" s="66"/>
      <c r="E4139" s="66"/>
      <c r="F4139" s="66"/>
    </row>
    <row r="4140" spans="4:6" x14ac:dyDescent="0.35">
      <c r="D4140" s="66"/>
      <c r="E4140" s="66"/>
      <c r="F4140" s="66"/>
    </row>
    <row r="4141" spans="4:6" x14ac:dyDescent="0.35">
      <c r="D4141" s="66"/>
      <c r="E4141" s="66"/>
      <c r="F4141" s="66"/>
    </row>
    <row r="4142" spans="4:6" x14ac:dyDescent="0.35">
      <c r="D4142" s="66"/>
      <c r="E4142" s="66"/>
      <c r="F4142" s="66"/>
    </row>
    <row r="4143" spans="4:6" x14ac:dyDescent="0.35">
      <c r="D4143" s="66"/>
      <c r="E4143" s="66"/>
      <c r="F4143" s="66"/>
    </row>
    <row r="4144" spans="4:6" x14ac:dyDescent="0.35">
      <c r="D4144" s="66"/>
      <c r="E4144" s="66"/>
      <c r="F4144" s="66"/>
    </row>
    <row r="4145" spans="4:6" x14ac:dyDescent="0.35">
      <c r="D4145" s="66"/>
      <c r="E4145" s="66"/>
      <c r="F4145" s="66"/>
    </row>
    <row r="4146" spans="4:6" x14ac:dyDescent="0.35">
      <c r="D4146" s="66"/>
      <c r="E4146" s="66"/>
      <c r="F4146" s="66"/>
    </row>
    <row r="4147" spans="4:6" x14ac:dyDescent="0.35">
      <c r="D4147" s="66"/>
      <c r="E4147" s="66"/>
      <c r="F4147" s="66"/>
    </row>
    <row r="4148" spans="4:6" x14ac:dyDescent="0.35">
      <c r="D4148" s="66"/>
      <c r="E4148" s="66"/>
      <c r="F4148" s="66"/>
    </row>
    <row r="4149" spans="4:6" x14ac:dyDescent="0.35">
      <c r="D4149" s="66"/>
      <c r="E4149" s="66"/>
      <c r="F4149" s="66"/>
    </row>
    <row r="4150" spans="4:6" x14ac:dyDescent="0.35">
      <c r="D4150" s="66"/>
      <c r="E4150" s="66"/>
      <c r="F4150" s="66"/>
    </row>
    <row r="4151" spans="4:6" x14ac:dyDescent="0.35">
      <c r="D4151" s="66"/>
      <c r="E4151" s="66"/>
      <c r="F4151" s="66"/>
    </row>
    <row r="4152" spans="4:6" x14ac:dyDescent="0.35">
      <c r="D4152" s="66"/>
      <c r="E4152" s="66"/>
      <c r="F4152" s="66"/>
    </row>
    <row r="4153" spans="4:6" x14ac:dyDescent="0.35">
      <c r="D4153" s="66"/>
      <c r="E4153" s="66"/>
      <c r="F4153" s="66"/>
    </row>
    <row r="4154" spans="4:6" x14ac:dyDescent="0.35">
      <c r="D4154" s="66"/>
      <c r="E4154" s="66"/>
      <c r="F4154" s="66"/>
    </row>
    <row r="4155" spans="4:6" x14ac:dyDescent="0.35">
      <c r="D4155" s="66"/>
      <c r="E4155" s="66"/>
      <c r="F4155" s="66"/>
    </row>
    <row r="4156" spans="4:6" x14ac:dyDescent="0.35">
      <c r="D4156" s="66"/>
      <c r="E4156" s="66"/>
      <c r="F4156" s="66"/>
    </row>
    <row r="4157" spans="4:6" x14ac:dyDescent="0.35">
      <c r="D4157" s="66"/>
      <c r="E4157" s="66"/>
      <c r="F4157" s="66"/>
    </row>
    <row r="4158" spans="4:6" x14ac:dyDescent="0.35">
      <c r="D4158" s="66"/>
      <c r="E4158" s="66"/>
      <c r="F4158" s="66"/>
    </row>
    <row r="4159" spans="4:6" x14ac:dyDescent="0.35">
      <c r="D4159" s="66"/>
      <c r="E4159" s="66"/>
      <c r="F4159" s="66"/>
    </row>
    <row r="4160" spans="4:6" x14ac:dyDescent="0.35">
      <c r="D4160" s="66"/>
      <c r="E4160" s="66"/>
      <c r="F4160" s="66"/>
    </row>
    <row r="4161" spans="4:6" x14ac:dyDescent="0.35">
      <c r="D4161" s="66"/>
      <c r="E4161" s="66"/>
      <c r="F4161" s="66"/>
    </row>
    <row r="4162" spans="4:6" x14ac:dyDescent="0.35">
      <c r="D4162" s="66"/>
      <c r="E4162" s="66"/>
      <c r="F4162" s="66"/>
    </row>
    <row r="4163" spans="4:6" x14ac:dyDescent="0.35">
      <c r="D4163" s="66"/>
      <c r="E4163" s="66"/>
      <c r="F4163" s="66"/>
    </row>
    <row r="4164" spans="4:6" x14ac:dyDescent="0.35">
      <c r="D4164" s="66"/>
      <c r="E4164" s="66"/>
      <c r="F4164" s="66"/>
    </row>
    <row r="4165" spans="4:6" x14ac:dyDescent="0.35">
      <c r="D4165" s="66"/>
      <c r="E4165" s="66"/>
      <c r="F4165" s="66"/>
    </row>
    <row r="4166" spans="4:6" x14ac:dyDescent="0.35">
      <c r="D4166" s="66"/>
      <c r="E4166" s="66"/>
      <c r="F4166" s="66"/>
    </row>
    <row r="4167" spans="4:6" x14ac:dyDescent="0.35">
      <c r="D4167" s="66"/>
      <c r="E4167" s="66"/>
      <c r="F4167" s="66"/>
    </row>
    <row r="4168" spans="4:6" x14ac:dyDescent="0.35">
      <c r="D4168" s="66"/>
      <c r="E4168" s="66"/>
      <c r="F4168" s="66"/>
    </row>
    <row r="4169" spans="4:6" x14ac:dyDescent="0.35">
      <c r="D4169" s="66"/>
      <c r="E4169" s="66"/>
      <c r="F4169" s="66"/>
    </row>
    <row r="4170" spans="4:6" x14ac:dyDescent="0.35">
      <c r="D4170" s="66"/>
      <c r="E4170" s="66"/>
      <c r="F4170" s="66"/>
    </row>
    <row r="4171" spans="4:6" x14ac:dyDescent="0.35">
      <c r="D4171" s="66"/>
      <c r="E4171" s="66"/>
      <c r="F4171" s="66"/>
    </row>
    <row r="4172" spans="4:6" x14ac:dyDescent="0.35">
      <c r="D4172" s="66"/>
      <c r="E4172" s="66"/>
      <c r="F4172" s="66"/>
    </row>
    <row r="4173" spans="4:6" x14ac:dyDescent="0.35">
      <c r="D4173" s="66"/>
      <c r="E4173" s="66"/>
      <c r="F4173" s="66"/>
    </row>
    <row r="4174" spans="4:6" x14ac:dyDescent="0.35">
      <c r="D4174" s="66"/>
      <c r="E4174" s="66"/>
      <c r="F4174" s="66"/>
    </row>
    <row r="4175" spans="4:6" x14ac:dyDescent="0.35">
      <c r="D4175" s="66"/>
      <c r="E4175" s="66"/>
      <c r="F4175" s="66"/>
    </row>
    <row r="4176" spans="4:6" x14ac:dyDescent="0.35">
      <c r="D4176" s="66"/>
      <c r="E4176" s="66"/>
      <c r="F4176" s="66"/>
    </row>
    <row r="4177" spans="4:6" x14ac:dyDescent="0.35">
      <c r="D4177" s="66"/>
      <c r="E4177" s="66"/>
      <c r="F4177" s="66"/>
    </row>
    <row r="4178" spans="4:6" x14ac:dyDescent="0.35">
      <c r="D4178" s="66"/>
      <c r="E4178" s="66"/>
      <c r="F4178" s="66"/>
    </row>
    <row r="4179" spans="4:6" x14ac:dyDescent="0.35">
      <c r="D4179" s="66"/>
      <c r="E4179" s="66"/>
      <c r="F4179" s="66"/>
    </row>
    <row r="4180" spans="4:6" x14ac:dyDescent="0.35">
      <c r="D4180" s="66"/>
      <c r="E4180" s="66"/>
      <c r="F4180" s="66"/>
    </row>
    <row r="4181" spans="4:6" x14ac:dyDescent="0.35">
      <c r="D4181" s="66"/>
      <c r="E4181" s="66"/>
      <c r="F4181" s="66"/>
    </row>
    <row r="4182" spans="4:6" x14ac:dyDescent="0.35">
      <c r="D4182" s="66"/>
      <c r="E4182" s="66"/>
      <c r="F4182" s="66"/>
    </row>
    <row r="4183" spans="4:6" x14ac:dyDescent="0.35">
      <c r="D4183" s="66"/>
      <c r="E4183" s="66"/>
      <c r="F4183" s="66"/>
    </row>
    <row r="4184" spans="4:6" x14ac:dyDescent="0.35">
      <c r="D4184" s="66"/>
      <c r="E4184" s="66"/>
      <c r="F4184" s="66"/>
    </row>
    <row r="4185" spans="4:6" x14ac:dyDescent="0.35">
      <c r="D4185" s="66"/>
      <c r="E4185" s="66"/>
      <c r="F4185" s="66"/>
    </row>
    <row r="4186" spans="4:6" x14ac:dyDescent="0.35">
      <c r="D4186" s="66"/>
      <c r="E4186" s="66"/>
      <c r="F4186" s="66"/>
    </row>
    <row r="4187" spans="4:6" x14ac:dyDescent="0.35">
      <c r="D4187" s="66"/>
      <c r="E4187" s="66"/>
      <c r="F4187" s="66"/>
    </row>
    <row r="4188" spans="4:6" x14ac:dyDescent="0.35">
      <c r="D4188" s="66"/>
      <c r="E4188" s="66"/>
      <c r="F4188" s="66"/>
    </row>
    <row r="4189" spans="4:6" x14ac:dyDescent="0.35">
      <c r="D4189" s="66"/>
      <c r="E4189" s="66"/>
      <c r="F4189" s="66"/>
    </row>
    <row r="4190" spans="4:6" x14ac:dyDescent="0.35">
      <c r="D4190" s="66"/>
      <c r="E4190" s="66"/>
      <c r="F4190" s="66"/>
    </row>
    <row r="4191" spans="4:6" x14ac:dyDescent="0.35">
      <c r="D4191" s="66"/>
      <c r="E4191" s="66"/>
      <c r="F4191" s="66"/>
    </row>
    <row r="4192" spans="4:6" x14ac:dyDescent="0.35">
      <c r="D4192" s="66"/>
      <c r="E4192" s="66"/>
      <c r="F4192" s="66"/>
    </row>
    <row r="4193" spans="4:6" x14ac:dyDescent="0.35">
      <c r="D4193" s="66"/>
      <c r="E4193" s="66"/>
      <c r="F4193" s="66"/>
    </row>
    <row r="4194" spans="4:6" x14ac:dyDescent="0.35">
      <c r="D4194" s="66"/>
      <c r="E4194" s="66"/>
      <c r="F4194" s="66"/>
    </row>
    <row r="4195" spans="4:6" x14ac:dyDescent="0.35">
      <c r="D4195" s="66"/>
      <c r="E4195" s="66"/>
      <c r="F4195" s="66"/>
    </row>
    <row r="4196" spans="4:6" x14ac:dyDescent="0.35">
      <c r="D4196" s="66"/>
      <c r="E4196" s="66"/>
      <c r="F4196" s="66"/>
    </row>
    <row r="4197" spans="4:6" x14ac:dyDescent="0.35">
      <c r="D4197" s="66"/>
      <c r="E4197" s="66"/>
      <c r="F4197" s="66"/>
    </row>
    <row r="4198" spans="4:6" x14ac:dyDescent="0.35">
      <c r="D4198" s="66"/>
      <c r="E4198" s="66"/>
      <c r="F4198" s="66"/>
    </row>
    <row r="4199" spans="4:6" x14ac:dyDescent="0.35">
      <c r="D4199" s="66"/>
      <c r="E4199" s="66"/>
      <c r="F4199" s="66"/>
    </row>
    <row r="4200" spans="4:6" x14ac:dyDescent="0.35">
      <c r="D4200" s="66"/>
      <c r="E4200" s="66"/>
      <c r="F4200" s="66"/>
    </row>
    <row r="4201" spans="4:6" x14ac:dyDescent="0.35">
      <c r="D4201" s="66"/>
      <c r="E4201" s="66"/>
      <c r="F4201" s="66"/>
    </row>
    <row r="4202" spans="4:6" x14ac:dyDescent="0.35">
      <c r="D4202" s="66"/>
      <c r="E4202" s="66"/>
      <c r="F4202" s="66"/>
    </row>
    <row r="4203" spans="4:6" x14ac:dyDescent="0.35">
      <c r="D4203" s="66"/>
      <c r="E4203" s="66"/>
      <c r="F4203" s="66"/>
    </row>
    <row r="4204" spans="4:6" x14ac:dyDescent="0.35">
      <c r="D4204" s="66"/>
      <c r="E4204" s="66"/>
      <c r="F4204" s="66"/>
    </row>
    <row r="4205" spans="4:6" x14ac:dyDescent="0.35">
      <c r="D4205" s="66"/>
      <c r="E4205" s="66"/>
      <c r="F4205" s="66"/>
    </row>
    <row r="4206" spans="4:6" x14ac:dyDescent="0.35">
      <c r="D4206" s="66"/>
      <c r="E4206" s="66"/>
      <c r="F4206" s="66"/>
    </row>
    <row r="4207" spans="4:6" x14ac:dyDescent="0.35">
      <c r="D4207" s="66"/>
      <c r="E4207" s="66"/>
      <c r="F4207" s="66"/>
    </row>
    <row r="4208" spans="4:6" x14ac:dyDescent="0.35">
      <c r="D4208" s="66"/>
      <c r="E4208" s="66"/>
      <c r="F4208" s="66"/>
    </row>
    <row r="4209" spans="4:6" x14ac:dyDescent="0.35">
      <c r="D4209" s="66"/>
      <c r="E4209" s="66"/>
      <c r="F4209" s="66"/>
    </row>
    <row r="4210" spans="4:6" x14ac:dyDescent="0.35">
      <c r="D4210" s="66"/>
      <c r="E4210" s="66"/>
      <c r="F4210" s="66"/>
    </row>
    <row r="4211" spans="4:6" x14ac:dyDescent="0.35">
      <c r="D4211" s="66"/>
      <c r="E4211" s="66"/>
      <c r="F4211" s="66"/>
    </row>
    <row r="4212" spans="4:6" x14ac:dyDescent="0.35">
      <c r="D4212" s="66"/>
      <c r="E4212" s="66"/>
      <c r="F4212" s="66"/>
    </row>
    <row r="4213" spans="4:6" x14ac:dyDescent="0.35">
      <c r="D4213" s="66"/>
      <c r="E4213" s="66"/>
      <c r="F4213" s="66"/>
    </row>
    <row r="4214" spans="4:6" x14ac:dyDescent="0.35">
      <c r="D4214" s="66"/>
      <c r="E4214" s="66"/>
      <c r="F4214" s="66"/>
    </row>
    <row r="4215" spans="4:6" x14ac:dyDescent="0.35">
      <c r="D4215" s="66"/>
      <c r="E4215" s="66"/>
      <c r="F4215" s="66"/>
    </row>
    <row r="4216" spans="4:6" x14ac:dyDescent="0.35">
      <c r="D4216" s="66"/>
      <c r="E4216" s="66"/>
      <c r="F4216" s="66"/>
    </row>
    <row r="4217" spans="4:6" x14ac:dyDescent="0.35">
      <c r="D4217" s="66"/>
      <c r="E4217" s="66"/>
      <c r="F4217" s="66"/>
    </row>
    <row r="4218" spans="4:6" x14ac:dyDescent="0.35">
      <c r="D4218" s="66"/>
      <c r="E4218" s="66"/>
      <c r="F4218" s="66"/>
    </row>
    <row r="4219" spans="4:6" x14ac:dyDescent="0.35">
      <c r="D4219" s="66"/>
      <c r="E4219" s="66"/>
      <c r="F4219" s="66"/>
    </row>
    <row r="4220" spans="4:6" x14ac:dyDescent="0.35">
      <c r="D4220" s="66"/>
      <c r="E4220" s="66"/>
      <c r="F4220" s="66"/>
    </row>
    <row r="4221" spans="4:6" x14ac:dyDescent="0.35">
      <c r="D4221" s="66"/>
      <c r="E4221" s="66"/>
      <c r="F4221" s="66"/>
    </row>
    <row r="4222" spans="4:6" x14ac:dyDescent="0.35">
      <c r="D4222" s="66"/>
      <c r="E4222" s="66"/>
      <c r="F4222" s="66"/>
    </row>
    <row r="4223" spans="4:6" x14ac:dyDescent="0.35">
      <c r="D4223" s="66"/>
      <c r="E4223" s="66"/>
      <c r="F4223" s="66"/>
    </row>
    <row r="4224" spans="4:6" x14ac:dyDescent="0.35">
      <c r="D4224" s="66"/>
      <c r="E4224" s="66"/>
      <c r="F4224" s="66"/>
    </row>
    <row r="4225" spans="4:6" x14ac:dyDescent="0.35">
      <c r="D4225" s="66"/>
      <c r="E4225" s="66"/>
      <c r="F4225" s="66"/>
    </row>
    <row r="4226" spans="4:6" x14ac:dyDescent="0.35">
      <c r="D4226" s="66"/>
      <c r="E4226" s="66"/>
      <c r="F4226" s="66"/>
    </row>
    <row r="4227" spans="4:6" x14ac:dyDescent="0.35">
      <c r="D4227" s="66"/>
      <c r="E4227" s="66"/>
      <c r="F4227" s="66"/>
    </row>
    <row r="4228" spans="4:6" x14ac:dyDescent="0.35">
      <c r="D4228" s="66"/>
      <c r="E4228" s="66"/>
      <c r="F4228" s="66"/>
    </row>
    <row r="4229" spans="4:6" x14ac:dyDescent="0.35">
      <c r="D4229" s="66"/>
      <c r="E4229" s="66"/>
      <c r="F4229" s="66"/>
    </row>
    <row r="4230" spans="4:6" x14ac:dyDescent="0.35">
      <c r="D4230" s="66"/>
      <c r="E4230" s="66"/>
      <c r="F4230" s="66"/>
    </row>
    <row r="4231" spans="4:6" x14ac:dyDescent="0.35">
      <c r="D4231" s="66"/>
      <c r="E4231" s="66"/>
      <c r="F4231" s="66"/>
    </row>
    <row r="4232" spans="4:6" x14ac:dyDescent="0.35">
      <c r="D4232" s="66"/>
      <c r="E4232" s="66"/>
      <c r="F4232" s="66"/>
    </row>
    <row r="4233" spans="4:6" x14ac:dyDescent="0.35">
      <c r="D4233" s="66"/>
      <c r="E4233" s="66"/>
      <c r="F4233" s="66"/>
    </row>
    <row r="4234" spans="4:6" x14ac:dyDescent="0.35">
      <c r="D4234" s="66"/>
      <c r="E4234" s="66"/>
      <c r="F4234" s="66"/>
    </row>
    <row r="4235" spans="4:6" x14ac:dyDescent="0.35">
      <c r="D4235" s="66"/>
      <c r="E4235" s="66"/>
      <c r="F4235" s="66"/>
    </row>
    <row r="4236" spans="4:6" x14ac:dyDescent="0.35">
      <c r="D4236" s="66"/>
      <c r="E4236" s="66"/>
      <c r="F4236" s="66"/>
    </row>
    <row r="4237" spans="4:6" x14ac:dyDescent="0.35">
      <c r="D4237" s="66"/>
      <c r="E4237" s="66"/>
      <c r="F4237" s="66"/>
    </row>
    <row r="4238" spans="4:6" x14ac:dyDescent="0.35">
      <c r="D4238" s="66"/>
      <c r="E4238" s="66"/>
      <c r="F4238" s="66"/>
    </row>
    <row r="4239" spans="4:6" x14ac:dyDescent="0.35">
      <c r="D4239" s="66"/>
      <c r="E4239" s="66"/>
      <c r="F4239" s="66"/>
    </row>
    <row r="4240" spans="4:6" x14ac:dyDescent="0.35">
      <c r="D4240" s="66"/>
      <c r="E4240" s="66"/>
      <c r="F4240" s="66"/>
    </row>
    <row r="4241" spans="4:6" x14ac:dyDescent="0.35">
      <c r="D4241" s="66"/>
      <c r="E4241" s="66"/>
      <c r="F4241" s="66"/>
    </row>
    <row r="4242" spans="4:6" x14ac:dyDescent="0.35">
      <c r="D4242" s="66"/>
      <c r="E4242" s="66"/>
      <c r="F4242" s="66"/>
    </row>
    <row r="4243" spans="4:6" x14ac:dyDescent="0.35">
      <c r="D4243" s="66"/>
      <c r="E4243" s="66"/>
      <c r="F4243" s="66"/>
    </row>
    <row r="4244" spans="4:6" x14ac:dyDescent="0.35">
      <c r="D4244" s="66"/>
      <c r="E4244" s="66"/>
      <c r="F4244" s="66"/>
    </row>
    <row r="4245" spans="4:6" x14ac:dyDescent="0.35">
      <c r="D4245" s="66"/>
      <c r="E4245" s="66"/>
      <c r="F4245" s="66"/>
    </row>
    <row r="4246" spans="4:6" x14ac:dyDescent="0.35">
      <c r="D4246" s="66"/>
      <c r="E4246" s="66"/>
      <c r="F4246" s="66"/>
    </row>
    <row r="4247" spans="4:6" x14ac:dyDescent="0.35">
      <c r="D4247" s="66"/>
      <c r="E4247" s="66"/>
      <c r="F4247" s="66"/>
    </row>
    <row r="4248" spans="4:6" x14ac:dyDescent="0.35">
      <c r="D4248" s="66"/>
      <c r="E4248" s="66"/>
      <c r="F4248" s="66"/>
    </row>
    <row r="4249" spans="4:6" x14ac:dyDescent="0.35">
      <c r="D4249" s="66"/>
      <c r="E4249" s="66"/>
      <c r="F4249" s="66"/>
    </row>
    <row r="4250" spans="4:6" x14ac:dyDescent="0.35">
      <c r="D4250" s="66"/>
      <c r="E4250" s="66"/>
      <c r="F4250" s="66"/>
    </row>
    <row r="4251" spans="4:6" x14ac:dyDescent="0.35">
      <c r="D4251" s="66"/>
      <c r="E4251" s="66"/>
      <c r="F4251" s="66"/>
    </row>
    <row r="4252" spans="4:6" x14ac:dyDescent="0.35">
      <c r="D4252" s="66"/>
      <c r="E4252" s="66"/>
      <c r="F4252" s="66"/>
    </row>
    <row r="4253" spans="4:6" x14ac:dyDescent="0.35">
      <c r="D4253" s="66"/>
      <c r="E4253" s="66"/>
      <c r="F4253" s="66"/>
    </row>
    <row r="4254" spans="4:6" x14ac:dyDescent="0.35">
      <c r="D4254" s="66"/>
      <c r="E4254" s="66"/>
      <c r="F4254" s="66"/>
    </row>
    <row r="4255" spans="4:6" x14ac:dyDescent="0.35">
      <c r="D4255" s="66"/>
      <c r="E4255" s="66"/>
      <c r="F4255" s="66"/>
    </row>
    <row r="4256" spans="4:6" x14ac:dyDescent="0.35">
      <c r="D4256" s="66"/>
      <c r="E4256" s="66"/>
      <c r="F4256" s="66"/>
    </row>
    <row r="4257" spans="4:6" x14ac:dyDescent="0.35">
      <c r="D4257" s="66"/>
      <c r="E4257" s="66"/>
      <c r="F4257" s="66"/>
    </row>
    <row r="4258" spans="4:6" x14ac:dyDescent="0.35">
      <c r="D4258" s="66"/>
      <c r="E4258" s="66"/>
      <c r="F4258" s="66"/>
    </row>
    <row r="4259" spans="4:6" x14ac:dyDescent="0.35">
      <c r="D4259" s="66"/>
      <c r="E4259" s="66"/>
      <c r="F4259" s="66"/>
    </row>
    <row r="4260" spans="4:6" x14ac:dyDescent="0.35">
      <c r="D4260" s="66"/>
      <c r="E4260" s="66"/>
      <c r="F4260" s="66"/>
    </row>
    <row r="4261" spans="4:6" x14ac:dyDescent="0.35">
      <c r="D4261" s="66"/>
      <c r="E4261" s="66"/>
      <c r="F4261" s="66"/>
    </row>
    <row r="4262" spans="4:6" x14ac:dyDescent="0.35">
      <c r="D4262" s="66"/>
      <c r="E4262" s="66"/>
      <c r="F4262" s="66"/>
    </row>
    <row r="4263" spans="4:6" x14ac:dyDescent="0.35">
      <c r="D4263" s="66"/>
      <c r="E4263" s="66"/>
      <c r="F4263" s="66"/>
    </row>
    <row r="4264" spans="4:6" x14ac:dyDescent="0.35">
      <c r="D4264" s="66"/>
      <c r="E4264" s="66"/>
      <c r="F4264" s="66"/>
    </row>
    <row r="4265" spans="4:6" x14ac:dyDescent="0.35">
      <c r="D4265" s="66"/>
      <c r="E4265" s="66"/>
      <c r="F4265" s="66"/>
    </row>
    <row r="4266" spans="4:6" x14ac:dyDescent="0.35">
      <c r="D4266" s="66"/>
      <c r="E4266" s="66"/>
      <c r="F4266" s="66"/>
    </row>
    <row r="4267" spans="4:6" x14ac:dyDescent="0.35">
      <c r="D4267" s="66"/>
      <c r="E4267" s="66"/>
      <c r="F4267" s="66"/>
    </row>
    <row r="4268" spans="4:6" x14ac:dyDescent="0.35">
      <c r="D4268" s="66"/>
      <c r="E4268" s="66"/>
      <c r="F4268" s="66"/>
    </row>
    <row r="4269" spans="4:6" x14ac:dyDescent="0.35">
      <c r="D4269" s="66"/>
      <c r="E4269" s="66"/>
      <c r="F4269" s="66"/>
    </row>
    <row r="4270" spans="4:6" x14ac:dyDescent="0.35">
      <c r="D4270" s="66"/>
      <c r="E4270" s="66"/>
      <c r="F4270" s="66"/>
    </row>
    <row r="4271" spans="4:6" x14ac:dyDescent="0.35">
      <c r="D4271" s="66"/>
      <c r="E4271" s="66"/>
      <c r="F4271" s="66"/>
    </row>
    <row r="4272" spans="4:6" x14ac:dyDescent="0.35">
      <c r="D4272" s="66"/>
      <c r="E4272" s="66"/>
      <c r="F4272" s="66"/>
    </row>
    <row r="4273" spans="4:6" x14ac:dyDescent="0.35">
      <c r="D4273" s="66"/>
      <c r="E4273" s="66"/>
      <c r="F4273" s="66"/>
    </row>
    <row r="4274" spans="4:6" x14ac:dyDescent="0.35">
      <c r="D4274" s="66"/>
      <c r="E4274" s="66"/>
      <c r="F4274" s="66"/>
    </row>
    <row r="4275" spans="4:6" x14ac:dyDescent="0.35">
      <c r="D4275" s="66"/>
      <c r="E4275" s="66"/>
      <c r="F4275" s="66"/>
    </row>
    <row r="4276" spans="4:6" x14ac:dyDescent="0.35">
      <c r="D4276" s="66"/>
      <c r="E4276" s="66"/>
      <c r="F4276" s="66"/>
    </row>
    <row r="4277" spans="4:6" x14ac:dyDescent="0.35">
      <c r="D4277" s="66"/>
      <c r="E4277" s="66"/>
      <c r="F4277" s="66"/>
    </row>
    <row r="4278" spans="4:6" x14ac:dyDescent="0.35">
      <c r="D4278" s="66"/>
      <c r="E4278" s="66"/>
      <c r="F4278" s="66"/>
    </row>
    <row r="4279" spans="4:6" x14ac:dyDescent="0.35">
      <c r="D4279" s="66"/>
      <c r="E4279" s="66"/>
      <c r="F4279" s="66"/>
    </row>
    <row r="4280" spans="4:6" x14ac:dyDescent="0.35">
      <c r="D4280" s="66"/>
      <c r="E4280" s="66"/>
      <c r="F4280" s="66"/>
    </row>
    <row r="4281" spans="4:6" x14ac:dyDescent="0.35">
      <c r="D4281" s="66"/>
      <c r="E4281" s="66"/>
      <c r="F4281" s="66"/>
    </row>
    <row r="4282" spans="4:6" x14ac:dyDescent="0.35">
      <c r="D4282" s="66"/>
      <c r="E4282" s="66"/>
      <c r="F4282" s="66"/>
    </row>
    <row r="4283" spans="4:6" x14ac:dyDescent="0.35">
      <c r="D4283" s="66"/>
      <c r="E4283" s="66"/>
      <c r="F4283" s="66"/>
    </row>
    <row r="4284" spans="4:6" x14ac:dyDescent="0.35">
      <c r="D4284" s="66"/>
      <c r="E4284" s="66"/>
      <c r="F4284" s="66"/>
    </row>
    <row r="4285" spans="4:6" x14ac:dyDescent="0.35">
      <c r="D4285" s="66"/>
      <c r="E4285" s="66"/>
      <c r="F4285" s="66"/>
    </row>
    <row r="4286" spans="4:6" x14ac:dyDescent="0.35">
      <c r="D4286" s="66"/>
      <c r="E4286" s="66"/>
      <c r="F4286" s="66"/>
    </row>
    <row r="4287" spans="4:6" x14ac:dyDescent="0.35">
      <c r="D4287" s="66"/>
      <c r="E4287" s="66"/>
      <c r="F4287" s="66"/>
    </row>
    <row r="4288" spans="4:6" x14ac:dyDescent="0.35">
      <c r="D4288" s="66"/>
      <c r="E4288" s="66"/>
      <c r="F4288" s="66"/>
    </row>
    <row r="4289" spans="4:6" x14ac:dyDescent="0.35">
      <c r="D4289" s="66"/>
      <c r="E4289" s="66"/>
      <c r="F4289" s="66"/>
    </row>
    <row r="4290" spans="4:6" x14ac:dyDescent="0.35">
      <c r="D4290" s="66"/>
      <c r="E4290" s="66"/>
      <c r="F4290" s="66"/>
    </row>
    <row r="4291" spans="4:6" x14ac:dyDescent="0.35">
      <c r="D4291" s="66"/>
      <c r="E4291" s="66"/>
      <c r="F4291" s="66"/>
    </row>
    <row r="4292" spans="4:6" x14ac:dyDescent="0.35">
      <c r="D4292" s="66"/>
      <c r="E4292" s="66"/>
      <c r="F4292" s="66"/>
    </row>
    <row r="4293" spans="4:6" x14ac:dyDescent="0.35">
      <c r="D4293" s="66"/>
      <c r="E4293" s="66"/>
      <c r="F4293" s="66"/>
    </row>
    <row r="4294" spans="4:6" x14ac:dyDescent="0.35">
      <c r="D4294" s="66"/>
      <c r="E4294" s="66"/>
      <c r="F4294" s="66"/>
    </row>
    <row r="4295" spans="4:6" x14ac:dyDescent="0.35">
      <c r="D4295" s="66"/>
      <c r="E4295" s="66"/>
      <c r="F4295" s="66"/>
    </row>
    <row r="4296" spans="4:6" x14ac:dyDescent="0.35">
      <c r="D4296" s="66"/>
      <c r="E4296" s="66"/>
      <c r="F4296" s="66"/>
    </row>
    <row r="4297" spans="4:6" x14ac:dyDescent="0.35">
      <c r="D4297" s="66"/>
      <c r="E4297" s="66"/>
      <c r="F4297" s="66"/>
    </row>
    <row r="4298" spans="4:6" x14ac:dyDescent="0.35">
      <c r="D4298" s="66"/>
      <c r="E4298" s="66"/>
      <c r="F4298" s="66"/>
    </row>
    <row r="4299" spans="4:6" x14ac:dyDescent="0.35">
      <c r="D4299" s="66"/>
      <c r="E4299" s="66"/>
      <c r="F4299" s="66"/>
    </row>
    <row r="4300" spans="4:6" x14ac:dyDescent="0.35">
      <c r="D4300" s="66"/>
      <c r="E4300" s="66"/>
      <c r="F4300" s="66"/>
    </row>
    <row r="4301" spans="4:6" x14ac:dyDescent="0.35">
      <c r="D4301" s="66"/>
      <c r="E4301" s="66"/>
      <c r="F4301" s="66"/>
    </row>
    <row r="4302" spans="4:6" x14ac:dyDescent="0.35">
      <c r="D4302" s="66"/>
      <c r="E4302" s="66"/>
      <c r="F4302" s="66"/>
    </row>
    <row r="4303" spans="4:6" x14ac:dyDescent="0.35">
      <c r="D4303" s="66"/>
      <c r="E4303" s="66"/>
      <c r="F4303" s="66"/>
    </row>
    <row r="4304" spans="4:6" x14ac:dyDescent="0.35">
      <c r="D4304" s="66"/>
      <c r="E4304" s="66"/>
      <c r="F4304" s="66"/>
    </row>
    <row r="4305" spans="4:6" x14ac:dyDescent="0.35">
      <c r="D4305" s="66"/>
      <c r="E4305" s="66"/>
      <c r="F4305" s="66"/>
    </row>
    <row r="4306" spans="4:6" x14ac:dyDescent="0.35">
      <c r="D4306" s="66"/>
      <c r="E4306" s="66"/>
      <c r="F4306" s="66"/>
    </row>
    <row r="4307" spans="4:6" x14ac:dyDescent="0.35">
      <c r="D4307" s="66"/>
      <c r="E4307" s="66"/>
      <c r="F4307" s="66"/>
    </row>
    <row r="4308" spans="4:6" x14ac:dyDescent="0.35">
      <c r="D4308" s="66"/>
      <c r="E4308" s="66"/>
      <c r="F4308" s="66"/>
    </row>
    <row r="4309" spans="4:6" x14ac:dyDescent="0.35">
      <c r="D4309" s="66"/>
      <c r="E4309" s="66"/>
      <c r="F4309" s="66"/>
    </row>
    <row r="4310" spans="4:6" x14ac:dyDescent="0.35">
      <c r="D4310" s="66"/>
      <c r="E4310" s="66"/>
      <c r="F4310" s="66"/>
    </row>
    <row r="4311" spans="4:6" x14ac:dyDescent="0.35">
      <c r="D4311" s="66"/>
      <c r="E4311" s="66"/>
      <c r="F4311" s="66"/>
    </row>
    <row r="4312" spans="4:6" x14ac:dyDescent="0.35">
      <c r="D4312" s="66"/>
      <c r="E4312" s="66"/>
      <c r="F4312" s="66"/>
    </row>
    <row r="4313" spans="4:6" x14ac:dyDescent="0.35">
      <c r="D4313" s="66"/>
      <c r="E4313" s="66"/>
      <c r="F4313" s="66"/>
    </row>
    <row r="4314" spans="4:6" x14ac:dyDescent="0.35">
      <c r="D4314" s="66"/>
      <c r="E4314" s="66"/>
      <c r="F4314" s="66"/>
    </row>
    <row r="4315" spans="4:6" x14ac:dyDescent="0.35">
      <c r="D4315" s="66"/>
      <c r="E4315" s="66"/>
      <c r="F4315" s="66"/>
    </row>
    <row r="4316" spans="4:6" x14ac:dyDescent="0.35">
      <c r="D4316" s="66"/>
      <c r="E4316" s="66"/>
      <c r="F4316" s="66"/>
    </row>
    <row r="4317" spans="4:6" x14ac:dyDescent="0.35">
      <c r="D4317" s="66"/>
      <c r="E4317" s="66"/>
      <c r="F4317" s="66"/>
    </row>
    <row r="4318" spans="4:6" x14ac:dyDescent="0.35">
      <c r="D4318" s="66"/>
      <c r="E4318" s="66"/>
      <c r="F4318" s="66"/>
    </row>
    <row r="4319" spans="4:6" x14ac:dyDescent="0.35">
      <c r="D4319" s="66"/>
      <c r="E4319" s="66"/>
      <c r="F4319" s="66"/>
    </row>
    <row r="4320" spans="4:6" x14ac:dyDescent="0.35">
      <c r="D4320" s="66"/>
      <c r="E4320" s="66"/>
      <c r="F4320" s="66"/>
    </row>
    <row r="4321" spans="4:6" x14ac:dyDescent="0.35">
      <c r="D4321" s="66"/>
      <c r="E4321" s="66"/>
      <c r="F4321" s="66"/>
    </row>
    <row r="4322" spans="4:6" x14ac:dyDescent="0.35">
      <c r="D4322" s="66"/>
      <c r="E4322" s="66"/>
      <c r="F4322" s="66"/>
    </row>
    <row r="4323" spans="4:6" x14ac:dyDescent="0.35">
      <c r="D4323" s="66"/>
      <c r="E4323" s="66"/>
      <c r="F4323" s="66"/>
    </row>
    <row r="4324" spans="4:6" x14ac:dyDescent="0.35">
      <c r="D4324" s="66"/>
      <c r="E4324" s="66"/>
      <c r="F4324" s="66"/>
    </row>
    <row r="4325" spans="4:6" x14ac:dyDescent="0.35">
      <c r="D4325" s="66"/>
      <c r="E4325" s="66"/>
      <c r="F4325" s="66"/>
    </row>
    <row r="4326" spans="4:6" x14ac:dyDescent="0.35">
      <c r="D4326" s="66"/>
      <c r="E4326" s="66"/>
      <c r="F4326" s="66"/>
    </row>
    <row r="4327" spans="4:6" x14ac:dyDescent="0.35">
      <c r="D4327" s="66"/>
      <c r="E4327" s="66"/>
      <c r="F4327" s="66"/>
    </row>
    <row r="4328" spans="4:6" x14ac:dyDescent="0.35">
      <c r="D4328" s="66"/>
      <c r="E4328" s="66"/>
      <c r="F4328" s="66"/>
    </row>
    <row r="4329" spans="4:6" x14ac:dyDescent="0.35">
      <c r="D4329" s="66"/>
      <c r="E4329" s="66"/>
      <c r="F4329" s="66"/>
    </row>
    <row r="4330" spans="4:6" x14ac:dyDescent="0.35">
      <c r="D4330" s="66"/>
      <c r="E4330" s="66"/>
      <c r="F4330" s="66"/>
    </row>
    <row r="4331" spans="4:6" x14ac:dyDescent="0.35">
      <c r="D4331" s="66"/>
      <c r="E4331" s="66"/>
      <c r="F4331" s="66"/>
    </row>
    <row r="4332" spans="4:6" x14ac:dyDescent="0.35">
      <c r="D4332" s="66"/>
      <c r="E4332" s="66"/>
      <c r="F4332" s="66"/>
    </row>
    <row r="4333" spans="4:6" x14ac:dyDescent="0.35">
      <c r="D4333" s="66"/>
      <c r="E4333" s="66"/>
      <c r="F4333" s="66"/>
    </row>
    <row r="4334" spans="4:6" x14ac:dyDescent="0.35">
      <c r="D4334" s="66"/>
      <c r="E4334" s="66"/>
      <c r="F4334" s="66"/>
    </row>
    <row r="4335" spans="4:6" x14ac:dyDescent="0.35">
      <c r="D4335" s="66"/>
      <c r="E4335" s="66"/>
      <c r="F4335" s="66"/>
    </row>
    <row r="4336" spans="4:6" x14ac:dyDescent="0.35">
      <c r="D4336" s="66"/>
      <c r="E4336" s="66"/>
      <c r="F4336" s="66"/>
    </row>
    <row r="4337" spans="4:6" x14ac:dyDescent="0.35">
      <c r="D4337" s="66"/>
      <c r="E4337" s="66"/>
      <c r="F4337" s="66"/>
    </row>
    <row r="4338" spans="4:6" x14ac:dyDescent="0.35">
      <c r="D4338" s="66"/>
      <c r="E4338" s="66"/>
      <c r="F4338" s="66"/>
    </row>
    <row r="4339" spans="4:6" x14ac:dyDescent="0.35">
      <c r="D4339" s="66"/>
      <c r="E4339" s="66"/>
      <c r="F4339" s="66"/>
    </row>
    <row r="4340" spans="4:6" x14ac:dyDescent="0.35">
      <c r="D4340" s="66"/>
      <c r="E4340" s="66"/>
      <c r="F4340" s="66"/>
    </row>
    <row r="4341" spans="4:6" x14ac:dyDescent="0.35">
      <c r="D4341" s="66"/>
      <c r="E4341" s="66"/>
      <c r="F4341" s="66"/>
    </row>
    <row r="4342" spans="4:6" x14ac:dyDescent="0.35">
      <c r="D4342" s="66"/>
      <c r="E4342" s="66"/>
      <c r="F4342" s="66"/>
    </row>
    <row r="4343" spans="4:6" x14ac:dyDescent="0.35">
      <c r="D4343" s="66"/>
      <c r="E4343" s="66"/>
      <c r="F4343" s="66"/>
    </row>
    <row r="4344" spans="4:6" x14ac:dyDescent="0.35">
      <c r="D4344" s="66"/>
      <c r="E4344" s="66"/>
      <c r="F4344" s="66"/>
    </row>
    <row r="4345" spans="4:6" x14ac:dyDescent="0.35">
      <c r="D4345" s="66"/>
      <c r="E4345" s="66"/>
      <c r="F4345" s="66"/>
    </row>
    <row r="4346" spans="4:6" x14ac:dyDescent="0.35">
      <c r="D4346" s="66"/>
      <c r="E4346" s="66"/>
      <c r="F4346" s="66"/>
    </row>
    <row r="4347" spans="4:6" x14ac:dyDescent="0.35">
      <c r="D4347" s="66"/>
      <c r="E4347" s="66"/>
      <c r="F4347" s="66"/>
    </row>
    <row r="4348" spans="4:6" x14ac:dyDescent="0.35">
      <c r="D4348" s="66"/>
      <c r="E4348" s="66"/>
      <c r="F4348" s="66"/>
    </row>
    <row r="4349" spans="4:6" x14ac:dyDescent="0.35">
      <c r="D4349" s="66"/>
      <c r="E4349" s="66"/>
      <c r="F4349" s="66"/>
    </row>
    <row r="4350" spans="4:6" x14ac:dyDescent="0.35">
      <c r="D4350" s="66"/>
      <c r="E4350" s="66"/>
      <c r="F4350" s="66"/>
    </row>
    <row r="4351" spans="4:6" x14ac:dyDescent="0.35">
      <c r="D4351" s="66"/>
      <c r="E4351" s="66"/>
      <c r="F4351" s="66"/>
    </row>
    <row r="4352" spans="4:6" x14ac:dyDescent="0.35">
      <c r="D4352" s="66"/>
      <c r="E4352" s="66"/>
      <c r="F4352" s="66"/>
    </row>
    <row r="4353" spans="4:6" x14ac:dyDescent="0.35">
      <c r="D4353" s="66"/>
      <c r="E4353" s="66"/>
      <c r="F4353" s="66"/>
    </row>
    <row r="4354" spans="4:6" x14ac:dyDescent="0.35">
      <c r="D4354" s="66"/>
      <c r="E4354" s="66"/>
      <c r="F4354" s="66"/>
    </row>
    <row r="4355" spans="4:6" x14ac:dyDescent="0.35">
      <c r="D4355" s="66"/>
      <c r="E4355" s="66"/>
      <c r="F4355" s="66"/>
    </row>
    <row r="4356" spans="4:6" x14ac:dyDescent="0.35">
      <c r="D4356" s="66"/>
      <c r="E4356" s="66"/>
      <c r="F4356" s="66"/>
    </row>
    <row r="4357" spans="4:6" x14ac:dyDescent="0.35">
      <c r="D4357" s="66"/>
      <c r="E4357" s="66"/>
      <c r="F4357" s="66"/>
    </row>
    <row r="4358" spans="4:6" x14ac:dyDescent="0.35">
      <c r="D4358" s="66"/>
      <c r="E4358" s="66"/>
      <c r="F4358" s="66"/>
    </row>
    <row r="4359" spans="4:6" x14ac:dyDescent="0.35">
      <c r="D4359" s="66"/>
      <c r="E4359" s="66"/>
      <c r="F4359" s="66"/>
    </row>
    <row r="4360" spans="4:6" x14ac:dyDescent="0.35">
      <c r="D4360" s="66"/>
      <c r="E4360" s="66"/>
      <c r="F4360" s="66"/>
    </row>
    <row r="4361" spans="4:6" x14ac:dyDescent="0.35">
      <c r="D4361" s="66"/>
      <c r="E4361" s="66"/>
      <c r="F4361" s="66"/>
    </row>
    <row r="4362" spans="4:6" x14ac:dyDescent="0.35">
      <c r="D4362" s="66"/>
      <c r="E4362" s="66"/>
      <c r="F4362" s="66"/>
    </row>
    <row r="4363" spans="4:6" x14ac:dyDescent="0.35">
      <c r="D4363" s="66"/>
      <c r="E4363" s="66"/>
      <c r="F4363" s="66"/>
    </row>
    <row r="4364" spans="4:6" x14ac:dyDescent="0.35">
      <c r="D4364" s="66"/>
      <c r="E4364" s="66"/>
      <c r="F4364" s="66"/>
    </row>
    <row r="4365" spans="4:6" x14ac:dyDescent="0.35">
      <c r="D4365" s="66"/>
      <c r="E4365" s="66"/>
      <c r="F4365" s="66"/>
    </row>
    <row r="4366" spans="4:6" x14ac:dyDescent="0.35">
      <c r="D4366" s="66"/>
      <c r="E4366" s="66"/>
      <c r="F4366" s="66"/>
    </row>
    <row r="4367" spans="4:6" x14ac:dyDescent="0.35">
      <c r="D4367" s="66"/>
      <c r="E4367" s="66"/>
      <c r="F4367" s="66"/>
    </row>
    <row r="4368" spans="4:6" x14ac:dyDescent="0.35">
      <c r="D4368" s="66"/>
      <c r="E4368" s="66"/>
      <c r="F4368" s="66"/>
    </row>
    <row r="4369" spans="4:6" x14ac:dyDescent="0.35">
      <c r="D4369" s="66"/>
      <c r="E4369" s="66"/>
      <c r="F4369" s="66"/>
    </row>
    <row r="4370" spans="4:6" x14ac:dyDescent="0.35">
      <c r="D4370" s="66"/>
      <c r="E4370" s="66"/>
      <c r="F4370" s="66"/>
    </row>
    <row r="4371" spans="4:6" x14ac:dyDescent="0.35">
      <c r="D4371" s="66"/>
      <c r="E4371" s="66"/>
      <c r="F4371" s="66"/>
    </row>
    <row r="4372" spans="4:6" x14ac:dyDescent="0.35">
      <c r="D4372" s="66"/>
      <c r="E4372" s="66"/>
      <c r="F4372" s="66"/>
    </row>
    <row r="4373" spans="4:6" x14ac:dyDescent="0.35">
      <c r="D4373" s="66"/>
      <c r="E4373" s="66"/>
      <c r="F4373" s="66"/>
    </row>
    <row r="4374" spans="4:6" x14ac:dyDescent="0.35">
      <c r="D4374" s="66"/>
      <c r="E4374" s="66"/>
      <c r="F4374" s="66"/>
    </row>
    <row r="4375" spans="4:6" x14ac:dyDescent="0.35">
      <c r="D4375" s="66"/>
      <c r="E4375" s="66"/>
      <c r="F4375" s="66"/>
    </row>
    <row r="4376" spans="4:6" x14ac:dyDescent="0.35">
      <c r="D4376" s="66"/>
      <c r="E4376" s="66"/>
      <c r="F4376" s="66"/>
    </row>
    <row r="4377" spans="4:6" x14ac:dyDescent="0.35">
      <c r="D4377" s="66"/>
      <c r="E4377" s="66"/>
      <c r="F4377" s="66"/>
    </row>
    <row r="4378" spans="4:6" x14ac:dyDescent="0.35">
      <c r="D4378" s="66"/>
      <c r="E4378" s="66"/>
      <c r="F4378" s="66"/>
    </row>
    <row r="4379" spans="4:6" x14ac:dyDescent="0.35">
      <c r="D4379" s="66"/>
      <c r="E4379" s="66"/>
      <c r="F4379" s="66"/>
    </row>
    <row r="4380" spans="4:6" x14ac:dyDescent="0.35">
      <c r="D4380" s="66"/>
      <c r="E4380" s="66"/>
      <c r="F4380" s="66"/>
    </row>
    <row r="4381" spans="4:6" x14ac:dyDescent="0.35">
      <c r="D4381" s="66"/>
      <c r="E4381" s="66"/>
      <c r="F4381" s="66"/>
    </row>
    <row r="4382" spans="4:6" x14ac:dyDescent="0.35">
      <c r="D4382" s="66"/>
      <c r="E4382" s="66"/>
      <c r="F4382" s="66"/>
    </row>
    <row r="4383" spans="4:6" x14ac:dyDescent="0.35">
      <c r="D4383" s="66"/>
      <c r="E4383" s="66"/>
      <c r="F4383" s="66"/>
    </row>
    <row r="4384" spans="4:6" x14ac:dyDescent="0.35">
      <c r="D4384" s="66"/>
      <c r="E4384" s="66"/>
      <c r="F4384" s="66"/>
    </row>
    <row r="4385" spans="4:6" x14ac:dyDescent="0.35">
      <c r="D4385" s="66"/>
      <c r="E4385" s="66"/>
      <c r="F4385" s="66"/>
    </row>
    <row r="4386" spans="4:6" x14ac:dyDescent="0.35">
      <c r="D4386" s="66"/>
      <c r="E4386" s="66"/>
      <c r="F4386" s="66"/>
    </row>
    <row r="4387" spans="4:6" x14ac:dyDescent="0.35">
      <c r="D4387" s="66"/>
      <c r="E4387" s="66"/>
      <c r="F4387" s="66"/>
    </row>
    <row r="4388" spans="4:6" x14ac:dyDescent="0.35">
      <c r="D4388" s="66"/>
      <c r="E4388" s="66"/>
      <c r="F4388" s="66"/>
    </row>
    <row r="4389" spans="4:6" x14ac:dyDescent="0.35">
      <c r="D4389" s="66"/>
      <c r="E4389" s="66"/>
      <c r="F4389" s="66"/>
    </row>
    <row r="4390" spans="4:6" x14ac:dyDescent="0.35">
      <c r="D4390" s="66"/>
      <c r="E4390" s="66"/>
      <c r="F4390" s="66"/>
    </row>
    <row r="4391" spans="4:6" x14ac:dyDescent="0.35">
      <c r="D4391" s="66"/>
      <c r="E4391" s="66"/>
      <c r="F4391" s="66"/>
    </row>
    <row r="4392" spans="4:6" x14ac:dyDescent="0.35">
      <c r="D4392" s="66"/>
      <c r="E4392" s="66"/>
      <c r="F4392" s="66"/>
    </row>
    <row r="4393" spans="4:6" x14ac:dyDescent="0.35">
      <c r="D4393" s="66"/>
      <c r="E4393" s="66"/>
      <c r="F4393" s="66"/>
    </row>
    <row r="4394" spans="4:6" x14ac:dyDescent="0.35">
      <c r="D4394" s="66"/>
      <c r="E4394" s="66"/>
      <c r="F4394" s="66"/>
    </row>
    <row r="4395" spans="4:6" x14ac:dyDescent="0.35">
      <c r="D4395" s="66"/>
      <c r="E4395" s="66"/>
      <c r="F4395" s="66"/>
    </row>
    <row r="4396" spans="4:6" x14ac:dyDescent="0.35">
      <c r="D4396" s="66"/>
      <c r="E4396" s="66"/>
      <c r="F4396" s="66"/>
    </row>
    <row r="4397" spans="4:6" x14ac:dyDescent="0.35">
      <c r="D4397" s="66"/>
      <c r="E4397" s="66"/>
      <c r="F4397" s="66"/>
    </row>
    <row r="4398" spans="4:6" x14ac:dyDescent="0.35">
      <c r="D4398" s="66"/>
      <c r="E4398" s="66"/>
      <c r="F4398" s="66"/>
    </row>
    <row r="4399" spans="4:6" x14ac:dyDescent="0.35">
      <c r="D4399" s="66"/>
      <c r="E4399" s="66"/>
      <c r="F4399" s="66"/>
    </row>
    <row r="4400" spans="4:6" x14ac:dyDescent="0.35">
      <c r="D4400" s="66"/>
      <c r="E4400" s="66"/>
      <c r="F4400" s="66"/>
    </row>
    <row r="4401" spans="4:6" x14ac:dyDescent="0.35">
      <c r="D4401" s="66"/>
      <c r="E4401" s="66"/>
      <c r="F4401" s="66"/>
    </row>
    <row r="4402" spans="4:6" x14ac:dyDescent="0.35">
      <c r="D4402" s="66"/>
      <c r="E4402" s="66"/>
      <c r="F4402" s="66"/>
    </row>
    <row r="4403" spans="4:6" x14ac:dyDescent="0.35">
      <c r="D4403" s="66"/>
      <c r="E4403" s="66"/>
      <c r="F4403" s="66"/>
    </row>
    <row r="4404" spans="4:6" x14ac:dyDescent="0.35">
      <c r="D4404" s="66"/>
      <c r="E4404" s="66"/>
      <c r="F4404" s="66"/>
    </row>
    <row r="4405" spans="4:6" x14ac:dyDescent="0.35">
      <c r="D4405" s="66"/>
      <c r="E4405" s="66"/>
      <c r="F4405" s="66"/>
    </row>
    <row r="4406" spans="4:6" x14ac:dyDescent="0.35">
      <c r="D4406" s="66"/>
      <c r="E4406" s="66"/>
      <c r="F4406" s="66"/>
    </row>
    <row r="4407" spans="4:6" x14ac:dyDescent="0.35">
      <c r="D4407" s="66"/>
      <c r="E4407" s="66"/>
      <c r="F4407" s="66"/>
    </row>
    <row r="4408" spans="4:6" x14ac:dyDescent="0.35">
      <c r="D4408" s="66"/>
      <c r="E4408" s="66"/>
      <c r="F4408" s="66"/>
    </row>
    <row r="4409" spans="4:6" x14ac:dyDescent="0.35">
      <c r="D4409" s="66"/>
      <c r="E4409" s="66"/>
      <c r="F4409" s="66"/>
    </row>
    <row r="4410" spans="4:6" x14ac:dyDescent="0.35">
      <c r="D4410" s="66"/>
      <c r="E4410" s="66"/>
      <c r="F4410" s="66"/>
    </row>
    <row r="4411" spans="4:6" x14ac:dyDescent="0.35">
      <c r="D4411" s="66"/>
      <c r="E4411" s="66"/>
      <c r="F4411" s="66"/>
    </row>
    <row r="4412" spans="4:6" x14ac:dyDescent="0.35">
      <c r="D4412" s="66"/>
      <c r="E4412" s="66"/>
      <c r="F4412" s="66"/>
    </row>
    <row r="4413" spans="4:6" x14ac:dyDescent="0.35">
      <c r="D4413" s="66"/>
      <c r="E4413" s="66"/>
      <c r="F4413" s="66"/>
    </row>
    <row r="4414" spans="4:6" x14ac:dyDescent="0.35">
      <c r="D4414" s="66"/>
      <c r="E4414" s="66"/>
      <c r="F4414" s="66"/>
    </row>
    <row r="4415" spans="4:6" x14ac:dyDescent="0.35">
      <c r="D4415" s="66"/>
      <c r="E4415" s="66"/>
      <c r="F4415" s="66"/>
    </row>
    <row r="4416" spans="4:6" x14ac:dyDescent="0.35">
      <c r="D4416" s="66"/>
      <c r="E4416" s="66"/>
      <c r="F4416" s="66"/>
    </row>
    <row r="4417" spans="4:6" x14ac:dyDescent="0.35">
      <c r="D4417" s="66"/>
      <c r="E4417" s="66"/>
      <c r="F4417" s="66"/>
    </row>
    <row r="4418" spans="4:6" x14ac:dyDescent="0.35">
      <c r="D4418" s="66"/>
      <c r="E4418" s="66"/>
      <c r="F4418" s="66"/>
    </row>
    <row r="4419" spans="4:6" x14ac:dyDescent="0.35">
      <c r="D4419" s="66"/>
      <c r="E4419" s="66"/>
      <c r="F4419" s="66"/>
    </row>
    <row r="4420" spans="4:6" x14ac:dyDescent="0.35">
      <c r="D4420" s="66"/>
      <c r="E4420" s="66"/>
      <c r="F4420" s="66"/>
    </row>
    <row r="4421" spans="4:6" x14ac:dyDescent="0.35">
      <c r="D4421" s="66"/>
      <c r="E4421" s="66"/>
      <c r="F4421" s="66"/>
    </row>
    <row r="4422" spans="4:6" x14ac:dyDescent="0.35">
      <c r="D4422" s="66"/>
      <c r="E4422" s="66"/>
      <c r="F4422" s="66"/>
    </row>
    <row r="4423" spans="4:6" x14ac:dyDescent="0.35">
      <c r="D4423" s="66"/>
      <c r="E4423" s="66"/>
      <c r="F4423" s="66"/>
    </row>
    <row r="4424" spans="4:6" x14ac:dyDescent="0.35">
      <c r="D4424" s="66"/>
      <c r="E4424" s="66"/>
      <c r="F4424" s="66"/>
    </row>
    <row r="4425" spans="4:6" x14ac:dyDescent="0.35">
      <c r="D4425" s="66"/>
      <c r="E4425" s="66"/>
      <c r="F4425" s="66"/>
    </row>
    <row r="4426" spans="4:6" x14ac:dyDescent="0.35">
      <c r="D4426" s="66"/>
      <c r="E4426" s="66"/>
      <c r="F4426" s="66"/>
    </row>
    <row r="4427" spans="4:6" x14ac:dyDescent="0.35">
      <c r="D4427" s="66"/>
      <c r="E4427" s="66"/>
      <c r="F4427" s="66"/>
    </row>
    <row r="4428" spans="4:6" x14ac:dyDescent="0.35">
      <c r="D4428" s="66"/>
      <c r="E4428" s="66"/>
      <c r="F4428" s="66"/>
    </row>
    <row r="4429" spans="4:6" x14ac:dyDescent="0.35">
      <c r="D4429" s="66"/>
      <c r="E4429" s="66"/>
      <c r="F4429" s="66"/>
    </row>
    <row r="4430" spans="4:6" x14ac:dyDescent="0.35">
      <c r="D4430" s="66"/>
      <c r="E4430" s="66"/>
      <c r="F4430" s="66"/>
    </row>
    <row r="4431" spans="4:6" x14ac:dyDescent="0.35">
      <c r="D4431" s="66"/>
      <c r="E4431" s="66"/>
      <c r="F4431" s="66"/>
    </row>
    <row r="4432" spans="4:6" x14ac:dyDescent="0.35">
      <c r="D4432" s="66"/>
      <c r="E4432" s="66"/>
      <c r="F4432" s="66"/>
    </row>
    <row r="4433" spans="4:6" x14ac:dyDescent="0.35">
      <c r="D4433" s="66"/>
      <c r="E4433" s="66"/>
      <c r="F4433" s="66"/>
    </row>
    <row r="4434" spans="4:6" x14ac:dyDescent="0.35">
      <c r="D4434" s="66"/>
      <c r="E4434" s="66"/>
      <c r="F4434" s="66"/>
    </row>
    <row r="4435" spans="4:6" x14ac:dyDescent="0.35">
      <c r="D4435" s="66"/>
      <c r="E4435" s="66"/>
      <c r="F4435" s="66"/>
    </row>
    <row r="4436" spans="4:6" x14ac:dyDescent="0.35">
      <c r="D4436" s="66"/>
      <c r="E4436" s="66"/>
      <c r="F4436" s="66"/>
    </row>
    <row r="4437" spans="4:6" x14ac:dyDescent="0.35">
      <c r="D4437" s="66"/>
      <c r="E4437" s="66"/>
      <c r="F4437" s="66"/>
    </row>
    <row r="4438" spans="4:6" x14ac:dyDescent="0.35">
      <c r="D4438" s="66"/>
      <c r="E4438" s="66"/>
      <c r="F4438" s="66"/>
    </row>
    <row r="4439" spans="4:6" x14ac:dyDescent="0.35">
      <c r="D4439" s="66"/>
      <c r="E4439" s="66"/>
      <c r="F4439" s="66"/>
    </row>
    <row r="4440" spans="4:6" x14ac:dyDescent="0.35">
      <c r="D4440" s="66"/>
      <c r="E4440" s="66"/>
      <c r="F4440" s="66"/>
    </row>
    <row r="4441" spans="4:6" x14ac:dyDescent="0.35">
      <c r="D4441" s="66"/>
      <c r="E4441" s="66"/>
      <c r="F4441" s="66"/>
    </row>
    <row r="4442" spans="4:6" x14ac:dyDescent="0.35">
      <c r="D4442" s="66"/>
      <c r="E4442" s="66"/>
      <c r="F4442" s="66"/>
    </row>
    <row r="4443" spans="4:6" x14ac:dyDescent="0.35">
      <c r="D4443" s="66"/>
      <c r="E4443" s="66"/>
      <c r="F4443" s="66"/>
    </row>
    <row r="4444" spans="4:6" x14ac:dyDescent="0.35">
      <c r="D4444" s="66"/>
      <c r="E4444" s="66"/>
      <c r="F4444" s="66"/>
    </row>
    <row r="4445" spans="4:6" x14ac:dyDescent="0.35">
      <c r="D4445" s="66"/>
      <c r="E4445" s="66"/>
      <c r="F4445" s="66"/>
    </row>
    <row r="4446" spans="4:6" x14ac:dyDescent="0.35">
      <c r="D4446" s="66"/>
      <c r="E4446" s="66"/>
      <c r="F4446" s="66"/>
    </row>
    <row r="4447" spans="4:6" x14ac:dyDescent="0.35">
      <c r="D4447" s="66"/>
      <c r="E4447" s="66"/>
      <c r="F4447" s="66"/>
    </row>
    <row r="4448" spans="4:6" x14ac:dyDescent="0.35">
      <c r="D4448" s="66"/>
      <c r="E4448" s="66"/>
      <c r="F4448" s="66"/>
    </row>
    <row r="4449" spans="4:6" x14ac:dyDescent="0.35">
      <c r="D4449" s="66"/>
      <c r="E4449" s="66"/>
      <c r="F4449" s="66"/>
    </row>
    <row r="4450" spans="4:6" x14ac:dyDescent="0.35">
      <c r="D4450" s="66"/>
      <c r="E4450" s="66"/>
      <c r="F4450" s="66"/>
    </row>
    <row r="4451" spans="4:6" x14ac:dyDescent="0.35">
      <c r="D4451" s="66"/>
      <c r="E4451" s="66"/>
      <c r="F4451" s="66"/>
    </row>
    <row r="4452" spans="4:6" x14ac:dyDescent="0.35">
      <c r="D4452" s="66"/>
      <c r="E4452" s="66"/>
      <c r="F4452" s="66"/>
    </row>
    <row r="4453" spans="4:6" x14ac:dyDescent="0.35">
      <c r="D4453" s="66"/>
      <c r="E4453" s="66"/>
      <c r="F4453" s="66"/>
    </row>
    <row r="4454" spans="4:6" x14ac:dyDescent="0.35">
      <c r="D4454" s="66"/>
      <c r="E4454" s="66"/>
      <c r="F4454" s="66"/>
    </row>
    <row r="4455" spans="4:6" x14ac:dyDescent="0.35">
      <c r="D4455" s="66"/>
      <c r="E4455" s="66"/>
      <c r="F4455" s="66"/>
    </row>
    <row r="4456" spans="4:6" x14ac:dyDescent="0.35">
      <c r="D4456" s="66"/>
      <c r="E4456" s="66"/>
      <c r="F4456" s="66"/>
    </row>
    <row r="4457" spans="4:6" x14ac:dyDescent="0.35">
      <c r="D4457" s="66"/>
      <c r="E4457" s="66"/>
      <c r="F4457" s="66"/>
    </row>
    <row r="4458" spans="4:6" x14ac:dyDescent="0.35">
      <c r="D4458" s="66"/>
      <c r="E4458" s="66"/>
      <c r="F4458" s="66"/>
    </row>
    <row r="4459" spans="4:6" x14ac:dyDescent="0.35">
      <c r="D4459" s="66"/>
      <c r="E4459" s="66"/>
      <c r="F4459" s="66"/>
    </row>
    <row r="4460" spans="4:6" x14ac:dyDescent="0.35">
      <c r="D4460" s="66"/>
      <c r="E4460" s="66"/>
      <c r="F4460" s="66"/>
    </row>
    <row r="4461" spans="4:6" x14ac:dyDescent="0.35">
      <c r="D4461" s="66"/>
      <c r="E4461" s="66"/>
      <c r="F4461" s="66"/>
    </row>
    <row r="4462" spans="4:6" x14ac:dyDescent="0.35">
      <c r="D4462" s="66"/>
      <c r="E4462" s="66"/>
      <c r="F4462" s="66"/>
    </row>
    <row r="4463" spans="4:6" x14ac:dyDescent="0.35">
      <c r="D4463" s="66"/>
      <c r="E4463" s="66"/>
      <c r="F4463" s="66"/>
    </row>
    <row r="4464" spans="4:6" x14ac:dyDescent="0.35">
      <c r="D4464" s="66"/>
      <c r="E4464" s="66"/>
      <c r="F4464" s="66"/>
    </row>
    <row r="4465" spans="4:6" x14ac:dyDescent="0.35">
      <c r="D4465" s="66"/>
      <c r="E4465" s="66"/>
      <c r="F4465" s="66"/>
    </row>
    <row r="4466" spans="4:6" x14ac:dyDescent="0.35">
      <c r="D4466" s="66"/>
      <c r="E4466" s="66"/>
      <c r="F4466" s="66"/>
    </row>
    <row r="4467" spans="4:6" x14ac:dyDescent="0.35">
      <c r="D4467" s="66"/>
      <c r="E4467" s="66"/>
      <c r="F4467" s="66"/>
    </row>
    <row r="4468" spans="4:6" x14ac:dyDescent="0.35">
      <c r="D4468" s="66"/>
      <c r="E4468" s="66"/>
      <c r="F4468" s="66"/>
    </row>
    <row r="4469" spans="4:6" x14ac:dyDescent="0.35">
      <c r="D4469" s="66"/>
      <c r="E4469" s="66"/>
      <c r="F4469" s="66"/>
    </row>
    <row r="4470" spans="4:6" x14ac:dyDescent="0.35">
      <c r="D4470" s="66"/>
      <c r="E4470" s="66"/>
      <c r="F4470" s="66"/>
    </row>
    <row r="4471" spans="4:6" x14ac:dyDescent="0.35">
      <c r="D4471" s="66"/>
      <c r="E4471" s="66"/>
      <c r="F4471" s="66"/>
    </row>
    <row r="4472" spans="4:6" x14ac:dyDescent="0.35">
      <c r="D4472" s="66"/>
      <c r="E4472" s="66"/>
      <c r="F4472" s="66"/>
    </row>
    <row r="4473" spans="4:6" x14ac:dyDescent="0.35">
      <c r="D4473" s="66"/>
      <c r="E4473" s="66"/>
      <c r="F4473" s="66"/>
    </row>
    <row r="4474" spans="4:6" x14ac:dyDescent="0.35">
      <c r="D4474" s="66"/>
      <c r="E4474" s="66"/>
      <c r="F4474" s="66"/>
    </row>
    <row r="4475" spans="4:6" x14ac:dyDescent="0.35">
      <c r="D4475" s="66"/>
      <c r="E4475" s="66"/>
      <c r="F4475" s="66"/>
    </row>
    <row r="4476" spans="4:6" x14ac:dyDescent="0.35">
      <c r="D4476" s="66"/>
      <c r="E4476" s="66"/>
      <c r="F4476" s="66"/>
    </row>
    <row r="4477" spans="4:6" x14ac:dyDescent="0.35">
      <c r="D4477" s="66"/>
      <c r="E4477" s="66"/>
      <c r="F4477" s="66"/>
    </row>
    <row r="4478" spans="4:6" x14ac:dyDescent="0.35">
      <c r="D4478" s="66"/>
      <c r="E4478" s="66"/>
      <c r="F4478" s="66"/>
    </row>
    <row r="4479" spans="4:6" x14ac:dyDescent="0.35">
      <c r="D4479" s="66"/>
      <c r="E4479" s="66"/>
      <c r="F4479" s="66"/>
    </row>
    <row r="4480" spans="4:6" x14ac:dyDescent="0.35">
      <c r="D4480" s="66"/>
      <c r="E4480" s="66"/>
      <c r="F4480" s="66"/>
    </row>
    <row r="4481" spans="4:6" x14ac:dyDescent="0.35">
      <c r="D4481" s="66"/>
      <c r="E4481" s="66"/>
      <c r="F4481" s="66"/>
    </row>
    <row r="4482" spans="4:6" x14ac:dyDescent="0.35">
      <c r="D4482" s="66"/>
      <c r="E4482" s="66"/>
      <c r="F4482" s="66"/>
    </row>
    <row r="4483" spans="4:6" x14ac:dyDescent="0.35">
      <c r="D4483" s="66"/>
      <c r="E4483" s="66"/>
      <c r="F4483" s="66"/>
    </row>
    <row r="4484" spans="4:6" x14ac:dyDescent="0.35">
      <c r="D4484" s="66"/>
      <c r="E4484" s="66"/>
      <c r="F4484" s="66"/>
    </row>
    <row r="4485" spans="4:6" x14ac:dyDescent="0.35">
      <c r="D4485" s="66"/>
      <c r="E4485" s="66"/>
      <c r="F4485" s="66"/>
    </row>
    <row r="4486" spans="4:6" x14ac:dyDescent="0.35">
      <c r="D4486" s="66"/>
      <c r="E4486" s="66"/>
      <c r="F4486" s="66"/>
    </row>
    <row r="4487" spans="4:6" x14ac:dyDescent="0.35">
      <c r="D4487" s="66"/>
      <c r="E4487" s="66"/>
      <c r="F4487" s="66"/>
    </row>
    <row r="4488" spans="4:6" x14ac:dyDescent="0.35">
      <c r="D4488" s="66"/>
      <c r="E4488" s="66"/>
      <c r="F4488" s="66"/>
    </row>
    <row r="4489" spans="4:6" x14ac:dyDescent="0.35">
      <c r="D4489" s="66"/>
      <c r="E4489" s="66"/>
      <c r="F4489" s="66"/>
    </row>
    <row r="4490" spans="4:6" x14ac:dyDescent="0.35">
      <c r="D4490" s="66"/>
      <c r="E4490" s="66"/>
      <c r="F4490" s="66"/>
    </row>
    <row r="4491" spans="4:6" x14ac:dyDescent="0.35">
      <c r="D4491" s="66"/>
      <c r="E4491" s="66"/>
      <c r="F4491" s="66"/>
    </row>
    <row r="4492" spans="4:6" x14ac:dyDescent="0.35">
      <c r="D4492" s="66"/>
      <c r="E4492" s="66"/>
      <c r="F4492" s="66"/>
    </row>
    <row r="4493" spans="4:6" x14ac:dyDescent="0.35">
      <c r="D4493" s="66"/>
      <c r="E4493" s="66"/>
      <c r="F4493" s="66"/>
    </row>
    <row r="4494" spans="4:6" x14ac:dyDescent="0.35">
      <c r="D4494" s="66"/>
      <c r="E4494" s="66"/>
      <c r="F4494" s="66"/>
    </row>
    <row r="4495" spans="4:6" x14ac:dyDescent="0.35">
      <c r="D4495" s="66"/>
      <c r="E4495" s="66"/>
      <c r="F4495" s="66"/>
    </row>
    <row r="4496" spans="4:6" x14ac:dyDescent="0.35">
      <c r="D4496" s="66"/>
      <c r="E4496" s="66"/>
      <c r="F4496" s="66"/>
    </row>
    <row r="4497" spans="4:6" x14ac:dyDescent="0.35">
      <c r="D4497" s="66"/>
      <c r="E4497" s="66"/>
      <c r="F4497" s="66"/>
    </row>
    <row r="4498" spans="4:6" x14ac:dyDescent="0.35">
      <c r="D4498" s="66"/>
      <c r="E4498" s="66"/>
      <c r="F4498" s="66"/>
    </row>
    <row r="4499" spans="4:6" x14ac:dyDescent="0.35">
      <c r="D4499" s="66"/>
      <c r="E4499" s="66"/>
      <c r="F4499" s="66"/>
    </row>
    <row r="4500" spans="4:6" x14ac:dyDescent="0.35">
      <c r="D4500" s="66"/>
      <c r="E4500" s="66"/>
      <c r="F4500" s="66"/>
    </row>
    <row r="4501" spans="4:6" x14ac:dyDescent="0.35">
      <c r="D4501" s="66"/>
      <c r="E4501" s="66"/>
      <c r="F4501" s="66"/>
    </row>
    <row r="4502" spans="4:6" x14ac:dyDescent="0.35">
      <c r="D4502" s="66"/>
      <c r="E4502" s="66"/>
      <c r="F4502" s="66"/>
    </row>
    <row r="4503" spans="4:6" x14ac:dyDescent="0.35">
      <c r="D4503" s="66"/>
      <c r="E4503" s="66"/>
      <c r="F4503" s="66"/>
    </row>
    <row r="4504" spans="4:6" x14ac:dyDescent="0.35">
      <c r="D4504" s="66"/>
      <c r="E4504" s="66"/>
      <c r="F4504" s="66"/>
    </row>
    <row r="4505" spans="4:6" x14ac:dyDescent="0.35">
      <c r="D4505" s="66"/>
      <c r="E4505" s="66"/>
      <c r="F4505" s="66"/>
    </row>
    <row r="4506" spans="4:6" x14ac:dyDescent="0.35">
      <c r="D4506" s="66"/>
      <c r="E4506" s="66"/>
      <c r="F4506" s="66"/>
    </row>
    <row r="4507" spans="4:6" x14ac:dyDescent="0.35">
      <c r="D4507" s="66"/>
      <c r="E4507" s="66"/>
      <c r="F4507" s="66"/>
    </row>
    <row r="4508" spans="4:6" x14ac:dyDescent="0.35">
      <c r="D4508" s="66"/>
      <c r="E4508" s="66"/>
      <c r="F4508" s="66"/>
    </row>
    <row r="4509" spans="4:6" x14ac:dyDescent="0.35">
      <c r="D4509" s="66"/>
      <c r="E4509" s="66"/>
      <c r="F4509" s="66"/>
    </row>
    <row r="4510" spans="4:6" x14ac:dyDescent="0.35">
      <c r="D4510" s="66"/>
      <c r="E4510" s="66"/>
      <c r="F4510" s="66"/>
    </row>
    <row r="4511" spans="4:6" x14ac:dyDescent="0.35">
      <c r="D4511" s="66"/>
      <c r="E4511" s="66"/>
      <c r="F4511" s="66"/>
    </row>
    <row r="4512" spans="4:6" x14ac:dyDescent="0.35">
      <c r="D4512" s="66"/>
      <c r="E4512" s="66"/>
      <c r="F4512" s="66"/>
    </row>
    <row r="4513" spans="4:6" x14ac:dyDescent="0.35">
      <c r="D4513" s="66"/>
      <c r="E4513" s="66"/>
      <c r="F4513" s="66"/>
    </row>
    <row r="4514" spans="4:6" x14ac:dyDescent="0.35">
      <c r="D4514" s="66"/>
      <c r="E4514" s="66"/>
      <c r="F4514" s="66"/>
    </row>
    <row r="4515" spans="4:6" x14ac:dyDescent="0.35">
      <c r="D4515" s="66"/>
      <c r="E4515" s="66"/>
      <c r="F4515" s="66"/>
    </row>
    <row r="4516" spans="4:6" x14ac:dyDescent="0.35">
      <c r="D4516" s="66"/>
      <c r="E4516" s="66"/>
      <c r="F4516" s="66"/>
    </row>
    <row r="4517" spans="4:6" x14ac:dyDescent="0.35">
      <c r="D4517" s="66"/>
      <c r="E4517" s="66"/>
      <c r="F4517" s="66"/>
    </row>
    <row r="4518" spans="4:6" x14ac:dyDescent="0.35">
      <c r="D4518" s="66"/>
      <c r="E4518" s="66"/>
      <c r="F4518" s="66"/>
    </row>
    <row r="4519" spans="4:6" x14ac:dyDescent="0.35">
      <c r="D4519" s="66"/>
      <c r="E4519" s="66"/>
      <c r="F4519" s="66"/>
    </row>
    <row r="4520" spans="4:6" x14ac:dyDescent="0.35">
      <c r="D4520" s="66"/>
      <c r="E4520" s="66"/>
      <c r="F4520" s="66"/>
    </row>
    <row r="4521" spans="4:6" x14ac:dyDescent="0.35">
      <c r="D4521" s="66"/>
      <c r="E4521" s="66"/>
      <c r="F4521" s="66"/>
    </row>
    <row r="4522" spans="4:6" x14ac:dyDescent="0.35">
      <c r="D4522" s="66"/>
      <c r="E4522" s="66"/>
      <c r="F4522" s="66"/>
    </row>
    <row r="4523" spans="4:6" x14ac:dyDescent="0.35">
      <c r="D4523" s="66"/>
      <c r="E4523" s="66"/>
      <c r="F4523" s="66"/>
    </row>
    <row r="4524" spans="4:6" x14ac:dyDescent="0.35">
      <c r="D4524" s="66"/>
      <c r="E4524" s="66"/>
      <c r="F4524" s="66"/>
    </row>
    <row r="4525" spans="4:6" x14ac:dyDescent="0.35">
      <c r="D4525" s="66"/>
      <c r="E4525" s="66"/>
      <c r="F4525" s="66"/>
    </row>
    <row r="4526" spans="4:6" x14ac:dyDescent="0.35">
      <c r="D4526" s="66"/>
      <c r="E4526" s="66"/>
      <c r="F4526" s="66"/>
    </row>
    <row r="4527" spans="4:6" x14ac:dyDescent="0.35">
      <c r="D4527" s="66"/>
      <c r="E4527" s="66"/>
      <c r="F4527" s="66"/>
    </row>
    <row r="4528" spans="4:6" x14ac:dyDescent="0.35">
      <c r="D4528" s="66"/>
      <c r="E4528" s="66"/>
      <c r="F4528" s="66"/>
    </row>
    <row r="4529" spans="4:6" x14ac:dyDescent="0.35">
      <c r="D4529" s="66"/>
      <c r="E4529" s="66"/>
      <c r="F4529" s="66"/>
    </row>
    <row r="4530" spans="4:6" x14ac:dyDescent="0.35">
      <c r="D4530" s="66"/>
      <c r="E4530" s="66"/>
      <c r="F4530" s="66"/>
    </row>
    <row r="4531" spans="4:6" x14ac:dyDescent="0.35">
      <c r="D4531" s="66"/>
      <c r="E4531" s="66"/>
      <c r="F4531" s="66"/>
    </row>
    <row r="4532" spans="4:6" x14ac:dyDescent="0.35">
      <c r="D4532" s="66"/>
      <c r="E4532" s="66"/>
      <c r="F4532" s="66"/>
    </row>
    <row r="4533" spans="4:6" x14ac:dyDescent="0.35">
      <c r="D4533" s="66"/>
      <c r="E4533" s="66"/>
      <c r="F4533" s="66"/>
    </row>
    <row r="4534" spans="4:6" x14ac:dyDescent="0.35">
      <c r="D4534" s="66"/>
      <c r="E4534" s="66"/>
      <c r="F4534" s="66"/>
    </row>
    <row r="4535" spans="4:6" x14ac:dyDescent="0.35">
      <c r="D4535" s="66"/>
      <c r="E4535" s="66"/>
      <c r="F4535" s="66"/>
    </row>
    <row r="4536" spans="4:6" x14ac:dyDescent="0.35">
      <c r="D4536" s="66"/>
      <c r="E4536" s="66"/>
      <c r="F4536" s="66"/>
    </row>
    <row r="4537" spans="4:6" x14ac:dyDescent="0.35">
      <c r="D4537" s="66"/>
      <c r="E4537" s="66"/>
      <c r="F4537" s="66"/>
    </row>
    <row r="4538" spans="4:6" x14ac:dyDescent="0.35">
      <c r="D4538" s="66"/>
      <c r="E4538" s="66"/>
      <c r="F4538" s="66"/>
    </row>
    <row r="4539" spans="4:6" x14ac:dyDescent="0.35">
      <c r="D4539" s="66"/>
      <c r="E4539" s="66"/>
      <c r="F4539" s="66"/>
    </row>
    <row r="4540" spans="4:6" x14ac:dyDescent="0.35">
      <c r="D4540" s="66"/>
      <c r="E4540" s="66"/>
      <c r="F4540" s="66"/>
    </row>
    <row r="4541" spans="4:6" x14ac:dyDescent="0.35">
      <c r="D4541" s="66"/>
      <c r="E4541" s="66"/>
      <c r="F4541" s="66"/>
    </row>
    <row r="4542" spans="4:6" x14ac:dyDescent="0.35">
      <c r="D4542" s="66"/>
      <c r="E4542" s="66"/>
      <c r="F4542" s="66"/>
    </row>
    <row r="4543" spans="4:6" x14ac:dyDescent="0.35">
      <c r="D4543" s="66"/>
      <c r="E4543" s="66"/>
      <c r="F4543" s="66"/>
    </row>
    <row r="4544" spans="4:6" x14ac:dyDescent="0.35">
      <c r="D4544" s="66"/>
      <c r="E4544" s="66"/>
      <c r="F4544" s="66"/>
    </row>
    <row r="4545" spans="4:6" x14ac:dyDescent="0.35">
      <c r="D4545" s="66"/>
      <c r="E4545" s="66"/>
      <c r="F4545" s="66"/>
    </row>
    <row r="4546" spans="4:6" x14ac:dyDescent="0.35">
      <c r="D4546" s="66"/>
      <c r="E4546" s="66"/>
      <c r="F4546" s="66"/>
    </row>
    <row r="4547" spans="4:6" x14ac:dyDescent="0.35">
      <c r="D4547" s="66"/>
      <c r="E4547" s="66"/>
      <c r="F4547" s="66"/>
    </row>
    <row r="4548" spans="4:6" x14ac:dyDescent="0.35">
      <c r="D4548" s="66"/>
      <c r="E4548" s="66"/>
      <c r="F4548" s="66"/>
    </row>
    <row r="4549" spans="4:6" x14ac:dyDescent="0.35">
      <c r="D4549" s="66"/>
      <c r="E4549" s="66"/>
      <c r="F4549" s="66"/>
    </row>
    <row r="4550" spans="4:6" x14ac:dyDescent="0.35">
      <c r="D4550" s="66"/>
      <c r="E4550" s="66"/>
      <c r="F4550" s="66"/>
    </row>
    <row r="4551" spans="4:6" x14ac:dyDescent="0.35">
      <c r="D4551" s="66"/>
      <c r="E4551" s="66"/>
      <c r="F4551" s="66"/>
    </row>
    <row r="4552" spans="4:6" x14ac:dyDescent="0.35">
      <c r="D4552" s="66"/>
      <c r="E4552" s="66"/>
      <c r="F4552" s="66"/>
    </row>
    <row r="4553" spans="4:6" x14ac:dyDescent="0.35">
      <c r="D4553" s="66"/>
      <c r="E4553" s="66"/>
      <c r="F4553" s="66"/>
    </row>
    <row r="4554" spans="4:6" x14ac:dyDescent="0.35">
      <c r="D4554" s="66"/>
      <c r="E4554" s="66"/>
      <c r="F4554" s="66"/>
    </row>
    <row r="4555" spans="4:6" x14ac:dyDescent="0.35">
      <c r="D4555" s="66"/>
      <c r="E4555" s="66"/>
      <c r="F4555" s="66"/>
    </row>
    <row r="4556" spans="4:6" x14ac:dyDescent="0.35">
      <c r="D4556" s="66"/>
      <c r="E4556" s="66"/>
      <c r="F4556" s="66"/>
    </row>
    <row r="4557" spans="4:6" x14ac:dyDescent="0.35">
      <c r="D4557" s="66"/>
      <c r="E4557" s="66"/>
      <c r="F4557" s="66"/>
    </row>
    <row r="4558" spans="4:6" x14ac:dyDescent="0.35">
      <c r="D4558" s="66"/>
      <c r="E4558" s="66"/>
      <c r="F4558" s="66"/>
    </row>
    <row r="4559" spans="4:6" x14ac:dyDescent="0.35">
      <c r="D4559" s="66"/>
      <c r="E4559" s="66"/>
      <c r="F4559" s="66"/>
    </row>
    <row r="4560" spans="4:6" x14ac:dyDescent="0.35">
      <c r="D4560" s="66"/>
      <c r="E4560" s="66"/>
      <c r="F4560" s="66"/>
    </row>
    <row r="4561" spans="4:6" x14ac:dyDescent="0.35">
      <c r="D4561" s="66"/>
      <c r="E4561" s="66"/>
      <c r="F4561" s="66"/>
    </row>
    <row r="4562" spans="4:6" x14ac:dyDescent="0.35">
      <c r="D4562" s="66"/>
      <c r="E4562" s="66"/>
      <c r="F4562" s="66"/>
    </row>
    <row r="4563" spans="4:6" x14ac:dyDescent="0.35">
      <c r="D4563" s="66"/>
      <c r="E4563" s="66"/>
      <c r="F4563" s="66"/>
    </row>
    <row r="4564" spans="4:6" x14ac:dyDescent="0.35">
      <c r="D4564" s="66"/>
      <c r="E4564" s="66"/>
      <c r="F4564" s="66"/>
    </row>
    <row r="4565" spans="4:6" x14ac:dyDescent="0.35">
      <c r="D4565" s="66"/>
      <c r="E4565" s="66"/>
      <c r="F4565" s="66"/>
    </row>
    <row r="4566" spans="4:6" x14ac:dyDescent="0.35">
      <c r="D4566" s="66"/>
      <c r="E4566" s="66"/>
      <c r="F4566" s="66"/>
    </row>
    <row r="4567" spans="4:6" x14ac:dyDescent="0.35">
      <c r="D4567" s="66"/>
      <c r="E4567" s="66"/>
      <c r="F4567" s="66"/>
    </row>
    <row r="4568" spans="4:6" x14ac:dyDescent="0.35">
      <c r="D4568" s="66"/>
      <c r="E4568" s="66"/>
      <c r="F4568" s="66"/>
    </row>
    <row r="4569" spans="4:6" x14ac:dyDescent="0.35">
      <c r="D4569" s="66"/>
      <c r="E4569" s="66"/>
      <c r="F4569" s="66"/>
    </row>
    <row r="4570" spans="4:6" x14ac:dyDescent="0.35">
      <c r="D4570" s="66"/>
      <c r="E4570" s="66"/>
      <c r="F4570" s="66"/>
    </row>
    <row r="4571" spans="4:6" x14ac:dyDescent="0.35">
      <c r="D4571" s="66"/>
      <c r="E4571" s="66"/>
      <c r="F4571" s="66"/>
    </row>
    <row r="4572" spans="4:6" x14ac:dyDescent="0.35">
      <c r="D4572" s="66"/>
      <c r="E4572" s="66"/>
      <c r="F4572" s="66"/>
    </row>
    <row r="4573" spans="4:6" x14ac:dyDescent="0.35">
      <c r="D4573" s="66"/>
      <c r="E4573" s="66"/>
      <c r="F4573" s="66"/>
    </row>
    <row r="4574" spans="4:6" x14ac:dyDescent="0.35">
      <c r="D4574" s="66"/>
      <c r="E4574" s="66"/>
      <c r="F4574" s="66"/>
    </row>
    <row r="4575" spans="4:6" x14ac:dyDescent="0.35">
      <c r="D4575" s="66"/>
      <c r="E4575" s="66"/>
      <c r="F4575" s="66"/>
    </row>
    <row r="4576" spans="4:6" x14ac:dyDescent="0.35">
      <c r="D4576" s="66"/>
      <c r="E4576" s="66"/>
      <c r="F4576" s="66"/>
    </row>
    <row r="4577" spans="4:6" x14ac:dyDescent="0.35">
      <c r="D4577" s="66"/>
      <c r="E4577" s="66"/>
      <c r="F4577" s="66"/>
    </row>
    <row r="4578" spans="4:6" x14ac:dyDescent="0.35">
      <c r="D4578" s="66"/>
      <c r="E4578" s="66"/>
      <c r="F4578" s="66"/>
    </row>
    <row r="4579" spans="4:6" x14ac:dyDescent="0.35">
      <c r="D4579" s="66"/>
      <c r="E4579" s="66"/>
      <c r="F4579" s="66"/>
    </row>
    <row r="4580" spans="4:6" x14ac:dyDescent="0.35">
      <c r="D4580" s="66"/>
      <c r="E4580" s="66"/>
      <c r="F4580" s="66"/>
    </row>
    <row r="4581" spans="4:6" x14ac:dyDescent="0.35">
      <c r="D4581" s="66"/>
      <c r="E4581" s="66"/>
      <c r="F4581" s="66"/>
    </row>
    <row r="4582" spans="4:6" x14ac:dyDescent="0.35">
      <c r="D4582" s="66"/>
      <c r="E4582" s="66"/>
      <c r="F4582" s="66"/>
    </row>
    <row r="4583" spans="4:6" x14ac:dyDescent="0.35">
      <c r="D4583" s="66"/>
      <c r="E4583" s="66"/>
      <c r="F4583" s="66"/>
    </row>
    <row r="4584" spans="4:6" x14ac:dyDescent="0.35">
      <c r="D4584" s="66"/>
      <c r="E4584" s="66"/>
      <c r="F4584" s="66"/>
    </row>
    <row r="4585" spans="4:6" x14ac:dyDescent="0.35">
      <c r="D4585" s="66"/>
      <c r="E4585" s="66"/>
      <c r="F4585" s="66"/>
    </row>
    <row r="4586" spans="4:6" x14ac:dyDescent="0.35">
      <c r="D4586" s="66"/>
      <c r="E4586" s="66"/>
      <c r="F4586" s="66"/>
    </row>
    <row r="4587" spans="4:6" x14ac:dyDescent="0.35">
      <c r="D4587" s="66"/>
      <c r="E4587" s="66"/>
      <c r="F4587" s="66"/>
    </row>
    <row r="4588" spans="4:6" x14ac:dyDescent="0.35">
      <c r="D4588" s="66"/>
      <c r="E4588" s="66"/>
      <c r="F4588" s="66"/>
    </row>
    <row r="4589" spans="4:6" x14ac:dyDescent="0.35">
      <c r="D4589" s="66"/>
      <c r="E4589" s="66"/>
      <c r="F4589" s="66"/>
    </row>
    <row r="4590" spans="4:6" x14ac:dyDescent="0.35">
      <c r="D4590" s="66"/>
      <c r="E4590" s="66"/>
      <c r="F4590" s="66"/>
    </row>
    <row r="4591" spans="4:6" x14ac:dyDescent="0.35">
      <c r="D4591" s="66"/>
      <c r="E4591" s="66"/>
      <c r="F4591" s="66"/>
    </row>
    <row r="4592" spans="4:6" x14ac:dyDescent="0.35">
      <c r="D4592" s="66"/>
      <c r="E4592" s="66"/>
      <c r="F4592" s="66"/>
    </row>
    <row r="4593" spans="4:6" x14ac:dyDescent="0.35">
      <c r="D4593" s="66"/>
      <c r="E4593" s="66"/>
      <c r="F4593" s="66"/>
    </row>
    <row r="4594" spans="4:6" x14ac:dyDescent="0.35">
      <c r="D4594" s="66"/>
      <c r="E4594" s="66"/>
      <c r="F4594" s="66"/>
    </row>
    <row r="4595" spans="4:6" x14ac:dyDescent="0.35">
      <c r="D4595" s="66"/>
      <c r="E4595" s="66"/>
      <c r="F4595" s="66"/>
    </row>
    <row r="4596" spans="4:6" x14ac:dyDescent="0.35">
      <c r="D4596" s="66"/>
      <c r="E4596" s="66"/>
      <c r="F4596" s="66"/>
    </row>
    <row r="4597" spans="4:6" x14ac:dyDescent="0.35">
      <c r="D4597" s="66"/>
      <c r="E4597" s="66"/>
      <c r="F4597" s="66"/>
    </row>
    <row r="4598" spans="4:6" x14ac:dyDescent="0.35">
      <c r="D4598" s="66"/>
      <c r="E4598" s="66"/>
      <c r="F4598" s="66"/>
    </row>
    <row r="4599" spans="4:6" x14ac:dyDescent="0.35">
      <c r="D4599" s="66"/>
      <c r="E4599" s="66"/>
      <c r="F4599" s="66"/>
    </row>
    <row r="4600" spans="4:6" x14ac:dyDescent="0.35">
      <c r="D4600" s="66"/>
      <c r="E4600" s="66"/>
      <c r="F4600" s="66"/>
    </row>
    <row r="4601" spans="4:6" x14ac:dyDescent="0.35">
      <c r="D4601" s="66"/>
      <c r="E4601" s="66"/>
      <c r="F4601" s="66"/>
    </row>
    <row r="4602" spans="4:6" x14ac:dyDescent="0.35">
      <c r="D4602" s="66"/>
      <c r="E4602" s="66"/>
      <c r="F4602" s="66"/>
    </row>
    <row r="4603" spans="4:6" x14ac:dyDescent="0.35">
      <c r="D4603" s="66"/>
      <c r="E4603" s="66"/>
      <c r="F4603" s="66"/>
    </row>
    <row r="4604" spans="4:6" x14ac:dyDescent="0.35">
      <c r="D4604" s="66"/>
      <c r="E4604" s="66"/>
      <c r="F4604" s="66"/>
    </row>
    <row r="4605" spans="4:6" x14ac:dyDescent="0.35">
      <c r="D4605" s="66"/>
      <c r="E4605" s="66"/>
      <c r="F4605" s="66"/>
    </row>
    <row r="4606" spans="4:6" x14ac:dyDescent="0.35">
      <c r="D4606" s="66"/>
      <c r="E4606" s="66"/>
      <c r="F4606" s="66"/>
    </row>
    <row r="4607" spans="4:6" x14ac:dyDescent="0.35">
      <c r="D4607" s="66"/>
      <c r="E4607" s="66"/>
      <c r="F4607" s="66"/>
    </row>
    <row r="4608" spans="4:6" x14ac:dyDescent="0.35">
      <c r="D4608" s="66"/>
      <c r="E4608" s="66"/>
      <c r="F4608" s="66"/>
    </row>
    <row r="4609" spans="4:6" x14ac:dyDescent="0.35">
      <c r="D4609" s="66"/>
      <c r="E4609" s="66"/>
      <c r="F4609" s="66"/>
    </row>
    <row r="4610" spans="4:6" x14ac:dyDescent="0.35">
      <c r="D4610" s="66"/>
      <c r="E4610" s="66"/>
      <c r="F4610" s="66"/>
    </row>
    <row r="4611" spans="4:6" x14ac:dyDescent="0.35">
      <c r="D4611" s="66"/>
      <c r="E4611" s="66"/>
      <c r="F4611" s="66"/>
    </row>
    <row r="4612" spans="4:6" x14ac:dyDescent="0.35">
      <c r="D4612" s="66"/>
      <c r="E4612" s="66"/>
      <c r="F4612" s="66"/>
    </row>
    <row r="4613" spans="4:6" x14ac:dyDescent="0.35">
      <c r="D4613" s="66"/>
      <c r="E4613" s="66"/>
      <c r="F4613" s="66"/>
    </row>
    <row r="4614" spans="4:6" x14ac:dyDescent="0.35">
      <c r="D4614" s="66"/>
      <c r="E4614" s="66"/>
      <c r="F4614" s="66"/>
    </row>
    <row r="4615" spans="4:6" x14ac:dyDescent="0.35">
      <c r="D4615" s="66"/>
      <c r="E4615" s="66"/>
      <c r="F4615" s="66"/>
    </row>
    <row r="4616" spans="4:6" x14ac:dyDescent="0.35">
      <c r="D4616" s="66"/>
      <c r="E4616" s="66"/>
      <c r="F4616" s="66"/>
    </row>
    <row r="4617" spans="4:6" x14ac:dyDescent="0.35">
      <c r="D4617" s="66"/>
      <c r="E4617" s="66"/>
      <c r="F4617" s="66"/>
    </row>
    <row r="4618" spans="4:6" x14ac:dyDescent="0.35">
      <c r="D4618" s="66"/>
      <c r="E4618" s="66"/>
      <c r="F4618" s="66"/>
    </row>
    <row r="4619" spans="4:6" x14ac:dyDescent="0.35">
      <c r="D4619" s="66"/>
      <c r="E4619" s="66"/>
      <c r="F4619" s="66"/>
    </row>
    <row r="4620" spans="4:6" x14ac:dyDescent="0.35">
      <c r="D4620" s="66"/>
      <c r="E4620" s="66"/>
      <c r="F4620" s="66"/>
    </row>
    <row r="4621" spans="4:6" x14ac:dyDescent="0.35">
      <c r="D4621" s="66"/>
      <c r="E4621" s="66"/>
      <c r="F4621" s="66"/>
    </row>
    <row r="4622" spans="4:6" x14ac:dyDescent="0.35">
      <c r="D4622" s="66"/>
      <c r="E4622" s="66"/>
      <c r="F4622" s="66"/>
    </row>
    <row r="4623" spans="4:6" x14ac:dyDescent="0.35">
      <c r="D4623" s="66"/>
      <c r="E4623" s="66"/>
      <c r="F4623" s="66"/>
    </row>
    <row r="4624" spans="4:6" x14ac:dyDescent="0.35">
      <c r="D4624" s="66"/>
      <c r="E4624" s="66"/>
      <c r="F4624" s="66"/>
    </row>
    <row r="4625" spans="4:6" x14ac:dyDescent="0.35">
      <c r="D4625" s="66"/>
      <c r="E4625" s="66"/>
      <c r="F4625" s="66"/>
    </row>
    <row r="4626" spans="4:6" x14ac:dyDescent="0.35">
      <c r="D4626" s="66"/>
      <c r="E4626" s="66"/>
      <c r="F4626" s="66"/>
    </row>
    <row r="4627" spans="4:6" x14ac:dyDescent="0.35">
      <c r="D4627" s="66"/>
      <c r="E4627" s="66"/>
      <c r="F4627" s="66"/>
    </row>
    <row r="4628" spans="4:6" x14ac:dyDescent="0.35">
      <c r="D4628" s="66"/>
      <c r="E4628" s="66"/>
      <c r="F4628" s="66"/>
    </row>
    <row r="4629" spans="4:6" x14ac:dyDescent="0.35">
      <c r="D4629" s="66"/>
      <c r="E4629" s="66"/>
      <c r="F4629" s="66"/>
    </row>
    <row r="4630" spans="4:6" x14ac:dyDescent="0.35">
      <c r="D4630" s="66"/>
      <c r="E4630" s="66"/>
      <c r="F4630" s="66"/>
    </row>
    <row r="4631" spans="4:6" x14ac:dyDescent="0.35">
      <c r="D4631" s="66"/>
      <c r="E4631" s="66"/>
      <c r="F4631" s="66"/>
    </row>
    <row r="4632" spans="4:6" x14ac:dyDescent="0.35">
      <c r="D4632" s="66"/>
      <c r="E4632" s="66"/>
      <c r="F4632" s="66"/>
    </row>
    <row r="4633" spans="4:6" x14ac:dyDescent="0.35">
      <c r="D4633" s="66"/>
      <c r="E4633" s="66"/>
      <c r="F4633" s="66"/>
    </row>
    <row r="4634" spans="4:6" x14ac:dyDescent="0.35">
      <c r="D4634" s="66"/>
      <c r="E4634" s="66"/>
      <c r="F4634" s="66"/>
    </row>
    <row r="4635" spans="4:6" x14ac:dyDescent="0.35">
      <c r="D4635" s="66"/>
      <c r="E4635" s="66"/>
      <c r="F4635" s="66"/>
    </row>
    <row r="4636" spans="4:6" x14ac:dyDescent="0.35">
      <c r="D4636" s="66"/>
      <c r="E4636" s="66"/>
      <c r="F4636" s="66"/>
    </row>
    <row r="4637" spans="4:6" x14ac:dyDescent="0.35">
      <c r="D4637" s="66"/>
      <c r="E4637" s="66"/>
      <c r="F4637" s="66"/>
    </row>
    <row r="4638" spans="4:6" x14ac:dyDescent="0.35">
      <c r="D4638" s="66"/>
      <c r="E4638" s="66"/>
      <c r="F4638" s="66"/>
    </row>
    <row r="4639" spans="4:6" x14ac:dyDescent="0.35">
      <c r="D4639" s="66"/>
      <c r="E4639" s="66"/>
      <c r="F4639" s="66"/>
    </row>
    <row r="4640" spans="4:6" x14ac:dyDescent="0.35">
      <c r="D4640" s="66"/>
      <c r="E4640" s="66"/>
      <c r="F4640" s="66"/>
    </row>
    <row r="4641" spans="4:6" x14ac:dyDescent="0.35">
      <c r="D4641" s="66"/>
      <c r="E4641" s="66"/>
      <c r="F4641" s="66"/>
    </row>
    <row r="4642" spans="4:6" x14ac:dyDescent="0.35">
      <c r="D4642" s="66"/>
      <c r="E4642" s="66"/>
      <c r="F4642" s="66"/>
    </row>
    <row r="4643" spans="4:6" x14ac:dyDescent="0.35">
      <c r="D4643" s="66"/>
      <c r="E4643" s="66"/>
      <c r="F4643" s="66"/>
    </row>
    <row r="4644" spans="4:6" x14ac:dyDescent="0.35">
      <c r="D4644" s="66"/>
      <c r="E4644" s="66"/>
      <c r="F4644" s="66"/>
    </row>
    <row r="4645" spans="4:6" x14ac:dyDescent="0.35">
      <c r="D4645" s="66"/>
      <c r="E4645" s="66"/>
      <c r="F4645" s="66"/>
    </row>
    <row r="4646" spans="4:6" x14ac:dyDescent="0.35">
      <c r="D4646" s="66"/>
      <c r="E4646" s="66"/>
      <c r="F4646" s="66"/>
    </row>
    <row r="4647" spans="4:6" x14ac:dyDescent="0.35">
      <c r="D4647" s="66"/>
      <c r="E4647" s="66"/>
      <c r="F4647" s="66"/>
    </row>
    <row r="4648" spans="4:6" x14ac:dyDescent="0.35">
      <c r="D4648" s="66"/>
      <c r="E4648" s="66"/>
      <c r="F4648" s="66"/>
    </row>
    <row r="4649" spans="4:6" x14ac:dyDescent="0.35">
      <c r="D4649" s="66"/>
      <c r="E4649" s="66"/>
      <c r="F4649" s="66"/>
    </row>
    <row r="4650" spans="4:6" x14ac:dyDescent="0.35">
      <c r="D4650" s="66"/>
      <c r="E4650" s="66"/>
      <c r="F4650" s="66"/>
    </row>
    <row r="4651" spans="4:6" x14ac:dyDescent="0.35">
      <c r="D4651" s="66"/>
      <c r="E4651" s="66"/>
      <c r="F4651" s="66"/>
    </row>
    <row r="4652" spans="4:6" x14ac:dyDescent="0.35">
      <c r="D4652" s="66"/>
      <c r="E4652" s="66"/>
      <c r="F4652" s="66"/>
    </row>
    <row r="4653" spans="4:6" x14ac:dyDescent="0.35">
      <c r="D4653" s="66"/>
      <c r="E4653" s="66"/>
      <c r="F4653" s="66"/>
    </row>
    <row r="4654" spans="4:6" x14ac:dyDescent="0.35">
      <c r="D4654" s="66"/>
      <c r="E4654" s="66"/>
      <c r="F4654" s="66"/>
    </row>
    <row r="4655" spans="4:6" x14ac:dyDescent="0.35">
      <c r="D4655" s="66"/>
      <c r="E4655" s="66"/>
      <c r="F4655" s="66"/>
    </row>
    <row r="4656" spans="4:6" x14ac:dyDescent="0.35">
      <c r="D4656" s="66"/>
      <c r="E4656" s="66"/>
      <c r="F4656" s="66"/>
    </row>
    <row r="4657" spans="4:6" x14ac:dyDescent="0.35">
      <c r="D4657" s="66"/>
      <c r="E4657" s="66"/>
      <c r="F4657" s="66"/>
    </row>
    <row r="4658" spans="4:6" x14ac:dyDescent="0.35">
      <c r="D4658" s="66"/>
      <c r="E4658" s="66"/>
      <c r="F4658" s="66"/>
    </row>
    <row r="4659" spans="4:6" x14ac:dyDescent="0.35">
      <c r="D4659" s="66"/>
      <c r="E4659" s="66"/>
      <c r="F4659" s="66"/>
    </row>
    <row r="4660" spans="4:6" x14ac:dyDescent="0.35">
      <c r="D4660" s="66"/>
      <c r="E4660" s="66"/>
      <c r="F4660" s="66"/>
    </row>
    <row r="4661" spans="4:6" x14ac:dyDescent="0.35">
      <c r="D4661" s="66"/>
      <c r="E4661" s="66"/>
      <c r="F4661" s="66"/>
    </row>
    <row r="4662" spans="4:6" x14ac:dyDescent="0.35">
      <c r="D4662" s="66"/>
      <c r="E4662" s="66"/>
      <c r="F4662" s="66"/>
    </row>
    <row r="4663" spans="4:6" x14ac:dyDescent="0.35">
      <c r="D4663" s="66"/>
      <c r="E4663" s="66"/>
      <c r="F4663" s="66"/>
    </row>
    <row r="4664" spans="4:6" x14ac:dyDescent="0.35">
      <c r="D4664" s="66"/>
      <c r="E4664" s="66"/>
      <c r="F4664" s="66"/>
    </row>
    <row r="4665" spans="4:6" x14ac:dyDescent="0.35">
      <c r="D4665" s="66"/>
      <c r="E4665" s="66"/>
      <c r="F4665" s="66"/>
    </row>
    <row r="4666" spans="4:6" x14ac:dyDescent="0.35">
      <c r="D4666" s="66"/>
      <c r="E4666" s="66"/>
      <c r="F4666" s="66"/>
    </row>
    <row r="4667" spans="4:6" x14ac:dyDescent="0.35">
      <c r="D4667" s="66"/>
      <c r="E4667" s="66"/>
      <c r="F4667" s="66"/>
    </row>
    <row r="4668" spans="4:6" x14ac:dyDescent="0.35">
      <c r="D4668" s="66"/>
      <c r="E4668" s="66"/>
      <c r="F4668" s="66"/>
    </row>
    <row r="4669" spans="4:6" x14ac:dyDescent="0.35">
      <c r="D4669" s="66"/>
      <c r="E4669" s="66"/>
      <c r="F4669" s="66"/>
    </row>
    <row r="4670" spans="4:6" x14ac:dyDescent="0.35">
      <c r="D4670" s="66"/>
      <c r="E4670" s="66"/>
      <c r="F4670" s="66"/>
    </row>
    <row r="4671" spans="4:6" x14ac:dyDescent="0.35">
      <c r="D4671" s="66"/>
      <c r="E4671" s="66"/>
      <c r="F4671" s="66"/>
    </row>
    <row r="4672" spans="4:6" x14ac:dyDescent="0.35">
      <c r="D4672" s="66"/>
      <c r="E4672" s="66"/>
      <c r="F4672" s="66"/>
    </row>
    <row r="4673" spans="4:6" x14ac:dyDescent="0.35">
      <c r="D4673" s="66"/>
      <c r="E4673" s="66"/>
      <c r="F4673" s="66"/>
    </row>
    <row r="4674" spans="4:6" x14ac:dyDescent="0.35">
      <c r="D4674" s="66"/>
      <c r="E4674" s="66"/>
      <c r="F4674" s="66"/>
    </row>
    <row r="4675" spans="4:6" x14ac:dyDescent="0.35">
      <c r="D4675" s="66"/>
      <c r="E4675" s="66"/>
      <c r="F4675" s="66"/>
    </row>
    <row r="4676" spans="4:6" x14ac:dyDescent="0.35">
      <c r="D4676" s="66"/>
      <c r="E4676" s="66"/>
      <c r="F4676" s="66"/>
    </row>
    <row r="4677" spans="4:6" x14ac:dyDescent="0.35">
      <c r="D4677" s="66"/>
      <c r="E4677" s="66"/>
      <c r="F4677" s="66"/>
    </row>
    <row r="4678" spans="4:6" x14ac:dyDescent="0.35">
      <c r="D4678" s="66"/>
      <c r="E4678" s="66"/>
      <c r="F4678" s="66"/>
    </row>
    <row r="4679" spans="4:6" x14ac:dyDescent="0.35">
      <c r="D4679" s="66"/>
      <c r="E4679" s="66"/>
      <c r="F4679" s="66"/>
    </row>
    <row r="4680" spans="4:6" x14ac:dyDescent="0.35">
      <c r="D4680" s="66"/>
      <c r="E4680" s="66"/>
      <c r="F4680" s="66"/>
    </row>
    <row r="4681" spans="4:6" x14ac:dyDescent="0.35">
      <c r="D4681" s="66"/>
      <c r="E4681" s="66"/>
      <c r="F4681" s="66"/>
    </row>
    <row r="4682" spans="4:6" x14ac:dyDescent="0.35">
      <c r="D4682" s="66"/>
      <c r="E4682" s="66"/>
      <c r="F4682" s="66"/>
    </row>
    <row r="4683" spans="4:6" x14ac:dyDescent="0.35">
      <c r="D4683" s="66"/>
      <c r="E4683" s="66"/>
      <c r="F4683" s="66"/>
    </row>
    <row r="4684" spans="4:6" x14ac:dyDescent="0.35">
      <c r="D4684" s="66"/>
      <c r="E4684" s="66"/>
      <c r="F4684" s="66"/>
    </row>
    <row r="4685" spans="4:6" x14ac:dyDescent="0.35">
      <c r="D4685" s="66"/>
      <c r="E4685" s="66"/>
      <c r="F4685" s="66"/>
    </row>
    <row r="4686" spans="4:6" x14ac:dyDescent="0.35">
      <c r="D4686" s="66"/>
      <c r="E4686" s="66"/>
      <c r="F4686" s="66"/>
    </row>
    <row r="4687" spans="4:6" x14ac:dyDescent="0.35">
      <c r="D4687" s="66"/>
      <c r="E4687" s="66"/>
      <c r="F4687" s="66"/>
    </row>
    <row r="4688" spans="4:6" x14ac:dyDescent="0.35">
      <c r="D4688" s="66"/>
      <c r="E4688" s="66"/>
      <c r="F4688" s="66"/>
    </row>
    <row r="4689" spans="4:6" x14ac:dyDescent="0.35">
      <c r="D4689" s="66"/>
      <c r="E4689" s="66"/>
      <c r="F4689" s="66"/>
    </row>
    <row r="4690" spans="4:6" x14ac:dyDescent="0.35">
      <c r="D4690" s="66"/>
      <c r="E4690" s="66"/>
      <c r="F4690" s="66"/>
    </row>
    <row r="4691" spans="4:6" x14ac:dyDescent="0.35">
      <c r="D4691" s="66"/>
      <c r="E4691" s="66"/>
      <c r="F4691" s="66"/>
    </row>
    <row r="4692" spans="4:6" x14ac:dyDescent="0.35">
      <c r="D4692" s="66"/>
      <c r="E4692" s="66"/>
      <c r="F4692" s="66"/>
    </row>
    <row r="4693" spans="4:6" x14ac:dyDescent="0.35">
      <c r="D4693" s="66"/>
      <c r="E4693" s="66"/>
      <c r="F4693" s="66"/>
    </row>
    <row r="4694" spans="4:6" x14ac:dyDescent="0.35">
      <c r="D4694" s="66"/>
      <c r="E4694" s="66"/>
      <c r="F4694" s="66"/>
    </row>
    <row r="4695" spans="4:6" x14ac:dyDescent="0.35">
      <c r="D4695" s="66"/>
      <c r="E4695" s="66"/>
      <c r="F4695" s="66"/>
    </row>
    <row r="4696" spans="4:6" x14ac:dyDescent="0.35">
      <c r="D4696" s="66"/>
      <c r="E4696" s="66"/>
      <c r="F4696" s="66"/>
    </row>
    <row r="4697" spans="4:6" x14ac:dyDescent="0.35">
      <c r="D4697" s="66"/>
      <c r="E4697" s="66"/>
      <c r="F4697" s="66"/>
    </row>
    <row r="4698" spans="4:6" x14ac:dyDescent="0.35">
      <c r="D4698" s="66"/>
      <c r="E4698" s="66"/>
      <c r="F4698" s="66"/>
    </row>
    <row r="4699" spans="4:6" x14ac:dyDescent="0.35">
      <c r="D4699" s="66"/>
      <c r="E4699" s="66"/>
      <c r="F4699" s="66"/>
    </row>
    <row r="4700" spans="4:6" x14ac:dyDescent="0.35">
      <c r="D4700" s="66"/>
      <c r="E4700" s="66"/>
      <c r="F4700" s="66"/>
    </row>
    <row r="4701" spans="4:6" x14ac:dyDescent="0.35">
      <c r="D4701" s="66"/>
      <c r="E4701" s="66"/>
      <c r="F4701" s="66"/>
    </row>
    <row r="4702" spans="4:6" x14ac:dyDescent="0.35">
      <c r="D4702" s="66"/>
      <c r="E4702" s="66"/>
      <c r="F4702" s="66"/>
    </row>
    <row r="4703" spans="4:6" x14ac:dyDescent="0.35">
      <c r="D4703" s="66"/>
      <c r="E4703" s="66"/>
      <c r="F4703" s="66"/>
    </row>
    <row r="4704" spans="4:6" x14ac:dyDescent="0.35">
      <c r="D4704" s="66"/>
      <c r="E4704" s="66"/>
      <c r="F4704" s="66"/>
    </row>
    <row r="4705" spans="4:6" x14ac:dyDescent="0.35">
      <c r="D4705" s="66"/>
      <c r="E4705" s="66"/>
      <c r="F4705" s="66"/>
    </row>
    <row r="4706" spans="4:6" x14ac:dyDescent="0.35">
      <c r="D4706" s="66"/>
      <c r="E4706" s="66"/>
      <c r="F4706" s="66"/>
    </row>
    <row r="4707" spans="4:6" x14ac:dyDescent="0.35">
      <c r="D4707" s="66"/>
      <c r="E4707" s="66"/>
      <c r="F4707" s="66"/>
    </row>
    <row r="4708" spans="4:6" x14ac:dyDescent="0.35">
      <c r="D4708" s="66"/>
      <c r="E4708" s="66"/>
      <c r="F4708" s="66"/>
    </row>
    <row r="4709" spans="4:6" x14ac:dyDescent="0.35">
      <c r="D4709" s="66"/>
      <c r="E4709" s="66"/>
      <c r="F4709" s="66"/>
    </row>
    <row r="4710" spans="4:6" x14ac:dyDescent="0.35">
      <c r="D4710" s="66"/>
      <c r="E4710" s="66"/>
      <c r="F4710" s="66"/>
    </row>
    <row r="4711" spans="4:6" x14ac:dyDescent="0.35">
      <c r="D4711" s="66"/>
      <c r="E4711" s="66"/>
      <c r="F4711" s="66"/>
    </row>
    <row r="4712" spans="4:6" x14ac:dyDescent="0.35">
      <c r="D4712" s="66"/>
      <c r="E4712" s="66"/>
      <c r="F4712" s="66"/>
    </row>
    <row r="4713" spans="4:6" x14ac:dyDescent="0.35">
      <c r="D4713" s="66"/>
      <c r="E4713" s="66"/>
      <c r="F4713" s="66"/>
    </row>
    <row r="4714" spans="4:6" x14ac:dyDescent="0.35">
      <c r="D4714" s="66"/>
      <c r="E4714" s="66"/>
      <c r="F4714" s="66"/>
    </row>
    <row r="4715" spans="4:6" x14ac:dyDescent="0.35">
      <c r="D4715" s="66"/>
      <c r="E4715" s="66"/>
      <c r="F4715" s="66"/>
    </row>
    <row r="4716" spans="4:6" x14ac:dyDescent="0.35">
      <c r="D4716" s="66"/>
      <c r="E4716" s="66"/>
      <c r="F4716" s="66"/>
    </row>
    <row r="4717" spans="4:6" x14ac:dyDescent="0.35">
      <c r="D4717" s="66"/>
      <c r="E4717" s="66"/>
      <c r="F4717" s="66"/>
    </row>
    <row r="4718" spans="4:6" x14ac:dyDescent="0.35">
      <c r="D4718" s="66"/>
      <c r="E4718" s="66"/>
      <c r="F4718" s="66"/>
    </row>
    <row r="4719" spans="4:6" x14ac:dyDescent="0.35">
      <c r="D4719" s="66"/>
      <c r="E4719" s="66"/>
      <c r="F4719" s="66"/>
    </row>
    <row r="4720" spans="4:6" x14ac:dyDescent="0.35">
      <c r="D4720" s="66"/>
      <c r="E4720" s="66"/>
      <c r="F4720" s="66"/>
    </row>
    <row r="4721" spans="4:6" x14ac:dyDescent="0.35">
      <c r="D4721" s="66"/>
      <c r="E4721" s="66"/>
      <c r="F4721" s="66"/>
    </row>
    <row r="4722" spans="4:6" x14ac:dyDescent="0.35">
      <c r="D4722" s="66"/>
      <c r="E4722" s="66"/>
      <c r="F4722" s="66"/>
    </row>
    <row r="4723" spans="4:6" x14ac:dyDescent="0.35">
      <c r="D4723" s="66"/>
      <c r="E4723" s="66"/>
      <c r="F4723" s="66"/>
    </row>
    <row r="4724" spans="4:6" x14ac:dyDescent="0.35">
      <c r="D4724" s="66"/>
      <c r="E4724" s="66"/>
      <c r="F4724" s="66"/>
    </row>
    <row r="4725" spans="4:6" x14ac:dyDescent="0.35">
      <c r="D4725" s="66"/>
      <c r="E4725" s="66"/>
      <c r="F4725" s="66"/>
    </row>
    <row r="4726" spans="4:6" x14ac:dyDescent="0.35">
      <c r="D4726" s="66"/>
      <c r="E4726" s="66"/>
      <c r="F4726" s="66"/>
    </row>
    <row r="4727" spans="4:6" x14ac:dyDescent="0.35">
      <c r="D4727" s="66"/>
      <c r="E4727" s="66"/>
      <c r="F4727" s="66"/>
    </row>
    <row r="4728" spans="4:6" x14ac:dyDescent="0.35">
      <c r="D4728" s="66"/>
      <c r="E4728" s="66"/>
      <c r="F4728" s="66"/>
    </row>
    <row r="4729" spans="4:6" x14ac:dyDescent="0.35">
      <c r="D4729" s="66"/>
      <c r="E4729" s="66"/>
      <c r="F4729" s="66"/>
    </row>
    <row r="4730" spans="4:6" x14ac:dyDescent="0.35">
      <c r="D4730" s="66"/>
      <c r="E4730" s="66"/>
      <c r="F4730" s="66"/>
    </row>
    <row r="4731" spans="4:6" x14ac:dyDescent="0.35">
      <c r="D4731" s="66"/>
      <c r="E4731" s="66"/>
      <c r="F4731" s="66"/>
    </row>
    <row r="4732" spans="4:6" x14ac:dyDescent="0.35">
      <c r="D4732" s="66"/>
      <c r="E4732" s="66"/>
      <c r="F4732" s="66"/>
    </row>
    <row r="4733" spans="4:6" x14ac:dyDescent="0.35">
      <c r="D4733" s="66"/>
      <c r="E4733" s="66"/>
      <c r="F4733" s="66"/>
    </row>
    <row r="4734" spans="4:6" x14ac:dyDescent="0.35">
      <c r="D4734" s="66"/>
      <c r="E4734" s="66"/>
      <c r="F4734" s="66"/>
    </row>
    <row r="4735" spans="4:6" x14ac:dyDescent="0.35">
      <c r="D4735" s="66"/>
      <c r="E4735" s="66"/>
      <c r="F4735" s="66"/>
    </row>
    <row r="4736" spans="4:6" x14ac:dyDescent="0.35">
      <c r="D4736" s="66"/>
      <c r="E4736" s="66"/>
      <c r="F4736" s="66"/>
    </row>
    <row r="4737" spans="4:6" x14ac:dyDescent="0.35">
      <c r="D4737" s="66"/>
      <c r="E4737" s="66"/>
      <c r="F4737" s="66"/>
    </row>
    <row r="4738" spans="4:6" x14ac:dyDescent="0.35">
      <c r="D4738" s="66"/>
      <c r="E4738" s="66"/>
      <c r="F4738" s="66"/>
    </row>
    <row r="4739" spans="4:6" x14ac:dyDescent="0.35">
      <c r="D4739" s="66"/>
      <c r="E4739" s="66"/>
      <c r="F4739" s="66"/>
    </row>
    <row r="4740" spans="4:6" x14ac:dyDescent="0.35">
      <c r="D4740" s="66"/>
      <c r="E4740" s="66"/>
      <c r="F4740" s="66"/>
    </row>
    <row r="4741" spans="4:6" x14ac:dyDescent="0.35">
      <c r="D4741" s="66"/>
      <c r="E4741" s="66"/>
      <c r="F4741" s="66"/>
    </row>
    <row r="4742" spans="4:6" x14ac:dyDescent="0.35">
      <c r="D4742" s="66"/>
      <c r="E4742" s="66"/>
      <c r="F4742" s="66"/>
    </row>
    <row r="4743" spans="4:6" x14ac:dyDescent="0.35">
      <c r="D4743" s="66"/>
      <c r="E4743" s="66"/>
      <c r="F4743" s="66"/>
    </row>
    <row r="4744" spans="4:6" x14ac:dyDescent="0.35">
      <c r="D4744" s="66"/>
      <c r="E4744" s="66"/>
      <c r="F4744" s="66"/>
    </row>
    <row r="4745" spans="4:6" x14ac:dyDescent="0.35">
      <c r="D4745" s="66"/>
      <c r="E4745" s="66"/>
      <c r="F4745" s="66"/>
    </row>
    <row r="4746" spans="4:6" x14ac:dyDescent="0.35">
      <c r="D4746" s="66"/>
      <c r="E4746" s="66"/>
      <c r="F4746" s="66"/>
    </row>
    <row r="4747" spans="4:6" x14ac:dyDescent="0.35">
      <c r="D4747" s="66"/>
      <c r="E4747" s="66"/>
      <c r="F4747" s="66"/>
    </row>
    <row r="4748" spans="4:6" x14ac:dyDescent="0.35">
      <c r="D4748" s="66"/>
      <c r="E4748" s="66"/>
      <c r="F4748" s="66"/>
    </row>
    <row r="4749" spans="4:6" x14ac:dyDescent="0.35">
      <c r="D4749" s="66"/>
      <c r="E4749" s="66"/>
      <c r="F4749" s="66"/>
    </row>
    <row r="4750" spans="4:6" x14ac:dyDescent="0.35">
      <c r="D4750" s="66"/>
      <c r="E4750" s="66"/>
      <c r="F4750" s="66"/>
    </row>
    <row r="4751" spans="4:6" x14ac:dyDescent="0.35">
      <c r="D4751" s="66"/>
      <c r="E4751" s="66"/>
      <c r="F4751" s="66"/>
    </row>
    <row r="4752" spans="4:6" x14ac:dyDescent="0.35">
      <c r="D4752" s="66"/>
      <c r="E4752" s="66"/>
      <c r="F4752" s="66"/>
    </row>
    <row r="4753" spans="4:6" x14ac:dyDescent="0.35">
      <c r="D4753" s="66"/>
      <c r="E4753" s="66"/>
      <c r="F4753" s="66"/>
    </row>
    <row r="4754" spans="4:6" x14ac:dyDescent="0.35">
      <c r="D4754" s="66"/>
      <c r="E4754" s="66"/>
      <c r="F4754" s="66"/>
    </row>
    <row r="4755" spans="4:6" x14ac:dyDescent="0.35">
      <c r="D4755" s="66"/>
      <c r="E4755" s="66"/>
      <c r="F4755" s="66"/>
    </row>
    <row r="4756" spans="4:6" x14ac:dyDescent="0.35">
      <c r="D4756" s="66"/>
      <c r="E4756" s="66"/>
      <c r="F4756" s="66"/>
    </row>
    <row r="4757" spans="4:6" x14ac:dyDescent="0.35">
      <c r="D4757" s="66"/>
      <c r="E4757" s="66"/>
      <c r="F4757" s="66"/>
    </row>
    <row r="4758" spans="4:6" x14ac:dyDescent="0.35">
      <c r="D4758" s="66"/>
      <c r="E4758" s="66"/>
      <c r="F4758" s="66"/>
    </row>
    <row r="4759" spans="4:6" x14ac:dyDescent="0.35">
      <c r="D4759" s="66"/>
      <c r="E4759" s="66"/>
      <c r="F4759" s="66"/>
    </row>
    <row r="4760" spans="4:6" x14ac:dyDescent="0.35">
      <c r="D4760" s="66"/>
      <c r="E4760" s="66"/>
      <c r="F4760" s="66"/>
    </row>
    <row r="4761" spans="4:6" x14ac:dyDescent="0.35">
      <c r="D4761" s="66"/>
      <c r="E4761" s="66"/>
      <c r="F4761" s="66"/>
    </row>
    <row r="4762" spans="4:6" x14ac:dyDescent="0.35">
      <c r="D4762" s="66"/>
      <c r="E4762" s="66"/>
      <c r="F4762" s="66"/>
    </row>
    <row r="4763" spans="4:6" x14ac:dyDescent="0.35">
      <c r="D4763" s="66"/>
      <c r="E4763" s="66"/>
      <c r="F4763" s="66"/>
    </row>
    <row r="4764" spans="4:6" x14ac:dyDescent="0.35">
      <c r="D4764" s="66"/>
      <c r="E4764" s="66"/>
      <c r="F4764" s="66"/>
    </row>
    <row r="4765" spans="4:6" x14ac:dyDescent="0.35">
      <c r="D4765" s="66"/>
      <c r="E4765" s="66"/>
      <c r="F4765" s="66"/>
    </row>
    <row r="4766" spans="4:6" x14ac:dyDescent="0.35">
      <c r="D4766" s="66"/>
      <c r="E4766" s="66"/>
      <c r="F4766" s="66"/>
    </row>
    <row r="4767" spans="4:6" x14ac:dyDescent="0.35">
      <c r="D4767" s="66"/>
      <c r="E4767" s="66"/>
      <c r="F4767" s="66"/>
    </row>
    <row r="4768" spans="4:6" x14ac:dyDescent="0.35">
      <c r="D4768" s="66"/>
      <c r="E4768" s="66"/>
      <c r="F4768" s="66"/>
    </row>
    <row r="4769" spans="4:6" x14ac:dyDescent="0.35">
      <c r="D4769" s="66"/>
      <c r="E4769" s="66"/>
      <c r="F4769" s="66"/>
    </row>
    <row r="4770" spans="4:6" x14ac:dyDescent="0.35">
      <c r="D4770" s="66"/>
      <c r="E4770" s="66"/>
      <c r="F4770" s="66"/>
    </row>
    <row r="4771" spans="4:6" x14ac:dyDescent="0.35">
      <c r="D4771" s="66"/>
      <c r="E4771" s="66"/>
      <c r="F4771" s="66"/>
    </row>
    <row r="4772" spans="4:6" x14ac:dyDescent="0.35">
      <c r="D4772" s="66"/>
      <c r="E4772" s="66"/>
      <c r="F4772" s="66"/>
    </row>
    <row r="4773" spans="4:6" x14ac:dyDescent="0.35">
      <c r="D4773" s="66"/>
      <c r="E4773" s="66"/>
      <c r="F4773" s="66"/>
    </row>
    <row r="4774" spans="4:6" x14ac:dyDescent="0.35">
      <c r="D4774" s="66"/>
      <c r="E4774" s="66"/>
      <c r="F4774" s="66"/>
    </row>
    <row r="4775" spans="4:6" x14ac:dyDescent="0.35">
      <c r="D4775" s="66"/>
      <c r="E4775" s="66"/>
      <c r="F4775" s="66"/>
    </row>
    <row r="4776" spans="4:6" x14ac:dyDescent="0.35">
      <c r="D4776" s="66"/>
      <c r="E4776" s="66"/>
      <c r="F4776" s="66"/>
    </row>
    <row r="4777" spans="4:6" x14ac:dyDescent="0.35">
      <c r="D4777" s="66"/>
      <c r="E4777" s="66"/>
      <c r="F4777" s="66"/>
    </row>
    <row r="4778" spans="4:6" x14ac:dyDescent="0.35">
      <c r="D4778" s="66"/>
      <c r="E4778" s="66"/>
      <c r="F4778" s="66"/>
    </row>
    <row r="4779" spans="4:6" x14ac:dyDescent="0.35">
      <c r="D4779" s="66"/>
      <c r="E4779" s="66"/>
      <c r="F4779" s="66"/>
    </row>
    <row r="4780" spans="4:6" x14ac:dyDescent="0.35">
      <c r="D4780" s="66"/>
      <c r="E4780" s="66"/>
      <c r="F4780" s="66"/>
    </row>
    <row r="4781" spans="4:6" x14ac:dyDescent="0.35">
      <c r="D4781" s="66"/>
      <c r="E4781" s="66"/>
      <c r="F4781" s="66"/>
    </row>
    <row r="4782" spans="4:6" x14ac:dyDescent="0.35">
      <c r="D4782" s="66"/>
      <c r="E4782" s="66"/>
      <c r="F4782" s="66"/>
    </row>
    <row r="4783" spans="4:6" x14ac:dyDescent="0.35">
      <c r="D4783" s="66"/>
      <c r="E4783" s="66"/>
      <c r="F4783" s="66"/>
    </row>
    <row r="4784" spans="4:6" x14ac:dyDescent="0.35">
      <c r="D4784" s="66"/>
      <c r="E4784" s="66"/>
      <c r="F4784" s="66"/>
    </row>
    <row r="4785" spans="4:6" x14ac:dyDescent="0.35">
      <c r="D4785" s="66"/>
      <c r="E4785" s="66"/>
      <c r="F4785" s="66"/>
    </row>
    <row r="4786" spans="4:6" x14ac:dyDescent="0.35">
      <c r="D4786" s="66"/>
      <c r="E4786" s="66"/>
      <c r="F4786" s="66"/>
    </row>
    <row r="4787" spans="4:6" x14ac:dyDescent="0.35">
      <c r="D4787" s="66"/>
      <c r="E4787" s="66"/>
      <c r="F4787" s="66"/>
    </row>
    <row r="4788" spans="4:6" x14ac:dyDescent="0.35">
      <c r="D4788" s="66"/>
      <c r="E4788" s="66"/>
      <c r="F4788" s="66"/>
    </row>
    <row r="4789" spans="4:6" x14ac:dyDescent="0.35">
      <c r="D4789" s="66"/>
      <c r="E4789" s="66"/>
      <c r="F4789" s="66"/>
    </row>
    <row r="4790" spans="4:6" x14ac:dyDescent="0.35">
      <c r="D4790" s="66"/>
      <c r="E4790" s="66"/>
      <c r="F4790" s="66"/>
    </row>
    <row r="4791" spans="4:6" x14ac:dyDescent="0.35">
      <c r="D4791" s="66"/>
      <c r="E4791" s="66"/>
      <c r="F4791" s="66"/>
    </row>
    <row r="4792" spans="4:6" x14ac:dyDescent="0.35">
      <c r="D4792" s="66"/>
      <c r="E4792" s="66"/>
      <c r="F4792" s="66"/>
    </row>
    <row r="4793" spans="4:6" x14ac:dyDescent="0.35">
      <c r="D4793" s="66"/>
      <c r="E4793" s="66"/>
      <c r="F4793" s="66"/>
    </row>
    <row r="4794" spans="4:6" x14ac:dyDescent="0.35">
      <c r="D4794" s="66"/>
      <c r="E4794" s="66"/>
      <c r="F4794" s="66"/>
    </row>
    <row r="4795" spans="4:6" x14ac:dyDescent="0.35">
      <c r="D4795" s="66"/>
      <c r="E4795" s="66"/>
      <c r="F4795" s="66"/>
    </row>
    <row r="4796" spans="4:6" x14ac:dyDescent="0.35">
      <c r="D4796" s="66"/>
      <c r="E4796" s="66"/>
      <c r="F4796" s="66"/>
    </row>
    <row r="4797" spans="4:6" x14ac:dyDescent="0.35">
      <c r="D4797" s="66"/>
      <c r="E4797" s="66"/>
      <c r="F4797" s="66"/>
    </row>
    <row r="4798" spans="4:6" x14ac:dyDescent="0.35">
      <c r="D4798" s="66"/>
      <c r="E4798" s="66"/>
      <c r="F4798" s="66"/>
    </row>
    <row r="4799" spans="4:6" x14ac:dyDescent="0.35">
      <c r="D4799" s="66"/>
      <c r="E4799" s="66"/>
      <c r="F4799" s="66"/>
    </row>
    <row r="4800" spans="4:6" x14ac:dyDescent="0.35">
      <c r="D4800" s="66"/>
      <c r="E4800" s="66"/>
      <c r="F4800" s="66"/>
    </row>
    <row r="4801" spans="4:6" x14ac:dyDescent="0.35">
      <c r="D4801" s="66"/>
      <c r="E4801" s="66"/>
      <c r="F4801" s="66"/>
    </row>
    <row r="4802" spans="4:6" x14ac:dyDescent="0.35">
      <c r="D4802" s="66"/>
      <c r="E4802" s="66"/>
      <c r="F4802" s="66"/>
    </row>
    <row r="4803" spans="4:6" x14ac:dyDescent="0.35">
      <c r="D4803" s="66"/>
      <c r="E4803" s="66"/>
      <c r="F4803" s="66"/>
    </row>
    <row r="4804" spans="4:6" x14ac:dyDescent="0.35">
      <c r="D4804" s="66"/>
      <c r="E4804" s="66"/>
      <c r="F4804" s="66"/>
    </row>
    <row r="4805" spans="4:6" x14ac:dyDescent="0.35">
      <c r="D4805" s="66"/>
      <c r="E4805" s="66"/>
      <c r="F4805" s="66"/>
    </row>
    <row r="4806" spans="4:6" x14ac:dyDescent="0.35">
      <c r="D4806" s="66"/>
      <c r="E4806" s="66"/>
      <c r="F4806" s="66"/>
    </row>
    <row r="4807" spans="4:6" x14ac:dyDescent="0.35">
      <c r="D4807" s="66"/>
      <c r="E4807" s="66"/>
      <c r="F4807" s="66"/>
    </row>
    <row r="4808" spans="4:6" x14ac:dyDescent="0.35">
      <c r="D4808" s="66"/>
      <c r="E4808" s="66"/>
      <c r="F4808" s="66"/>
    </row>
    <row r="4809" spans="4:6" x14ac:dyDescent="0.35">
      <c r="D4809" s="66"/>
      <c r="E4809" s="66"/>
      <c r="F4809" s="66"/>
    </row>
    <row r="4810" spans="4:6" x14ac:dyDescent="0.35">
      <c r="D4810" s="66"/>
      <c r="E4810" s="66"/>
      <c r="F4810" s="66"/>
    </row>
    <row r="4811" spans="4:6" x14ac:dyDescent="0.35">
      <c r="D4811" s="66"/>
      <c r="E4811" s="66"/>
      <c r="F4811" s="66"/>
    </row>
    <row r="4812" spans="4:6" x14ac:dyDescent="0.35">
      <c r="D4812" s="66"/>
      <c r="E4812" s="66"/>
      <c r="F4812" s="66"/>
    </row>
    <row r="4813" spans="4:6" x14ac:dyDescent="0.35">
      <c r="D4813" s="66"/>
      <c r="E4813" s="66"/>
      <c r="F4813" s="66"/>
    </row>
    <row r="4814" spans="4:6" x14ac:dyDescent="0.35">
      <c r="D4814" s="66"/>
      <c r="E4814" s="66"/>
      <c r="F4814" s="66"/>
    </row>
    <row r="4815" spans="4:6" x14ac:dyDescent="0.35">
      <c r="D4815" s="66"/>
      <c r="E4815" s="66"/>
      <c r="F4815" s="66"/>
    </row>
    <row r="4816" spans="4:6" x14ac:dyDescent="0.35">
      <c r="D4816" s="66"/>
      <c r="E4816" s="66"/>
      <c r="F4816" s="66"/>
    </row>
    <row r="4817" spans="4:6" x14ac:dyDescent="0.35">
      <c r="D4817" s="66"/>
      <c r="E4817" s="66"/>
      <c r="F4817" s="66"/>
    </row>
    <row r="4818" spans="4:6" x14ac:dyDescent="0.35">
      <c r="D4818" s="66"/>
      <c r="E4818" s="66"/>
      <c r="F4818" s="66"/>
    </row>
    <row r="4819" spans="4:6" x14ac:dyDescent="0.35">
      <c r="D4819" s="66"/>
      <c r="E4819" s="66"/>
      <c r="F4819" s="66"/>
    </row>
    <row r="4820" spans="4:6" x14ac:dyDescent="0.35">
      <c r="D4820" s="66"/>
      <c r="E4820" s="66"/>
      <c r="F4820" s="66"/>
    </row>
    <row r="4821" spans="4:6" x14ac:dyDescent="0.35">
      <c r="D4821" s="66"/>
      <c r="E4821" s="66"/>
      <c r="F4821" s="66"/>
    </row>
    <row r="4822" spans="4:6" x14ac:dyDescent="0.35">
      <c r="D4822" s="66"/>
      <c r="E4822" s="66"/>
      <c r="F4822" s="66"/>
    </row>
    <row r="4823" spans="4:6" x14ac:dyDescent="0.35">
      <c r="D4823" s="66"/>
      <c r="E4823" s="66"/>
      <c r="F4823" s="66"/>
    </row>
    <row r="4824" spans="4:6" x14ac:dyDescent="0.35">
      <c r="D4824" s="66"/>
      <c r="E4824" s="66"/>
      <c r="F4824" s="66"/>
    </row>
    <row r="4825" spans="4:6" x14ac:dyDescent="0.35">
      <c r="D4825" s="66"/>
      <c r="E4825" s="66"/>
      <c r="F4825" s="66"/>
    </row>
    <row r="4826" spans="4:6" x14ac:dyDescent="0.35">
      <c r="D4826" s="66"/>
      <c r="E4826" s="66"/>
      <c r="F4826" s="66"/>
    </row>
    <row r="4827" spans="4:6" x14ac:dyDescent="0.35">
      <c r="D4827" s="66"/>
      <c r="E4827" s="66"/>
      <c r="F4827" s="66"/>
    </row>
    <row r="4828" spans="4:6" x14ac:dyDescent="0.35">
      <c r="D4828" s="66"/>
      <c r="E4828" s="66"/>
      <c r="F4828" s="66"/>
    </row>
    <row r="4829" spans="4:6" x14ac:dyDescent="0.35">
      <c r="D4829" s="66"/>
      <c r="E4829" s="66"/>
      <c r="F4829" s="66"/>
    </row>
    <row r="4830" spans="4:6" x14ac:dyDescent="0.35">
      <c r="D4830" s="66"/>
      <c r="E4830" s="66"/>
      <c r="F4830" s="66"/>
    </row>
    <row r="4831" spans="4:6" x14ac:dyDescent="0.35">
      <c r="D4831" s="66"/>
      <c r="E4831" s="66"/>
      <c r="F4831" s="66"/>
    </row>
    <row r="4832" spans="4:6" x14ac:dyDescent="0.35">
      <c r="D4832" s="66"/>
      <c r="E4832" s="66"/>
      <c r="F4832" s="66"/>
    </row>
    <row r="4833" spans="4:6" x14ac:dyDescent="0.35">
      <c r="D4833" s="66"/>
      <c r="E4833" s="66"/>
      <c r="F4833" s="66"/>
    </row>
    <row r="4834" spans="4:6" x14ac:dyDescent="0.35">
      <c r="D4834" s="66"/>
      <c r="E4834" s="66"/>
      <c r="F4834" s="66"/>
    </row>
    <row r="4835" spans="4:6" x14ac:dyDescent="0.35">
      <c r="D4835" s="66"/>
      <c r="E4835" s="66"/>
      <c r="F4835" s="66"/>
    </row>
    <row r="4836" spans="4:6" x14ac:dyDescent="0.35">
      <c r="D4836" s="66"/>
      <c r="E4836" s="66"/>
      <c r="F4836" s="66"/>
    </row>
    <row r="4837" spans="4:6" x14ac:dyDescent="0.35">
      <c r="D4837" s="66"/>
      <c r="E4837" s="66"/>
      <c r="F4837" s="66"/>
    </row>
    <row r="4838" spans="4:6" x14ac:dyDescent="0.35">
      <c r="D4838" s="66"/>
      <c r="E4838" s="66"/>
      <c r="F4838" s="66"/>
    </row>
    <row r="4839" spans="4:6" x14ac:dyDescent="0.35">
      <c r="D4839" s="66"/>
      <c r="E4839" s="66"/>
      <c r="F4839" s="66"/>
    </row>
    <row r="4840" spans="4:6" x14ac:dyDescent="0.35">
      <c r="D4840" s="66"/>
      <c r="E4840" s="66"/>
      <c r="F4840" s="66"/>
    </row>
    <row r="4841" spans="4:6" x14ac:dyDescent="0.35">
      <c r="D4841" s="66"/>
      <c r="E4841" s="66"/>
      <c r="F4841" s="66"/>
    </row>
    <row r="4842" spans="4:6" x14ac:dyDescent="0.35">
      <c r="D4842" s="66"/>
      <c r="E4842" s="66"/>
      <c r="F4842" s="66"/>
    </row>
    <row r="4843" spans="4:6" x14ac:dyDescent="0.35">
      <c r="D4843" s="66"/>
      <c r="E4843" s="66"/>
      <c r="F4843" s="66"/>
    </row>
    <row r="4844" spans="4:6" x14ac:dyDescent="0.35">
      <c r="D4844" s="66"/>
      <c r="E4844" s="66"/>
      <c r="F4844" s="66"/>
    </row>
    <row r="4845" spans="4:6" x14ac:dyDescent="0.35">
      <c r="D4845" s="66"/>
      <c r="E4845" s="66"/>
      <c r="F4845" s="66"/>
    </row>
    <row r="4846" spans="4:6" x14ac:dyDescent="0.35">
      <c r="D4846" s="66"/>
      <c r="E4846" s="66"/>
      <c r="F4846" s="66"/>
    </row>
    <row r="4847" spans="4:6" x14ac:dyDescent="0.35">
      <c r="D4847" s="66"/>
      <c r="E4847" s="66"/>
      <c r="F4847" s="66"/>
    </row>
    <row r="4848" spans="4:6" x14ac:dyDescent="0.35">
      <c r="D4848" s="66"/>
      <c r="E4848" s="66"/>
      <c r="F4848" s="66"/>
    </row>
    <row r="4849" spans="4:6" x14ac:dyDescent="0.35">
      <c r="D4849" s="66"/>
      <c r="E4849" s="66"/>
      <c r="F4849" s="66"/>
    </row>
    <row r="4850" spans="4:6" x14ac:dyDescent="0.35">
      <c r="D4850" s="66"/>
      <c r="E4850" s="66"/>
      <c r="F4850" s="66"/>
    </row>
    <row r="4851" spans="4:6" x14ac:dyDescent="0.35">
      <c r="D4851" s="66"/>
      <c r="E4851" s="66"/>
      <c r="F4851" s="66"/>
    </row>
    <row r="4852" spans="4:6" x14ac:dyDescent="0.35">
      <c r="D4852" s="66"/>
      <c r="E4852" s="66"/>
      <c r="F4852" s="66"/>
    </row>
    <row r="4853" spans="4:6" x14ac:dyDescent="0.35">
      <c r="D4853" s="66"/>
      <c r="E4853" s="66"/>
      <c r="F4853" s="66"/>
    </row>
    <row r="4854" spans="4:6" x14ac:dyDescent="0.35">
      <c r="D4854" s="66"/>
      <c r="E4854" s="66"/>
      <c r="F4854" s="66"/>
    </row>
    <row r="4855" spans="4:6" x14ac:dyDescent="0.35">
      <c r="D4855" s="66"/>
      <c r="E4855" s="66"/>
      <c r="F4855" s="66"/>
    </row>
    <row r="4856" spans="4:6" x14ac:dyDescent="0.35">
      <c r="D4856" s="66"/>
      <c r="E4856" s="66"/>
      <c r="F4856" s="66"/>
    </row>
    <row r="4857" spans="4:6" x14ac:dyDescent="0.35">
      <c r="D4857" s="66"/>
      <c r="E4857" s="66"/>
      <c r="F4857" s="66"/>
    </row>
    <row r="4858" spans="4:6" x14ac:dyDescent="0.35">
      <c r="D4858" s="66"/>
      <c r="E4858" s="66"/>
      <c r="F4858" s="66"/>
    </row>
    <row r="4859" spans="4:6" x14ac:dyDescent="0.35">
      <c r="D4859" s="66"/>
      <c r="E4859" s="66"/>
      <c r="F4859" s="66"/>
    </row>
    <row r="4860" spans="4:6" x14ac:dyDescent="0.35">
      <c r="D4860" s="66"/>
      <c r="E4860" s="66"/>
      <c r="F4860" s="66"/>
    </row>
    <row r="4861" spans="4:6" x14ac:dyDescent="0.35">
      <c r="D4861" s="66"/>
      <c r="E4861" s="66"/>
      <c r="F4861" s="66"/>
    </row>
    <row r="4862" spans="4:6" x14ac:dyDescent="0.35">
      <c r="D4862" s="66"/>
      <c r="E4862" s="66"/>
      <c r="F4862" s="66"/>
    </row>
    <row r="4863" spans="4:6" x14ac:dyDescent="0.35">
      <c r="D4863" s="66"/>
      <c r="E4863" s="66"/>
      <c r="F4863" s="66"/>
    </row>
    <row r="4864" spans="4:6" x14ac:dyDescent="0.35">
      <c r="D4864" s="66"/>
      <c r="E4864" s="66"/>
      <c r="F4864" s="66"/>
    </row>
    <row r="4865" spans="4:6" x14ac:dyDescent="0.35">
      <c r="D4865" s="66"/>
      <c r="E4865" s="66"/>
      <c r="F4865" s="66"/>
    </row>
    <row r="4866" spans="4:6" x14ac:dyDescent="0.35">
      <c r="D4866" s="66"/>
      <c r="E4866" s="66"/>
      <c r="F4866" s="66"/>
    </row>
    <row r="4867" spans="4:6" x14ac:dyDescent="0.35">
      <c r="D4867" s="66"/>
      <c r="E4867" s="66"/>
      <c r="F4867" s="66"/>
    </row>
    <row r="4868" spans="4:6" x14ac:dyDescent="0.35">
      <c r="D4868" s="66"/>
      <c r="E4868" s="66"/>
      <c r="F4868" s="66"/>
    </row>
    <row r="4869" spans="4:6" x14ac:dyDescent="0.35">
      <c r="D4869" s="66"/>
      <c r="E4869" s="66"/>
      <c r="F4869" s="66"/>
    </row>
    <row r="4870" spans="4:6" x14ac:dyDescent="0.35">
      <c r="D4870" s="66"/>
      <c r="E4870" s="66"/>
      <c r="F4870" s="66"/>
    </row>
    <row r="4871" spans="4:6" x14ac:dyDescent="0.35">
      <c r="D4871" s="66"/>
      <c r="E4871" s="66"/>
      <c r="F4871" s="66"/>
    </row>
    <row r="4872" spans="4:6" x14ac:dyDescent="0.35">
      <c r="D4872" s="66"/>
      <c r="E4872" s="66"/>
      <c r="F4872" s="66"/>
    </row>
    <row r="4873" spans="4:6" x14ac:dyDescent="0.35">
      <c r="D4873" s="66"/>
      <c r="E4873" s="66"/>
      <c r="F4873" s="66"/>
    </row>
    <row r="4874" spans="4:6" x14ac:dyDescent="0.35">
      <c r="D4874" s="66"/>
      <c r="E4874" s="66"/>
      <c r="F4874" s="66"/>
    </row>
    <row r="4875" spans="4:6" x14ac:dyDescent="0.35">
      <c r="D4875" s="66"/>
      <c r="E4875" s="66"/>
      <c r="F4875" s="66"/>
    </row>
    <row r="4876" spans="4:6" x14ac:dyDescent="0.35">
      <c r="D4876" s="66"/>
      <c r="E4876" s="66"/>
      <c r="F4876" s="66"/>
    </row>
    <row r="4877" spans="4:6" x14ac:dyDescent="0.35">
      <c r="D4877" s="66"/>
      <c r="E4877" s="66"/>
      <c r="F4877" s="66"/>
    </row>
    <row r="4878" spans="4:6" x14ac:dyDescent="0.35">
      <c r="D4878" s="66"/>
      <c r="E4878" s="66"/>
      <c r="F4878" s="66"/>
    </row>
    <row r="4879" spans="4:6" x14ac:dyDescent="0.35">
      <c r="D4879" s="66"/>
      <c r="E4879" s="66"/>
      <c r="F4879" s="66"/>
    </row>
    <row r="4880" spans="4:6" x14ac:dyDescent="0.35">
      <c r="D4880" s="66"/>
      <c r="E4880" s="66"/>
      <c r="F4880" s="66"/>
    </row>
    <row r="4881" spans="4:6" x14ac:dyDescent="0.35">
      <c r="D4881" s="66"/>
      <c r="E4881" s="66"/>
      <c r="F4881" s="66"/>
    </row>
    <row r="4882" spans="4:6" x14ac:dyDescent="0.35">
      <c r="D4882" s="66"/>
      <c r="E4882" s="66"/>
      <c r="F4882" s="66"/>
    </row>
    <row r="4883" spans="4:6" x14ac:dyDescent="0.35">
      <c r="D4883" s="66"/>
      <c r="E4883" s="66"/>
      <c r="F4883" s="66"/>
    </row>
    <row r="4884" spans="4:6" x14ac:dyDescent="0.35">
      <c r="D4884" s="66"/>
      <c r="E4884" s="66"/>
      <c r="F4884" s="66"/>
    </row>
    <row r="4885" spans="4:6" x14ac:dyDescent="0.35">
      <c r="D4885" s="66"/>
      <c r="E4885" s="66"/>
      <c r="F4885" s="66"/>
    </row>
    <row r="4886" spans="4:6" x14ac:dyDescent="0.35">
      <c r="D4886" s="66"/>
      <c r="E4886" s="66"/>
      <c r="F4886" s="66"/>
    </row>
    <row r="4887" spans="4:6" x14ac:dyDescent="0.35">
      <c r="D4887" s="66"/>
      <c r="E4887" s="66"/>
      <c r="F4887" s="66"/>
    </row>
    <row r="4888" spans="4:6" x14ac:dyDescent="0.35">
      <c r="D4888" s="66"/>
      <c r="E4888" s="66"/>
      <c r="F4888" s="66"/>
    </row>
    <row r="4889" spans="4:6" x14ac:dyDescent="0.35">
      <c r="D4889" s="66"/>
      <c r="E4889" s="66"/>
      <c r="F4889" s="66"/>
    </row>
    <row r="4890" spans="4:6" x14ac:dyDescent="0.35">
      <c r="D4890" s="66"/>
      <c r="E4890" s="66"/>
      <c r="F4890" s="66"/>
    </row>
    <row r="4891" spans="4:6" x14ac:dyDescent="0.35">
      <c r="D4891" s="66"/>
      <c r="E4891" s="66"/>
      <c r="F4891" s="66"/>
    </row>
    <row r="4892" spans="4:6" x14ac:dyDescent="0.35">
      <c r="D4892" s="66"/>
      <c r="E4892" s="66"/>
      <c r="F4892" s="66"/>
    </row>
    <row r="4893" spans="4:6" x14ac:dyDescent="0.35">
      <c r="D4893" s="66"/>
      <c r="E4893" s="66"/>
      <c r="F4893" s="66"/>
    </row>
    <row r="4894" spans="4:6" x14ac:dyDescent="0.35">
      <c r="D4894" s="66"/>
      <c r="E4894" s="66"/>
      <c r="F4894" s="66"/>
    </row>
    <row r="4895" spans="4:6" x14ac:dyDescent="0.35">
      <c r="D4895" s="66"/>
      <c r="E4895" s="66"/>
      <c r="F4895" s="66"/>
    </row>
    <row r="4896" spans="4:6" x14ac:dyDescent="0.35">
      <c r="D4896" s="66"/>
      <c r="E4896" s="66"/>
      <c r="F4896" s="66"/>
    </row>
    <row r="4897" spans="4:6" x14ac:dyDescent="0.35">
      <c r="D4897" s="66"/>
      <c r="E4897" s="66"/>
      <c r="F4897" s="66"/>
    </row>
    <row r="4898" spans="4:6" x14ac:dyDescent="0.35">
      <c r="D4898" s="66"/>
      <c r="E4898" s="66"/>
      <c r="F4898" s="66"/>
    </row>
    <row r="4899" spans="4:6" x14ac:dyDescent="0.35">
      <c r="D4899" s="66"/>
      <c r="E4899" s="66"/>
      <c r="F4899" s="66"/>
    </row>
    <row r="4900" spans="4:6" x14ac:dyDescent="0.35">
      <c r="D4900" s="66"/>
      <c r="E4900" s="66"/>
      <c r="F4900" s="66"/>
    </row>
    <row r="4901" spans="4:6" x14ac:dyDescent="0.35">
      <c r="D4901" s="66"/>
      <c r="E4901" s="66"/>
      <c r="F4901" s="66"/>
    </row>
    <row r="4902" spans="4:6" x14ac:dyDescent="0.35">
      <c r="D4902" s="66"/>
      <c r="E4902" s="66"/>
      <c r="F4902" s="66"/>
    </row>
    <row r="4903" spans="4:6" x14ac:dyDescent="0.35">
      <c r="D4903" s="66"/>
      <c r="E4903" s="66"/>
      <c r="F4903" s="66"/>
    </row>
    <row r="4904" spans="4:6" x14ac:dyDescent="0.35">
      <c r="D4904" s="66"/>
      <c r="E4904" s="66"/>
      <c r="F4904" s="66"/>
    </row>
    <row r="4905" spans="4:6" x14ac:dyDescent="0.35">
      <c r="D4905" s="66"/>
      <c r="E4905" s="66"/>
      <c r="F4905" s="66"/>
    </row>
    <row r="4906" spans="4:6" x14ac:dyDescent="0.35">
      <c r="D4906" s="66"/>
      <c r="E4906" s="66"/>
      <c r="F4906" s="66"/>
    </row>
    <row r="4907" spans="4:6" x14ac:dyDescent="0.35">
      <c r="D4907" s="66"/>
      <c r="E4907" s="66"/>
      <c r="F4907" s="66"/>
    </row>
    <row r="4908" spans="4:6" x14ac:dyDescent="0.35">
      <c r="D4908" s="66"/>
      <c r="E4908" s="66"/>
      <c r="F4908" s="66"/>
    </row>
    <row r="4909" spans="4:6" x14ac:dyDescent="0.35">
      <c r="D4909" s="66"/>
      <c r="E4909" s="66"/>
      <c r="F4909" s="66"/>
    </row>
    <row r="4910" spans="4:6" x14ac:dyDescent="0.35">
      <c r="D4910" s="66"/>
      <c r="E4910" s="66"/>
      <c r="F4910" s="66"/>
    </row>
    <row r="4911" spans="4:6" x14ac:dyDescent="0.35">
      <c r="D4911" s="66"/>
      <c r="E4911" s="66"/>
      <c r="F4911" s="66"/>
    </row>
    <row r="4912" spans="4:6" x14ac:dyDescent="0.35">
      <c r="D4912" s="66"/>
      <c r="E4912" s="66"/>
      <c r="F4912" s="66"/>
    </row>
    <row r="4913" spans="4:6" x14ac:dyDescent="0.35">
      <c r="D4913" s="66"/>
      <c r="E4913" s="66"/>
      <c r="F4913" s="66"/>
    </row>
    <row r="4914" spans="4:6" x14ac:dyDescent="0.35">
      <c r="D4914" s="66"/>
      <c r="E4914" s="66"/>
      <c r="F4914" s="66"/>
    </row>
    <row r="4915" spans="4:6" x14ac:dyDescent="0.35">
      <c r="D4915" s="66"/>
      <c r="E4915" s="66"/>
      <c r="F4915" s="66"/>
    </row>
    <row r="4916" spans="4:6" x14ac:dyDescent="0.35">
      <c r="D4916" s="66"/>
      <c r="E4916" s="66"/>
      <c r="F4916" s="66"/>
    </row>
    <row r="4917" spans="4:6" x14ac:dyDescent="0.35">
      <c r="D4917" s="66"/>
      <c r="E4917" s="66"/>
      <c r="F4917" s="66"/>
    </row>
    <row r="4918" spans="4:6" x14ac:dyDescent="0.35">
      <c r="D4918" s="66"/>
      <c r="E4918" s="66"/>
      <c r="F4918" s="66"/>
    </row>
    <row r="4919" spans="4:6" x14ac:dyDescent="0.35">
      <c r="D4919" s="66"/>
      <c r="E4919" s="66"/>
      <c r="F4919" s="66"/>
    </row>
    <row r="4920" spans="4:6" x14ac:dyDescent="0.35">
      <c r="D4920" s="66"/>
      <c r="E4920" s="66"/>
      <c r="F4920" s="66"/>
    </row>
    <row r="4921" spans="4:6" x14ac:dyDescent="0.35">
      <c r="D4921" s="66"/>
      <c r="E4921" s="66"/>
      <c r="F4921" s="66"/>
    </row>
    <row r="4922" spans="4:6" x14ac:dyDescent="0.35">
      <c r="D4922" s="66"/>
      <c r="E4922" s="66"/>
      <c r="F4922" s="66"/>
    </row>
    <row r="4923" spans="4:6" x14ac:dyDescent="0.35">
      <c r="D4923" s="66"/>
      <c r="E4923" s="66"/>
      <c r="F4923" s="66"/>
    </row>
    <row r="4924" spans="4:6" x14ac:dyDescent="0.35">
      <c r="D4924" s="66"/>
      <c r="E4924" s="66"/>
      <c r="F4924" s="66"/>
    </row>
    <row r="4925" spans="4:6" x14ac:dyDescent="0.35">
      <c r="D4925" s="66"/>
      <c r="E4925" s="66"/>
      <c r="F4925" s="66"/>
    </row>
    <row r="4926" spans="4:6" x14ac:dyDescent="0.35">
      <c r="D4926" s="66"/>
      <c r="E4926" s="66"/>
      <c r="F4926" s="66"/>
    </row>
    <row r="4927" spans="4:6" x14ac:dyDescent="0.35">
      <c r="D4927" s="66"/>
      <c r="E4927" s="66"/>
      <c r="F4927" s="66"/>
    </row>
    <row r="4928" spans="4:6" x14ac:dyDescent="0.35">
      <c r="D4928" s="66"/>
      <c r="E4928" s="66"/>
      <c r="F4928" s="66"/>
    </row>
    <row r="4929" spans="4:6" x14ac:dyDescent="0.35">
      <c r="D4929" s="66"/>
      <c r="E4929" s="66"/>
      <c r="F4929" s="66"/>
    </row>
    <row r="4930" spans="4:6" x14ac:dyDescent="0.35">
      <c r="D4930" s="66"/>
      <c r="E4930" s="66"/>
      <c r="F4930" s="66"/>
    </row>
    <row r="4931" spans="4:6" x14ac:dyDescent="0.35">
      <c r="D4931" s="66"/>
      <c r="E4931" s="66"/>
      <c r="F4931" s="66"/>
    </row>
    <row r="4932" spans="4:6" x14ac:dyDescent="0.35">
      <c r="D4932" s="66"/>
      <c r="E4932" s="66"/>
      <c r="F4932" s="66"/>
    </row>
    <row r="4933" spans="4:6" x14ac:dyDescent="0.35">
      <c r="D4933" s="66"/>
      <c r="E4933" s="66"/>
      <c r="F4933" s="66"/>
    </row>
    <row r="4934" spans="4:6" x14ac:dyDescent="0.35">
      <c r="D4934" s="66"/>
      <c r="E4934" s="66"/>
      <c r="F4934" s="66"/>
    </row>
    <row r="4935" spans="4:6" x14ac:dyDescent="0.35">
      <c r="D4935" s="66"/>
      <c r="E4935" s="66"/>
      <c r="F4935" s="66"/>
    </row>
    <row r="4936" spans="4:6" x14ac:dyDescent="0.35">
      <c r="D4936" s="66"/>
      <c r="E4936" s="66"/>
      <c r="F4936" s="66"/>
    </row>
    <row r="4937" spans="4:6" x14ac:dyDescent="0.35">
      <c r="D4937" s="66"/>
      <c r="E4937" s="66"/>
      <c r="F4937" s="66"/>
    </row>
    <row r="4938" spans="4:6" x14ac:dyDescent="0.35">
      <c r="D4938" s="66"/>
      <c r="E4938" s="66"/>
      <c r="F4938" s="66"/>
    </row>
    <row r="4939" spans="4:6" x14ac:dyDescent="0.35">
      <c r="D4939" s="66"/>
      <c r="E4939" s="66"/>
      <c r="F4939" s="66"/>
    </row>
    <row r="4940" spans="4:6" x14ac:dyDescent="0.35">
      <c r="D4940" s="66"/>
      <c r="E4940" s="66"/>
      <c r="F4940" s="66"/>
    </row>
    <row r="4941" spans="4:6" x14ac:dyDescent="0.35">
      <c r="D4941" s="66"/>
      <c r="E4941" s="66"/>
      <c r="F4941" s="66"/>
    </row>
    <row r="4942" spans="4:6" x14ac:dyDescent="0.35">
      <c r="D4942" s="66"/>
      <c r="E4942" s="66"/>
      <c r="F4942" s="66"/>
    </row>
    <row r="4943" spans="4:6" x14ac:dyDescent="0.35">
      <c r="D4943" s="66"/>
      <c r="E4943" s="66"/>
      <c r="F4943" s="66"/>
    </row>
    <row r="4944" spans="4:6" x14ac:dyDescent="0.35">
      <c r="D4944" s="66"/>
      <c r="E4944" s="66"/>
      <c r="F4944" s="66"/>
    </row>
    <row r="4945" spans="4:6" x14ac:dyDescent="0.35">
      <c r="D4945" s="66"/>
      <c r="E4945" s="66"/>
      <c r="F4945" s="66"/>
    </row>
    <row r="4946" spans="4:6" x14ac:dyDescent="0.35">
      <c r="D4946" s="66"/>
      <c r="E4946" s="66"/>
      <c r="F4946" s="66"/>
    </row>
    <row r="4947" spans="4:6" x14ac:dyDescent="0.35">
      <c r="D4947" s="66"/>
      <c r="E4947" s="66"/>
      <c r="F4947" s="66"/>
    </row>
    <row r="4948" spans="4:6" x14ac:dyDescent="0.35">
      <c r="D4948" s="66"/>
      <c r="E4948" s="66"/>
      <c r="F4948" s="66"/>
    </row>
    <row r="4949" spans="4:6" x14ac:dyDescent="0.35">
      <c r="D4949" s="66"/>
      <c r="E4949" s="66"/>
      <c r="F4949" s="66"/>
    </row>
    <row r="4950" spans="4:6" x14ac:dyDescent="0.35">
      <c r="D4950" s="66"/>
      <c r="E4950" s="66"/>
      <c r="F4950" s="66"/>
    </row>
    <row r="4951" spans="4:6" x14ac:dyDescent="0.35">
      <c r="D4951" s="66"/>
      <c r="E4951" s="66"/>
      <c r="F4951" s="66"/>
    </row>
    <row r="4952" spans="4:6" x14ac:dyDescent="0.35">
      <c r="D4952" s="66"/>
      <c r="E4952" s="66"/>
      <c r="F4952" s="66"/>
    </row>
    <row r="4953" spans="4:6" x14ac:dyDescent="0.35">
      <c r="D4953" s="66"/>
      <c r="E4953" s="66"/>
      <c r="F4953" s="66"/>
    </row>
    <row r="4954" spans="4:6" x14ac:dyDescent="0.35">
      <c r="D4954" s="66"/>
      <c r="E4954" s="66"/>
      <c r="F4954" s="66"/>
    </row>
    <row r="4955" spans="4:6" x14ac:dyDescent="0.35">
      <c r="D4955" s="66"/>
      <c r="E4955" s="66"/>
      <c r="F4955" s="66"/>
    </row>
    <row r="4956" spans="4:6" x14ac:dyDescent="0.35">
      <c r="D4956" s="66"/>
      <c r="E4956" s="66"/>
      <c r="F4956" s="66"/>
    </row>
    <row r="4957" spans="4:6" x14ac:dyDescent="0.35">
      <c r="D4957" s="66"/>
      <c r="E4957" s="66"/>
      <c r="F4957" s="66"/>
    </row>
    <row r="4958" spans="4:6" x14ac:dyDescent="0.35">
      <c r="D4958" s="66"/>
      <c r="E4958" s="66"/>
      <c r="F4958" s="66"/>
    </row>
    <row r="4959" spans="4:6" x14ac:dyDescent="0.35">
      <c r="D4959" s="66"/>
      <c r="E4959" s="66"/>
      <c r="F4959" s="66"/>
    </row>
    <row r="4960" spans="4:6" x14ac:dyDescent="0.35">
      <c r="D4960" s="66"/>
      <c r="E4960" s="66"/>
      <c r="F4960" s="66"/>
    </row>
    <row r="4961" spans="4:6" x14ac:dyDescent="0.35">
      <c r="D4961" s="66"/>
      <c r="E4961" s="66"/>
      <c r="F4961" s="66"/>
    </row>
    <row r="4962" spans="4:6" x14ac:dyDescent="0.35">
      <c r="D4962" s="66"/>
      <c r="E4962" s="66"/>
      <c r="F4962" s="66"/>
    </row>
    <row r="4963" spans="4:6" x14ac:dyDescent="0.35">
      <c r="D4963" s="66"/>
      <c r="E4963" s="66"/>
      <c r="F4963" s="66"/>
    </row>
    <row r="4964" spans="4:6" x14ac:dyDescent="0.35">
      <c r="D4964" s="66"/>
      <c r="E4964" s="66"/>
      <c r="F4964" s="66"/>
    </row>
    <row r="4965" spans="4:6" x14ac:dyDescent="0.35">
      <c r="D4965" s="66"/>
      <c r="E4965" s="66"/>
      <c r="F4965" s="66"/>
    </row>
    <row r="4966" spans="4:6" x14ac:dyDescent="0.35">
      <c r="D4966" s="66"/>
      <c r="E4966" s="66"/>
      <c r="F4966" s="66"/>
    </row>
    <row r="4967" spans="4:6" x14ac:dyDescent="0.35">
      <c r="D4967" s="66"/>
      <c r="E4967" s="66"/>
      <c r="F4967" s="66"/>
    </row>
    <row r="4968" spans="4:6" x14ac:dyDescent="0.35">
      <c r="D4968" s="66"/>
      <c r="E4968" s="66"/>
      <c r="F4968" s="66"/>
    </row>
    <row r="4969" spans="4:6" x14ac:dyDescent="0.35">
      <c r="D4969" s="66"/>
      <c r="E4969" s="66"/>
      <c r="F4969" s="66"/>
    </row>
    <row r="4970" spans="4:6" x14ac:dyDescent="0.35">
      <c r="D4970" s="66"/>
      <c r="E4970" s="66"/>
      <c r="F4970" s="66"/>
    </row>
    <row r="4971" spans="4:6" x14ac:dyDescent="0.35">
      <c r="D4971" s="66"/>
      <c r="E4971" s="66"/>
      <c r="F4971" s="66"/>
    </row>
    <row r="4972" spans="4:6" x14ac:dyDescent="0.35">
      <c r="D4972" s="66"/>
      <c r="E4972" s="66"/>
      <c r="F4972" s="66"/>
    </row>
    <row r="4973" spans="4:6" x14ac:dyDescent="0.35">
      <c r="D4973" s="66"/>
      <c r="E4973" s="66"/>
      <c r="F4973" s="66"/>
    </row>
    <row r="4974" spans="4:6" x14ac:dyDescent="0.35">
      <c r="D4974" s="66"/>
      <c r="E4974" s="66"/>
      <c r="F4974" s="66"/>
    </row>
    <row r="4975" spans="4:6" x14ac:dyDescent="0.35">
      <c r="D4975" s="66"/>
      <c r="E4975" s="66"/>
      <c r="F4975" s="66"/>
    </row>
    <row r="4976" spans="4:6" x14ac:dyDescent="0.35">
      <c r="D4976" s="66"/>
      <c r="E4976" s="66"/>
      <c r="F4976" s="66"/>
    </row>
    <row r="4977" spans="4:6" x14ac:dyDescent="0.35">
      <c r="D4977" s="66"/>
      <c r="E4977" s="66"/>
      <c r="F4977" s="66"/>
    </row>
    <row r="4978" spans="4:6" x14ac:dyDescent="0.35">
      <c r="D4978" s="66"/>
      <c r="E4978" s="66"/>
      <c r="F4978" s="66"/>
    </row>
    <row r="4979" spans="4:6" x14ac:dyDescent="0.35">
      <c r="D4979" s="66"/>
      <c r="E4979" s="66"/>
      <c r="F4979" s="66"/>
    </row>
    <row r="4980" spans="4:6" x14ac:dyDescent="0.35">
      <c r="D4980" s="66"/>
      <c r="E4980" s="66"/>
      <c r="F4980" s="66"/>
    </row>
    <row r="4981" spans="4:6" x14ac:dyDescent="0.35">
      <c r="D4981" s="66"/>
      <c r="E4981" s="66"/>
      <c r="F4981" s="66"/>
    </row>
    <row r="4982" spans="4:6" x14ac:dyDescent="0.35">
      <c r="D4982" s="66"/>
      <c r="E4982" s="66"/>
      <c r="F4982" s="66"/>
    </row>
    <row r="4983" spans="4:6" x14ac:dyDescent="0.35">
      <c r="D4983" s="66"/>
      <c r="E4983" s="66"/>
      <c r="F4983" s="66"/>
    </row>
    <row r="4984" spans="4:6" x14ac:dyDescent="0.35">
      <c r="D4984" s="66"/>
      <c r="E4984" s="66"/>
      <c r="F4984" s="66"/>
    </row>
    <row r="4985" spans="4:6" x14ac:dyDescent="0.35">
      <c r="D4985" s="66"/>
      <c r="E4985" s="66"/>
      <c r="F4985" s="66"/>
    </row>
    <row r="4986" spans="4:6" x14ac:dyDescent="0.35">
      <c r="D4986" s="66"/>
      <c r="E4986" s="66"/>
      <c r="F4986" s="66"/>
    </row>
    <row r="4987" spans="4:6" x14ac:dyDescent="0.35">
      <c r="D4987" s="66"/>
      <c r="E4987" s="66"/>
      <c r="F4987" s="66"/>
    </row>
    <row r="4988" spans="4:6" x14ac:dyDescent="0.35">
      <c r="D4988" s="66"/>
      <c r="E4988" s="66"/>
      <c r="F4988" s="66"/>
    </row>
    <row r="4989" spans="4:6" x14ac:dyDescent="0.35">
      <c r="D4989" s="66"/>
      <c r="E4989" s="66"/>
      <c r="F4989" s="66"/>
    </row>
    <row r="4990" spans="4:6" x14ac:dyDescent="0.35">
      <c r="D4990" s="66"/>
      <c r="E4990" s="66"/>
      <c r="F4990" s="66"/>
    </row>
    <row r="4991" spans="4:6" x14ac:dyDescent="0.35">
      <c r="D4991" s="66"/>
      <c r="E4991" s="66"/>
      <c r="F4991" s="66"/>
    </row>
    <row r="4992" spans="4:6" x14ac:dyDescent="0.35">
      <c r="D4992" s="66"/>
      <c r="E4992" s="66"/>
      <c r="F4992" s="66"/>
    </row>
    <row r="4993" spans="4:6" x14ac:dyDescent="0.35">
      <c r="D4993" s="66"/>
      <c r="E4993" s="66"/>
      <c r="F4993" s="66"/>
    </row>
    <row r="4994" spans="4:6" x14ac:dyDescent="0.35">
      <c r="D4994" s="66"/>
      <c r="E4994" s="66"/>
      <c r="F4994" s="66"/>
    </row>
    <row r="4995" spans="4:6" x14ac:dyDescent="0.35">
      <c r="D4995" s="66"/>
      <c r="E4995" s="66"/>
      <c r="F4995" s="66"/>
    </row>
    <row r="4996" spans="4:6" x14ac:dyDescent="0.35">
      <c r="D4996" s="66"/>
      <c r="E4996" s="66"/>
      <c r="F4996" s="66"/>
    </row>
    <row r="4997" spans="4:6" x14ac:dyDescent="0.35">
      <c r="D4997" s="66"/>
      <c r="E4997" s="66"/>
      <c r="F4997" s="66"/>
    </row>
    <row r="4998" spans="4:6" x14ac:dyDescent="0.35">
      <c r="D4998" s="66"/>
      <c r="E4998" s="66"/>
      <c r="F4998" s="66"/>
    </row>
    <row r="4999" spans="4:6" x14ac:dyDescent="0.35">
      <c r="D4999" s="66"/>
      <c r="E4999" s="66"/>
      <c r="F4999" s="66"/>
    </row>
    <row r="5000" spans="4:6" x14ac:dyDescent="0.35">
      <c r="D5000" s="66"/>
      <c r="E5000" s="66"/>
      <c r="F5000" s="66"/>
    </row>
    <row r="5001" spans="4:6" x14ac:dyDescent="0.35">
      <c r="D5001" s="66"/>
      <c r="E5001" s="66"/>
      <c r="F5001" s="66"/>
    </row>
    <row r="5002" spans="4:6" x14ac:dyDescent="0.35">
      <c r="D5002" s="66"/>
      <c r="E5002" s="66"/>
      <c r="F5002" s="66"/>
    </row>
    <row r="5003" spans="4:6" x14ac:dyDescent="0.35">
      <c r="D5003" s="66"/>
      <c r="E5003" s="66"/>
      <c r="F5003" s="66"/>
    </row>
    <row r="5004" spans="4:6" x14ac:dyDescent="0.35">
      <c r="D5004" s="66"/>
      <c r="E5004" s="66"/>
      <c r="F5004" s="66"/>
    </row>
    <row r="5005" spans="4:6" x14ac:dyDescent="0.35">
      <c r="D5005" s="66"/>
      <c r="E5005" s="66"/>
      <c r="F5005" s="66"/>
    </row>
    <row r="5006" spans="4:6" x14ac:dyDescent="0.35">
      <c r="D5006" s="66"/>
      <c r="E5006" s="66"/>
      <c r="F5006" s="66"/>
    </row>
    <row r="5007" spans="4:6" x14ac:dyDescent="0.35">
      <c r="D5007" s="66"/>
      <c r="E5007" s="66"/>
      <c r="F5007" s="66"/>
    </row>
    <row r="5008" spans="4:6" x14ac:dyDescent="0.35">
      <c r="D5008" s="66"/>
      <c r="E5008" s="66"/>
      <c r="F5008" s="66"/>
    </row>
    <row r="5009" spans="4:6" x14ac:dyDescent="0.35">
      <c r="D5009" s="66"/>
      <c r="E5009" s="66"/>
      <c r="F5009" s="66"/>
    </row>
    <row r="5010" spans="4:6" x14ac:dyDescent="0.35">
      <c r="D5010" s="66"/>
      <c r="E5010" s="66"/>
      <c r="F5010" s="66"/>
    </row>
    <row r="5011" spans="4:6" x14ac:dyDescent="0.35">
      <c r="D5011" s="66"/>
      <c r="E5011" s="66"/>
      <c r="F5011" s="66"/>
    </row>
    <row r="5012" spans="4:6" x14ac:dyDescent="0.35">
      <c r="D5012" s="66"/>
      <c r="E5012" s="66"/>
      <c r="F5012" s="66"/>
    </row>
    <row r="5013" spans="4:6" x14ac:dyDescent="0.35">
      <c r="D5013" s="66"/>
      <c r="E5013" s="66"/>
      <c r="F5013" s="66"/>
    </row>
    <row r="5014" spans="4:6" x14ac:dyDescent="0.35">
      <c r="D5014" s="66"/>
      <c r="E5014" s="66"/>
      <c r="F5014" s="66"/>
    </row>
    <row r="5015" spans="4:6" x14ac:dyDescent="0.35">
      <c r="D5015" s="66"/>
      <c r="E5015" s="66"/>
      <c r="F5015" s="66"/>
    </row>
    <row r="5016" spans="4:6" x14ac:dyDescent="0.35">
      <c r="D5016" s="66"/>
      <c r="E5016" s="66"/>
      <c r="F5016" s="66"/>
    </row>
    <row r="5017" spans="4:6" x14ac:dyDescent="0.35">
      <c r="D5017" s="66"/>
      <c r="E5017" s="66"/>
      <c r="F5017" s="66"/>
    </row>
    <row r="5018" spans="4:6" x14ac:dyDescent="0.35">
      <c r="D5018" s="66"/>
      <c r="E5018" s="66"/>
      <c r="F5018" s="66"/>
    </row>
    <row r="5019" spans="4:6" x14ac:dyDescent="0.35">
      <c r="D5019" s="66"/>
      <c r="E5019" s="66"/>
      <c r="F5019" s="66"/>
    </row>
    <row r="5020" spans="4:6" x14ac:dyDescent="0.35">
      <c r="D5020" s="66"/>
      <c r="E5020" s="66"/>
      <c r="F5020" s="66"/>
    </row>
    <row r="5021" spans="4:6" x14ac:dyDescent="0.35">
      <c r="D5021" s="66"/>
      <c r="E5021" s="66"/>
      <c r="F5021" s="66"/>
    </row>
    <row r="5022" spans="4:6" x14ac:dyDescent="0.35">
      <c r="D5022" s="66"/>
      <c r="E5022" s="66"/>
      <c r="F5022" s="66"/>
    </row>
    <row r="5023" spans="4:6" x14ac:dyDescent="0.35">
      <c r="D5023" s="66"/>
      <c r="E5023" s="66"/>
      <c r="F5023" s="66"/>
    </row>
    <row r="5024" spans="4:6" x14ac:dyDescent="0.35">
      <c r="D5024" s="66"/>
      <c r="E5024" s="66"/>
      <c r="F5024" s="66"/>
    </row>
    <row r="5025" spans="4:6" x14ac:dyDescent="0.35">
      <c r="D5025" s="66"/>
      <c r="E5025" s="66"/>
      <c r="F5025" s="66"/>
    </row>
    <row r="5026" spans="4:6" x14ac:dyDescent="0.35">
      <c r="D5026" s="66"/>
      <c r="E5026" s="66"/>
      <c r="F5026" s="66"/>
    </row>
    <row r="5027" spans="4:6" x14ac:dyDescent="0.35">
      <c r="D5027" s="66"/>
      <c r="E5027" s="66"/>
      <c r="F5027" s="66"/>
    </row>
    <row r="5028" spans="4:6" x14ac:dyDescent="0.35">
      <c r="D5028" s="66"/>
      <c r="E5028" s="66"/>
      <c r="F5028" s="66"/>
    </row>
    <row r="5029" spans="4:6" x14ac:dyDescent="0.35">
      <c r="D5029" s="66"/>
      <c r="E5029" s="66"/>
      <c r="F5029" s="66"/>
    </row>
    <row r="5030" spans="4:6" x14ac:dyDescent="0.35">
      <c r="D5030" s="66"/>
      <c r="E5030" s="66"/>
      <c r="F5030" s="66"/>
    </row>
    <row r="5031" spans="4:6" x14ac:dyDescent="0.35">
      <c r="D5031" s="66"/>
      <c r="E5031" s="66"/>
      <c r="F5031" s="66"/>
    </row>
    <row r="5032" spans="4:6" x14ac:dyDescent="0.35">
      <c r="D5032" s="66"/>
      <c r="E5032" s="66"/>
      <c r="F5032" s="66"/>
    </row>
    <row r="5033" spans="4:6" x14ac:dyDescent="0.35">
      <c r="D5033" s="66"/>
      <c r="E5033" s="66"/>
      <c r="F5033" s="66"/>
    </row>
    <row r="5034" spans="4:6" x14ac:dyDescent="0.35">
      <c r="D5034" s="66"/>
      <c r="E5034" s="66"/>
      <c r="F5034" s="66"/>
    </row>
    <row r="5035" spans="4:6" x14ac:dyDescent="0.35">
      <c r="D5035" s="66"/>
      <c r="E5035" s="66"/>
      <c r="F5035" s="66"/>
    </row>
    <row r="5036" spans="4:6" x14ac:dyDescent="0.35">
      <c r="D5036" s="66"/>
      <c r="E5036" s="66"/>
      <c r="F5036" s="66"/>
    </row>
    <row r="5037" spans="4:6" x14ac:dyDescent="0.35">
      <c r="D5037" s="66"/>
      <c r="E5037" s="66"/>
      <c r="F5037" s="66"/>
    </row>
    <row r="5038" spans="4:6" x14ac:dyDescent="0.35">
      <c r="D5038" s="66"/>
      <c r="E5038" s="66"/>
      <c r="F5038" s="66"/>
    </row>
    <row r="5039" spans="4:6" x14ac:dyDescent="0.35">
      <c r="D5039" s="66"/>
      <c r="E5039" s="66"/>
      <c r="F5039" s="66"/>
    </row>
    <row r="5040" spans="4:6" x14ac:dyDescent="0.35">
      <c r="D5040" s="66"/>
      <c r="E5040" s="66"/>
      <c r="F5040" s="66"/>
    </row>
    <row r="5041" spans="4:6" x14ac:dyDescent="0.35">
      <c r="D5041" s="66"/>
      <c r="E5041" s="66"/>
      <c r="F5041" s="66"/>
    </row>
    <row r="5042" spans="4:6" x14ac:dyDescent="0.35">
      <c r="D5042" s="66"/>
      <c r="E5042" s="66"/>
      <c r="F5042" s="66"/>
    </row>
    <row r="5043" spans="4:6" x14ac:dyDescent="0.35">
      <c r="D5043" s="66"/>
      <c r="E5043" s="66"/>
      <c r="F5043" s="66"/>
    </row>
    <row r="5044" spans="4:6" x14ac:dyDescent="0.35">
      <c r="D5044" s="66"/>
      <c r="E5044" s="66"/>
      <c r="F5044" s="66"/>
    </row>
    <row r="5045" spans="4:6" x14ac:dyDescent="0.35">
      <c r="D5045" s="66"/>
      <c r="E5045" s="66"/>
      <c r="F5045" s="66"/>
    </row>
    <row r="5046" spans="4:6" x14ac:dyDescent="0.35">
      <c r="D5046" s="66"/>
      <c r="E5046" s="66"/>
      <c r="F5046" s="66"/>
    </row>
    <row r="5047" spans="4:6" x14ac:dyDescent="0.35">
      <c r="D5047" s="66"/>
      <c r="E5047" s="66"/>
      <c r="F5047" s="66"/>
    </row>
    <row r="5048" spans="4:6" x14ac:dyDescent="0.35">
      <c r="D5048" s="66"/>
      <c r="E5048" s="66"/>
      <c r="F5048" s="66"/>
    </row>
    <row r="5049" spans="4:6" x14ac:dyDescent="0.35">
      <c r="D5049" s="66"/>
      <c r="E5049" s="66"/>
      <c r="F5049" s="66"/>
    </row>
    <row r="5050" spans="4:6" x14ac:dyDescent="0.35">
      <c r="D5050" s="66"/>
      <c r="E5050" s="66"/>
      <c r="F5050" s="66"/>
    </row>
    <row r="5051" spans="4:6" x14ac:dyDescent="0.35">
      <c r="D5051" s="66"/>
      <c r="E5051" s="66"/>
      <c r="F5051" s="66"/>
    </row>
    <row r="5052" spans="4:6" x14ac:dyDescent="0.35">
      <c r="D5052" s="66"/>
      <c r="E5052" s="66"/>
      <c r="F5052" s="66"/>
    </row>
    <row r="5053" spans="4:6" x14ac:dyDescent="0.35">
      <c r="D5053" s="66"/>
      <c r="E5053" s="66"/>
      <c r="F5053" s="66"/>
    </row>
    <row r="5054" spans="4:6" x14ac:dyDescent="0.35">
      <c r="D5054" s="66"/>
      <c r="E5054" s="66"/>
      <c r="F5054" s="66"/>
    </row>
    <row r="5055" spans="4:6" x14ac:dyDescent="0.35">
      <c r="D5055" s="66"/>
      <c r="E5055" s="66"/>
      <c r="F5055" s="66"/>
    </row>
    <row r="5056" spans="4:6" x14ac:dyDescent="0.35">
      <c r="D5056" s="66"/>
      <c r="E5056" s="66"/>
      <c r="F5056" s="66"/>
    </row>
    <row r="5057" spans="4:6" x14ac:dyDescent="0.35">
      <c r="D5057" s="66"/>
      <c r="E5057" s="66"/>
      <c r="F5057" s="66"/>
    </row>
    <row r="5058" spans="4:6" x14ac:dyDescent="0.35">
      <c r="D5058" s="66"/>
      <c r="E5058" s="66"/>
      <c r="F5058" s="66"/>
    </row>
    <row r="5059" spans="4:6" x14ac:dyDescent="0.35">
      <c r="D5059" s="66"/>
      <c r="E5059" s="66"/>
      <c r="F5059" s="66"/>
    </row>
    <row r="5060" spans="4:6" x14ac:dyDescent="0.35">
      <c r="D5060" s="66"/>
      <c r="E5060" s="66"/>
      <c r="F5060" s="66"/>
    </row>
    <row r="5061" spans="4:6" x14ac:dyDescent="0.35">
      <c r="D5061" s="66"/>
      <c r="E5061" s="66"/>
      <c r="F5061" s="66"/>
    </row>
    <row r="5062" spans="4:6" x14ac:dyDescent="0.35">
      <c r="D5062" s="66"/>
      <c r="E5062" s="66"/>
      <c r="F5062" s="66"/>
    </row>
    <row r="5063" spans="4:6" x14ac:dyDescent="0.35">
      <c r="D5063" s="66"/>
      <c r="E5063" s="66"/>
      <c r="F5063" s="66"/>
    </row>
    <row r="5064" spans="4:6" x14ac:dyDescent="0.35">
      <c r="D5064" s="66"/>
      <c r="E5064" s="66"/>
      <c r="F5064" s="66"/>
    </row>
    <row r="5065" spans="4:6" x14ac:dyDescent="0.35">
      <c r="D5065" s="66"/>
      <c r="E5065" s="66"/>
      <c r="F5065" s="66"/>
    </row>
    <row r="5066" spans="4:6" x14ac:dyDescent="0.35">
      <c r="D5066" s="66"/>
      <c r="E5066" s="66"/>
      <c r="F5066" s="66"/>
    </row>
    <row r="5067" spans="4:6" x14ac:dyDescent="0.35">
      <c r="D5067" s="66"/>
      <c r="E5067" s="66"/>
      <c r="F5067" s="66"/>
    </row>
    <row r="5068" spans="4:6" x14ac:dyDescent="0.35">
      <c r="D5068" s="66"/>
      <c r="E5068" s="66"/>
      <c r="F5068" s="66"/>
    </row>
    <row r="5069" spans="4:6" x14ac:dyDescent="0.35">
      <c r="D5069" s="66"/>
      <c r="E5069" s="66"/>
      <c r="F5069" s="66"/>
    </row>
    <row r="5070" spans="4:6" x14ac:dyDescent="0.35">
      <c r="D5070" s="66"/>
      <c r="E5070" s="66"/>
      <c r="F5070" s="66"/>
    </row>
    <row r="5071" spans="4:6" x14ac:dyDescent="0.35">
      <c r="D5071" s="66"/>
      <c r="E5071" s="66"/>
      <c r="F5071" s="66"/>
    </row>
    <row r="5072" spans="4:6" x14ac:dyDescent="0.35">
      <c r="D5072" s="66"/>
      <c r="E5072" s="66"/>
      <c r="F5072" s="66"/>
    </row>
    <row r="5073" spans="4:6" x14ac:dyDescent="0.35">
      <c r="D5073" s="66"/>
      <c r="E5073" s="66"/>
      <c r="F5073" s="66"/>
    </row>
    <row r="5074" spans="4:6" x14ac:dyDescent="0.35">
      <c r="D5074" s="66"/>
      <c r="E5074" s="66"/>
      <c r="F5074" s="66"/>
    </row>
    <row r="5075" spans="4:6" x14ac:dyDescent="0.35">
      <c r="D5075" s="66"/>
      <c r="E5075" s="66"/>
      <c r="F5075" s="66"/>
    </row>
    <row r="5076" spans="4:6" x14ac:dyDescent="0.35">
      <c r="D5076" s="66"/>
      <c r="E5076" s="66"/>
      <c r="F5076" s="66"/>
    </row>
    <row r="5077" spans="4:6" x14ac:dyDescent="0.35">
      <c r="D5077" s="66"/>
      <c r="E5077" s="66"/>
      <c r="F5077" s="66"/>
    </row>
    <row r="5078" spans="4:6" x14ac:dyDescent="0.35">
      <c r="D5078" s="66"/>
      <c r="E5078" s="66"/>
      <c r="F5078" s="66"/>
    </row>
    <row r="5079" spans="4:6" x14ac:dyDescent="0.35">
      <c r="D5079" s="66"/>
      <c r="E5079" s="66"/>
      <c r="F5079" s="66"/>
    </row>
    <row r="5080" spans="4:6" x14ac:dyDescent="0.35">
      <c r="D5080" s="66"/>
      <c r="E5080" s="66"/>
      <c r="F5080" s="66"/>
    </row>
    <row r="5081" spans="4:6" x14ac:dyDescent="0.35">
      <c r="D5081" s="66"/>
      <c r="E5081" s="66"/>
      <c r="F5081" s="66"/>
    </row>
    <row r="5082" spans="4:6" x14ac:dyDescent="0.35">
      <c r="D5082" s="66"/>
      <c r="E5082" s="66"/>
      <c r="F5082" s="66"/>
    </row>
    <row r="5083" spans="4:6" x14ac:dyDescent="0.35">
      <c r="D5083" s="66"/>
      <c r="E5083" s="66"/>
      <c r="F5083" s="66"/>
    </row>
    <row r="5084" spans="4:6" x14ac:dyDescent="0.35">
      <c r="D5084" s="66"/>
      <c r="E5084" s="66"/>
      <c r="F5084" s="66"/>
    </row>
    <row r="5085" spans="4:6" x14ac:dyDescent="0.35">
      <c r="D5085" s="66"/>
      <c r="E5085" s="66"/>
      <c r="F5085" s="66"/>
    </row>
    <row r="5086" spans="4:6" x14ac:dyDescent="0.35">
      <c r="D5086" s="66"/>
      <c r="E5086" s="66"/>
      <c r="F5086" s="66"/>
    </row>
    <row r="5087" spans="4:6" x14ac:dyDescent="0.35">
      <c r="D5087" s="66"/>
      <c r="E5087" s="66"/>
      <c r="F5087" s="66"/>
    </row>
    <row r="5088" spans="4:6" x14ac:dyDescent="0.35">
      <c r="D5088" s="66"/>
      <c r="E5088" s="66"/>
      <c r="F5088" s="66"/>
    </row>
    <row r="5089" spans="4:6" x14ac:dyDescent="0.35">
      <c r="D5089" s="66"/>
      <c r="E5089" s="66"/>
      <c r="F5089" s="66"/>
    </row>
    <row r="5090" spans="4:6" x14ac:dyDescent="0.35">
      <c r="D5090" s="66"/>
      <c r="E5090" s="66"/>
      <c r="F5090" s="66"/>
    </row>
    <row r="5091" spans="4:6" x14ac:dyDescent="0.35">
      <c r="D5091" s="66"/>
      <c r="E5091" s="66"/>
      <c r="F5091" s="66"/>
    </row>
    <row r="5092" spans="4:6" x14ac:dyDescent="0.35">
      <c r="D5092" s="66"/>
      <c r="E5092" s="66"/>
      <c r="F5092" s="66"/>
    </row>
    <row r="5093" spans="4:6" x14ac:dyDescent="0.35">
      <c r="D5093" s="66"/>
      <c r="E5093" s="66"/>
      <c r="F5093" s="66"/>
    </row>
    <row r="5094" spans="4:6" x14ac:dyDescent="0.35">
      <c r="D5094" s="66"/>
      <c r="E5094" s="66"/>
      <c r="F5094" s="66"/>
    </row>
    <row r="5095" spans="4:6" x14ac:dyDescent="0.35">
      <c r="D5095" s="66"/>
      <c r="E5095" s="66"/>
      <c r="F5095" s="66"/>
    </row>
    <row r="5096" spans="4:6" x14ac:dyDescent="0.35">
      <c r="D5096" s="66"/>
      <c r="E5096" s="66"/>
      <c r="F5096" s="66"/>
    </row>
    <row r="5097" spans="4:6" x14ac:dyDescent="0.35">
      <c r="D5097" s="66"/>
      <c r="E5097" s="66"/>
      <c r="F5097" s="66"/>
    </row>
    <row r="5098" spans="4:6" x14ac:dyDescent="0.35">
      <c r="D5098" s="66"/>
      <c r="E5098" s="66"/>
      <c r="F5098" s="66"/>
    </row>
    <row r="5099" spans="4:6" x14ac:dyDescent="0.35">
      <c r="D5099" s="66"/>
      <c r="E5099" s="66"/>
      <c r="F5099" s="66"/>
    </row>
    <row r="5100" spans="4:6" x14ac:dyDescent="0.35">
      <c r="D5100" s="66"/>
      <c r="E5100" s="66"/>
      <c r="F5100" s="66"/>
    </row>
    <row r="5101" spans="4:6" x14ac:dyDescent="0.35">
      <c r="D5101" s="66"/>
      <c r="E5101" s="66"/>
      <c r="F5101" s="66"/>
    </row>
    <row r="5102" spans="4:6" x14ac:dyDescent="0.35">
      <c r="D5102" s="66"/>
      <c r="E5102" s="66"/>
      <c r="F5102" s="66"/>
    </row>
    <row r="5103" spans="4:6" x14ac:dyDescent="0.35">
      <c r="D5103" s="66"/>
      <c r="E5103" s="66"/>
      <c r="F5103" s="66"/>
    </row>
    <row r="5104" spans="4:6" x14ac:dyDescent="0.35">
      <c r="D5104" s="66"/>
      <c r="E5104" s="66"/>
      <c r="F5104" s="66"/>
    </row>
    <row r="5105" spans="4:6" x14ac:dyDescent="0.35">
      <c r="D5105" s="66"/>
      <c r="E5105" s="66"/>
      <c r="F5105" s="66"/>
    </row>
    <row r="5106" spans="4:6" x14ac:dyDescent="0.35">
      <c r="D5106" s="66"/>
      <c r="E5106" s="66"/>
      <c r="F5106" s="66"/>
    </row>
    <row r="5107" spans="4:6" x14ac:dyDescent="0.35">
      <c r="D5107" s="66"/>
      <c r="E5107" s="66"/>
      <c r="F5107" s="66"/>
    </row>
    <row r="5108" spans="4:6" x14ac:dyDescent="0.35">
      <c r="D5108" s="66"/>
      <c r="E5108" s="66"/>
      <c r="F5108" s="66"/>
    </row>
    <row r="5109" spans="4:6" x14ac:dyDescent="0.35">
      <c r="D5109" s="66"/>
      <c r="E5109" s="66"/>
      <c r="F5109" s="66"/>
    </row>
    <row r="5110" spans="4:6" x14ac:dyDescent="0.35">
      <c r="D5110" s="66"/>
      <c r="E5110" s="66"/>
      <c r="F5110" s="66"/>
    </row>
    <row r="5111" spans="4:6" x14ac:dyDescent="0.35">
      <c r="D5111" s="66"/>
      <c r="E5111" s="66"/>
      <c r="F5111" s="66"/>
    </row>
    <row r="5112" spans="4:6" x14ac:dyDescent="0.35">
      <c r="D5112" s="66"/>
      <c r="E5112" s="66"/>
      <c r="F5112" s="66"/>
    </row>
    <row r="5113" spans="4:6" x14ac:dyDescent="0.35">
      <c r="D5113" s="66"/>
      <c r="E5113" s="66"/>
      <c r="F5113" s="66"/>
    </row>
    <row r="5114" spans="4:6" x14ac:dyDescent="0.35">
      <c r="D5114" s="66"/>
      <c r="E5114" s="66"/>
      <c r="F5114" s="66"/>
    </row>
    <row r="5115" spans="4:6" x14ac:dyDescent="0.35">
      <c r="D5115" s="66"/>
      <c r="E5115" s="66"/>
      <c r="F5115" s="66"/>
    </row>
    <row r="5116" spans="4:6" x14ac:dyDescent="0.35">
      <c r="D5116" s="66"/>
      <c r="E5116" s="66"/>
      <c r="F5116" s="66"/>
    </row>
    <row r="5117" spans="4:6" x14ac:dyDescent="0.35">
      <c r="D5117" s="66"/>
      <c r="E5117" s="66"/>
      <c r="F5117" s="66"/>
    </row>
    <row r="5118" spans="4:6" x14ac:dyDescent="0.35">
      <c r="D5118" s="66"/>
      <c r="E5118" s="66"/>
      <c r="F5118" s="66"/>
    </row>
    <row r="5119" spans="4:6" x14ac:dyDescent="0.35">
      <c r="D5119" s="66"/>
      <c r="E5119" s="66"/>
      <c r="F5119" s="66"/>
    </row>
    <row r="5120" spans="4:6" x14ac:dyDescent="0.35">
      <c r="D5120" s="66"/>
      <c r="E5120" s="66"/>
      <c r="F5120" s="66"/>
    </row>
    <row r="5121" spans="4:6" x14ac:dyDescent="0.35">
      <c r="D5121" s="66"/>
      <c r="E5121" s="66"/>
      <c r="F5121" s="66"/>
    </row>
    <row r="5122" spans="4:6" x14ac:dyDescent="0.35">
      <c r="D5122" s="66"/>
      <c r="E5122" s="66"/>
      <c r="F5122" s="66"/>
    </row>
    <row r="5123" spans="4:6" x14ac:dyDescent="0.35">
      <c r="D5123" s="66"/>
      <c r="E5123" s="66"/>
      <c r="F5123" s="66"/>
    </row>
    <row r="5124" spans="4:6" x14ac:dyDescent="0.35">
      <c r="D5124" s="66"/>
      <c r="E5124" s="66"/>
      <c r="F5124" s="66"/>
    </row>
    <row r="5125" spans="4:6" x14ac:dyDescent="0.35">
      <c r="D5125" s="66"/>
      <c r="E5125" s="66"/>
      <c r="F5125" s="66"/>
    </row>
    <row r="5126" spans="4:6" x14ac:dyDescent="0.35">
      <c r="D5126" s="66"/>
      <c r="E5126" s="66"/>
      <c r="F5126" s="66"/>
    </row>
    <row r="5127" spans="4:6" x14ac:dyDescent="0.35">
      <c r="D5127" s="66"/>
      <c r="E5127" s="66"/>
      <c r="F5127" s="66"/>
    </row>
    <row r="5128" spans="4:6" x14ac:dyDescent="0.35">
      <c r="D5128" s="66"/>
      <c r="E5128" s="66"/>
      <c r="F5128" s="66"/>
    </row>
    <row r="5129" spans="4:6" x14ac:dyDescent="0.35">
      <c r="D5129" s="66"/>
      <c r="E5129" s="66"/>
      <c r="F5129" s="66"/>
    </row>
    <row r="5130" spans="4:6" x14ac:dyDescent="0.35">
      <c r="D5130" s="66"/>
      <c r="E5130" s="66"/>
      <c r="F5130" s="66"/>
    </row>
    <row r="5131" spans="4:6" x14ac:dyDescent="0.35">
      <c r="D5131" s="66"/>
      <c r="E5131" s="66"/>
      <c r="F5131" s="66"/>
    </row>
    <row r="5132" spans="4:6" x14ac:dyDescent="0.35">
      <c r="D5132" s="66"/>
      <c r="E5132" s="66"/>
      <c r="F5132" s="66"/>
    </row>
    <row r="5133" spans="4:6" x14ac:dyDescent="0.35">
      <c r="D5133" s="66"/>
      <c r="E5133" s="66"/>
      <c r="F5133" s="66"/>
    </row>
    <row r="5134" spans="4:6" x14ac:dyDescent="0.35">
      <c r="D5134" s="66"/>
      <c r="E5134" s="66"/>
      <c r="F5134" s="66"/>
    </row>
    <row r="5135" spans="4:6" x14ac:dyDescent="0.35">
      <c r="D5135" s="66"/>
      <c r="E5135" s="66"/>
      <c r="F5135" s="66"/>
    </row>
    <row r="5136" spans="4:6" x14ac:dyDescent="0.35">
      <c r="D5136" s="66"/>
      <c r="E5136" s="66"/>
      <c r="F5136" s="66"/>
    </row>
    <row r="5137" spans="4:6" x14ac:dyDescent="0.35">
      <c r="D5137" s="66"/>
      <c r="E5137" s="66"/>
      <c r="F5137" s="66"/>
    </row>
    <row r="5138" spans="4:6" x14ac:dyDescent="0.35">
      <c r="D5138" s="66"/>
      <c r="E5138" s="66"/>
      <c r="F5138" s="66"/>
    </row>
    <row r="5139" spans="4:6" x14ac:dyDescent="0.35">
      <c r="D5139" s="66"/>
      <c r="E5139" s="66"/>
      <c r="F5139" s="66"/>
    </row>
    <row r="5140" spans="4:6" x14ac:dyDescent="0.35">
      <c r="D5140" s="66"/>
      <c r="E5140" s="66"/>
      <c r="F5140" s="66"/>
    </row>
    <row r="5141" spans="4:6" x14ac:dyDescent="0.35">
      <c r="D5141" s="66"/>
      <c r="E5141" s="66"/>
      <c r="F5141" s="66"/>
    </row>
    <row r="5142" spans="4:6" x14ac:dyDescent="0.35">
      <c r="D5142" s="66"/>
      <c r="E5142" s="66"/>
      <c r="F5142" s="66"/>
    </row>
    <row r="5143" spans="4:6" x14ac:dyDescent="0.35">
      <c r="D5143" s="66"/>
      <c r="E5143" s="66"/>
      <c r="F5143" s="66"/>
    </row>
    <row r="5144" spans="4:6" x14ac:dyDescent="0.35">
      <c r="D5144" s="66"/>
      <c r="E5144" s="66"/>
      <c r="F5144" s="66"/>
    </row>
    <row r="5145" spans="4:6" x14ac:dyDescent="0.35">
      <c r="D5145" s="66"/>
      <c r="E5145" s="66"/>
      <c r="F5145" s="66"/>
    </row>
    <row r="5146" spans="4:6" x14ac:dyDescent="0.35">
      <c r="D5146" s="66"/>
      <c r="E5146" s="66"/>
      <c r="F5146" s="66"/>
    </row>
    <row r="5147" spans="4:6" x14ac:dyDescent="0.35">
      <c r="D5147" s="66"/>
      <c r="E5147" s="66"/>
      <c r="F5147" s="66"/>
    </row>
    <row r="5148" spans="4:6" x14ac:dyDescent="0.35">
      <c r="D5148" s="66"/>
      <c r="E5148" s="66"/>
      <c r="F5148" s="66"/>
    </row>
    <row r="5149" spans="4:6" x14ac:dyDescent="0.35">
      <c r="D5149" s="66"/>
      <c r="E5149" s="66"/>
      <c r="F5149" s="66"/>
    </row>
    <row r="5150" spans="4:6" x14ac:dyDescent="0.35">
      <c r="D5150" s="66"/>
      <c r="E5150" s="66"/>
      <c r="F5150" s="66"/>
    </row>
    <row r="5151" spans="4:6" x14ac:dyDescent="0.35">
      <c r="D5151" s="66"/>
      <c r="E5151" s="66"/>
      <c r="F5151" s="66"/>
    </row>
    <row r="5152" spans="4:6" x14ac:dyDescent="0.35">
      <c r="D5152" s="66"/>
      <c r="E5152" s="66"/>
      <c r="F5152" s="66"/>
    </row>
    <row r="5153" spans="4:6" x14ac:dyDescent="0.35">
      <c r="D5153" s="66"/>
      <c r="E5153" s="66"/>
      <c r="F5153" s="66"/>
    </row>
    <row r="5154" spans="4:6" x14ac:dyDescent="0.35">
      <c r="D5154" s="66"/>
      <c r="E5154" s="66"/>
      <c r="F5154" s="66"/>
    </row>
    <row r="5155" spans="4:6" x14ac:dyDescent="0.35">
      <c r="D5155" s="66"/>
      <c r="E5155" s="66"/>
      <c r="F5155" s="66"/>
    </row>
    <row r="5156" spans="4:6" x14ac:dyDescent="0.35">
      <c r="D5156" s="66"/>
      <c r="E5156" s="66"/>
      <c r="F5156" s="66"/>
    </row>
    <row r="5157" spans="4:6" x14ac:dyDescent="0.35">
      <c r="D5157" s="66"/>
      <c r="E5157" s="66"/>
      <c r="F5157" s="66"/>
    </row>
    <row r="5158" spans="4:6" x14ac:dyDescent="0.35">
      <c r="D5158" s="66"/>
      <c r="E5158" s="66"/>
      <c r="F5158" s="66"/>
    </row>
    <row r="5159" spans="4:6" x14ac:dyDescent="0.35">
      <c r="D5159" s="66"/>
      <c r="E5159" s="66"/>
      <c r="F5159" s="66"/>
    </row>
    <row r="5160" spans="4:6" x14ac:dyDescent="0.35">
      <c r="D5160" s="66"/>
      <c r="E5160" s="66"/>
      <c r="F5160" s="66"/>
    </row>
    <row r="5161" spans="4:6" x14ac:dyDescent="0.35">
      <c r="D5161" s="66"/>
      <c r="E5161" s="66"/>
      <c r="F5161" s="66"/>
    </row>
    <row r="5162" spans="4:6" x14ac:dyDescent="0.35">
      <c r="D5162" s="66"/>
      <c r="E5162" s="66"/>
      <c r="F5162" s="66"/>
    </row>
    <row r="5163" spans="4:6" x14ac:dyDescent="0.35">
      <c r="D5163" s="66"/>
      <c r="E5163" s="66"/>
      <c r="F5163" s="66"/>
    </row>
    <row r="5164" spans="4:6" x14ac:dyDescent="0.35">
      <c r="D5164" s="66"/>
      <c r="E5164" s="66"/>
      <c r="F5164" s="66"/>
    </row>
    <row r="5165" spans="4:6" x14ac:dyDescent="0.35">
      <c r="D5165" s="66"/>
      <c r="E5165" s="66"/>
      <c r="F5165" s="66"/>
    </row>
    <row r="5166" spans="4:6" x14ac:dyDescent="0.35">
      <c r="D5166" s="66"/>
      <c r="E5166" s="66"/>
      <c r="F5166" s="66"/>
    </row>
    <row r="5167" spans="4:6" x14ac:dyDescent="0.35">
      <c r="D5167" s="66"/>
      <c r="E5167" s="66"/>
      <c r="F5167" s="66"/>
    </row>
    <row r="5168" spans="4:6" x14ac:dyDescent="0.35">
      <c r="D5168" s="66"/>
      <c r="E5168" s="66"/>
      <c r="F5168" s="66"/>
    </row>
    <row r="5169" spans="4:6" x14ac:dyDescent="0.35">
      <c r="D5169" s="66"/>
      <c r="E5169" s="66"/>
      <c r="F5169" s="66"/>
    </row>
    <row r="5170" spans="4:6" x14ac:dyDescent="0.35">
      <c r="D5170" s="66"/>
      <c r="E5170" s="66"/>
      <c r="F5170" s="66"/>
    </row>
    <row r="5171" spans="4:6" x14ac:dyDescent="0.35">
      <c r="D5171" s="66"/>
      <c r="E5171" s="66"/>
      <c r="F5171" s="66"/>
    </row>
    <row r="5172" spans="4:6" x14ac:dyDescent="0.35">
      <c r="D5172" s="66"/>
      <c r="E5172" s="66"/>
      <c r="F5172" s="66"/>
    </row>
    <row r="5173" spans="4:6" x14ac:dyDescent="0.35">
      <c r="D5173" s="66"/>
      <c r="E5173" s="66"/>
      <c r="F5173" s="66"/>
    </row>
    <row r="5174" spans="4:6" x14ac:dyDescent="0.35">
      <c r="D5174" s="66"/>
      <c r="E5174" s="66"/>
      <c r="F5174" s="66"/>
    </row>
    <row r="5175" spans="4:6" x14ac:dyDescent="0.35">
      <c r="D5175" s="66"/>
      <c r="E5175" s="66"/>
      <c r="F5175" s="66"/>
    </row>
    <row r="5176" spans="4:6" x14ac:dyDescent="0.35">
      <c r="D5176" s="66"/>
      <c r="E5176" s="66"/>
      <c r="F5176" s="66"/>
    </row>
    <row r="5177" spans="4:6" x14ac:dyDescent="0.35">
      <c r="D5177" s="66"/>
      <c r="E5177" s="66"/>
      <c r="F5177" s="66"/>
    </row>
    <row r="5178" spans="4:6" x14ac:dyDescent="0.35">
      <c r="D5178" s="66"/>
      <c r="E5178" s="66"/>
      <c r="F5178" s="66"/>
    </row>
    <row r="5179" spans="4:6" x14ac:dyDescent="0.35">
      <c r="D5179" s="66"/>
      <c r="E5179" s="66"/>
      <c r="F5179" s="66"/>
    </row>
    <row r="5180" spans="4:6" x14ac:dyDescent="0.35">
      <c r="D5180" s="66"/>
      <c r="E5180" s="66"/>
      <c r="F5180" s="66"/>
    </row>
    <row r="5181" spans="4:6" x14ac:dyDescent="0.35">
      <c r="D5181" s="66"/>
      <c r="E5181" s="66"/>
      <c r="F5181" s="66"/>
    </row>
    <row r="5182" spans="4:6" x14ac:dyDescent="0.35">
      <c r="D5182" s="66"/>
      <c r="E5182" s="66"/>
      <c r="F5182" s="66"/>
    </row>
    <row r="5183" spans="4:6" x14ac:dyDescent="0.35">
      <c r="D5183" s="66"/>
      <c r="E5183" s="66"/>
      <c r="F5183" s="66"/>
    </row>
    <row r="5184" spans="4:6" x14ac:dyDescent="0.35">
      <c r="D5184" s="66"/>
      <c r="E5184" s="66"/>
      <c r="F5184" s="66"/>
    </row>
    <row r="5185" spans="4:6" x14ac:dyDescent="0.35">
      <c r="D5185" s="66"/>
      <c r="E5185" s="66"/>
      <c r="F5185" s="66"/>
    </row>
    <row r="5186" spans="4:6" x14ac:dyDescent="0.35">
      <c r="D5186" s="66"/>
      <c r="E5186" s="66"/>
      <c r="F5186" s="66"/>
    </row>
    <row r="5187" spans="4:6" x14ac:dyDescent="0.35">
      <c r="D5187" s="66"/>
      <c r="E5187" s="66"/>
      <c r="F5187" s="66"/>
    </row>
    <row r="5188" spans="4:6" x14ac:dyDescent="0.35">
      <c r="D5188" s="66"/>
      <c r="E5188" s="66"/>
      <c r="F5188" s="66"/>
    </row>
    <row r="5189" spans="4:6" x14ac:dyDescent="0.35">
      <c r="D5189" s="66"/>
      <c r="E5189" s="66"/>
      <c r="F5189" s="66"/>
    </row>
    <row r="5190" spans="4:6" x14ac:dyDescent="0.35">
      <c r="D5190" s="66"/>
      <c r="E5190" s="66"/>
      <c r="F5190" s="66"/>
    </row>
    <row r="5191" spans="4:6" x14ac:dyDescent="0.35">
      <c r="D5191" s="66"/>
      <c r="E5191" s="66"/>
      <c r="F5191" s="66"/>
    </row>
    <row r="5192" spans="4:6" x14ac:dyDescent="0.35">
      <c r="D5192" s="66"/>
      <c r="E5192" s="66"/>
      <c r="F5192" s="66"/>
    </row>
    <row r="5193" spans="4:6" x14ac:dyDescent="0.35">
      <c r="D5193" s="66"/>
      <c r="E5193" s="66"/>
      <c r="F5193" s="66"/>
    </row>
    <row r="5194" spans="4:6" x14ac:dyDescent="0.35">
      <c r="D5194" s="66"/>
      <c r="E5194" s="66"/>
      <c r="F5194" s="66"/>
    </row>
    <row r="5195" spans="4:6" x14ac:dyDescent="0.35">
      <c r="D5195" s="66"/>
      <c r="E5195" s="66"/>
      <c r="F5195" s="66"/>
    </row>
    <row r="5196" spans="4:6" x14ac:dyDescent="0.35">
      <c r="D5196" s="66"/>
      <c r="E5196" s="66"/>
      <c r="F5196" s="66"/>
    </row>
    <row r="5197" spans="4:6" x14ac:dyDescent="0.35">
      <c r="D5197" s="66"/>
      <c r="E5197" s="66"/>
      <c r="F5197" s="66"/>
    </row>
    <row r="5198" spans="4:6" x14ac:dyDescent="0.35">
      <c r="D5198" s="66"/>
      <c r="E5198" s="66"/>
      <c r="F5198" s="66"/>
    </row>
    <row r="5199" spans="4:6" x14ac:dyDescent="0.35">
      <c r="D5199" s="66"/>
      <c r="E5199" s="66"/>
      <c r="F5199" s="66"/>
    </row>
    <row r="5200" spans="4:6" x14ac:dyDescent="0.35">
      <c r="D5200" s="66"/>
      <c r="E5200" s="66"/>
      <c r="F5200" s="66"/>
    </row>
    <row r="5201" spans="4:6" x14ac:dyDescent="0.35">
      <c r="D5201" s="66"/>
      <c r="E5201" s="66"/>
      <c r="F5201" s="66"/>
    </row>
    <row r="5202" spans="4:6" x14ac:dyDescent="0.35">
      <c r="D5202" s="66"/>
      <c r="E5202" s="66"/>
      <c r="F5202" s="66"/>
    </row>
    <row r="5203" spans="4:6" x14ac:dyDescent="0.35">
      <c r="D5203" s="66"/>
      <c r="E5203" s="66"/>
      <c r="F5203" s="66"/>
    </row>
    <row r="5204" spans="4:6" x14ac:dyDescent="0.35">
      <c r="D5204" s="66"/>
      <c r="E5204" s="66"/>
      <c r="F5204" s="66"/>
    </row>
    <row r="5205" spans="4:6" x14ac:dyDescent="0.35">
      <c r="D5205" s="66"/>
      <c r="E5205" s="66"/>
      <c r="F5205" s="66"/>
    </row>
    <row r="5206" spans="4:6" x14ac:dyDescent="0.35">
      <c r="D5206" s="66"/>
      <c r="E5206" s="66"/>
      <c r="F5206" s="66"/>
    </row>
    <row r="5207" spans="4:6" x14ac:dyDescent="0.35">
      <c r="D5207" s="66"/>
      <c r="E5207" s="66"/>
      <c r="F5207" s="66"/>
    </row>
    <row r="5208" spans="4:6" x14ac:dyDescent="0.35">
      <c r="D5208" s="66"/>
      <c r="E5208" s="66"/>
      <c r="F5208" s="66"/>
    </row>
    <row r="5209" spans="4:6" x14ac:dyDescent="0.35">
      <c r="D5209" s="66"/>
      <c r="E5209" s="66"/>
      <c r="F5209" s="66"/>
    </row>
    <row r="5210" spans="4:6" x14ac:dyDescent="0.35">
      <c r="D5210" s="66"/>
      <c r="E5210" s="66"/>
      <c r="F5210" s="66"/>
    </row>
    <row r="5211" spans="4:6" x14ac:dyDescent="0.35">
      <c r="D5211" s="66"/>
      <c r="E5211" s="66"/>
      <c r="F5211" s="66"/>
    </row>
    <row r="5212" spans="4:6" x14ac:dyDescent="0.35">
      <c r="D5212" s="66"/>
      <c r="E5212" s="66"/>
      <c r="F5212" s="66"/>
    </row>
    <row r="5213" spans="4:6" x14ac:dyDescent="0.35">
      <c r="D5213" s="66"/>
      <c r="E5213" s="66"/>
      <c r="F5213" s="66"/>
    </row>
    <row r="5214" spans="4:6" x14ac:dyDescent="0.35">
      <c r="D5214" s="66"/>
      <c r="E5214" s="66"/>
      <c r="F5214" s="66"/>
    </row>
    <row r="5215" spans="4:6" x14ac:dyDescent="0.35">
      <c r="D5215" s="66"/>
      <c r="E5215" s="66"/>
      <c r="F5215" s="66"/>
    </row>
    <row r="5216" spans="4:6" x14ac:dyDescent="0.35">
      <c r="D5216" s="66"/>
      <c r="E5216" s="66"/>
      <c r="F5216" s="66"/>
    </row>
    <row r="5217" spans="4:6" x14ac:dyDescent="0.35">
      <c r="D5217" s="66"/>
      <c r="E5217" s="66"/>
      <c r="F5217" s="66"/>
    </row>
    <row r="5218" spans="4:6" x14ac:dyDescent="0.35">
      <c r="D5218" s="66"/>
      <c r="E5218" s="66"/>
      <c r="F5218" s="66"/>
    </row>
    <row r="5219" spans="4:6" x14ac:dyDescent="0.35">
      <c r="D5219" s="66"/>
      <c r="E5219" s="66"/>
      <c r="F5219" s="66"/>
    </row>
    <row r="5220" spans="4:6" x14ac:dyDescent="0.35">
      <c r="D5220" s="66"/>
      <c r="E5220" s="66"/>
      <c r="F5220" s="66"/>
    </row>
    <row r="5221" spans="4:6" x14ac:dyDescent="0.35">
      <c r="D5221" s="66"/>
      <c r="E5221" s="66"/>
      <c r="F5221" s="66"/>
    </row>
    <row r="5222" spans="4:6" x14ac:dyDescent="0.35">
      <c r="D5222" s="66"/>
      <c r="E5222" s="66"/>
      <c r="F5222" s="66"/>
    </row>
    <row r="5223" spans="4:6" x14ac:dyDescent="0.35">
      <c r="D5223" s="66"/>
      <c r="E5223" s="66"/>
      <c r="F5223" s="66"/>
    </row>
    <row r="5224" spans="4:6" x14ac:dyDescent="0.35">
      <c r="D5224" s="66"/>
      <c r="E5224" s="66"/>
      <c r="F5224" s="66"/>
    </row>
    <row r="5225" spans="4:6" x14ac:dyDescent="0.35">
      <c r="D5225" s="66"/>
      <c r="E5225" s="66"/>
      <c r="F5225" s="66"/>
    </row>
    <row r="5226" spans="4:6" x14ac:dyDescent="0.35">
      <c r="D5226" s="66"/>
      <c r="E5226" s="66"/>
      <c r="F5226" s="66"/>
    </row>
    <row r="5227" spans="4:6" x14ac:dyDescent="0.35">
      <c r="D5227" s="66"/>
      <c r="E5227" s="66"/>
      <c r="F5227" s="66"/>
    </row>
    <row r="5228" spans="4:6" x14ac:dyDescent="0.35">
      <c r="D5228" s="66"/>
      <c r="E5228" s="66"/>
      <c r="F5228" s="66"/>
    </row>
    <row r="5229" spans="4:6" x14ac:dyDescent="0.35">
      <c r="D5229" s="66"/>
      <c r="E5229" s="66"/>
      <c r="F5229" s="66"/>
    </row>
    <row r="5230" spans="4:6" x14ac:dyDescent="0.35">
      <c r="D5230" s="66"/>
      <c r="E5230" s="66"/>
      <c r="F5230" s="66"/>
    </row>
    <row r="5231" spans="4:6" x14ac:dyDescent="0.35">
      <c r="D5231" s="66"/>
      <c r="E5231" s="66"/>
      <c r="F5231" s="66"/>
    </row>
    <row r="5232" spans="4:6" x14ac:dyDescent="0.35">
      <c r="D5232" s="66"/>
      <c r="E5232" s="66"/>
      <c r="F5232" s="66"/>
    </row>
    <row r="5233" spans="4:6" x14ac:dyDescent="0.35">
      <c r="D5233" s="66"/>
      <c r="E5233" s="66"/>
      <c r="F5233" s="66"/>
    </row>
    <row r="5234" spans="4:6" x14ac:dyDescent="0.35">
      <c r="D5234" s="66"/>
      <c r="E5234" s="66"/>
      <c r="F5234" s="66"/>
    </row>
    <row r="5235" spans="4:6" x14ac:dyDescent="0.35">
      <c r="D5235" s="66"/>
      <c r="E5235" s="66"/>
      <c r="F5235" s="66"/>
    </row>
    <row r="5236" spans="4:6" x14ac:dyDescent="0.35">
      <c r="D5236" s="66"/>
      <c r="E5236" s="66"/>
      <c r="F5236" s="66"/>
    </row>
    <row r="5237" spans="4:6" x14ac:dyDescent="0.35">
      <c r="D5237" s="66"/>
      <c r="E5237" s="66"/>
      <c r="F5237" s="66"/>
    </row>
    <row r="5238" spans="4:6" x14ac:dyDescent="0.35">
      <c r="D5238" s="66"/>
      <c r="E5238" s="66"/>
      <c r="F5238" s="66"/>
    </row>
    <row r="5239" spans="4:6" x14ac:dyDescent="0.35">
      <c r="D5239" s="66"/>
      <c r="E5239" s="66"/>
      <c r="F5239" s="66"/>
    </row>
    <row r="5240" spans="4:6" x14ac:dyDescent="0.35">
      <c r="D5240" s="66"/>
      <c r="E5240" s="66"/>
      <c r="F5240" s="66"/>
    </row>
    <row r="5241" spans="4:6" x14ac:dyDescent="0.35">
      <c r="D5241" s="66"/>
      <c r="E5241" s="66"/>
      <c r="F5241" s="66"/>
    </row>
    <row r="5242" spans="4:6" x14ac:dyDescent="0.35">
      <c r="D5242" s="66"/>
      <c r="E5242" s="66"/>
      <c r="F5242" s="66"/>
    </row>
    <row r="5243" spans="4:6" x14ac:dyDescent="0.35">
      <c r="D5243" s="66"/>
      <c r="E5243" s="66"/>
      <c r="F5243" s="66"/>
    </row>
    <row r="5244" spans="4:6" x14ac:dyDescent="0.35">
      <c r="D5244" s="66"/>
      <c r="E5244" s="66"/>
      <c r="F5244" s="66"/>
    </row>
    <row r="5245" spans="4:6" x14ac:dyDescent="0.35">
      <c r="D5245" s="66"/>
      <c r="E5245" s="66"/>
      <c r="F5245" s="66"/>
    </row>
    <row r="5246" spans="4:6" x14ac:dyDescent="0.35">
      <c r="D5246" s="66"/>
      <c r="E5246" s="66"/>
      <c r="F5246" s="66"/>
    </row>
    <row r="5247" spans="4:6" x14ac:dyDescent="0.35">
      <c r="D5247" s="66"/>
      <c r="E5247" s="66"/>
      <c r="F5247" s="66"/>
    </row>
    <row r="5248" spans="4:6" x14ac:dyDescent="0.35">
      <c r="D5248" s="66"/>
      <c r="E5248" s="66"/>
      <c r="F5248" s="66"/>
    </row>
    <row r="5249" spans="4:6" x14ac:dyDescent="0.35">
      <c r="D5249" s="66"/>
      <c r="E5249" s="66"/>
      <c r="F5249" s="66"/>
    </row>
    <row r="5250" spans="4:6" x14ac:dyDescent="0.35">
      <c r="D5250" s="66"/>
      <c r="E5250" s="66"/>
      <c r="F5250" s="66"/>
    </row>
    <row r="5251" spans="4:6" x14ac:dyDescent="0.35">
      <c r="D5251" s="66"/>
      <c r="E5251" s="66"/>
      <c r="F5251" s="66"/>
    </row>
    <row r="5252" spans="4:6" x14ac:dyDescent="0.35">
      <c r="D5252" s="66"/>
      <c r="E5252" s="66"/>
      <c r="F5252" s="66"/>
    </row>
    <row r="5253" spans="4:6" x14ac:dyDescent="0.35">
      <c r="D5253" s="66"/>
      <c r="E5253" s="66"/>
      <c r="F5253" s="66"/>
    </row>
    <row r="5254" spans="4:6" x14ac:dyDescent="0.35">
      <c r="D5254" s="66"/>
      <c r="E5254" s="66"/>
      <c r="F5254" s="66"/>
    </row>
    <row r="5255" spans="4:6" x14ac:dyDescent="0.35">
      <c r="D5255" s="66"/>
      <c r="E5255" s="66"/>
      <c r="F5255" s="66"/>
    </row>
    <row r="5256" spans="4:6" x14ac:dyDescent="0.35">
      <c r="D5256" s="66"/>
      <c r="E5256" s="66"/>
      <c r="F5256" s="66"/>
    </row>
    <row r="5257" spans="4:6" x14ac:dyDescent="0.35">
      <c r="D5257" s="66"/>
      <c r="E5257" s="66"/>
      <c r="F5257" s="66"/>
    </row>
    <row r="5258" spans="4:6" x14ac:dyDescent="0.35">
      <c r="D5258" s="66"/>
      <c r="E5258" s="66"/>
      <c r="F5258" s="66"/>
    </row>
    <row r="5259" spans="4:6" x14ac:dyDescent="0.35">
      <c r="D5259" s="66"/>
      <c r="E5259" s="66"/>
      <c r="F5259" s="66"/>
    </row>
    <row r="5260" spans="4:6" x14ac:dyDescent="0.35">
      <c r="D5260" s="66"/>
      <c r="E5260" s="66"/>
      <c r="F5260" s="66"/>
    </row>
    <row r="5261" spans="4:6" x14ac:dyDescent="0.35">
      <c r="D5261" s="66"/>
      <c r="E5261" s="66"/>
      <c r="F5261" s="66"/>
    </row>
    <row r="5262" spans="4:6" x14ac:dyDescent="0.35">
      <c r="D5262" s="66"/>
      <c r="E5262" s="66"/>
      <c r="F5262" s="66"/>
    </row>
    <row r="5263" spans="4:6" x14ac:dyDescent="0.35">
      <c r="D5263" s="66"/>
      <c r="E5263" s="66"/>
      <c r="F5263" s="66"/>
    </row>
    <row r="5264" spans="4:6" x14ac:dyDescent="0.35">
      <c r="D5264" s="66"/>
      <c r="E5264" s="66"/>
      <c r="F5264" s="66"/>
    </row>
    <row r="5265" spans="4:6" x14ac:dyDescent="0.35">
      <c r="D5265" s="66"/>
      <c r="E5265" s="66"/>
      <c r="F5265" s="66"/>
    </row>
    <row r="5266" spans="4:6" x14ac:dyDescent="0.35">
      <c r="D5266" s="66"/>
      <c r="E5266" s="66"/>
      <c r="F5266" s="66"/>
    </row>
    <row r="5267" spans="4:6" x14ac:dyDescent="0.35">
      <c r="D5267" s="66"/>
      <c r="E5267" s="66"/>
      <c r="F5267" s="66"/>
    </row>
    <row r="5268" spans="4:6" x14ac:dyDescent="0.35">
      <c r="D5268" s="66"/>
      <c r="E5268" s="66"/>
      <c r="F5268" s="66"/>
    </row>
    <row r="5269" spans="4:6" x14ac:dyDescent="0.35">
      <c r="D5269" s="66"/>
      <c r="E5269" s="66"/>
      <c r="F5269" s="66"/>
    </row>
    <row r="5270" spans="4:6" x14ac:dyDescent="0.35">
      <c r="D5270" s="66"/>
      <c r="E5270" s="66"/>
      <c r="F5270" s="66"/>
    </row>
    <row r="5271" spans="4:6" x14ac:dyDescent="0.35">
      <c r="D5271" s="66"/>
      <c r="E5271" s="66"/>
      <c r="F5271" s="66"/>
    </row>
    <row r="5272" spans="4:6" x14ac:dyDescent="0.35">
      <c r="D5272" s="66"/>
      <c r="E5272" s="66"/>
      <c r="F5272" s="66"/>
    </row>
    <row r="5273" spans="4:6" x14ac:dyDescent="0.35">
      <c r="D5273" s="66"/>
      <c r="E5273" s="66"/>
      <c r="F5273" s="66"/>
    </row>
    <row r="5274" spans="4:6" x14ac:dyDescent="0.35">
      <c r="D5274" s="66"/>
      <c r="E5274" s="66"/>
      <c r="F5274" s="66"/>
    </row>
    <row r="5275" spans="4:6" x14ac:dyDescent="0.35">
      <c r="D5275" s="66"/>
      <c r="E5275" s="66"/>
      <c r="F5275" s="66"/>
    </row>
    <row r="5276" spans="4:6" x14ac:dyDescent="0.35">
      <c r="D5276" s="66"/>
      <c r="E5276" s="66"/>
      <c r="F5276" s="66"/>
    </row>
    <row r="5277" spans="4:6" x14ac:dyDescent="0.35">
      <c r="D5277" s="66"/>
      <c r="E5277" s="66"/>
      <c r="F5277" s="66"/>
    </row>
    <row r="5278" spans="4:6" x14ac:dyDescent="0.35">
      <c r="D5278" s="66"/>
      <c r="E5278" s="66"/>
      <c r="F5278" s="66"/>
    </row>
    <row r="5279" spans="4:6" x14ac:dyDescent="0.35">
      <c r="D5279" s="66"/>
      <c r="E5279" s="66"/>
      <c r="F5279" s="66"/>
    </row>
    <row r="5280" spans="4:6" x14ac:dyDescent="0.35">
      <c r="D5280" s="66"/>
      <c r="E5280" s="66"/>
      <c r="F5280" s="66"/>
    </row>
    <row r="5281" spans="4:6" x14ac:dyDescent="0.35">
      <c r="D5281" s="66"/>
      <c r="E5281" s="66"/>
      <c r="F5281" s="66"/>
    </row>
    <row r="5282" spans="4:6" x14ac:dyDescent="0.35">
      <c r="D5282" s="66"/>
      <c r="E5282" s="66"/>
      <c r="F5282" s="66"/>
    </row>
    <row r="5283" spans="4:6" x14ac:dyDescent="0.35">
      <c r="D5283" s="66"/>
      <c r="E5283" s="66"/>
      <c r="F5283" s="66"/>
    </row>
    <row r="5284" spans="4:6" x14ac:dyDescent="0.35">
      <c r="D5284" s="66"/>
      <c r="E5284" s="66"/>
      <c r="F5284" s="66"/>
    </row>
    <row r="5285" spans="4:6" x14ac:dyDescent="0.35">
      <c r="D5285" s="66"/>
      <c r="E5285" s="66"/>
      <c r="F5285" s="66"/>
    </row>
    <row r="5286" spans="4:6" x14ac:dyDescent="0.35">
      <c r="D5286" s="66"/>
      <c r="E5286" s="66"/>
      <c r="F5286" s="66"/>
    </row>
    <row r="5287" spans="4:6" x14ac:dyDescent="0.35">
      <c r="D5287" s="66"/>
      <c r="E5287" s="66"/>
      <c r="F5287" s="66"/>
    </row>
    <row r="5288" spans="4:6" x14ac:dyDescent="0.35">
      <c r="D5288" s="66"/>
      <c r="E5288" s="66"/>
      <c r="F5288" s="66"/>
    </row>
    <row r="5289" spans="4:6" x14ac:dyDescent="0.35">
      <c r="D5289" s="66"/>
      <c r="E5289" s="66"/>
      <c r="F5289" s="66"/>
    </row>
    <row r="5290" spans="4:6" x14ac:dyDescent="0.35">
      <c r="D5290" s="66"/>
      <c r="E5290" s="66"/>
      <c r="F5290" s="66"/>
    </row>
    <row r="5291" spans="4:6" x14ac:dyDescent="0.35">
      <c r="D5291" s="66"/>
      <c r="E5291" s="66"/>
      <c r="F5291" s="66"/>
    </row>
    <row r="5292" spans="4:6" x14ac:dyDescent="0.35">
      <c r="D5292" s="66"/>
      <c r="E5292" s="66"/>
      <c r="F5292" s="66"/>
    </row>
    <row r="5293" spans="4:6" x14ac:dyDescent="0.35">
      <c r="D5293" s="66"/>
      <c r="E5293" s="66"/>
      <c r="F5293" s="66"/>
    </row>
    <row r="5294" spans="4:6" x14ac:dyDescent="0.35">
      <c r="D5294" s="66"/>
      <c r="E5294" s="66"/>
      <c r="F5294" s="66"/>
    </row>
    <row r="5295" spans="4:6" x14ac:dyDescent="0.35">
      <c r="D5295" s="66"/>
      <c r="E5295" s="66"/>
      <c r="F5295" s="66"/>
    </row>
    <row r="5296" spans="4:6" x14ac:dyDescent="0.35">
      <c r="D5296" s="66"/>
      <c r="E5296" s="66"/>
      <c r="F5296" s="66"/>
    </row>
    <row r="5297" spans="4:6" x14ac:dyDescent="0.35">
      <c r="D5297" s="66"/>
      <c r="E5297" s="66"/>
      <c r="F5297" s="66"/>
    </row>
    <row r="5298" spans="4:6" x14ac:dyDescent="0.35">
      <c r="D5298" s="66"/>
      <c r="E5298" s="66"/>
      <c r="F5298" s="66"/>
    </row>
    <row r="5299" spans="4:6" x14ac:dyDescent="0.35">
      <c r="D5299" s="66"/>
      <c r="E5299" s="66"/>
      <c r="F5299" s="66"/>
    </row>
    <row r="5300" spans="4:6" x14ac:dyDescent="0.35">
      <c r="D5300" s="66"/>
      <c r="E5300" s="66"/>
      <c r="F5300" s="66"/>
    </row>
    <row r="5301" spans="4:6" x14ac:dyDescent="0.35">
      <c r="D5301" s="66"/>
      <c r="E5301" s="66"/>
      <c r="F5301" s="66"/>
    </row>
    <row r="5302" spans="4:6" x14ac:dyDescent="0.35">
      <c r="D5302" s="66"/>
      <c r="E5302" s="66"/>
      <c r="F5302" s="66"/>
    </row>
    <row r="5303" spans="4:6" x14ac:dyDescent="0.35">
      <c r="D5303" s="66"/>
      <c r="E5303" s="66"/>
      <c r="F5303" s="66"/>
    </row>
    <row r="5304" spans="4:6" x14ac:dyDescent="0.35">
      <c r="D5304" s="66"/>
      <c r="E5304" s="66"/>
      <c r="F5304" s="66"/>
    </row>
    <row r="5305" spans="4:6" x14ac:dyDescent="0.35">
      <c r="D5305" s="66"/>
      <c r="E5305" s="66"/>
      <c r="F5305" s="66"/>
    </row>
    <row r="5306" spans="4:6" x14ac:dyDescent="0.35">
      <c r="D5306" s="66"/>
      <c r="E5306" s="66"/>
      <c r="F5306" s="66"/>
    </row>
    <row r="5307" spans="4:6" x14ac:dyDescent="0.35">
      <c r="D5307" s="66"/>
      <c r="E5307" s="66"/>
      <c r="F5307" s="66"/>
    </row>
    <row r="5308" spans="4:6" x14ac:dyDescent="0.35">
      <c r="D5308" s="66"/>
      <c r="E5308" s="66"/>
      <c r="F5308" s="66"/>
    </row>
    <row r="5309" spans="4:6" x14ac:dyDescent="0.35">
      <c r="D5309" s="66"/>
      <c r="E5309" s="66"/>
      <c r="F5309" s="66"/>
    </row>
    <row r="5310" spans="4:6" x14ac:dyDescent="0.35">
      <c r="D5310" s="66"/>
      <c r="E5310" s="66"/>
      <c r="F5310" s="66"/>
    </row>
    <row r="5311" spans="4:6" x14ac:dyDescent="0.35">
      <c r="D5311" s="66"/>
      <c r="E5311" s="66"/>
      <c r="F5311" s="66"/>
    </row>
    <row r="5312" spans="4:6" x14ac:dyDescent="0.35">
      <c r="D5312" s="66"/>
      <c r="E5312" s="66"/>
      <c r="F5312" s="66"/>
    </row>
    <row r="5313" spans="4:6" x14ac:dyDescent="0.35">
      <c r="D5313" s="66"/>
      <c r="E5313" s="66"/>
      <c r="F5313" s="66"/>
    </row>
    <row r="5314" spans="4:6" x14ac:dyDescent="0.35">
      <c r="D5314" s="66"/>
      <c r="E5314" s="66"/>
      <c r="F5314" s="66"/>
    </row>
    <row r="5315" spans="4:6" x14ac:dyDescent="0.35">
      <c r="D5315" s="66"/>
      <c r="E5315" s="66"/>
      <c r="F5315" s="66"/>
    </row>
    <row r="5316" spans="4:6" x14ac:dyDescent="0.35">
      <c r="D5316" s="66"/>
      <c r="E5316" s="66"/>
      <c r="F5316" s="66"/>
    </row>
    <row r="5317" spans="4:6" x14ac:dyDescent="0.35">
      <c r="D5317" s="66"/>
      <c r="E5317" s="66"/>
      <c r="F5317" s="66"/>
    </row>
    <row r="5318" spans="4:6" x14ac:dyDescent="0.35">
      <c r="D5318" s="66"/>
      <c r="E5318" s="66"/>
      <c r="F5318" s="66"/>
    </row>
    <row r="5319" spans="4:6" x14ac:dyDescent="0.35">
      <c r="D5319" s="66"/>
      <c r="E5319" s="66"/>
      <c r="F5319" s="66"/>
    </row>
    <row r="5320" spans="4:6" x14ac:dyDescent="0.35">
      <c r="D5320" s="66"/>
      <c r="E5320" s="66"/>
      <c r="F5320" s="66"/>
    </row>
    <row r="5321" spans="4:6" x14ac:dyDescent="0.35">
      <c r="D5321" s="66"/>
      <c r="E5321" s="66"/>
      <c r="F5321" s="66"/>
    </row>
    <row r="5322" spans="4:6" x14ac:dyDescent="0.35">
      <c r="D5322" s="66"/>
      <c r="E5322" s="66"/>
      <c r="F5322" s="66"/>
    </row>
    <row r="5323" spans="4:6" x14ac:dyDescent="0.35">
      <c r="D5323" s="66"/>
      <c r="E5323" s="66"/>
      <c r="F5323" s="66"/>
    </row>
    <row r="5324" spans="4:6" x14ac:dyDescent="0.35">
      <c r="D5324" s="66"/>
      <c r="E5324" s="66"/>
      <c r="F5324" s="66"/>
    </row>
    <row r="5325" spans="4:6" x14ac:dyDescent="0.35">
      <c r="D5325" s="66"/>
      <c r="E5325" s="66"/>
      <c r="F5325" s="66"/>
    </row>
    <row r="5326" spans="4:6" x14ac:dyDescent="0.35">
      <c r="D5326" s="66"/>
      <c r="E5326" s="66"/>
      <c r="F5326" s="66"/>
    </row>
    <row r="5327" spans="4:6" x14ac:dyDescent="0.35">
      <c r="D5327" s="66"/>
      <c r="E5327" s="66"/>
      <c r="F5327" s="66"/>
    </row>
    <row r="5328" spans="4:6" x14ac:dyDescent="0.35">
      <c r="D5328" s="66"/>
      <c r="E5328" s="66"/>
      <c r="F5328" s="66"/>
    </row>
    <row r="5329" spans="4:6" x14ac:dyDescent="0.35">
      <c r="D5329" s="66"/>
      <c r="E5329" s="66"/>
      <c r="F5329" s="66"/>
    </row>
    <row r="5330" spans="4:6" x14ac:dyDescent="0.35">
      <c r="D5330" s="66"/>
      <c r="E5330" s="66"/>
      <c r="F5330" s="66"/>
    </row>
    <row r="5331" spans="4:6" x14ac:dyDescent="0.35">
      <c r="D5331" s="66"/>
      <c r="E5331" s="66"/>
      <c r="F5331" s="66"/>
    </row>
    <row r="5332" spans="4:6" x14ac:dyDescent="0.35">
      <c r="D5332" s="66"/>
      <c r="E5332" s="66"/>
      <c r="F5332" s="66"/>
    </row>
    <row r="5333" spans="4:6" x14ac:dyDescent="0.35">
      <c r="D5333" s="66"/>
      <c r="E5333" s="66"/>
      <c r="F5333" s="66"/>
    </row>
    <row r="5334" spans="4:6" x14ac:dyDescent="0.35">
      <c r="D5334" s="66"/>
      <c r="E5334" s="66"/>
      <c r="F5334" s="66"/>
    </row>
    <row r="5335" spans="4:6" x14ac:dyDescent="0.35">
      <c r="D5335" s="66"/>
      <c r="E5335" s="66"/>
      <c r="F5335" s="66"/>
    </row>
    <row r="5336" spans="4:6" x14ac:dyDescent="0.35">
      <c r="D5336" s="66"/>
      <c r="E5336" s="66"/>
      <c r="F5336" s="66"/>
    </row>
    <row r="5337" spans="4:6" x14ac:dyDescent="0.35">
      <c r="D5337" s="66"/>
      <c r="E5337" s="66"/>
      <c r="F5337" s="66"/>
    </row>
    <row r="5338" spans="4:6" x14ac:dyDescent="0.35">
      <c r="D5338" s="66"/>
      <c r="E5338" s="66"/>
      <c r="F5338" s="66"/>
    </row>
    <row r="5339" spans="4:6" x14ac:dyDescent="0.35">
      <c r="D5339" s="66"/>
      <c r="E5339" s="66"/>
      <c r="F5339" s="66"/>
    </row>
    <row r="5340" spans="4:6" x14ac:dyDescent="0.35">
      <c r="D5340" s="66"/>
      <c r="E5340" s="66"/>
      <c r="F5340" s="66"/>
    </row>
    <row r="5341" spans="4:6" x14ac:dyDescent="0.35">
      <c r="D5341" s="66"/>
      <c r="E5341" s="66"/>
      <c r="F5341" s="66"/>
    </row>
    <row r="5342" spans="4:6" x14ac:dyDescent="0.35">
      <c r="D5342" s="66"/>
      <c r="E5342" s="66"/>
      <c r="F5342" s="66"/>
    </row>
    <row r="5343" spans="4:6" x14ac:dyDescent="0.35">
      <c r="D5343" s="66"/>
      <c r="E5343" s="66"/>
      <c r="F5343" s="66"/>
    </row>
    <row r="5344" spans="4:6" x14ac:dyDescent="0.35">
      <c r="D5344" s="66"/>
      <c r="E5344" s="66"/>
      <c r="F5344" s="66"/>
    </row>
    <row r="5345" spans="4:6" x14ac:dyDescent="0.35">
      <c r="D5345" s="66"/>
      <c r="E5345" s="66"/>
      <c r="F5345" s="66"/>
    </row>
    <row r="5346" spans="4:6" x14ac:dyDescent="0.35">
      <c r="D5346" s="66"/>
      <c r="E5346" s="66"/>
      <c r="F5346" s="66"/>
    </row>
    <row r="5347" spans="4:6" x14ac:dyDescent="0.35">
      <c r="D5347" s="66"/>
      <c r="E5347" s="66"/>
      <c r="F5347" s="66"/>
    </row>
    <row r="5348" spans="4:6" x14ac:dyDescent="0.35">
      <c r="D5348" s="66"/>
      <c r="E5348" s="66"/>
      <c r="F5348" s="66"/>
    </row>
    <row r="5349" spans="4:6" x14ac:dyDescent="0.35">
      <c r="D5349" s="66"/>
      <c r="E5349" s="66"/>
      <c r="F5349" s="66"/>
    </row>
    <row r="5350" spans="4:6" x14ac:dyDescent="0.35">
      <c r="D5350" s="66"/>
      <c r="E5350" s="66"/>
      <c r="F5350" s="66"/>
    </row>
    <row r="5351" spans="4:6" x14ac:dyDescent="0.35">
      <c r="D5351" s="66"/>
      <c r="E5351" s="66"/>
      <c r="F5351" s="66"/>
    </row>
    <row r="5352" spans="4:6" x14ac:dyDescent="0.35">
      <c r="D5352" s="66"/>
      <c r="E5352" s="66"/>
      <c r="F5352" s="66"/>
    </row>
    <row r="5353" spans="4:6" x14ac:dyDescent="0.35">
      <c r="D5353" s="66"/>
      <c r="E5353" s="66"/>
      <c r="F5353" s="66"/>
    </row>
    <row r="5354" spans="4:6" x14ac:dyDescent="0.35">
      <c r="D5354" s="66"/>
      <c r="E5354" s="66"/>
      <c r="F5354" s="66"/>
    </row>
    <row r="5355" spans="4:6" x14ac:dyDescent="0.35">
      <c r="D5355" s="66"/>
      <c r="E5355" s="66"/>
      <c r="F5355" s="66"/>
    </row>
    <row r="5356" spans="4:6" x14ac:dyDescent="0.35">
      <c r="D5356" s="66"/>
      <c r="E5356" s="66"/>
      <c r="F5356" s="66"/>
    </row>
    <row r="5357" spans="4:6" x14ac:dyDescent="0.35">
      <c r="D5357" s="66"/>
      <c r="E5357" s="66"/>
      <c r="F5357" s="66"/>
    </row>
    <row r="5358" spans="4:6" x14ac:dyDescent="0.35">
      <c r="D5358" s="66"/>
      <c r="E5358" s="66"/>
      <c r="F5358" s="66"/>
    </row>
    <row r="5359" spans="4:6" x14ac:dyDescent="0.35">
      <c r="D5359" s="66"/>
      <c r="E5359" s="66"/>
      <c r="F5359" s="66"/>
    </row>
    <row r="5360" spans="4:6" x14ac:dyDescent="0.35">
      <c r="D5360" s="66"/>
      <c r="E5360" s="66"/>
      <c r="F5360" s="66"/>
    </row>
    <row r="5361" spans="4:6" x14ac:dyDescent="0.35">
      <c r="D5361" s="66"/>
      <c r="E5361" s="66"/>
      <c r="F5361" s="66"/>
    </row>
    <row r="5362" spans="4:6" x14ac:dyDescent="0.35">
      <c r="D5362" s="66"/>
      <c r="E5362" s="66"/>
      <c r="F5362" s="66"/>
    </row>
    <row r="5363" spans="4:6" x14ac:dyDescent="0.35">
      <c r="D5363" s="66"/>
      <c r="E5363" s="66"/>
      <c r="F5363" s="66"/>
    </row>
    <row r="5364" spans="4:6" x14ac:dyDescent="0.35">
      <c r="D5364" s="66"/>
      <c r="E5364" s="66"/>
      <c r="F5364" s="66"/>
    </row>
    <row r="5365" spans="4:6" x14ac:dyDescent="0.35">
      <c r="D5365" s="66"/>
      <c r="E5365" s="66"/>
      <c r="F5365" s="66"/>
    </row>
    <row r="5366" spans="4:6" x14ac:dyDescent="0.35">
      <c r="D5366" s="66"/>
      <c r="E5366" s="66"/>
      <c r="F5366" s="66"/>
    </row>
    <row r="5367" spans="4:6" x14ac:dyDescent="0.35">
      <c r="D5367" s="66"/>
      <c r="E5367" s="66"/>
      <c r="F5367" s="66"/>
    </row>
    <row r="5368" spans="4:6" x14ac:dyDescent="0.35">
      <c r="D5368" s="66"/>
      <c r="E5368" s="66"/>
      <c r="F5368" s="66"/>
    </row>
    <row r="5369" spans="4:6" x14ac:dyDescent="0.35">
      <c r="D5369" s="66"/>
      <c r="E5369" s="66"/>
      <c r="F5369" s="66"/>
    </row>
    <row r="5370" spans="4:6" x14ac:dyDescent="0.35">
      <c r="D5370" s="66"/>
      <c r="E5370" s="66"/>
      <c r="F5370" s="66"/>
    </row>
    <row r="5371" spans="4:6" x14ac:dyDescent="0.35">
      <c r="D5371" s="66"/>
      <c r="E5371" s="66"/>
      <c r="F5371" s="66"/>
    </row>
    <row r="5372" spans="4:6" x14ac:dyDescent="0.35">
      <c r="D5372" s="66"/>
      <c r="E5372" s="66"/>
      <c r="F5372" s="66"/>
    </row>
    <row r="5373" spans="4:6" x14ac:dyDescent="0.35">
      <c r="D5373" s="66"/>
      <c r="E5373" s="66"/>
      <c r="F5373" s="66"/>
    </row>
    <row r="5374" spans="4:6" x14ac:dyDescent="0.35">
      <c r="D5374" s="66"/>
      <c r="E5374" s="66"/>
      <c r="F5374" s="66"/>
    </row>
    <row r="5375" spans="4:6" x14ac:dyDescent="0.35">
      <c r="D5375" s="66"/>
      <c r="E5375" s="66"/>
      <c r="F5375" s="66"/>
    </row>
    <row r="5376" spans="4:6" x14ac:dyDescent="0.35">
      <c r="D5376" s="66"/>
      <c r="E5376" s="66"/>
      <c r="F5376" s="66"/>
    </row>
    <row r="5377" spans="4:6" x14ac:dyDescent="0.35">
      <c r="D5377" s="66"/>
      <c r="E5377" s="66"/>
      <c r="F5377" s="66"/>
    </row>
    <row r="5378" spans="4:6" x14ac:dyDescent="0.35">
      <c r="D5378" s="66"/>
      <c r="E5378" s="66"/>
      <c r="F5378" s="66"/>
    </row>
    <row r="5379" spans="4:6" x14ac:dyDescent="0.35">
      <c r="D5379" s="66"/>
      <c r="E5379" s="66"/>
      <c r="F5379" s="66"/>
    </row>
    <row r="5380" spans="4:6" x14ac:dyDescent="0.35">
      <c r="D5380" s="66"/>
      <c r="E5380" s="66"/>
      <c r="F5380" s="66"/>
    </row>
    <row r="5381" spans="4:6" x14ac:dyDescent="0.35">
      <c r="D5381" s="66"/>
      <c r="E5381" s="66"/>
      <c r="F5381" s="66"/>
    </row>
    <row r="5382" spans="4:6" x14ac:dyDescent="0.35">
      <c r="D5382" s="66"/>
      <c r="E5382" s="66"/>
      <c r="F5382" s="66"/>
    </row>
    <row r="5383" spans="4:6" x14ac:dyDescent="0.35">
      <c r="D5383" s="66"/>
      <c r="E5383" s="66"/>
      <c r="F5383" s="66"/>
    </row>
    <row r="5384" spans="4:6" x14ac:dyDescent="0.35">
      <c r="D5384" s="66"/>
      <c r="E5384" s="66"/>
      <c r="F5384" s="66"/>
    </row>
    <row r="5385" spans="4:6" x14ac:dyDescent="0.35">
      <c r="D5385" s="66"/>
      <c r="E5385" s="66"/>
      <c r="F5385" s="66"/>
    </row>
    <row r="5386" spans="4:6" x14ac:dyDescent="0.35">
      <c r="D5386" s="66"/>
      <c r="E5386" s="66"/>
      <c r="F5386" s="66"/>
    </row>
    <row r="5387" spans="4:6" x14ac:dyDescent="0.35">
      <c r="D5387" s="66"/>
      <c r="E5387" s="66"/>
      <c r="F5387" s="66"/>
    </row>
    <row r="5388" spans="4:6" x14ac:dyDescent="0.35">
      <c r="D5388" s="66"/>
      <c r="E5388" s="66"/>
      <c r="F5388" s="66"/>
    </row>
    <row r="5389" spans="4:6" x14ac:dyDescent="0.35">
      <c r="D5389" s="66"/>
      <c r="E5389" s="66"/>
      <c r="F5389" s="66"/>
    </row>
    <row r="5390" spans="4:6" x14ac:dyDescent="0.35">
      <c r="D5390" s="66"/>
      <c r="E5390" s="66"/>
      <c r="F5390" s="66"/>
    </row>
    <row r="5391" spans="4:6" x14ac:dyDescent="0.35">
      <c r="D5391" s="66"/>
      <c r="E5391" s="66"/>
      <c r="F5391" s="66"/>
    </row>
    <row r="5392" spans="4:6" x14ac:dyDescent="0.35">
      <c r="D5392" s="66"/>
      <c r="E5392" s="66"/>
      <c r="F5392" s="66"/>
    </row>
    <row r="5393" spans="4:6" x14ac:dyDescent="0.35">
      <c r="D5393" s="66"/>
      <c r="E5393" s="66"/>
      <c r="F5393" s="66"/>
    </row>
    <row r="5394" spans="4:6" x14ac:dyDescent="0.35">
      <c r="D5394" s="66"/>
      <c r="E5394" s="66"/>
      <c r="F5394" s="66"/>
    </row>
    <row r="5395" spans="4:6" x14ac:dyDescent="0.35">
      <c r="D5395" s="66"/>
      <c r="E5395" s="66"/>
      <c r="F5395" s="66"/>
    </row>
    <row r="5396" spans="4:6" x14ac:dyDescent="0.35">
      <c r="D5396" s="66"/>
      <c r="E5396" s="66"/>
      <c r="F5396" s="66"/>
    </row>
    <row r="5397" spans="4:6" x14ac:dyDescent="0.35">
      <c r="D5397" s="66"/>
      <c r="E5397" s="66"/>
      <c r="F5397" s="66"/>
    </row>
    <row r="5398" spans="4:6" x14ac:dyDescent="0.35">
      <c r="D5398" s="66"/>
      <c r="E5398" s="66"/>
      <c r="F5398" s="66"/>
    </row>
    <row r="5399" spans="4:6" x14ac:dyDescent="0.35">
      <c r="D5399" s="66"/>
      <c r="E5399" s="66"/>
      <c r="F5399" s="66"/>
    </row>
    <row r="5400" spans="4:6" x14ac:dyDescent="0.35">
      <c r="D5400" s="66"/>
      <c r="E5400" s="66"/>
      <c r="F5400" s="66"/>
    </row>
    <row r="5401" spans="4:6" x14ac:dyDescent="0.35">
      <c r="D5401" s="66"/>
      <c r="E5401" s="66"/>
      <c r="F5401" s="66"/>
    </row>
    <row r="5402" spans="4:6" x14ac:dyDescent="0.35">
      <c r="D5402" s="66"/>
      <c r="E5402" s="66"/>
      <c r="F5402" s="66"/>
    </row>
    <row r="5403" spans="4:6" x14ac:dyDescent="0.35">
      <c r="D5403" s="66"/>
      <c r="E5403" s="66"/>
      <c r="F5403" s="66"/>
    </row>
    <row r="5404" spans="4:6" x14ac:dyDescent="0.35">
      <c r="D5404" s="66"/>
      <c r="E5404" s="66"/>
      <c r="F5404" s="66"/>
    </row>
    <row r="5405" spans="4:6" x14ac:dyDescent="0.35">
      <c r="D5405" s="66"/>
      <c r="E5405" s="66"/>
      <c r="F5405" s="66"/>
    </row>
    <row r="5406" spans="4:6" x14ac:dyDescent="0.35">
      <c r="D5406" s="66"/>
      <c r="E5406" s="66"/>
      <c r="F5406" s="66"/>
    </row>
    <row r="5407" spans="4:6" x14ac:dyDescent="0.35">
      <c r="D5407" s="66"/>
      <c r="E5407" s="66"/>
      <c r="F5407" s="66"/>
    </row>
    <row r="5408" spans="4:6" x14ac:dyDescent="0.35">
      <c r="D5408" s="66"/>
      <c r="E5408" s="66"/>
      <c r="F5408" s="66"/>
    </row>
    <row r="5409" spans="4:6" x14ac:dyDescent="0.35">
      <c r="D5409" s="66"/>
      <c r="E5409" s="66"/>
      <c r="F5409" s="66"/>
    </row>
    <row r="5410" spans="4:6" x14ac:dyDescent="0.35">
      <c r="D5410" s="66"/>
      <c r="E5410" s="66"/>
      <c r="F5410" s="66"/>
    </row>
    <row r="5411" spans="4:6" x14ac:dyDescent="0.35">
      <c r="D5411" s="66"/>
      <c r="E5411" s="66"/>
      <c r="F5411" s="66"/>
    </row>
    <row r="5412" spans="4:6" x14ac:dyDescent="0.35">
      <c r="D5412" s="66"/>
      <c r="E5412" s="66"/>
      <c r="F5412" s="66"/>
    </row>
    <row r="5413" spans="4:6" x14ac:dyDescent="0.35">
      <c r="D5413" s="66"/>
      <c r="E5413" s="66"/>
      <c r="F5413" s="66"/>
    </row>
    <row r="5414" spans="4:6" x14ac:dyDescent="0.35">
      <c r="D5414" s="66"/>
      <c r="E5414" s="66"/>
      <c r="F5414" s="66"/>
    </row>
    <row r="5415" spans="4:6" x14ac:dyDescent="0.35">
      <c r="D5415" s="66"/>
      <c r="E5415" s="66"/>
      <c r="F5415" s="66"/>
    </row>
    <row r="5416" spans="4:6" x14ac:dyDescent="0.35">
      <c r="D5416" s="66"/>
      <c r="E5416" s="66"/>
      <c r="F5416" s="66"/>
    </row>
    <row r="5417" spans="4:6" x14ac:dyDescent="0.35">
      <c r="D5417" s="66"/>
      <c r="E5417" s="66"/>
      <c r="F5417" s="66"/>
    </row>
    <row r="5418" spans="4:6" x14ac:dyDescent="0.35">
      <c r="D5418" s="66"/>
      <c r="E5418" s="66"/>
      <c r="F5418" s="66"/>
    </row>
    <row r="5419" spans="4:6" x14ac:dyDescent="0.35">
      <c r="D5419" s="66"/>
      <c r="E5419" s="66"/>
      <c r="F5419" s="66"/>
    </row>
    <row r="5420" spans="4:6" x14ac:dyDescent="0.35">
      <c r="D5420" s="66"/>
      <c r="E5420" s="66"/>
      <c r="F5420" s="66"/>
    </row>
    <row r="5421" spans="4:6" x14ac:dyDescent="0.35">
      <c r="D5421" s="66"/>
      <c r="E5421" s="66"/>
      <c r="F5421" s="66"/>
    </row>
    <row r="5422" spans="4:6" x14ac:dyDescent="0.35">
      <c r="D5422" s="66"/>
      <c r="E5422" s="66"/>
      <c r="F5422" s="66"/>
    </row>
    <row r="5423" spans="4:6" x14ac:dyDescent="0.35">
      <c r="D5423" s="66"/>
      <c r="E5423" s="66"/>
      <c r="F5423" s="66"/>
    </row>
    <row r="5424" spans="4:6" x14ac:dyDescent="0.35">
      <c r="D5424" s="66"/>
      <c r="E5424" s="66"/>
      <c r="F5424" s="66"/>
    </row>
    <row r="5425" spans="4:6" x14ac:dyDescent="0.35">
      <c r="D5425" s="66"/>
      <c r="E5425" s="66"/>
      <c r="F5425" s="66"/>
    </row>
    <row r="5426" spans="4:6" x14ac:dyDescent="0.35">
      <c r="D5426" s="66"/>
      <c r="E5426" s="66"/>
      <c r="F5426" s="66"/>
    </row>
    <row r="5427" spans="4:6" x14ac:dyDescent="0.35">
      <c r="D5427" s="66"/>
      <c r="E5427" s="66"/>
      <c r="F5427" s="66"/>
    </row>
    <row r="5428" spans="4:6" x14ac:dyDescent="0.35">
      <c r="D5428" s="66"/>
      <c r="E5428" s="66"/>
      <c r="F5428" s="66"/>
    </row>
    <row r="5429" spans="4:6" x14ac:dyDescent="0.35">
      <c r="D5429" s="66"/>
      <c r="E5429" s="66"/>
      <c r="F5429" s="66"/>
    </row>
    <row r="5430" spans="4:6" x14ac:dyDescent="0.35">
      <c r="D5430" s="66"/>
      <c r="E5430" s="66"/>
      <c r="F5430" s="66"/>
    </row>
    <row r="5431" spans="4:6" x14ac:dyDescent="0.35">
      <c r="D5431" s="66"/>
      <c r="E5431" s="66"/>
      <c r="F5431" s="66"/>
    </row>
    <row r="5432" spans="4:6" x14ac:dyDescent="0.35">
      <c r="D5432" s="66"/>
      <c r="E5432" s="66"/>
      <c r="F5432" s="66"/>
    </row>
    <row r="5433" spans="4:6" x14ac:dyDescent="0.35">
      <c r="D5433" s="66"/>
      <c r="E5433" s="66"/>
      <c r="F5433" s="66"/>
    </row>
    <row r="5434" spans="4:6" x14ac:dyDescent="0.35">
      <c r="D5434" s="66"/>
      <c r="E5434" s="66"/>
      <c r="F5434" s="66"/>
    </row>
    <row r="5435" spans="4:6" x14ac:dyDescent="0.35">
      <c r="D5435" s="66"/>
      <c r="E5435" s="66"/>
      <c r="F5435" s="66"/>
    </row>
    <row r="5436" spans="4:6" x14ac:dyDescent="0.35">
      <c r="D5436" s="66"/>
      <c r="E5436" s="66"/>
      <c r="F5436" s="66"/>
    </row>
    <row r="5437" spans="4:6" x14ac:dyDescent="0.35">
      <c r="D5437" s="66"/>
      <c r="E5437" s="66"/>
      <c r="F5437" s="66"/>
    </row>
    <row r="5438" spans="4:6" x14ac:dyDescent="0.35">
      <c r="D5438" s="66"/>
      <c r="E5438" s="66"/>
      <c r="F5438" s="66"/>
    </row>
    <row r="5439" spans="4:6" x14ac:dyDescent="0.35">
      <c r="D5439" s="66"/>
      <c r="E5439" s="66"/>
      <c r="F5439" s="66"/>
    </row>
    <row r="5440" spans="4:6" x14ac:dyDescent="0.35">
      <c r="D5440" s="66"/>
      <c r="E5440" s="66"/>
      <c r="F5440" s="66"/>
    </row>
    <row r="5441" spans="4:6" x14ac:dyDescent="0.35">
      <c r="D5441" s="66"/>
      <c r="E5441" s="66"/>
      <c r="F5441" s="66"/>
    </row>
    <row r="5442" spans="4:6" x14ac:dyDescent="0.35">
      <c r="D5442" s="66"/>
      <c r="E5442" s="66"/>
      <c r="F5442" s="66"/>
    </row>
    <row r="5443" spans="4:6" x14ac:dyDescent="0.35">
      <c r="D5443" s="66"/>
      <c r="E5443" s="66"/>
      <c r="F5443" s="66"/>
    </row>
    <row r="5444" spans="4:6" x14ac:dyDescent="0.35">
      <c r="D5444" s="66"/>
      <c r="E5444" s="66"/>
      <c r="F5444" s="66"/>
    </row>
    <row r="5445" spans="4:6" x14ac:dyDescent="0.35">
      <c r="D5445" s="66"/>
      <c r="E5445" s="66"/>
      <c r="F5445" s="66"/>
    </row>
    <row r="5446" spans="4:6" x14ac:dyDescent="0.35">
      <c r="D5446" s="66"/>
      <c r="E5446" s="66"/>
      <c r="F5446" s="66"/>
    </row>
    <row r="5447" spans="4:6" x14ac:dyDescent="0.35">
      <c r="D5447" s="66"/>
      <c r="E5447" s="66"/>
      <c r="F5447" s="66"/>
    </row>
    <row r="5448" spans="4:6" x14ac:dyDescent="0.35">
      <c r="D5448" s="66"/>
      <c r="E5448" s="66"/>
      <c r="F5448" s="66"/>
    </row>
    <row r="5449" spans="4:6" x14ac:dyDescent="0.35">
      <c r="D5449" s="66"/>
      <c r="E5449" s="66"/>
      <c r="F5449" s="66"/>
    </row>
    <row r="5450" spans="4:6" x14ac:dyDescent="0.35">
      <c r="D5450" s="66"/>
      <c r="E5450" s="66"/>
      <c r="F5450" s="66"/>
    </row>
    <row r="5451" spans="4:6" x14ac:dyDescent="0.35">
      <c r="D5451" s="66"/>
      <c r="E5451" s="66"/>
      <c r="F5451" s="66"/>
    </row>
    <row r="5452" spans="4:6" x14ac:dyDescent="0.35">
      <c r="D5452" s="66"/>
      <c r="E5452" s="66"/>
      <c r="F5452" s="66"/>
    </row>
    <row r="5453" spans="4:6" x14ac:dyDescent="0.35">
      <c r="D5453" s="66"/>
      <c r="E5453" s="66"/>
      <c r="F5453" s="66"/>
    </row>
    <row r="5454" spans="4:6" x14ac:dyDescent="0.35">
      <c r="D5454" s="66"/>
      <c r="E5454" s="66"/>
      <c r="F5454" s="66"/>
    </row>
    <row r="5455" spans="4:6" x14ac:dyDescent="0.35">
      <c r="D5455" s="66"/>
      <c r="E5455" s="66"/>
      <c r="F5455" s="66"/>
    </row>
    <row r="5456" spans="4:6" x14ac:dyDescent="0.35">
      <c r="D5456" s="66"/>
      <c r="E5456" s="66"/>
      <c r="F5456" s="66"/>
    </row>
    <row r="5457" spans="4:6" x14ac:dyDescent="0.35">
      <c r="D5457" s="66"/>
      <c r="E5457" s="66"/>
      <c r="F5457" s="66"/>
    </row>
    <row r="5458" spans="4:6" x14ac:dyDescent="0.35">
      <c r="D5458" s="66"/>
      <c r="E5458" s="66"/>
      <c r="F5458" s="66"/>
    </row>
    <row r="5459" spans="4:6" x14ac:dyDescent="0.35">
      <c r="D5459" s="66"/>
      <c r="E5459" s="66"/>
      <c r="F5459" s="66"/>
    </row>
    <row r="5460" spans="4:6" x14ac:dyDescent="0.35">
      <c r="D5460" s="66"/>
      <c r="E5460" s="66"/>
      <c r="F5460" s="66"/>
    </row>
    <row r="5461" spans="4:6" x14ac:dyDescent="0.35">
      <c r="D5461" s="66"/>
      <c r="E5461" s="66"/>
      <c r="F5461" s="66"/>
    </row>
    <row r="5462" spans="4:6" x14ac:dyDescent="0.35">
      <c r="D5462" s="66"/>
      <c r="E5462" s="66"/>
      <c r="F5462" s="66"/>
    </row>
    <row r="5463" spans="4:6" x14ac:dyDescent="0.35">
      <c r="D5463" s="66"/>
      <c r="E5463" s="66"/>
      <c r="F5463" s="66"/>
    </row>
    <row r="5464" spans="4:6" x14ac:dyDescent="0.35">
      <c r="D5464" s="66"/>
      <c r="E5464" s="66"/>
      <c r="F5464" s="66"/>
    </row>
    <row r="5465" spans="4:6" x14ac:dyDescent="0.35">
      <c r="D5465" s="66"/>
      <c r="E5465" s="66"/>
      <c r="F5465" s="66"/>
    </row>
    <row r="5466" spans="4:6" x14ac:dyDescent="0.35">
      <c r="D5466" s="66"/>
      <c r="E5466" s="66"/>
      <c r="F5466" s="66"/>
    </row>
    <row r="5467" spans="4:6" x14ac:dyDescent="0.35">
      <c r="D5467" s="66"/>
      <c r="E5467" s="66"/>
      <c r="F5467" s="66"/>
    </row>
    <row r="5468" spans="4:6" x14ac:dyDescent="0.35">
      <c r="D5468" s="66"/>
      <c r="E5468" s="66"/>
      <c r="F5468" s="66"/>
    </row>
    <row r="5469" spans="4:6" x14ac:dyDescent="0.35">
      <c r="D5469" s="66"/>
      <c r="E5469" s="66"/>
      <c r="F5469" s="66"/>
    </row>
    <row r="5470" spans="4:6" x14ac:dyDescent="0.35">
      <c r="D5470" s="66"/>
      <c r="E5470" s="66"/>
      <c r="F5470" s="66"/>
    </row>
    <row r="5471" spans="4:6" x14ac:dyDescent="0.35">
      <c r="D5471" s="66"/>
      <c r="E5471" s="66"/>
      <c r="F5471" s="66"/>
    </row>
    <row r="5472" spans="4:6" x14ac:dyDescent="0.35">
      <c r="D5472" s="66"/>
      <c r="E5472" s="66"/>
      <c r="F5472" s="66"/>
    </row>
    <row r="5473" spans="4:6" x14ac:dyDescent="0.35">
      <c r="D5473" s="66"/>
      <c r="E5473" s="66"/>
      <c r="F5473" s="66"/>
    </row>
    <row r="5474" spans="4:6" x14ac:dyDescent="0.35">
      <c r="D5474" s="66"/>
      <c r="E5474" s="66"/>
      <c r="F5474" s="66"/>
    </row>
    <row r="5475" spans="4:6" x14ac:dyDescent="0.35">
      <c r="D5475" s="66"/>
      <c r="E5475" s="66"/>
      <c r="F5475" s="66"/>
    </row>
    <row r="5476" spans="4:6" x14ac:dyDescent="0.35">
      <c r="D5476" s="66"/>
      <c r="E5476" s="66"/>
      <c r="F5476" s="66"/>
    </row>
    <row r="5477" spans="4:6" x14ac:dyDescent="0.35">
      <c r="D5477" s="66"/>
      <c r="E5477" s="66"/>
      <c r="F5477" s="66"/>
    </row>
    <row r="5478" spans="4:6" x14ac:dyDescent="0.35">
      <c r="D5478" s="66"/>
      <c r="E5478" s="66"/>
      <c r="F5478" s="66"/>
    </row>
    <row r="5479" spans="4:6" x14ac:dyDescent="0.35">
      <c r="D5479" s="66"/>
      <c r="E5479" s="66"/>
      <c r="F5479" s="66"/>
    </row>
    <row r="5480" spans="4:6" x14ac:dyDescent="0.35">
      <c r="D5480" s="66"/>
      <c r="E5480" s="66"/>
      <c r="F5480" s="66"/>
    </row>
    <row r="5481" spans="4:6" x14ac:dyDescent="0.35">
      <c r="D5481" s="66"/>
      <c r="E5481" s="66"/>
      <c r="F5481" s="66"/>
    </row>
    <row r="5482" spans="4:6" x14ac:dyDescent="0.35">
      <c r="D5482" s="66"/>
      <c r="E5482" s="66"/>
      <c r="F5482" s="66"/>
    </row>
    <row r="5483" spans="4:6" x14ac:dyDescent="0.35">
      <c r="D5483" s="66"/>
      <c r="E5483" s="66"/>
      <c r="F5483" s="66"/>
    </row>
    <row r="5484" spans="4:6" x14ac:dyDescent="0.35">
      <c r="D5484" s="66"/>
      <c r="E5484" s="66"/>
      <c r="F5484" s="66"/>
    </row>
    <row r="5485" spans="4:6" x14ac:dyDescent="0.35">
      <c r="D5485" s="66"/>
      <c r="E5485" s="66"/>
      <c r="F5485" s="66"/>
    </row>
    <row r="5486" spans="4:6" x14ac:dyDescent="0.35">
      <c r="D5486" s="66"/>
      <c r="E5486" s="66"/>
      <c r="F5486" s="66"/>
    </row>
    <row r="5487" spans="4:6" x14ac:dyDescent="0.35">
      <c r="D5487" s="66"/>
      <c r="E5487" s="66"/>
      <c r="F5487" s="66"/>
    </row>
    <row r="5488" spans="4:6" x14ac:dyDescent="0.35">
      <c r="D5488" s="66"/>
      <c r="E5488" s="66"/>
      <c r="F5488" s="66"/>
    </row>
    <row r="5489" spans="4:6" x14ac:dyDescent="0.35">
      <c r="D5489" s="66"/>
      <c r="E5489" s="66"/>
      <c r="F5489" s="66"/>
    </row>
    <row r="5490" spans="4:6" x14ac:dyDescent="0.35">
      <c r="D5490" s="66"/>
      <c r="E5490" s="66"/>
      <c r="F5490" s="66"/>
    </row>
    <row r="5491" spans="4:6" x14ac:dyDescent="0.35">
      <c r="D5491" s="66"/>
      <c r="E5491" s="66"/>
      <c r="F5491" s="66"/>
    </row>
    <row r="5492" spans="4:6" x14ac:dyDescent="0.35">
      <c r="D5492" s="66"/>
      <c r="E5492" s="66"/>
      <c r="F5492" s="66"/>
    </row>
    <row r="5493" spans="4:6" x14ac:dyDescent="0.35">
      <c r="D5493" s="66"/>
      <c r="E5493" s="66"/>
      <c r="F5493" s="66"/>
    </row>
    <row r="5494" spans="4:6" x14ac:dyDescent="0.35">
      <c r="D5494" s="66"/>
      <c r="E5494" s="66"/>
      <c r="F5494" s="66"/>
    </row>
    <row r="5495" spans="4:6" x14ac:dyDescent="0.35">
      <c r="D5495" s="66"/>
      <c r="E5495" s="66"/>
      <c r="F5495" s="66"/>
    </row>
    <row r="5496" spans="4:6" x14ac:dyDescent="0.35">
      <c r="D5496" s="66"/>
      <c r="E5496" s="66"/>
      <c r="F5496" s="66"/>
    </row>
    <row r="5497" spans="4:6" x14ac:dyDescent="0.35">
      <c r="D5497" s="66"/>
      <c r="E5497" s="66"/>
      <c r="F5497" s="66"/>
    </row>
    <row r="5498" spans="4:6" x14ac:dyDescent="0.35">
      <c r="D5498" s="66"/>
      <c r="E5498" s="66"/>
      <c r="F5498" s="66"/>
    </row>
    <row r="5499" spans="4:6" x14ac:dyDescent="0.35">
      <c r="D5499" s="66"/>
      <c r="E5499" s="66"/>
      <c r="F5499" s="66"/>
    </row>
    <row r="5500" spans="4:6" x14ac:dyDescent="0.35">
      <c r="D5500" s="66"/>
      <c r="E5500" s="66"/>
      <c r="F5500" s="66"/>
    </row>
    <row r="5501" spans="4:6" x14ac:dyDescent="0.35">
      <c r="D5501" s="66"/>
      <c r="E5501" s="66"/>
      <c r="F5501" s="66"/>
    </row>
    <row r="5502" spans="4:6" x14ac:dyDescent="0.35">
      <c r="D5502" s="66"/>
      <c r="E5502" s="66"/>
      <c r="F5502" s="66"/>
    </row>
    <row r="5503" spans="4:6" x14ac:dyDescent="0.35">
      <c r="D5503" s="66"/>
      <c r="E5503" s="66"/>
      <c r="F5503" s="66"/>
    </row>
    <row r="5504" spans="4:6" x14ac:dyDescent="0.35">
      <c r="D5504" s="66"/>
      <c r="E5504" s="66"/>
      <c r="F5504" s="66"/>
    </row>
    <row r="5505" spans="4:6" x14ac:dyDescent="0.35">
      <c r="D5505" s="66"/>
      <c r="E5505" s="66"/>
      <c r="F5505" s="66"/>
    </row>
    <row r="5506" spans="4:6" x14ac:dyDescent="0.35">
      <c r="D5506" s="66"/>
      <c r="E5506" s="66"/>
      <c r="F5506" s="66"/>
    </row>
    <row r="5507" spans="4:6" x14ac:dyDescent="0.35">
      <c r="D5507" s="66"/>
      <c r="E5507" s="66"/>
      <c r="F5507" s="66"/>
    </row>
    <row r="5508" spans="4:6" x14ac:dyDescent="0.35">
      <c r="D5508" s="66"/>
      <c r="E5508" s="66"/>
      <c r="F5508" s="66"/>
    </row>
    <row r="5509" spans="4:6" x14ac:dyDescent="0.35">
      <c r="D5509" s="66"/>
      <c r="E5509" s="66"/>
      <c r="F5509" s="66"/>
    </row>
    <row r="5510" spans="4:6" x14ac:dyDescent="0.35">
      <c r="D5510" s="66"/>
      <c r="E5510" s="66"/>
      <c r="F5510" s="66"/>
    </row>
    <row r="5511" spans="4:6" x14ac:dyDescent="0.35">
      <c r="D5511" s="66"/>
      <c r="E5511" s="66"/>
      <c r="F5511" s="66"/>
    </row>
    <row r="5512" spans="4:6" x14ac:dyDescent="0.35">
      <c r="D5512" s="66"/>
      <c r="E5512" s="66"/>
      <c r="F5512" s="66"/>
    </row>
    <row r="5513" spans="4:6" x14ac:dyDescent="0.35">
      <c r="D5513" s="66"/>
      <c r="E5513" s="66"/>
      <c r="F5513" s="66"/>
    </row>
    <row r="5514" spans="4:6" x14ac:dyDescent="0.35">
      <c r="D5514" s="66"/>
      <c r="E5514" s="66"/>
      <c r="F5514" s="66"/>
    </row>
    <row r="5515" spans="4:6" x14ac:dyDescent="0.35">
      <c r="D5515" s="66"/>
      <c r="E5515" s="66"/>
      <c r="F5515" s="66"/>
    </row>
    <row r="5516" spans="4:6" x14ac:dyDescent="0.35">
      <c r="D5516" s="66"/>
      <c r="E5516" s="66"/>
      <c r="F5516" s="66"/>
    </row>
    <row r="5517" spans="4:6" x14ac:dyDescent="0.35">
      <c r="D5517" s="66"/>
      <c r="E5517" s="66"/>
      <c r="F5517" s="66"/>
    </row>
    <row r="5518" spans="4:6" x14ac:dyDescent="0.35">
      <c r="D5518" s="66"/>
      <c r="E5518" s="66"/>
      <c r="F5518" s="66"/>
    </row>
    <row r="5519" spans="4:6" x14ac:dyDescent="0.35">
      <c r="D5519" s="66"/>
      <c r="E5519" s="66"/>
      <c r="F5519" s="66"/>
    </row>
    <row r="5520" spans="4:6" x14ac:dyDescent="0.35">
      <c r="D5520" s="66"/>
      <c r="E5520" s="66"/>
      <c r="F5520" s="66"/>
    </row>
    <row r="5521" spans="4:6" x14ac:dyDescent="0.35">
      <c r="D5521" s="66"/>
      <c r="E5521" s="66"/>
      <c r="F5521" s="66"/>
    </row>
    <row r="5522" spans="4:6" x14ac:dyDescent="0.35">
      <c r="D5522" s="66"/>
      <c r="E5522" s="66"/>
      <c r="F5522" s="66"/>
    </row>
    <row r="5523" spans="4:6" x14ac:dyDescent="0.35">
      <c r="D5523" s="66"/>
      <c r="E5523" s="66"/>
      <c r="F5523" s="66"/>
    </row>
    <row r="5524" spans="4:6" x14ac:dyDescent="0.35">
      <c r="D5524" s="66"/>
      <c r="E5524" s="66"/>
      <c r="F5524" s="66"/>
    </row>
    <row r="5525" spans="4:6" x14ac:dyDescent="0.35">
      <c r="D5525" s="66"/>
      <c r="E5525" s="66"/>
      <c r="F5525" s="66"/>
    </row>
    <row r="5526" spans="4:6" x14ac:dyDescent="0.35">
      <c r="D5526" s="66"/>
      <c r="E5526" s="66"/>
      <c r="F5526" s="66"/>
    </row>
    <row r="5527" spans="4:6" x14ac:dyDescent="0.35">
      <c r="D5527" s="66"/>
      <c r="E5527" s="66"/>
      <c r="F5527" s="66"/>
    </row>
    <row r="5528" spans="4:6" x14ac:dyDescent="0.35">
      <c r="D5528" s="66"/>
      <c r="E5528" s="66"/>
      <c r="F5528" s="66"/>
    </row>
    <row r="5529" spans="4:6" x14ac:dyDescent="0.35">
      <c r="D5529" s="66"/>
      <c r="E5529" s="66"/>
      <c r="F5529" s="66"/>
    </row>
    <row r="5530" spans="4:6" x14ac:dyDescent="0.35">
      <c r="D5530" s="66"/>
      <c r="E5530" s="66"/>
      <c r="F5530" s="66"/>
    </row>
    <row r="5531" spans="4:6" x14ac:dyDescent="0.35">
      <c r="D5531" s="66"/>
      <c r="E5531" s="66"/>
      <c r="F5531" s="66"/>
    </row>
    <row r="5532" spans="4:6" x14ac:dyDescent="0.35">
      <c r="D5532" s="66"/>
      <c r="E5532" s="66"/>
      <c r="F5532" s="66"/>
    </row>
    <row r="5533" spans="4:6" x14ac:dyDescent="0.35">
      <c r="D5533" s="66"/>
      <c r="E5533" s="66"/>
      <c r="F5533" s="66"/>
    </row>
    <row r="5534" spans="4:6" x14ac:dyDescent="0.35">
      <c r="D5534" s="66"/>
      <c r="E5534" s="66"/>
      <c r="F5534" s="66"/>
    </row>
    <row r="5535" spans="4:6" x14ac:dyDescent="0.35">
      <c r="D5535" s="66"/>
      <c r="E5535" s="66"/>
      <c r="F5535" s="66"/>
    </row>
    <row r="5536" spans="4:6" x14ac:dyDescent="0.35">
      <c r="D5536" s="66"/>
      <c r="E5536" s="66"/>
      <c r="F5536" s="66"/>
    </row>
    <row r="5537" spans="4:6" x14ac:dyDescent="0.35">
      <c r="D5537" s="66"/>
      <c r="E5537" s="66"/>
      <c r="F5537" s="66"/>
    </row>
    <row r="5538" spans="4:6" x14ac:dyDescent="0.35">
      <c r="D5538" s="66"/>
      <c r="E5538" s="66"/>
      <c r="F5538" s="66"/>
    </row>
    <row r="5539" spans="4:6" x14ac:dyDescent="0.35">
      <c r="D5539" s="66"/>
      <c r="E5539" s="66"/>
      <c r="F5539" s="66"/>
    </row>
    <row r="5540" spans="4:6" x14ac:dyDescent="0.35">
      <c r="D5540" s="66"/>
      <c r="E5540" s="66"/>
      <c r="F5540" s="66"/>
    </row>
    <row r="5541" spans="4:6" x14ac:dyDescent="0.35">
      <c r="D5541" s="66"/>
      <c r="E5541" s="66"/>
      <c r="F5541" s="66"/>
    </row>
    <row r="5542" spans="4:6" x14ac:dyDescent="0.35">
      <c r="D5542" s="66"/>
      <c r="E5542" s="66"/>
      <c r="F5542" s="66"/>
    </row>
    <row r="5543" spans="4:6" x14ac:dyDescent="0.35">
      <c r="D5543" s="66"/>
      <c r="E5543" s="66"/>
      <c r="F5543" s="66"/>
    </row>
    <row r="5544" spans="4:6" x14ac:dyDescent="0.35">
      <c r="D5544" s="66"/>
      <c r="E5544" s="66"/>
      <c r="F5544" s="66"/>
    </row>
    <row r="5545" spans="4:6" x14ac:dyDescent="0.35">
      <c r="D5545" s="66"/>
      <c r="E5545" s="66"/>
      <c r="F5545" s="66"/>
    </row>
    <row r="5546" spans="4:6" x14ac:dyDescent="0.35">
      <c r="D5546" s="66"/>
      <c r="E5546" s="66"/>
      <c r="F5546" s="66"/>
    </row>
    <row r="5547" spans="4:6" x14ac:dyDescent="0.35">
      <c r="D5547" s="66"/>
      <c r="E5547" s="66"/>
      <c r="F5547" s="66"/>
    </row>
    <row r="5548" spans="4:6" x14ac:dyDescent="0.35">
      <c r="D5548" s="66"/>
      <c r="E5548" s="66"/>
      <c r="F5548" s="66"/>
    </row>
    <row r="5549" spans="4:6" x14ac:dyDescent="0.35">
      <c r="D5549" s="66"/>
      <c r="E5549" s="66"/>
      <c r="F5549" s="66"/>
    </row>
    <row r="5550" spans="4:6" x14ac:dyDescent="0.35">
      <c r="D5550" s="66"/>
      <c r="E5550" s="66"/>
      <c r="F5550" s="66"/>
    </row>
    <row r="5551" spans="4:6" x14ac:dyDescent="0.35">
      <c r="D5551" s="66"/>
      <c r="E5551" s="66"/>
      <c r="F5551" s="66"/>
    </row>
    <row r="5552" spans="4:6" x14ac:dyDescent="0.35">
      <c r="D5552" s="66"/>
      <c r="E5552" s="66"/>
      <c r="F5552" s="66"/>
    </row>
    <row r="5553" spans="4:6" x14ac:dyDescent="0.35">
      <c r="D5553" s="66"/>
      <c r="E5553" s="66"/>
      <c r="F5553" s="66"/>
    </row>
    <row r="5554" spans="4:6" x14ac:dyDescent="0.35">
      <c r="D5554" s="66"/>
      <c r="E5554" s="66"/>
      <c r="F5554" s="66"/>
    </row>
    <row r="5555" spans="4:6" x14ac:dyDescent="0.35">
      <c r="D5555" s="66"/>
      <c r="E5555" s="66"/>
      <c r="F5555" s="66"/>
    </row>
    <row r="5556" spans="4:6" x14ac:dyDescent="0.35">
      <c r="D5556" s="66"/>
      <c r="E5556" s="66"/>
      <c r="F5556" s="66"/>
    </row>
    <row r="5557" spans="4:6" x14ac:dyDescent="0.35">
      <c r="D5557" s="66"/>
      <c r="E5557" s="66"/>
      <c r="F5557" s="66"/>
    </row>
    <row r="5558" spans="4:6" x14ac:dyDescent="0.35">
      <c r="D5558" s="66"/>
      <c r="E5558" s="66"/>
      <c r="F5558" s="66"/>
    </row>
    <row r="5559" spans="4:6" x14ac:dyDescent="0.35">
      <c r="D5559" s="66"/>
      <c r="E5559" s="66"/>
      <c r="F5559" s="66"/>
    </row>
    <row r="5560" spans="4:6" x14ac:dyDescent="0.35">
      <c r="D5560" s="66"/>
      <c r="E5560" s="66"/>
      <c r="F5560" s="66"/>
    </row>
    <row r="5561" spans="4:6" x14ac:dyDescent="0.35">
      <c r="D5561" s="66"/>
      <c r="E5561" s="66"/>
      <c r="F5561" s="66"/>
    </row>
    <row r="5562" spans="4:6" x14ac:dyDescent="0.35">
      <c r="D5562" s="66"/>
      <c r="E5562" s="66"/>
      <c r="F5562" s="66"/>
    </row>
    <row r="5563" spans="4:6" x14ac:dyDescent="0.35">
      <c r="D5563" s="66"/>
      <c r="E5563" s="66"/>
      <c r="F5563" s="66"/>
    </row>
    <row r="5564" spans="4:6" x14ac:dyDescent="0.35">
      <c r="D5564" s="66"/>
      <c r="E5564" s="66"/>
      <c r="F5564" s="66"/>
    </row>
    <row r="5565" spans="4:6" x14ac:dyDescent="0.35">
      <c r="D5565" s="66"/>
      <c r="E5565" s="66"/>
      <c r="F5565" s="66"/>
    </row>
    <row r="5566" spans="4:6" x14ac:dyDescent="0.35">
      <c r="D5566" s="66"/>
      <c r="E5566" s="66"/>
      <c r="F5566" s="66"/>
    </row>
    <row r="5567" spans="4:6" x14ac:dyDescent="0.35">
      <c r="D5567" s="66"/>
      <c r="E5567" s="66"/>
      <c r="F5567" s="66"/>
    </row>
    <row r="5568" spans="4:6" x14ac:dyDescent="0.35">
      <c r="D5568" s="66"/>
      <c r="E5568" s="66"/>
      <c r="F5568" s="66"/>
    </row>
    <row r="5569" spans="4:6" x14ac:dyDescent="0.35">
      <c r="D5569" s="66"/>
      <c r="E5569" s="66"/>
      <c r="F5569" s="66"/>
    </row>
    <row r="5570" spans="4:6" x14ac:dyDescent="0.35">
      <c r="D5570" s="66"/>
      <c r="E5570" s="66"/>
      <c r="F5570" s="66"/>
    </row>
    <row r="5571" spans="4:6" x14ac:dyDescent="0.35">
      <c r="D5571" s="66"/>
      <c r="E5571" s="66"/>
      <c r="F5571" s="66"/>
    </row>
    <row r="5572" spans="4:6" x14ac:dyDescent="0.35">
      <c r="D5572" s="66"/>
      <c r="E5572" s="66"/>
      <c r="F5572" s="66"/>
    </row>
    <row r="5573" spans="4:6" x14ac:dyDescent="0.35">
      <c r="D5573" s="66"/>
      <c r="E5573" s="66"/>
      <c r="F5573" s="66"/>
    </row>
    <row r="5574" spans="4:6" x14ac:dyDescent="0.35">
      <c r="D5574" s="66"/>
      <c r="E5574" s="66"/>
      <c r="F5574" s="66"/>
    </row>
    <row r="5575" spans="4:6" x14ac:dyDescent="0.35">
      <c r="D5575" s="66"/>
      <c r="E5575" s="66"/>
      <c r="F5575" s="66"/>
    </row>
    <row r="5576" spans="4:6" x14ac:dyDescent="0.35">
      <c r="D5576" s="66"/>
      <c r="E5576" s="66"/>
      <c r="F5576" s="66"/>
    </row>
    <row r="5577" spans="4:6" x14ac:dyDescent="0.35">
      <c r="D5577" s="66"/>
      <c r="E5577" s="66"/>
      <c r="F5577" s="66"/>
    </row>
    <row r="5578" spans="4:6" x14ac:dyDescent="0.35">
      <c r="D5578" s="66"/>
      <c r="E5578" s="66"/>
      <c r="F5578" s="66"/>
    </row>
    <row r="5579" spans="4:6" x14ac:dyDescent="0.35">
      <c r="D5579" s="66"/>
      <c r="E5579" s="66"/>
      <c r="F5579" s="66"/>
    </row>
    <row r="5580" spans="4:6" x14ac:dyDescent="0.35">
      <c r="D5580" s="66"/>
      <c r="E5580" s="66"/>
      <c r="F5580" s="66"/>
    </row>
    <row r="5581" spans="4:6" x14ac:dyDescent="0.35">
      <c r="D5581" s="66"/>
      <c r="E5581" s="66"/>
      <c r="F5581" s="66"/>
    </row>
    <row r="5582" spans="4:6" x14ac:dyDescent="0.35">
      <c r="D5582" s="66"/>
      <c r="E5582" s="66"/>
      <c r="F5582" s="66"/>
    </row>
    <row r="5583" spans="4:6" x14ac:dyDescent="0.35">
      <c r="D5583" s="66"/>
      <c r="E5583" s="66"/>
      <c r="F5583" s="66"/>
    </row>
    <row r="5584" spans="4:6" x14ac:dyDescent="0.35">
      <c r="D5584" s="66"/>
      <c r="E5584" s="66"/>
      <c r="F5584" s="66"/>
    </row>
    <row r="5585" spans="4:6" x14ac:dyDescent="0.35">
      <c r="D5585" s="66"/>
      <c r="E5585" s="66"/>
      <c r="F5585" s="66"/>
    </row>
    <row r="5586" spans="4:6" x14ac:dyDescent="0.35">
      <c r="D5586" s="66"/>
      <c r="E5586" s="66"/>
      <c r="F5586" s="66"/>
    </row>
    <row r="5587" spans="4:6" x14ac:dyDescent="0.35">
      <c r="D5587" s="66"/>
      <c r="E5587" s="66"/>
      <c r="F5587" s="66"/>
    </row>
    <row r="5588" spans="4:6" x14ac:dyDescent="0.35">
      <c r="D5588" s="66"/>
      <c r="E5588" s="66"/>
      <c r="F5588" s="66"/>
    </row>
    <row r="5589" spans="4:6" x14ac:dyDescent="0.35">
      <c r="D5589" s="66"/>
      <c r="E5589" s="66"/>
      <c r="F5589" s="66"/>
    </row>
    <row r="5590" spans="4:6" x14ac:dyDescent="0.35">
      <c r="D5590" s="66"/>
      <c r="E5590" s="66"/>
      <c r="F5590" s="66"/>
    </row>
    <row r="5591" spans="4:6" x14ac:dyDescent="0.35">
      <c r="D5591" s="66"/>
      <c r="E5591" s="66"/>
      <c r="F5591" s="66"/>
    </row>
    <row r="5592" spans="4:6" x14ac:dyDescent="0.35">
      <c r="D5592" s="66"/>
      <c r="E5592" s="66"/>
      <c r="F5592" s="66"/>
    </row>
    <row r="5593" spans="4:6" x14ac:dyDescent="0.35">
      <c r="D5593" s="66"/>
      <c r="E5593" s="66"/>
      <c r="F5593" s="66"/>
    </row>
    <row r="5594" spans="4:6" x14ac:dyDescent="0.35">
      <c r="D5594" s="66"/>
      <c r="E5594" s="66"/>
      <c r="F5594" s="66"/>
    </row>
    <row r="5595" spans="4:6" x14ac:dyDescent="0.35">
      <c r="D5595" s="66"/>
      <c r="E5595" s="66"/>
      <c r="F5595" s="66"/>
    </row>
    <row r="5596" spans="4:6" x14ac:dyDescent="0.35">
      <c r="D5596" s="66"/>
      <c r="E5596" s="66"/>
      <c r="F5596" s="66"/>
    </row>
    <row r="5597" spans="4:6" x14ac:dyDescent="0.35">
      <c r="D5597" s="66"/>
      <c r="E5597" s="66"/>
      <c r="F5597" s="66"/>
    </row>
    <row r="5598" spans="4:6" x14ac:dyDescent="0.35">
      <c r="D5598" s="66"/>
      <c r="E5598" s="66"/>
      <c r="F5598" s="66"/>
    </row>
    <row r="5599" spans="4:6" x14ac:dyDescent="0.35">
      <c r="D5599" s="66"/>
      <c r="E5599" s="66"/>
      <c r="F5599" s="66"/>
    </row>
    <row r="5600" spans="4:6" x14ac:dyDescent="0.35">
      <c r="D5600" s="66"/>
      <c r="E5600" s="66"/>
      <c r="F5600" s="66"/>
    </row>
    <row r="5601" spans="4:6" x14ac:dyDescent="0.35">
      <c r="D5601" s="66"/>
      <c r="E5601" s="66"/>
      <c r="F5601" s="66"/>
    </row>
    <row r="5602" spans="4:6" x14ac:dyDescent="0.35">
      <c r="D5602" s="66"/>
      <c r="E5602" s="66"/>
      <c r="F5602" s="66"/>
    </row>
    <row r="5603" spans="4:6" x14ac:dyDescent="0.35">
      <c r="D5603" s="66"/>
      <c r="E5603" s="66"/>
      <c r="F5603" s="66"/>
    </row>
    <row r="5604" spans="4:6" x14ac:dyDescent="0.35">
      <c r="D5604" s="66"/>
      <c r="E5604" s="66"/>
      <c r="F5604" s="66"/>
    </row>
    <row r="5605" spans="4:6" x14ac:dyDescent="0.35">
      <c r="D5605" s="66"/>
      <c r="E5605" s="66"/>
      <c r="F5605" s="66"/>
    </row>
    <row r="5606" spans="4:6" x14ac:dyDescent="0.35">
      <c r="D5606" s="66"/>
      <c r="E5606" s="66"/>
      <c r="F5606" s="66"/>
    </row>
    <row r="5607" spans="4:6" x14ac:dyDescent="0.35">
      <c r="D5607" s="66"/>
      <c r="E5607" s="66"/>
      <c r="F5607" s="66"/>
    </row>
    <row r="5608" spans="4:6" x14ac:dyDescent="0.35">
      <c r="D5608" s="66"/>
      <c r="E5608" s="66"/>
      <c r="F5608" s="66"/>
    </row>
    <row r="5609" spans="4:6" x14ac:dyDescent="0.35">
      <c r="D5609" s="66"/>
      <c r="E5609" s="66"/>
      <c r="F5609" s="66"/>
    </row>
    <row r="5610" spans="4:6" x14ac:dyDescent="0.35">
      <c r="D5610" s="66"/>
      <c r="E5610" s="66"/>
      <c r="F5610" s="66"/>
    </row>
    <row r="5611" spans="4:6" x14ac:dyDescent="0.35">
      <c r="D5611" s="66"/>
      <c r="E5611" s="66"/>
      <c r="F5611" s="66"/>
    </row>
    <row r="5612" spans="4:6" x14ac:dyDescent="0.35">
      <c r="D5612" s="66"/>
      <c r="E5612" s="66"/>
      <c r="F5612" s="66"/>
    </row>
    <row r="5613" spans="4:6" x14ac:dyDescent="0.35">
      <c r="D5613" s="66"/>
      <c r="E5613" s="66"/>
      <c r="F5613" s="66"/>
    </row>
    <row r="5614" spans="4:6" x14ac:dyDescent="0.35">
      <c r="D5614" s="66"/>
      <c r="E5614" s="66"/>
      <c r="F5614" s="66"/>
    </row>
    <row r="5615" spans="4:6" x14ac:dyDescent="0.35">
      <c r="D5615" s="66"/>
      <c r="E5615" s="66"/>
      <c r="F5615" s="66"/>
    </row>
    <row r="5616" spans="4:6" x14ac:dyDescent="0.35">
      <c r="D5616" s="66"/>
      <c r="E5616" s="66"/>
      <c r="F5616" s="66"/>
    </row>
    <row r="5617" spans="4:6" x14ac:dyDescent="0.35">
      <c r="D5617" s="66"/>
      <c r="E5617" s="66"/>
      <c r="F5617" s="66"/>
    </row>
    <row r="5618" spans="4:6" x14ac:dyDescent="0.35">
      <c r="D5618" s="66"/>
      <c r="E5618" s="66"/>
      <c r="F5618" s="66"/>
    </row>
    <row r="5619" spans="4:6" x14ac:dyDescent="0.35">
      <c r="D5619" s="66"/>
      <c r="E5619" s="66"/>
      <c r="F5619" s="66"/>
    </row>
    <row r="5620" spans="4:6" x14ac:dyDescent="0.35">
      <c r="D5620" s="66"/>
      <c r="E5620" s="66"/>
      <c r="F5620" s="66"/>
    </row>
    <row r="5621" spans="4:6" x14ac:dyDescent="0.35">
      <c r="D5621" s="66"/>
      <c r="E5621" s="66"/>
      <c r="F5621" s="66"/>
    </row>
    <row r="5622" spans="4:6" x14ac:dyDescent="0.35">
      <c r="D5622" s="66"/>
      <c r="E5622" s="66"/>
      <c r="F5622" s="66"/>
    </row>
    <row r="5623" spans="4:6" x14ac:dyDescent="0.35">
      <c r="D5623" s="66"/>
      <c r="E5623" s="66"/>
      <c r="F5623" s="66"/>
    </row>
    <row r="5624" spans="4:6" x14ac:dyDescent="0.35">
      <c r="D5624" s="66"/>
      <c r="E5624" s="66"/>
      <c r="F5624" s="66"/>
    </row>
    <row r="5625" spans="4:6" x14ac:dyDescent="0.35">
      <c r="D5625" s="66"/>
      <c r="E5625" s="66"/>
      <c r="F5625" s="66"/>
    </row>
    <row r="5626" spans="4:6" x14ac:dyDescent="0.35">
      <c r="D5626" s="66"/>
      <c r="E5626" s="66"/>
      <c r="F5626" s="66"/>
    </row>
    <row r="5627" spans="4:6" x14ac:dyDescent="0.35">
      <c r="D5627" s="66"/>
      <c r="E5627" s="66"/>
      <c r="F5627" s="66"/>
    </row>
    <row r="5628" spans="4:6" x14ac:dyDescent="0.35">
      <c r="D5628" s="66"/>
      <c r="E5628" s="66"/>
      <c r="F5628" s="66"/>
    </row>
    <row r="5629" spans="4:6" x14ac:dyDescent="0.35">
      <c r="D5629" s="66"/>
      <c r="E5629" s="66"/>
      <c r="F5629" s="66"/>
    </row>
    <row r="5630" spans="4:6" x14ac:dyDescent="0.35">
      <c r="D5630" s="66"/>
      <c r="E5630" s="66"/>
      <c r="F5630" s="66"/>
    </row>
    <row r="5631" spans="4:6" x14ac:dyDescent="0.35">
      <c r="D5631" s="66"/>
      <c r="E5631" s="66"/>
      <c r="F5631" s="66"/>
    </row>
    <row r="5632" spans="4:6" x14ac:dyDescent="0.35">
      <c r="D5632" s="66"/>
      <c r="E5632" s="66"/>
      <c r="F5632" s="66"/>
    </row>
    <row r="5633" spans="4:6" x14ac:dyDescent="0.35">
      <c r="D5633" s="66"/>
      <c r="E5633" s="66"/>
      <c r="F5633" s="66"/>
    </row>
    <row r="5634" spans="4:6" x14ac:dyDescent="0.35">
      <c r="D5634" s="66"/>
      <c r="E5634" s="66"/>
      <c r="F5634" s="66"/>
    </row>
    <row r="5635" spans="4:6" x14ac:dyDescent="0.35">
      <c r="D5635" s="66"/>
      <c r="E5635" s="66"/>
      <c r="F5635" s="66"/>
    </row>
    <row r="5636" spans="4:6" x14ac:dyDescent="0.35">
      <c r="D5636" s="66"/>
      <c r="E5636" s="66"/>
      <c r="F5636" s="66"/>
    </row>
    <row r="5637" spans="4:6" x14ac:dyDescent="0.35">
      <c r="D5637" s="66"/>
      <c r="E5637" s="66"/>
      <c r="F5637" s="66"/>
    </row>
    <row r="5638" spans="4:6" x14ac:dyDescent="0.35">
      <c r="D5638" s="66"/>
      <c r="E5638" s="66"/>
      <c r="F5638" s="66"/>
    </row>
    <row r="5639" spans="4:6" x14ac:dyDescent="0.35">
      <c r="D5639" s="66"/>
      <c r="E5639" s="66"/>
      <c r="F5639" s="66"/>
    </row>
    <row r="5640" spans="4:6" x14ac:dyDescent="0.35">
      <c r="D5640" s="66"/>
      <c r="E5640" s="66"/>
      <c r="F5640" s="66"/>
    </row>
    <row r="5641" spans="4:6" x14ac:dyDescent="0.35">
      <c r="D5641" s="66"/>
      <c r="E5641" s="66"/>
      <c r="F5641" s="66"/>
    </row>
    <row r="5642" spans="4:6" x14ac:dyDescent="0.35">
      <c r="D5642" s="66"/>
      <c r="E5642" s="66"/>
      <c r="F5642" s="66"/>
    </row>
    <row r="5643" spans="4:6" x14ac:dyDescent="0.35">
      <c r="D5643" s="66"/>
      <c r="E5643" s="66"/>
      <c r="F5643" s="66"/>
    </row>
    <row r="5644" spans="4:6" x14ac:dyDescent="0.35">
      <c r="D5644" s="66"/>
      <c r="E5644" s="66"/>
      <c r="F5644" s="66"/>
    </row>
    <row r="5645" spans="4:6" x14ac:dyDescent="0.35">
      <c r="D5645" s="66"/>
      <c r="E5645" s="66"/>
      <c r="F5645" s="66"/>
    </row>
    <row r="5646" spans="4:6" x14ac:dyDescent="0.35">
      <c r="D5646" s="66"/>
      <c r="E5646" s="66"/>
      <c r="F5646" s="66"/>
    </row>
    <row r="5647" spans="4:6" x14ac:dyDescent="0.35">
      <c r="D5647" s="66"/>
      <c r="E5647" s="66"/>
      <c r="F5647" s="66"/>
    </row>
    <row r="5648" spans="4:6" x14ac:dyDescent="0.35">
      <c r="D5648" s="66"/>
      <c r="E5648" s="66"/>
      <c r="F5648" s="66"/>
    </row>
    <row r="5649" spans="4:6" x14ac:dyDescent="0.35">
      <c r="D5649" s="66"/>
      <c r="E5649" s="66"/>
      <c r="F5649" s="66"/>
    </row>
    <row r="5650" spans="4:6" x14ac:dyDescent="0.35">
      <c r="D5650" s="66"/>
      <c r="E5650" s="66"/>
      <c r="F5650" s="66"/>
    </row>
    <row r="5651" spans="4:6" x14ac:dyDescent="0.35">
      <c r="D5651" s="66"/>
      <c r="E5651" s="66"/>
      <c r="F5651" s="66"/>
    </row>
    <row r="5652" spans="4:6" x14ac:dyDescent="0.35">
      <c r="D5652" s="66"/>
      <c r="E5652" s="66"/>
      <c r="F5652" s="66"/>
    </row>
    <row r="5653" spans="4:6" x14ac:dyDescent="0.35">
      <c r="D5653" s="66"/>
      <c r="E5653" s="66"/>
      <c r="F5653" s="66"/>
    </row>
    <row r="5654" spans="4:6" x14ac:dyDescent="0.35">
      <c r="D5654" s="66"/>
      <c r="E5654" s="66"/>
      <c r="F5654" s="66"/>
    </row>
    <row r="5655" spans="4:6" x14ac:dyDescent="0.35">
      <c r="D5655" s="66"/>
      <c r="E5655" s="66"/>
      <c r="F5655" s="66"/>
    </row>
    <row r="5656" spans="4:6" x14ac:dyDescent="0.35">
      <c r="D5656" s="66"/>
      <c r="E5656" s="66"/>
      <c r="F5656" s="66"/>
    </row>
    <row r="5657" spans="4:6" x14ac:dyDescent="0.35">
      <c r="D5657" s="66"/>
      <c r="E5657" s="66"/>
      <c r="F5657" s="66"/>
    </row>
    <row r="5658" spans="4:6" x14ac:dyDescent="0.35">
      <c r="D5658" s="66"/>
      <c r="E5658" s="66"/>
      <c r="F5658" s="66"/>
    </row>
    <row r="5659" spans="4:6" x14ac:dyDescent="0.35">
      <c r="D5659" s="66"/>
      <c r="E5659" s="66"/>
      <c r="F5659" s="66"/>
    </row>
    <row r="5660" spans="4:6" x14ac:dyDescent="0.35">
      <c r="D5660" s="66"/>
      <c r="E5660" s="66"/>
      <c r="F5660" s="66"/>
    </row>
    <row r="5661" spans="4:6" x14ac:dyDescent="0.35">
      <c r="D5661" s="66"/>
      <c r="E5661" s="66"/>
      <c r="F5661" s="66"/>
    </row>
    <row r="5662" spans="4:6" x14ac:dyDescent="0.35">
      <c r="D5662" s="66"/>
      <c r="E5662" s="66"/>
      <c r="F5662" s="66"/>
    </row>
    <row r="5663" spans="4:6" x14ac:dyDescent="0.35">
      <c r="D5663" s="66"/>
      <c r="E5663" s="66"/>
      <c r="F5663" s="66"/>
    </row>
    <row r="5664" spans="4:6" x14ac:dyDescent="0.35">
      <c r="D5664" s="66"/>
      <c r="E5664" s="66"/>
      <c r="F5664" s="66"/>
    </row>
    <row r="5665" spans="4:6" x14ac:dyDescent="0.35">
      <c r="D5665" s="66"/>
      <c r="E5665" s="66"/>
      <c r="F5665" s="66"/>
    </row>
    <row r="5666" spans="4:6" x14ac:dyDescent="0.35">
      <c r="D5666" s="66"/>
      <c r="E5666" s="66"/>
      <c r="F5666" s="66"/>
    </row>
    <row r="5667" spans="4:6" x14ac:dyDescent="0.35">
      <c r="D5667" s="66"/>
      <c r="E5667" s="66"/>
      <c r="F5667" s="66"/>
    </row>
    <row r="5668" spans="4:6" x14ac:dyDescent="0.35">
      <c r="D5668" s="66"/>
      <c r="E5668" s="66"/>
      <c r="F5668" s="66"/>
    </row>
    <row r="5669" spans="4:6" x14ac:dyDescent="0.35">
      <c r="D5669" s="66"/>
      <c r="E5669" s="66"/>
      <c r="F5669" s="66"/>
    </row>
    <row r="5670" spans="4:6" x14ac:dyDescent="0.35">
      <c r="D5670" s="66"/>
      <c r="E5670" s="66"/>
      <c r="F5670" s="66"/>
    </row>
    <row r="5671" spans="4:6" x14ac:dyDescent="0.35">
      <c r="D5671" s="66"/>
      <c r="E5671" s="66"/>
      <c r="F5671" s="66"/>
    </row>
    <row r="5672" spans="4:6" x14ac:dyDescent="0.35">
      <c r="D5672" s="66"/>
      <c r="E5672" s="66"/>
      <c r="F5672" s="66"/>
    </row>
    <row r="5673" spans="4:6" x14ac:dyDescent="0.35">
      <c r="D5673" s="66"/>
      <c r="E5673" s="66"/>
      <c r="F5673" s="66"/>
    </row>
    <row r="5674" spans="4:6" x14ac:dyDescent="0.35">
      <c r="D5674" s="66"/>
      <c r="E5674" s="66"/>
      <c r="F5674" s="66"/>
    </row>
    <row r="5675" spans="4:6" x14ac:dyDescent="0.35">
      <c r="D5675" s="66"/>
      <c r="E5675" s="66"/>
      <c r="F5675" s="66"/>
    </row>
    <row r="5676" spans="4:6" x14ac:dyDescent="0.35">
      <c r="D5676" s="66"/>
      <c r="E5676" s="66"/>
      <c r="F5676" s="66"/>
    </row>
    <row r="5677" spans="4:6" x14ac:dyDescent="0.35">
      <c r="D5677" s="66"/>
      <c r="E5677" s="66"/>
      <c r="F5677" s="66"/>
    </row>
    <row r="5678" spans="4:6" x14ac:dyDescent="0.35">
      <c r="D5678" s="66"/>
      <c r="E5678" s="66"/>
      <c r="F5678" s="66"/>
    </row>
    <row r="5679" spans="4:6" x14ac:dyDescent="0.35">
      <c r="D5679" s="66"/>
      <c r="E5679" s="66"/>
      <c r="F5679" s="66"/>
    </row>
    <row r="5680" spans="4:6" x14ac:dyDescent="0.35">
      <c r="D5680" s="66"/>
      <c r="E5680" s="66"/>
      <c r="F5680" s="66"/>
    </row>
    <row r="5681" spans="4:6" x14ac:dyDescent="0.35">
      <c r="D5681" s="66"/>
      <c r="E5681" s="66"/>
      <c r="F5681" s="66"/>
    </row>
    <row r="5682" spans="4:6" x14ac:dyDescent="0.35">
      <c r="D5682" s="66"/>
      <c r="E5682" s="66"/>
      <c r="F5682" s="66"/>
    </row>
    <row r="5683" spans="4:6" x14ac:dyDescent="0.35">
      <c r="D5683" s="66"/>
      <c r="E5683" s="66"/>
      <c r="F5683" s="66"/>
    </row>
    <row r="5684" spans="4:6" x14ac:dyDescent="0.35">
      <c r="D5684" s="66"/>
      <c r="E5684" s="66"/>
      <c r="F5684" s="66"/>
    </row>
    <row r="5685" spans="4:6" x14ac:dyDescent="0.35">
      <c r="D5685" s="66"/>
      <c r="E5685" s="66"/>
      <c r="F5685" s="66"/>
    </row>
    <row r="5686" spans="4:6" x14ac:dyDescent="0.35">
      <c r="D5686" s="66"/>
      <c r="E5686" s="66"/>
      <c r="F5686" s="66"/>
    </row>
    <row r="5687" spans="4:6" x14ac:dyDescent="0.35">
      <c r="D5687" s="66"/>
      <c r="E5687" s="66"/>
      <c r="F5687" s="66"/>
    </row>
    <row r="5688" spans="4:6" x14ac:dyDescent="0.35">
      <c r="D5688" s="66"/>
      <c r="E5688" s="66"/>
      <c r="F5688" s="66"/>
    </row>
    <row r="5689" spans="4:6" x14ac:dyDescent="0.35">
      <c r="D5689" s="66"/>
      <c r="E5689" s="66"/>
      <c r="F5689" s="66"/>
    </row>
    <row r="5690" spans="4:6" x14ac:dyDescent="0.35">
      <c r="D5690" s="66"/>
      <c r="E5690" s="66"/>
      <c r="F5690" s="66"/>
    </row>
    <row r="5691" spans="4:6" x14ac:dyDescent="0.35">
      <c r="D5691" s="66"/>
      <c r="E5691" s="66"/>
      <c r="F5691" s="66"/>
    </row>
    <row r="5692" spans="4:6" x14ac:dyDescent="0.35">
      <c r="D5692" s="66"/>
      <c r="E5692" s="66"/>
      <c r="F5692" s="66"/>
    </row>
    <row r="5693" spans="4:6" x14ac:dyDescent="0.35">
      <c r="D5693" s="66"/>
      <c r="E5693" s="66"/>
      <c r="F5693" s="66"/>
    </row>
    <row r="5694" spans="4:6" x14ac:dyDescent="0.35">
      <c r="D5694" s="66"/>
      <c r="E5694" s="66"/>
      <c r="F5694" s="66"/>
    </row>
    <row r="5695" spans="4:6" x14ac:dyDescent="0.35">
      <c r="D5695" s="66"/>
      <c r="E5695" s="66"/>
      <c r="F5695" s="66"/>
    </row>
    <row r="5696" spans="4:6" x14ac:dyDescent="0.35">
      <c r="D5696" s="66"/>
      <c r="E5696" s="66"/>
      <c r="F5696" s="66"/>
    </row>
    <row r="5697" spans="4:6" x14ac:dyDescent="0.35">
      <c r="D5697" s="66"/>
      <c r="E5697" s="66"/>
      <c r="F5697" s="66"/>
    </row>
    <row r="5698" spans="4:6" x14ac:dyDescent="0.35">
      <c r="D5698" s="66"/>
      <c r="E5698" s="66"/>
      <c r="F5698" s="66"/>
    </row>
    <row r="5699" spans="4:6" x14ac:dyDescent="0.35">
      <c r="D5699" s="66"/>
      <c r="E5699" s="66"/>
      <c r="F5699" s="66"/>
    </row>
    <row r="5700" spans="4:6" x14ac:dyDescent="0.35">
      <c r="D5700" s="66"/>
      <c r="E5700" s="66"/>
      <c r="F5700" s="66"/>
    </row>
    <row r="5701" spans="4:6" x14ac:dyDescent="0.35">
      <c r="D5701" s="66"/>
      <c r="E5701" s="66"/>
      <c r="F5701" s="66"/>
    </row>
    <row r="5702" spans="4:6" x14ac:dyDescent="0.35">
      <c r="D5702" s="66"/>
      <c r="E5702" s="66"/>
      <c r="F5702" s="66"/>
    </row>
    <row r="5703" spans="4:6" x14ac:dyDescent="0.35">
      <c r="D5703" s="66"/>
      <c r="E5703" s="66"/>
      <c r="F5703" s="66"/>
    </row>
    <row r="5704" spans="4:6" x14ac:dyDescent="0.35">
      <c r="D5704" s="66"/>
      <c r="E5704" s="66"/>
      <c r="F5704" s="66"/>
    </row>
    <row r="5705" spans="4:6" x14ac:dyDescent="0.35">
      <c r="D5705" s="66"/>
      <c r="E5705" s="66"/>
      <c r="F5705" s="66"/>
    </row>
    <row r="5706" spans="4:6" x14ac:dyDescent="0.35">
      <c r="D5706" s="66"/>
      <c r="E5706" s="66"/>
      <c r="F5706" s="66"/>
    </row>
    <row r="5707" spans="4:6" x14ac:dyDescent="0.35">
      <c r="D5707" s="66"/>
      <c r="E5707" s="66"/>
      <c r="F5707" s="66"/>
    </row>
    <row r="5708" spans="4:6" x14ac:dyDescent="0.35">
      <c r="D5708" s="66"/>
      <c r="E5708" s="66"/>
      <c r="F5708" s="66"/>
    </row>
    <row r="5709" spans="4:6" x14ac:dyDescent="0.35">
      <c r="D5709" s="66"/>
      <c r="E5709" s="66"/>
      <c r="F5709" s="66"/>
    </row>
    <row r="5710" spans="4:6" x14ac:dyDescent="0.35">
      <c r="D5710" s="66"/>
      <c r="E5710" s="66"/>
      <c r="F5710" s="66"/>
    </row>
    <row r="5711" spans="4:6" x14ac:dyDescent="0.35">
      <c r="D5711" s="66"/>
      <c r="E5711" s="66"/>
      <c r="F5711" s="66"/>
    </row>
    <row r="5712" spans="4:6" x14ac:dyDescent="0.35">
      <c r="D5712" s="66"/>
      <c r="E5712" s="66"/>
      <c r="F5712" s="66"/>
    </row>
    <row r="5713" spans="4:6" x14ac:dyDescent="0.35">
      <c r="D5713" s="66"/>
      <c r="E5713" s="66"/>
      <c r="F5713" s="66"/>
    </row>
    <row r="5714" spans="4:6" x14ac:dyDescent="0.35">
      <c r="D5714" s="66"/>
      <c r="E5714" s="66"/>
      <c r="F5714" s="66"/>
    </row>
    <row r="5715" spans="4:6" x14ac:dyDescent="0.35">
      <c r="D5715" s="66"/>
      <c r="E5715" s="66"/>
      <c r="F5715" s="66"/>
    </row>
    <row r="5716" spans="4:6" x14ac:dyDescent="0.35">
      <c r="D5716" s="66"/>
      <c r="E5716" s="66"/>
      <c r="F5716" s="66"/>
    </row>
    <row r="5717" spans="4:6" x14ac:dyDescent="0.35">
      <c r="D5717" s="66"/>
      <c r="E5717" s="66"/>
      <c r="F5717" s="66"/>
    </row>
    <row r="5718" spans="4:6" x14ac:dyDescent="0.35">
      <c r="D5718" s="66"/>
      <c r="E5718" s="66"/>
      <c r="F5718" s="66"/>
    </row>
    <row r="5719" spans="4:6" x14ac:dyDescent="0.35">
      <c r="D5719" s="66"/>
      <c r="E5719" s="66"/>
      <c r="F5719" s="66"/>
    </row>
    <row r="5720" spans="4:6" x14ac:dyDescent="0.35">
      <c r="D5720" s="66"/>
      <c r="E5720" s="66"/>
      <c r="F5720" s="66"/>
    </row>
    <row r="5721" spans="4:6" x14ac:dyDescent="0.35">
      <c r="D5721" s="66"/>
      <c r="E5721" s="66"/>
      <c r="F5721" s="66"/>
    </row>
    <row r="5722" spans="4:6" x14ac:dyDescent="0.35">
      <c r="D5722" s="66"/>
      <c r="E5722" s="66"/>
      <c r="F5722" s="66"/>
    </row>
    <row r="5723" spans="4:6" x14ac:dyDescent="0.35">
      <c r="D5723" s="66"/>
      <c r="E5723" s="66"/>
      <c r="F5723" s="66"/>
    </row>
    <row r="5724" spans="4:6" x14ac:dyDescent="0.35">
      <c r="D5724" s="66"/>
      <c r="E5724" s="66"/>
      <c r="F5724" s="66"/>
    </row>
    <row r="5725" spans="4:6" x14ac:dyDescent="0.35">
      <c r="D5725" s="66"/>
      <c r="E5725" s="66"/>
      <c r="F5725" s="66"/>
    </row>
    <row r="5726" spans="4:6" x14ac:dyDescent="0.35">
      <c r="D5726" s="66"/>
      <c r="E5726" s="66"/>
      <c r="F5726" s="66"/>
    </row>
    <row r="5727" spans="4:6" x14ac:dyDescent="0.35">
      <c r="D5727" s="66"/>
      <c r="E5727" s="66"/>
      <c r="F5727" s="66"/>
    </row>
    <row r="5728" spans="4:6" x14ac:dyDescent="0.35">
      <c r="D5728" s="66"/>
      <c r="E5728" s="66"/>
      <c r="F5728" s="66"/>
    </row>
    <row r="5729" spans="4:6" x14ac:dyDescent="0.35">
      <c r="D5729" s="66"/>
      <c r="E5729" s="66"/>
      <c r="F5729" s="66"/>
    </row>
    <row r="5730" spans="4:6" x14ac:dyDescent="0.35">
      <c r="D5730" s="66"/>
      <c r="E5730" s="66"/>
      <c r="F5730" s="66"/>
    </row>
    <row r="5731" spans="4:6" x14ac:dyDescent="0.35">
      <c r="D5731" s="66"/>
      <c r="E5731" s="66"/>
      <c r="F5731" s="66"/>
    </row>
    <row r="5732" spans="4:6" x14ac:dyDescent="0.35">
      <c r="D5732" s="66"/>
      <c r="E5732" s="66"/>
      <c r="F5732" s="66"/>
    </row>
    <row r="5733" spans="4:6" x14ac:dyDescent="0.35">
      <c r="D5733" s="66"/>
      <c r="E5733" s="66"/>
      <c r="F5733" s="66"/>
    </row>
    <row r="5734" spans="4:6" x14ac:dyDescent="0.35">
      <c r="D5734" s="66"/>
      <c r="E5734" s="66"/>
      <c r="F5734" s="66"/>
    </row>
    <row r="5735" spans="4:6" x14ac:dyDescent="0.35">
      <c r="D5735" s="66"/>
      <c r="E5735" s="66"/>
      <c r="F5735" s="66"/>
    </row>
    <row r="5736" spans="4:6" x14ac:dyDescent="0.35">
      <c r="D5736" s="66"/>
      <c r="E5736" s="66"/>
      <c r="F5736" s="66"/>
    </row>
    <row r="5737" spans="4:6" x14ac:dyDescent="0.35">
      <c r="D5737" s="66"/>
      <c r="E5737" s="66"/>
      <c r="F5737" s="66"/>
    </row>
    <row r="5738" spans="4:6" x14ac:dyDescent="0.35">
      <c r="D5738" s="66"/>
      <c r="E5738" s="66"/>
      <c r="F5738" s="66"/>
    </row>
    <row r="5739" spans="4:6" x14ac:dyDescent="0.35">
      <c r="D5739" s="66"/>
      <c r="E5739" s="66"/>
      <c r="F5739" s="66"/>
    </row>
    <row r="5740" spans="4:6" x14ac:dyDescent="0.35">
      <c r="D5740" s="66"/>
      <c r="E5740" s="66"/>
      <c r="F5740" s="66"/>
    </row>
    <row r="5741" spans="4:6" x14ac:dyDescent="0.35">
      <c r="D5741" s="66"/>
      <c r="E5741" s="66"/>
      <c r="F5741" s="66"/>
    </row>
    <row r="5742" spans="4:6" x14ac:dyDescent="0.35">
      <c r="D5742" s="66"/>
      <c r="E5742" s="66"/>
      <c r="F5742" s="66"/>
    </row>
    <row r="5743" spans="4:6" x14ac:dyDescent="0.35">
      <c r="D5743" s="66"/>
      <c r="E5743" s="66"/>
      <c r="F5743" s="66"/>
    </row>
    <row r="5744" spans="4:6" x14ac:dyDescent="0.35">
      <c r="D5744" s="66"/>
      <c r="E5744" s="66"/>
      <c r="F5744" s="66"/>
    </row>
    <row r="5745" spans="4:6" x14ac:dyDescent="0.35">
      <c r="D5745" s="66"/>
      <c r="E5745" s="66"/>
      <c r="F5745" s="66"/>
    </row>
    <row r="5746" spans="4:6" x14ac:dyDescent="0.35">
      <c r="D5746" s="66"/>
      <c r="E5746" s="66"/>
      <c r="F5746" s="66"/>
    </row>
    <row r="5747" spans="4:6" x14ac:dyDescent="0.35">
      <c r="D5747" s="66"/>
      <c r="E5747" s="66"/>
      <c r="F5747" s="66"/>
    </row>
    <row r="5748" spans="4:6" x14ac:dyDescent="0.35">
      <c r="D5748" s="66"/>
      <c r="E5748" s="66"/>
      <c r="F5748" s="66"/>
    </row>
    <row r="5749" spans="4:6" x14ac:dyDescent="0.35">
      <c r="D5749" s="66"/>
      <c r="E5749" s="66"/>
      <c r="F5749" s="66"/>
    </row>
    <row r="5750" spans="4:6" x14ac:dyDescent="0.35">
      <c r="D5750" s="66"/>
      <c r="E5750" s="66"/>
      <c r="F5750" s="66"/>
    </row>
    <row r="5751" spans="4:6" x14ac:dyDescent="0.35">
      <c r="D5751" s="66"/>
      <c r="E5751" s="66"/>
      <c r="F5751" s="66"/>
    </row>
    <row r="5752" spans="4:6" x14ac:dyDescent="0.35">
      <c r="D5752" s="66"/>
      <c r="E5752" s="66"/>
      <c r="F5752" s="66"/>
    </row>
    <row r="5753" spans="4:6" x14ac:dyDescent="0.35">
      <c r="D5753" s="66"/>
      <c r="E5753" s="66"/>
      <c r="F5753" s="66"/>
    </row>
    <row r="5754" spans="4:6" x14ac:dyDescent="0.35">
      <c r="D5754" s="66"/>
      <c r="E5754" s="66"/>
      <c r="F5754" s="66"/>
    </row>
    <row r="5755" spans="4:6" x14ac:dyDescent="0.35">
      <c r="D5755" s="66"/>
      <c r="E5755" s="66"/>
      <c r="F5755" s="66"/>
    </row>
    <row r="5756" spans="4:6" x14ac:dyDescent="0.35">
      <c r="D5756" s="66"/>
      <c r="E5756" s="66"/>
      <c r="F5756" s="66"/>
    </row>
    <row r="5757" spans="4:6" x14ac:dyDescent="0.35">
      <c r="D5757" s="66"/>
      <c r="E5757" s="66"/>
      <c r="F5757" s="66"/>
    </row>
    <row r="5758" spans="4:6" x14ac:dyDescent="0.35">
      <c r="D5758" s="66"/>
      <c r="E5758" s="66"/>
      <c r="F5758" s="66"/>
    </row>
    <row r="5759" spans="4:6" x14ac:dyDescent="0.35">
      <c r="D5759" s="66"/>
      <c r="E5759" s="66"/>
      <c r="F5759" s="66"/>
    </row>
    <row r="5760" spans="4:6" x14ac:dyDescent="0.35">
      <c r="D5760" s="66"/>
      <c r="E5760" s="66"/>
      <c r="F5760" s="66"/>
    </row>
    <row r="5761" spans="4:6" x14ac:dyDescent="0.35">
      <c r="D5761" s="66"/>
      <c r="E5761" s="66"/>
      <c r="F5761" s="66"/>
    </row>
    <row r="5762" spans="4:6" x14ac:dyDescent="0.35">
      <c r="D5762" s="66"/>
      <c r="E5762" s="66"/>
      <c r="F5762" s="66"/>
    </row>
    <row r="5763" spans="4:6" x14ac:dyDescent="0.35">
      <c r="D5763" s="66"/>
      <c r="E5763" s="66"/>
      <c r="F5763" s="66"/>
    </row>
    <row r="5764" spans="4:6" x14ac:dyDescent="0.35">
      <c r="D5764" s="66"/>
      <c r="E5764" s="66"/>
      <c r="F5764" s="66"/>
    </row>
    <row r="5765" spans="4:6" x14ac:dyDescent="0.35">
      <c r="D5765" s="66"/>
      <c r="E5765" s="66"/>
      <c r="F5765" s="66"/>
    </row>
    <row r="5766" spans="4:6" x14ac:dyDescent="0.35">
      <c r="D5766" s="66"/>
      <c r="E5766" s="66"/>
      <c r="F5766" s="66"/>
    </row>
    <row r="5767" spans="4:6" x14ac:dyDescent="0.35">
      <c r="D5767" s="66"/>
      <c r="E5767" s="66"/>
      <c r="F5767" s="66"/>
    </row>
    <row r="5768" spans="4:6" x14ac:dyDescent="0.35">
      <c r="D5768" s="66"/>
      <c r="E5768" s="66"/>
      <c r="F5768" s="66"/>
    </row>
    <row r="5769" spans="4:6" x14ac:dyDescent="0.35">
      <c r="D5769" s="66"/>
      <c r="E5769" s="66"/>
      <c r="F5769" s="66"/>
    </row>
    <row r="5770" spans="4:6" x14ac:dyDescent="0.35">
      <c r="D5770" s="66"/>
      <c r="E5770" s="66"/>
      <c r="F5770" s="66"/>
    </row>
    <row r="5771" spans="4:6" x14ac:dyDescent="0.35">
      <c r="D5771" s="66"/>
      <c r="E5771" s="66"/>
      <c r="F5771" s="66"/>
    </row>
    <row r="5772" spans="4:6" x14ac:dyDescent="0.35">
      <c r="D5772" s="66"/>
      <c r="E5772" s="66"/>
      <c r="F5772" s="66"/>
    </row>
    <row r="5773" spans="4:6" x14ac:dyDescent="0.35">
      <c r="D5773" s="66"/>
      <c r="E5773" s="66"/>
      <c r="F5773" s="66"/>
    </row>
    <row r="5774" spans="4:6" x14ac:dyDescent="0.35">
      <c r="D5774" s="66"/>
      <c r="E5774" s="66"/>
      <c r="F5774" s="66"/>
    </row>
    <row r="5775" spans="4:6" x14ac:dyDescent="0.35">
      <c r="D5775" s="66"/>
      <c r="E5775" s="66"/>
      <c r="F5775" s="66"/>
    </row>
    <row r="5776" spans="4:6" x14ac:dyDescent="0.35">
      <c r="D5776" s="66"/>
      <c r="E5776" s="66"/>
      <c r="F5776" s="66"/>
    </row>
    <row r="5777" spans="4:6" x14ac:dyDescent="0.35">
      <c r="D5777" s="66"/>
      <c r="E5777" s="66"/>
      <c r="F5777" s="66"/>
    </row>
    <row r="5778" spans="4:6" x14ac:dyDescent="0.35">
      <c r="D5778" s="66"/>
      <c r="E5778" s="66"/>
      <c r="F5778" s="66"/>
    </row>
    <row r="5779" spans="4:6" x14ac:dyDescent="0.35">
      <c r="D5779" s="66"/>
      <c r="E5779" s="66"/>
      <c r="F5779" s="66"/>
    </row>
    <row r="5780" spans="4:6" x14ac:dyDescent="0.35">
      <c r="D5780" s="66"/>
      <c r="E5780" s="66"/>
      <c r="F5780" s="66"/>
    </row>
    <row r="5781" spans="4:6" x14ac:dyDescent="0.35">
      <c r="D5781" s="66"/>
      <c r="E5781" s="66"/>
      <c r="F5781" s="66"/>
    </row>
    <row r="5782" spans="4:6" x14ac:dyDescent="0.35">
      <c r="D5782" s="66"/>
      <c r="E5782" s="66"/>
      <c r="F5782" s="66"/>
    </row>
    <row r="5783" spans="4:6" x14ac:dyDescent="0.35">
      <c r="D5783" s="66"/>
      <c r="E5783" s="66"/>
      <c r="F5783" s="66"/>
    </row>
    <row r="5784" spans="4:6" x14ac:dyDescent="0.35">
      <c r="D5784" s="66"/>
      <c r="E5784" s="66"/>
      <c r="F5784" s="66"/>
    </row>
    <row r="5785" spans="4:6" x14ac:dyDescent="0.35">
      <c r="D5785" s="66"/>
      <c r="E5785" s="66"/>
      <c r="F5785" s="66"/>
    </row>
    <row r="5786" spans="4:6" x14ac:dyDescent="0.35">
      <c r="D5786" s="66"/>
      <c r="E5786" s="66"/>
      <c r="F5786" s="66"/>
    </row>
    <row r="5787" spans="4:6" x14ac:dyDescent="0.35">
      <c r="D5787" s="66"/>
      <c r="E5787" s="66"/>
      <c r="F5787" s="66"/>
    </row>
    <row r="5788" spans="4:6" x14ac:dyDescent="0.35">
      <c r="D5788" s="66"/>
      <c r="E5788" s="66"/>
      <c r="F5788" s="66"/>
    </row>
    <row r="5789" spans="4:6" x14ac:dyDescent="0.35">
      <c r="D5789" s="66"/>
      <c r="E5789" s="66"/>
      <c r="F5789" s="66"/>
    </row>
    <row r="5790" spans="4:6" x14ac:dyDescent="0.35">
      <c r="D5790" s="66"/>
      <c r="E5790" s="66"/>
      <c r="F5790" s="66"/>
    </row>
    <row r="5791" spans="4:6" x14ac:dyDescent="0.35">
      <c r="D5791" s="66"/>
      <c r="E5791" s="66"/>
      <c r="F5791" s="66"/>
    </row>
    <row r="5792" spans="4:6" x14ac:dyDescent="0.35">
      <c r="D5792" s="66"/>
      <c r="E5792" s="66"/>
      <c r="F5792" s="66"/>
    </row>
    <row r="5793" spans="4:6" x14ac:dyDescent="0.35">
      <c r="D5793" s="66"/>
      <c r="E5793" s="66"/>
      <c r="F5793" s="66"/>
    </row>
    <row r="5794" spans="4:6" x14ac:dyDescent="0.35">
      <c r="D5794" s="66"/>
      <c r="E5794" s="66"/>
      <c r="F5794" s="66"/>
    </row>
    <row r="5795" spans="4:6" x14ac:dyDescent="0.35">
      <c r="D5795" s="66"/>
      <c r="E5795" s="66"/>
      <c r="F5795" s="66"/>
    </row>
    <row r="5796" spans="4:6" x14ac:dyDescent="0.35">
      <c r="D5796" s="66"/>
      <c r="E5796" s="66"/>
      <c r="F5796" s="66"/>
    </row>
    <row r="5797" spans="4:6" x14ac:dyDescent="0.35">
      <c r="D5797" s="66"/>
      <c r="E5797" s="66"/>
      <c r="F5797" s="66"/>
    </row>
    <row r="5798" spans="4:6" x14ac:dyDescent="0.35">
      <c r="D5798" s="66"/>
      <c r="E5798" s="66"/>
      <c r="F5798" s="66"/>
    </row>
    <row r="5799" spans="4:6" x14ac:dyDescent="0.35">
      <c r="D5799" s="66"/>
      <c r="E5799" s="66"/>
      <c r="F5799" s="66"/>
    </row>
    <row r="5800" spans="4:6" x14ac:dyDescent="0.35">
      <c r="D5800" s="66"/>
      <c r="E5800" s="66"/>
      <c r="F5800" s="66"/>
    </row>
    <row r="5801" spans="4:6" x14ac:dyDescent="0.35">
      <c r="D5801" s="66"/>
      <c r="E5801" s="66"/>
      <c r="F5801" s="66"/>
    </row>
    <row r="5802" spans="4:6" x14ac:dyDescent="0.35">
      <c r="D5802" s="66"/>
      <c r="E5802" s="66"/>
      <c r="F5802" s="66"/>
    </row>
    <row r="5803" spans="4:6" x14ac:dyDescent="0.35">
      <c r="D5803" s="66"/>
      <c r="E5803" s="66"/>
      <c r="F5803" s="66"/>
    </row>
    <row r="5804" spans="4:6" x14ac:dyDescent="0.35">
      <c r="D5804" s="66"/>
      <c r="E5804" s="66"/>
      <c r="F5804" s="66"/>
    </row>
    <row r="5805" spans="4:6" x14ac:dyDescent="0.35">
      <c r="D5805" s="66"/>
      <c r="E5805" s="66"/>
      <c r="F5805" s="66"/>
    </row>
    <row r="5806" spans="4:6" x14ac:dyDescent="0.35">
      <c r="D5806" s="66"/>
      <c r="E5806" s="66"/>
      <c r="F5806" s="66"/>
    </row>
    <row r="5807" spans="4:6" x14ac:dyDescent="0.35">
      <c r="D5807" s="66"/>
      <c r="E5807" s="66"/>
      <c r="F5807" s="66"/>
    </row>
    <row r="5808" spans="4:6" x14ac:dyDescent="0.35">
      <c r="D5808" s="66"/>
      <c r="E5808" s="66"/>
      <c r="F5808" s="66"/>
    </row>
    <row r="5809" spans="4:6" x14ac:dyDescent="0.35">
      <c r="D5809" s="66"/>
      <c r="E5809" s="66"/>
      <c r="F5809" s="66"/>
    </row>
    <row r="5810" spans="4:6" x14ac:dyDescent="0.35">
      <c r="D5810" s="66"/>
      <c r="E5810" s="66"/>
      <c r="F5810" s="66"/>
    </row>
    <row r="5811" spans="4:6" x14ac:dyDescent="0.35">
      <c r="D5811" s="66"/>
      <c r="E5811" s="66"/>
      <c r="F5811" s="66"/>
    </row>
    <row r="5812" spans="4:6" x14ac:dyDescent="0.35">
      <c r="D5812" s="66"/>
      <c r="E5812" s="66"/>
      <c r="F5812" s="66"/>
    </row>
    <row r="5813" spans="4:6" x14ac:dyDescent="0.35">
      <c r="D5813" s="66"/>
      <c r="E5813" s="66"/>
      <c r="F5813" s="66"/>
    </row>
    <row r="5814" spans="4:6" x14ac:dyDescent="0.35">
      <c r="D5814" s="66"/>
      <c r="E5814" s="66"/>
      <c r="F5814" s="66"/>
    </row>
    <row r="5815" spans="4:6" x14ac:dyDescent="0.35">
      <c r="D5815" s="66"/>
      <c r="E5815" s="66"/>
      <c r="F5815" s="66"/>
    </row>
    <row r="5816" spans="4:6" x14ac:dyDescent="0.35">
      <c r="D5816" s="66"/>
      <c r="E5816" s="66"/>
      <c r="F5816" s="66"/>
    </row>
    <row r="5817" spans="4:6" x14ac:dyDescent="0.35">
      <c r="D5817" s="66"/>
      <c r="E5817" s="66"/>
      <c r="F5817" s="66"/>
    </row>
    <row r="5818" spans="4:6" x14ac:dyDescent="0.35">
      <c r="D5818" s="66"/>
      <c r="E5818" s="66"/>
      <c r="F5818" s="66"/>
    </row>
    <row r="5819" spans="4:6" x14ac:dyDescent="0.35">
      <c r="D5819" s="66"/>
      <c r="E5819" s="66"/>
      <c r="F5819" s="66"/>
    </row>
    <row r="5820" spans="4:6" x14ac:dyDescent="0.35">
      <c r="D5820" s="66"/>
      <c r="E5820" s="66"/>
      <c r="F5820" s="66"/>
    </row>
    <row r="5821" spans="4:6" x14ac:dyDescent="0.35">
      <c r="D5821" s="66"/>
      <c r="E5821" s="66"/>
      <c r="F5821" s="66"/>
    </row>
    <row r="5822" spans="4:6" x14ac:dyDescent="0.35">
      <c r="D5822" s="66"/>
      <c r="E5822" s="66"/>
      <c r="F5822" s="66"/>
    </row>
    <row r="5823" spans="4:6" x14ac:dyDescent="0.35">
      <c r="D5823" s="66"/>
      <c r="E5823" s="66"/>
      <c r="F5823" s="66"/>
    </row>
    <row r="5824" spans="4:6" x14ac:dyDescent="0.35">
      <c r="D5824" s="66"/>
      <c r="E5824" s="66"/>
      <c r="F5824" s="66"/>
    </row>
    <row r="5825" spans="4:6" x14ac:dyDescent="0.35">
      <c r="D5825" s="66"/>
      <c r="E5825" s="66"/>
      <c r="F5825" s="66"/>
    </row>
    <row r="5826" spans="4:6" x14ac:dyDescent="0.35">
      <c r="D5826" s="66"/>
      <c r="E5826" s="66"/>
      <c r="F5826" s="66"/>
    </row>
    <row r="5827" spans="4:6" x14ac:dyDescent="0.35">
      <c r="D5827" s="66"/>
      <c r="E5827" s="66"/>
      <c r="F5827" s="66"/>
    </row>
    <row r="5828" spans="4:6" x14ac:dyDescent="0.35">
      <c r="D5828" s="66"/>
      <c r="E5828" s="66"/>
      <c r="F5828" s="66"/>
    </row>
    <row r="5829" spans="4:6" x14ac:dyDescent="0.35">
      <c r="D5829" s="66"/>
      <c r="E5829" s="66"/>
      <c r="F5829" s="66"/>
    </row>
    <row r="5830" spans="4:6" x14ac:dyDescent="0.35">
      <c r="D5830" s="66"/>
      <c r="E5830" s="66"/>
      <c r="F5830" s="66"/>
    </row>
    <row r="5831" spans="4:6" x14ac:dyDescent="0.35">
      <c r="D5831" s="66"/>
      <c r="E5831" s="66"/>
      <c r="F5831" s="66"/>
    </row>
    <row r="5832" spans="4:6" x14ac:dyDescent="0.35">
      <c r="D5832" s="66"/>
      <c r="E5832" s="66"/>
      <c r="F5832" s="66"/>
    </row>
    <row r="5833" spans="4:6" x14ac:dyDescent="0.35">
      <c r="D5833" s="66"/>
      <c r="E5833" s="66"/>
      <c r="F5833" s="66"/>
    </row>
    <row r="5834" spans="4:6" x14ac:dyDescent="0.35">
      <c r="D5834" s="66"/>
      <c r="E5834" s="66"/>
      <c r="F5834" s="66"/>
    </row>
    <row r="5835" spans="4:6" x14ac:dyDescent="0.35">
      <c r="D5835" s="66"/>
      <c r="E5835" s="66"/>
      <c r="F5835" s="66"/>
    </row>
    <row r="5836" spans="4:6" x14ac:dyDescent="0.35">
      <c r="D5836" s="66"/>
      <c r="E5836" s="66"/>
      <c r="F5836" s="66"/>
    </row>
    <row r="5837" spans="4:6" x14ac:dyDescent="0.35">
      <c r="D5837" s="66"/>
      <c r="E5837" s="66"/>
      <c r="F5837" s="66"/>
    </row>
    <row r="5838" spans="4:6" x14ac:dyDescent="0.35">
      <c r="D5838" s="66"/>
      <c r="E5838" s="66"/>
      <c r="F5838" s="66"/>
    </row>
    <row r="5839" spans="4:6" x14ac:dyDescent="0.35">
      <c r="D5839" s="66"/>
      <c r="E5839" s="66"/>
      <c r="F5839" s="66"/>
    </row>
    <row r="5840" spans="4:6" x14ac:dyDescent="0.35">
      <c r="D5840" s="66"/>
      <c r="E5840" s="66"/>
      <c r="F5840" s="66"/>
    </row>
    <row r="5841" spans="4:6" x14ac:dyDescent="0.35">
      <c r="D5841" s="66"/>
      <c r="E5841" s="66"/>
      <c r="F5841" s="66"/>
    </row>
    <row r="5842" spans="4:6" x14ac:dyDescent="0.35">
      <c r="D5842" s="66"/>
      <c r="E5842" s="66"/>
      <c r="F5842" s="66"/>
    </row>
    <row r="5843" spans="4:6" x14ac:dyDescent="0.35">
      <c r="D5843" s="66"/>
      <c r="E5843" s="66"/>
      <c r="F5843" s="66"/>
    </row>
    <row r="5844" spans="4:6" x14ac:dyDescent="0.35">
      <c r="D5844" s="66"/>
      <c r="E5844" s="66"/>
      <c r="F5844" s="66"/>
    </row>
    <row r="5845" spans="4:6" x14ac:dyDescent="0.35">
      <c r="D5845" s="66"/>
      <c r="E5845" s="66"/>
      <c r="F5845" s="66"/>
    </row>
    <row r="5846" spans="4:6" x14ac:dyDescent="0.35">
      <c r="D5846" s="66"/>
      <c r="E5846" s="66"/>
      <c r="F5846" s="66"/>
    </row>
    <row r="5847" spans="4:6" x14ac:dyDescent="0.35">
      <c r="D5847" s="66"/>
      <c r="E5847" s="66"/>
      <c r="F5847" s="66"/>
    </row>
    <row r="5848" spans="4:6" x14ac:dyDescent="0.35">
      <c r="D5848" s="66"/>
      <c r="E5848" s="66"/>
      <c r="F5848" s="66"/>
    </row>
    <row r="5849" spans="4:6" x14ac:dyDescent="0.35">
      <c r="D5849" s="66"/>
      <c r="E5849" s="66"/>
      <c r="F5849" s="66"/>
    </row>
    <row r="5850" spans="4:6" x14ac:dyDescent="0.35">
      <c r="D5850" s="66"/>
      <c r="E5850" s="66"/>
      <c r="F5850" s="66"/>
    </row>
    <row r="5851" spans="4:6" x14ac:dyDescent="0.35">
      <c r="D5851" s="66"/>
      <c r="E5851" s="66"/>
      <c r="F5851" s="66"/>
    </row>
    <row r="5852" spans="4:6" x14ac:dyDescent="0.35">
      <c r="D5852" s="66"/>
      <c r="E5852" s="66"/>
      <c r="F5852" s="66"/>
    </row>
    <row r="5853" spans="4:6" x14ac:dyDescent="0.35">
      <c r="D5853" s="66"/>
      <c r="E5853" s="66"/>
      <c r="F5853" s="66"/>
    </row>
    <row r="5854" spans="4:6" x14ac:dyDescent="0.35">
      <c r="D5854" s="66"/>
      <c r="E5854" s="66"/>
      <c r="F5854" s="66"/>
    </row>
    <row r="5855" spans="4:6" x14ac:dyDescent="0.35">
      <c r="D5855" s="66"/>
      <c r="E5855" s="66"/>
      <c r="F5855" s="66"/>
    </row>
    <row r="5856" spans="4:6" x14ac:dyDescent="0.35">
      <c r="D5856" s="66"/>
      <c r="E5856" s="66"/>
      <c r="F5856" s="66"/>
    </row>
    <row r="5857" spans="4:6" x14ac:dyDescent="0.35">
      <c r="D5857" s="66"/>
      <c r="E5857" s="66"/>
      <c r="F5857" s="66"/>
    </row>
    <row r="5858" spans="4:6" x14ac:dyDescent="0.35">
      <c r="D5858" s="66"/>
      <c r="E5858" s="66"/>
      <c r="F5858" s="66"/>
    </row>
    <row r="5859" spans="4:6" x14ac:dyDescent="0.35">
      <c r="D5859" s="66"/>
      <c r="E5859" s="66"/>
      <c r="F5859" s="66"/>
    </row>
    <row r="5860" spans="4:6" x14ac:dyDescent="0.35">
      <c r="D5860" s="66"/>
      <c r="E5860" s="66"/>
      <c r="F5860" s="66"/>
    </row>
    <row r="5861" spans="4:6" x14ac:dyDescent="0.35">
      <c r="D5861" s="66"/>
      <c r="E5861" s="66"/>
      <c r="F5861" s="66"/>
    </row>
    <row r="5862" spans="4:6" x14ac:dyDescent="0.35">
      <c r="D5862" s="66"/>
      <c r="E5862" s="66"/>
      <c r="F5862" s="66"/>
    </row>
    <row r="5863" spans="4:6" x14ac:dyDescent="0.35">
      <c r="D5863" s="66"/>
      <c r="E5863" s="66"/>
      <c r="F5863" s="66"/>
    </row>
    <row r="5864" spans="4:6" x14ac:dyDescent="0.35">
      <c r="D5864" s="66"/>
      <c r="E5864" s="66"/>
      <c r="F5864" s="66"/>
    </row>
    <row r="5865" spans="4:6" x14ac:dyDescent="0.35">
      <c r="D5865" s="66"/>
      <c r="E5865" s="66"/>
      <c r="F5865" s="66"/>
    </row>
    <row r="5866" spans="4:6" x14ac:dyDescent="0.35">
      <c r="D5866" s="66"/>
      <c r="E5866" s="66"/>
      <c r="F5866" s="66"/>
    </row>
    <row r="5867" spans="4:6" x14ac:dyDescent="0.35">
      <c r="D5867" s="66"/>
      <c r="E5867" s="66"/>
      <c r="F5867" s="66"/>
    </row>
    <row r="5868" spans="4:6" x14ac:dyDescent="0.35">
      <c r="D5868" s="66"/>
      <c r="E5868" s="66"/>
      <c r="F5868" s="66"/>
    </row>
    <row r="5869" spans="4:6" x14ac:dyDescent="0.35">
      <c r="D5869" s="66"/>
      <c r="E5869" s="66"/>
      <c r="F5869" s="66"/>
    </row>
    <row r="5870" spans="4:6" x14ac:dyDescent="0.35">
      <c r="D5870" s="66"/>
      <c r="E5870" s="66"/>
      <c r="F5870" s="66"/>
    </row>
    <row r="5871" spans="4:6" x14ac:dyDescent="0.35">
      <c r="D5871" s="66"/>
      <c r="E5871" s="66"/>
      <c r="F5871" s="66"/>
    </row>
    <row r="5872" spans="4:6" x14ac:dyDescent="0.35">
      <c r="D5872" s="66"/>
      <c r="E5872" s="66"/>
      <c r="F5872" s="66"/>
    </row>
    <row r="5873" spans="4:6" x14ac:dyDescent="0.35">
      <c r="D5873" s="66"/>
      <c r="E5873" s="66"/>
      <c r="F5873" s="66"/>
    </row>
    <row r="5874" spans="4:6" x14ac:dyDescent="0.35">
      <c r="D5874" s="66"/>
      <c r="E5874" s="66"/>
      <c r="F5874" s="66"/>
    </row>
    <row r="5875" spans="4:6" x14ac:dyDescent="0.35">
      <c r="D5875" s="66"/>
      <c r="E5875" s="66"/>
      <c r="F5875" s="66"/>
    </row>
    <row r="5876" spans="4:6" x14ac:dyDescent="0.35">
      <c r="D5876" s="66"/>
      <c r="E5876" s="66"/>
      <c r="F5876" s="66"/>
    </row>
    <row r="5877" spans="4:6" x14ac:dyDescent="0.35">
      <c r="D5877" s="66"/>
      <c r="E5877" s="66"/>
      <c r="F5877" s="66"/>
    </row>
    <row r="5878" spans="4:6" x14ac:dyDescent="0.35">
      <c r="D5878" s="66"/>
      <c r="E5878" s="66"/>
      <c r="F5878" s="66"/>
    </row>
    <row r="5879" spans="4:6" x14ac:dyDescent="0.35">
      <c r="D5879" s="66"/>
      <c r="E5879" s="66"/>
      <c r="F5879" s="66"/>
    </row>
    <row r="5880" spans="4:6" x14ac:dyDescent="0.35">
      <c r="D5880" s="66"/>
      <c r="E5880" s="66"/>
      <c r="F5880" s="66"/>
    </row>
    <row r="5881" spans="4:6" x14ac:dyDescent="0.35">
      <c r="D5881" s="66"/>
      <c r="E5881" s="66"/>
      <c r="F5881" s="66"/>
    </row>
    <row r="5882" spans="4:6" x14ac:dyDescent="0.35">
      <c r="D5882" s="66"/>
      <c r="E5882" s="66"/>
      <c r="F5882" s="66"/>
    </row>
    <row r="5883" spans="4:6" x14ac:dyDescent="0.35">
      <c r="D5883" s="66"/>
      <c r="E5883" s="66"/>
      <c r="F5883" s="66"/>
    </row>
    <row r="5884" spans="4:6" x14ac:dyDescent="0.35">
      <c r="D5884" s="66"/>
      <c r="E5884" s="66"/>
      <c r="F5884" s="66"/>
    </row>
    <row r="5885" spans="4:6" x14ac:dyDescent="0.35">
      <c r="D5885" s="66"/>
      <c r="E5885" s="66"/>
      <c r="F5885" s="66"/>
    </row>
    <row r="5886" spans="4:6" x14ac:dyDescent="0.35">
      <c r="D5886" s="66"/>
      <c r="E5886" s="66"/>
      <c r="F5886" s="66"/>
    </row>
    <row r="5887" spans="4:6" x14ac:dyDescent="0.35">
      <c r="D5887" s="66"/>
      <c r="E5887" s="66"/>
      <c r="F5887" s="66"/>
    </row>
    <row r="5888" spans="4:6" x14ac:dyDescent="0.35">
      <c r="D5888" s="66"/>
      <c r="E5888" s="66"/>
      <c r="F5888" s="66"/>
    </row>
    <row r="5889" spans="4:6" x14ac:dyDescent="0.35">
      <c r="D5889" s="66"/>
      <c r="E5889" s="66"/>
      <c r="F5889" s="66"/>
    </row>
    <row r="5890" spans="4:6" x14ac:dyDescent="0.35">
      <c r="D5890" s="66"/>
      <c r="E5890" s="66"/>
      <c r="F5890" s="66"/>
    </row>
    <row r="5891" spans="4:6" x14ac:dyDescent="0.35">
      <c r="D5891" s="66"/>
      <c r="E5891" s="66"/>
      <c r="F5891" s="66"/>
    </row>
    <row r="5892" spans="4:6" x14ac:dyDescent="0.35">
      <c r="D5892" s="66"/>
      <c r="E5892" s="66"/>
      <c r="F5892" s="66"/>
    </row>
    <row r="5893" spans="4:6" x14ac:dyDescent="0.35">
      <c r="D5893" s="66"/>
      <c r="E5893" s="66"/>
      <c r="F5893" s="66"/>
    </row>
    <row r="5894" spans="4:6" x14ac:dyDescent="0.35">
      <c r="D5894" s="66"/>
      <c r="E5894" s="66"/>
      <c r="F5894" s="66"/>
    </row>
    <row r="5895" spans="4:6" x14ac:dyDescent="0.35">
      <c r="D5895" s="66"/>
      <c r="E5895" s="66"/>
      <c r="F5895" s="66"/>
    </row>
    <row r="5896" spans="4:6" x14ac:dyDescent="0.35">
      <c r="D5896" s="66"/>
      <c r="E5896" s="66"/>
      <c r="F5896" s="66"/>
    </row>
    <row r="5897" spans="4:6" x14ac:dyDescent="0.35">
      <c r="D5897" s="66"/>
      <c r="E5897" s="66"/>
      <c r="F5897" s="66"/>
    </row>
    <row r="5898" spans="4:6" x14ac:dyDescent="0.35">
      <c r="D5898" s="66"/>
      <c r="E5898" s="66"/>
      <c r="F5898" s="66"/>
    </row>
    <row r="5899" spans="4:6" x14ac:dyDescent="0.35">
      <c r="D5899" s="66"/>
      <c r="E5899" s="66"/>
      <c r="F5899" s="66"/>
    </row>
    <row r="5900" spans="4:6" x14ac:dyDescent="0.35">
      <c r="D5900" s="66"/>
      <c r="E5900" s="66"/>
      <c r="F5900" s="66"/>
    </row>
    <row r="5901" spans="4:6" x14ac:dyDescent="0.35">
      <c r="D5901" s="66"/>
      <c r="E5901" s="66"/>
      <c r="F5901" s="66"/>
    </row>
    <row r="5902" spans="4:6" x14ac:dyDescent="0.35">
      <c r="D5902" s="66"/>
      <c r="E5902" s="66"/>
      <c r="F5902" s="66"/>
    </row>
    <row r="5903" spans="4:6" x14ac:dyDescent="0.35">
      <c r="D5903" s="66"/>
      <c r="E5903" s="66"/>
      <c r="F5903" s="66"/>
    </row>
    <row r="5904" spans="4:6" x14ac:dyDescent="0.35">
      <c r="D5904" s="66"/>
      <c r="E5904" s="66"/>
      <c r="F5904" s="66"/>
    </row>
    <row r="5905" spans="4:6" x14ac:dyDescent="0.35">
      <c r="D5905" s="66"/>
      <c r="E5905" s="66"/>
      <c r="F5905" s="66"/>
    </row>
    <row r="5906" spans="4:6" x14ac:dyDescent="0.35">
      <c r="D5906" s="66"/>
      <c r="E5906" s="66"/>
      <c r="F5906" s="66"/>
    </row>
    <row r="5907" spans="4:6" x14ac:dyDescent="0.35">
      <c r="D5907" s="66"/>
      <c r="E5907" s="66"/>
      <c r="F5907" s="66"/>
    </row>
    <row r="5908" spans="4:6" x14ac:dyDescent="0.35">
      <c r="D5908" s="66"/>
      <c r="E5908" s="66"/>
      <c r="F5908" s="66"/>
    </row>
    <row r="5909" spans="4:6" x14ac:dyDescent="0.35">
      <c r="D5909" s="66"/>
      <c r="E5909" s="66"/>
      <c r="F5909" s="66"/>
    </row>
    <row r="5910" spans="4:6" x14ac:dyDescent="0.35">
      <c r="D5910" s="66"/>
      <c r="E5910" s="66"/>
      <c r="F5910" s="66"/>
    </row>
    <row r="5911" spans="4:6" x14ac:dyDescent="0.35">
      <c r="D5911" s="66"/>
      <c r="E5911" s="66"/>
      <c r="F5911" s="66"/>
    </row>
    <row r="5912" spans="4:6" x14ac:dyDescent="0.35">
      <c r="D5912" s="66"/>
      <c r="E5912" s="66"/>
      <c r="F5912" s="66"/>
    </row>
    <row r="5913" spans="4:6" x14ac:dyDescent="0.35">
      <c r="D5913" s="66"/>
      <c r="E5913" s="66"/>
      <c r="F5913" s="66"/>
    </row>
    <row r="5914" spans="4:6" x14ac:dyDescent="0.35">
      <c r="D5914" s="66"/>
      <c r="E5914" s="66"/>
      <c r="F5914" s="66"/>
    </row>
    <row r="5915" spans="4:6" x14ac:dyDescent="0.35">
      <c r="D5915" s="66"/>
      <c r="E5915" s="66"/>
      <c r="F5915" s="66"/>
    </row>
    <row r="5916" spans="4:6" x14ac:dyDescent="0.35">
      <c r="D5916" s="66"/>
      <c r="E5916" s="66"/>
      <c r="F5916" s="66"/>
    </row>
    <row r="5917" spans="4:6" x14ac:dyDescent="0.35">
      <c r="D5917" s="66"/>
      <c r="E5917" s="66"/>
      <c r="F5917" s="66"/>
    </row>
    <row r="5918" spans="4:6" x14ac:dyDescent="0.35">
      <c r="D5918" s="66"/>
      <c r="E5918" s="66"/>
      <c r="F5918" s="66"/>
    </row>
    <row r="5919" spans="4:6" x14ac:dyDescent="0.35">
      <c r="D5919" s="66"/>
      <c r="E5919" s="66"/>
      <c r="F5919" s="66"/>
    </row>
    <row r="5920" spans="4:6" x14ac:dyDescent="0.35">
      <c r="D5920" s="66"/>
      <c r="E5920" s="66"/>
      <c r="F5920" s="66"/>
    </row>
    <row r="5921" spans="4:6" x14ac:dyDescent="0.35">
      <c r="D5921" s="66"/>
      <c r="E5921" s="66"/>
      <c r="F5921" s="66"/>
    </row>
    <row r="5922" spans="4:6" x14ac:dyDescent="0.35">
      <c r="D5922" s="66"/>
      <c r="E5922" s="66"/>
      <c r="F5922" s="66"/>
    </row>
    <row r="5923" spans="4:6" x14ac:dyDescent="0.35">
      <c r="D5923" s="66"/>
      <c r="E5923" s="66"/>
      <c r="F5923" s="66"/>
    </row>
    <row r="5924" spans="4:6" x14ac:dyDescent="0.35">
      <c r="D5924" s="66"/>
      <c r="E5924" s="66"/>
      <c r="F5924" s="66"/>
    </row>
    <row r="5925" spans="4:6" x14ac:dyDescent="0.35">
      <c r="D5925" s="66"/>
      <c r="E5925" s="66"/>
      <c r="F5925" s="66"/>
    </row>
    <row r="5926" spans="4:6" x14ac:dyDescent="0.35">
      <c r="D5926" s="66"/>
      <c r="E5926" s="66"/>
      <c r="F5926" s="66"/>
    </row>
    <row r="5927" spans="4:6" x14ac:dyDescent="0.35">
      <c r="D5927" s="66"/>
      <c r="E5927" s="66"/>
      <c r="F5927" s="66"/>
    </row>
    <row r="5928" spans="4:6" x14ac:dyDescent="0.35">
      <c r="D5928" s="66"/>
      <c r="E5928" s="66"/>
      <c r="F5928" s="66"/>
    </row>
    <row r="5929" spans="4:6" x14ac:dyDescent="0.35">
      <c r="D5929" s="66"/>
      <c r="E5929" s="66"/>
      <c r="F5929" s="66"/>
    </row>
    <row r="5930" spans="4:6" x14ac:dyDescent="0.35">
      <c r="D5930" s="66"/>
      <c r="E5930" s="66"/>
      <c r="F5930" s="66"/>
    </row>
    <row r="5931" spans="4:6" x14ac:dyDescent="0.35">
      <c r="D5931" s="66"/>
      <c r="E5931" s="66"/>
      <c r="F5931" s="66"/>
    </row>
    <row r="5932" spans="4:6" x14ac:dyDescent="0.35">
      <c r="D5932" s="66"/>
      <c r="E5932" s="66"/>
      <c r="F5932" s="66"/>
    </row>
    <row r="5933" spans="4:6" x14ac:dyDescent="0.35">
      <c r="D5933" s="66"/>
      <c r="E5933" s="66"/>
      <c r="F5933" s="66"/>
    </row>
    <row r="5934" spans="4:6" x14ac:dyDescent="0.35">
      <c r="D5934" s="66"/>
      <c r="E5934" s="66"/>
      <c r="F5934" s="66"/>
    </row>
    <row r="5935" spans="4:6" x14ac:dyDescent="0.35">
      <c r="D5935" s="66"/>
      <c r="E5935" s="66"/>
      <c r="F5935" s="66"/>
    </row>
    <row r="5936" spans="4:6" x14ac:dyDescent="0.35">
      <c r="D5936" s="66"/>
      <c r="E5936" s="66"/>
      <c r="F5936" s="66"/>
    </row>
    <row r="5937" spans="4:6" x14ac:dyDescent="0.35">
      <c r="D5937" s="66"/>
      <c r="E5937" s="66"/>
      <c r="F5937" s="66"/>
    </row>
    <row r="5938" spans="4:6" x14ac:dyDescent="0.35">
      <c r="D5938" s="66"/>
      <c r="E5938" s="66"/>
      <c r="F5938" s="66"/>
    </row>
    <row r="5939" spans="4:6" x14ac:dyDescent="0.35">
      <c r="D5939" s="66"/>
      <c r="E5939" s="66"/>
      <c r="F5939" s="66"/>
    </row>
    <row r="5940" spans="4:6" x14ac:dyDescent="0.35">
      <c r="D5940" s="66"/>
      <c r="E5940" s="66"/>
      <c r="F5940" s="66"/>
    </row>
    <row r="5941" spans="4:6" x14ac:dyDescent="0.35">
      <c r="D5941" s="66"/>
      <c r="E5941" s="66"/>
      <c r="F5941" s="66"/>
    </row>
    <row r="5942" spans="4:6" x14ac:dyDescent="0.35">
      <c r="D5942" s="66"/>
      <c r="E5942" s="66"/>
      <c r="F5942" s="66"/>
    </row>
    <row r="5943" spans="4:6" x14ac:dyDescent="0.35">
      <c r="D5943" s="66"/>
      <c r="E5943" s="66"/>
      <c r="F5943" s="66"/>
    </row>
    <row r="5944" spans="4:6" x14ac:dyDescent="0.35">
      <c r="D5944" s="66"/>
      <c r="E5944" s="66"/>
      <c r="F5944" s="66"/>
    </row>
    <row r="5945" spans="4:6" x14ac:dyDescent="0.35">
      <c r="D5945" s="66"/>
      <c r="E5945" s="66"/>
      <c r="F5945" s="66"/>
    </row>
    <row r="5946" spans="4:6" x14ac:dyDescent="0.35">
      <c r="D5946" s="66"/>
      <c r="E5946" s="66"/>
      <c r="F5946" s="66"/>
    </row>
    <row r="5947" spans="4:6" x14ac:dyDescent="0.35">
      <c r="D5947" s="66"/>
      <c r="E5947" s="66"/>
      <c r="F5947" s="66"/>
    </row>
    <row r="5948" spans="4:6" x14ac:dyDescent="0.35">
      <c r="D5948" s="66"/>
      <c r="E5948" s="66"/>
      <c r="F5948" s="66"/>
    </row>
    <row r="5949" spans="4:6" x14ac:dyDescent="0.35">
      <c r="D5949" s="66"/>
      <c r="E5949" s="66"/>
      <c r="F5949" s="66"/>
    </row>
    <row r="5950" spans="4:6" x14ac:dyDescent="0.35">
      <c r="D5950" s="66"/>
      <c r="E5950" s="66"/>
      <c r="F5950" s="66"/>
    </row>
    <row r="5951" spans="4:6" x14ac:dyDescent="0.35">
      <c r="D5951" s="66"/>
      <c r="E5951" s="66"/>
      <c r="F5951" s="66"/>
    </row>
    <row r="5952" spans="4:6" x14ac:dyDescent="0.35">
      <c r="D5952" s="66"/>
      <c r="E5952" s="66"/>
      <c r="F5952" s="66"/>
    </row>
    <row r="5953" spans="4:6" x14ac:dyDescent="0.35">
      <c r="D5953" s="66"/>
      <c r="E5953" s="66"/>
      <c r="F5953" s="66"/>
    </row>
    <row r="5954" spans="4:6" x14ac:dyDescent="0.35">
      <c r="D5954" s="66"/>
      <c r="E5954" s="66"/>
      <c r="F5954" s="66"/>
    </row>
    <row r="5955" spans="4:6" x14ac:dyDescent="0.35">
      <c r="D5955" s="66"/>
      <c r="E5955" s="66"/>
      <c r="F5955" s="66"/>
    </row>
    <row r="5956" spans="4:6" x14ac:dyDescent="0.35">
      <c r="D5956" s="66"/>
      <c r="E5956" s="66"/>
      <c r="F5956" s="66"/>
    </row>
    <row r="5957" spans="4:6" x14ac:dyDescent="0.35">
      <c r="D5957" s="66"/>
      <c r="E5957" s="66"/>
      <c r="F5957" s="66"/>
    </row>
    <row r="5958" spans="4:6" x14ac:dyDescent="0.35">
      <c r="D5958" s="66"/>
      <c r="E5958" s="66"/>
      <c r="F5958" s="66"/>
    </row>
    <row r="5959" spans="4:6" x14ac:dyDescent="0.35">
      <c r="D5959" s="66"/>
      <c r="E5959" s="66"/>
      <c r="F5959" s="66"/>
    </row>
    <row r="5960" spans="4:6" x14ac:dyDescent="0.35">
      <c r="D5960" s="66"/>
      <c r="E5960" s="66"/>
      <c r="F5960" s="66"/>
    </row>
    <row r="5961" spans="4:6" x14ac:dyDescent="0.35">
      <c r="D5961" s="66"/>
      <c r="E5961" s="66"/>
      <c r="F5961" s="66"/>
    </row>
    <row r="5962" spans="4:6" x14ac:dyDescent="0.35">
      <c r="D5962" s="66"/>
      <c r="E5962" s="66"/>
      <c r="F5962" s="66"/>
    </row>
    <row r="5963" spans="4:6" x14ac:dyDescent="0.35">
      <c r="D5963" s="66"/>
      <c r="E5963" s="66"/>
      <c r="F5963" s="66"/>
    </row>
    <row r="5964" spans="4:6" x14ac:dyDescent="0.35">
      <c r="D5964" s="66"/>
      <c r="E5964" s="66"/>
      <c r="F5964" s="66"/>
    </row>
    <row r="5965" spans="4:6" x14ac:dyDescent="0.35">
      <c r="D5965" s="66"/>
      <c r="E5965" s="66"/>
      <c r="F5965" s="66"/>
    </row>
    <row r="5966" spans="4:6" x14ac:dyDescent="0.35">
      <c r="D5966" s="66"/>
      <c r="E5966" s="66"/>
      <c r="F5966" s="66"/>
    </row>
    <row r="5967" spans="4:6" x14ac:dyDescent="0.35">
      <c r="D5967" s="66"/>
      <c r="E5967" s="66"/>
      <c r="F5967" s="66"/>
    </row>
    <row r="5968" spans="4:6" x14ac:dyDescent="0.35">
      <c r="D5968" s="66"/>
      <c r="E5968" s="66"/>
      <c r="F5968" s="66"/>
    </row>
    <row r="5969" spans="4:6" x14ac:dyDescent="0.35">
      <c r="D5969" s="66"/>
      <c r="E5969" s="66"/>
      <c r="F5969" s="66"/>
    </row>
    <row r="5970" spans="4:6" x14ac:dyDescent="0.35">
      <c r="D5970" s="66"/>
      <c r="E5970" s="66"/>
      <c r="F5970" s="66"/>
    </row>
    <row r="5971" spans="4:6" x14ac:dyDescent="0.35">
      <c r="D5971" s="66"/>
      <c r="E5971" s="66"/>
      <c r="F5971" s="66"/>
    </row>
    <row r="5972" spans="4:6" x14ac:dyDescent="0.35">
      <c r="D5972" s="66"/>
      <c r="E5972" s="66"/>
      <c r="F5972" s="66"/>
    </row>
    <row r="5973" spans="4:6" x14ac:dyDescent="0.35">
      <c r="D5973" s="66"/>
      <c r="E5973" s="66"/>
      <c r="F5973" s="66"/>
    </row>
    <row r="5974" spans="4:6" x14ac:dyDescent="0.35">
      <c r="D5974" s="66"/>
      <c r="E5974" s="66"/>
      <c r="F5974" s="66"/>
    </row>
    <row r="5975" spans="4:6" x14ac:dyDescent="0.35">
      <c r="D5975" s="66"/>
      <c r="E5975" s="66"/>
      <c r="F5975" s="66"/>
    </row>
    <row r="5976" spans="4:6" x14ac:dyDescent="0.35">
      <c r="D5976" s="66"/>
      <c r="E5976" s="66"/>
      <c r="F5976" s="66"/>
    </row>
    <row r="5977" spans="4:6" x14ac:dyDescent="0.35">
      <c r="D5977" s="66"/>
      <c r="E5977" s="66"/>
      <c r="F5977" s="66"/>
    </row>
    <row r="5978" spans="4:6" x14ac:dyDescent="0.35">
      <c r="D5978" s="66"/>
      <c r="E5978" s="66"/>
      <c r="F5978" s="66"/>
    </row>
    <row r="5979" spans="4:6" x14ac:dyDescent="0.35">
      <c r="D5979" s="66"/>
      <c r="E5979" s="66"/>
      <c r="F5979" s="66"/>
    </row>
    <row r="5980" spans="4:6" x14ac:dyDescent="0.35">
      <c r="D5980" s="66"/>
      <c r="E5980" s="66"/>
      <c r="F5980" s="66"/>
    </row>
    <row r="5981" spans="4:6" x14ac:dyDescent="0.35">
      <c r="D5981" s="66"/>
      <c r="E5981" s="66"/>
      <c r="F5981" s="66"/>
    </row>
    <row r="5982" spans="4:6" x14ac:dyDescent="0.35">
      <c r="D5982" s="66"/>
      <c r="E5982" s="66"/>
      <c r="F5982" s="66"/>
    </row>
    <row r="5983" spans="4:6" x14ac:dyDescent="0.35">
      <c r="D5983" s="66"/>
      <c r="E5983" s="66"/>
      <c r="F5983" s="66"/>
    </row>
    <row r="5984" spans="4:6" x14ac:dyDescent="0.35">
      <c r="D5984" s="66"/>
      <c r="E5984" s="66"/>
      <c r="F5984" s="66"/>
    </row>
    <row r="5985" spans="4:6" x14ac:dyDescent="0.35">
      <c r="D5985" s="66"/>
      <c r="E5985" s="66"/>
      <c r="F5985" s="66"/>
    </row>
    <row r="5986" spans="4:6" x14ac:dyDescent="0.35">
      <c r="D5986" s="66"/>
      <c r="E5986" s="66"/>
      <c r="F5986" s="66"/>
    </row>
    <row r="5987" spans="4:6" x14ac:dyDescent="0.35">
      <c r="D5987" s="66"/>
      <c r="E5987" s="66"/>
      <c r="F5987" s="66"/>
    </row>
    <row r="5988" spans="4:6" x14ac:dyDescent="0.35">
      <c r="D5988" s="66"/>
      <c r="E5988" s="66"/>
      <c r="F5988" s="66"/>
    </row>
    <row r="5989" spans="4:6" x14ac:dyDescent="0.35">
      <c r="D5989" s="66"/>
      <c r="E5989" s="66"/>
      <c r="F5989" s="66"/>
    </row>
    <row r="5990" spans="4:6" x14ac:dyDescent="0.35">
      <c r="D5990" s="66"/>
      <c r="E5990" s="66"/>
      <c r="F5990" s="66"/>
    </row>
    <row r="5991" spans="4:6" x14ac:dyDescent="0.35">
      <c r="D5991" s="66"/>
      <c r="E5991" s="66"/>
      <c r="F5991" s="66"/>
    </row>
    <row r="5992" spans="4:6" x14ac:dyDescent="0.35">
      <c r="D5992" s="66"/>
      <c r="E5992" s="66"/>
      <c r="F5992" s="66"/>
    </row>
    <row r="5993" spans="4:6" x14ac:dyDescent="0.35">
      <c r="D5993" s="66"/>
      <c r="E5993" s="66"/>
      <c r="F5993" s="66"/>
    </row>
    <row r="5994" spans="4:6" x14ac:dyDescent="0.35">
      <c r="D5994" s="66"/>
      <c r="E5994" s="66"/>
      <c r="F5994" s="66"/>
    </row>
    <row r="5995" spans="4:6" x14ac:dyDescent="0.35">
      <c r="D5995" s="66"/>
      <c r="E5995" s="66"/>
      <c r="F5995" s="66"/>
    </row>
    <row r="5996" spans="4:6" x14ac:dyDescent="0.35">
      <c r="D5996" s="66"/>
      <c r="E5996" s="66"/>
      <c r="F5996" s="66"/>
    </row>
    <row r="5997" spans="4:6" x14ac:dyDescent="0.35">
      <c r="D5997" s="66"/>
      <c r="E5997" s="66"/>
      <c r="F5997" s="66"/>
    </row>
    <row r="5998" spans="4:6" x14ac:dyDescent="0.35">
      <c r="D5998" s="66"/>
      <c r="E5998" s="66"/>
      <c r="F5998" s="66"/>
    </row>
    <row r="5999" spans="4:6" x14ac:dyDescent="0.35">
      <c r="D5999" s="66"/>
      <c r="E5999" s="66"/>
      <c r="F5999" s="66"/>
    </row>
    <row r="6000" spans="4:6" x14ac:dyDescent="0.35">
      <c r="D6000" s="66"/>
      <c r="E6000" s="66"/>
      <c r="F6000" s="66"/>
    </row>
    <row r="6001" spans="4:6" x14ac:dyDescent="0.35">
      <c r="D6001" s="66"/>
      <c r="E6001" s="66"/>
      <c r="F6001" s="66"/>
    </row>
    <row r="6002" spans="4:6" x14ac:dyDescent="0.35">
      <c r="D6002" s="66"/>
      <c r="E6002" s="66"/>
      <c r="F6002" s="66"/>
    </row>
    <row r="6003" spans="4:6" x14ac:dyDescent="0.35">
      <c r="D6003" s="66"/>
      <c r="E6003" s="66"/>
      <c r="F6003" s="66"/>
    </row>
    <row r="6004" spans="4:6" x14ac:dyDescent="0.35">
      <c r="D6004" s="66"/>
      <c r="E6004" s="66"/>
      <c r="F6004" s="66"/>
    </row>
    <row r="6005" spans="4:6" x14ac:dyDescent="0.35">
      <c r="D6005" s="66"/>
      <c r="E6005" s="66"/>
      <c r="F6005" s="66"/>
    </row>
    <row r="6006" spans="4:6" x14ac:dyDescent="0.35">
      <c r="D6006" s="66"/>
      <c r="E6006" s="66"/>
      <c r="F6006" s="66"/>
    </row>
    <row r="6007" spans="4:6" x14ac:dyDescent="0.35">
      <c r="D6007" s="66"/>
      <c r="E6007" s="66"/>
      <c r="F6007" s="66"/>
    </row>
    <row r="6008" spans="4:6" x14ac:dyDescent="0.35">
      <c r="D6008" s="66"/>
      <c r="E6008" s="66"/>
      <c r="F6008" s="66"/>
    </row>
    <row r="6009" spans="4:6" x14ac:dyDescent="0.35">
      <c r="D6009" s="66"/>
      <c r="E6009" s="66"/>
      <c r="F6009" s="66"/>
    </row>
    <row r="6010" spans="4:6" x14ac:dyDescent="0.35">
      <c r="D6010" s="66"/>
      <c r="E6010" s="66"/>
      <c r="F6010" s="66"/>
    </row>
    <row r="6011" spans="4:6" x14ac:dyDescent="0.35">
      <c r="D6011" s="66"/>
      <c r="E6011" s="66"/>
      <c r="F6011" s="66"/>
    </row>
    <row r="6012" spans="4:6" x14ac:dyDescent="0.35">
      <c r="D6012" s="66"/>
      <c r="E6012" s="66"/>
      <c r="F6012" s="66"/>
    </row>
    <row r="6013" spans="4:6" x14ac:dyDescent="0.35">
      <c r="D6013" s="66"/>
      <c r="E6013" s="66"/>
      <c r="F6013" s="66"/>
    </row>
    <row r="6014" spans="4:6" x14ac:dyDescent="0.35">
      <c r="D6014" s="66"/>
      <c r="E6014" s="66"/>
      <c r="F6014" s="66"/>
    </row>
    <row r="6015" spans="4:6" x14ac:dyDescent="0.35">
      <c r="D6015" s="66"/>
      <c r="E6015" s="66"/>
      <c r="F6015" s="66"/>
    </row>
    <row r="6016" spans="4:6" x14ac:dyDescent="0.35">
      <c r="D6016" s="66"/>
      <c r="E6016" s="66"/>
      <c r="F6016" s="66"/>
    </row>
    <row r="6017" spans="4:6" x14ac:dyDescent="0.35">
      <c r="D6017" s="66"/>
      <c r="E6017" s="66"/>
      <c r="F6017" s="66"/>
    </row>
    <row r="6018" spans="4:6" x14ac:dyDescent="0.35">
      <c r="D6018" s="66"/>
      <c r="E6018" s="66"/>
      <c r="F6018" s="66"/>
    </row>
    <row r="6019" spans="4:6" x14ac:dyDescent="0.35">
      <c r="D6019" s="66"/>
      <c r="E6019" s="66"/>
      <c r="F6019" s="66"/>
    </row>
    <row r="6020" spans="4:6" x14ac:dyDescent="0.35">
      <c r="D6020" s="66"/>
      <c r="E6020" s="66"/>
      <c r="F6020" s="66"/>
    </row>
    <row r="6021" spans="4:6" x14ac:dyDescent="0.35">
      <c r="D6021" s="66"/>
      <c r="E6021" s="66"/>
      <c r="F6021" s="66"/>
    </row>
    <row r="6022" spans="4:6" x14ac:dyDescent="0.35">
      <c r="D6022" s="66"/>
      <c r="E6022" s="66"/>
      <c r="F6022" s="66"/>
    </row>
    <row r="6023" spans="4:6" x14ac:dyDescent="0.35">
      <c r="D6023" s="66"/>
      <c r="E6023" s="66"/>
      <c r="F6023" s="66"/>
    </row>
    <row r="6024" spans="4:6" x14ac:dyDescent="0.35">
      <c r="D6024" s="66"/>
      <c r="E6024" s="66"/>
      <c r="F6024" s="66"/>
    </row>
    <row r="6025" spans="4:6" x14ac:dyDescent="0.35">
      <c r="D6025" s="66"/>
      <c r="E6025" s="66"/>
      <c r="F6025" s="66"/>
    </row>
    <row r="6026" spans="4:6" x14ac:dyDescent="0.35">
      <c r="D6026" s="66"/>
      <c r="E6026" s="66"/>
      <c r="F6026" s="66"/>
    </row>
    <row r="6027" spans="4:6" x14ac:dyDescent="0.35">
      <c r="D6027" s="66"/>
      <c r="E6027" s="66"/>
      <c r="F6027" s="66"/>
    </row>
    <row r="6028" spans="4:6" x14ac:dyDescent="0.35">
      <c r="D6028" s="66"/>
      <c r="E6028" s="66"/>
      <c r="F6028" s="66"/>
    </row>
    <row r="6029" spans="4:6" x14ac:dyDescent="0.35">
      <c r="D6029" s="66"/>
      <c r="E6029" s="66"/>
      <c r="F6029" s="66"/>
    </row>
    <row r="6030" spans="4:6" x14ac:dyDescent="0.35">
      <c r="D6030" s="66"/>
      <c r="E6030" s="66"/>
      <c r="F6030" s="66"/>
    </row>
    <row r="6031" spans="4:6" x14ac:dyDescent="0.35">
      <c r="D6031" s="66"/>
      <c r="E6031" s="66"/>
      <c r="F6031" s="66"/>
    </row>
    <row r="6032" spans="4:6" x14ac:dyDescent="0.35">
      <c r="D6032" s="66"/>
      <c r="E6032" s="66"/>
      <c r="F6032" s="66"/>
    </row>
    <row r="6033" spans="4:6" x14ac:dyDescent="0.35">
      <c r="D6033" s="66"/>
      <c r="E6033" s="66"/>
      <c r="F6033" s="66"/>
    </row>
    <row r="6034" spans="4:6" x14ac:dyDescent="0.35">
      <c r="D6034" s="66"/>
      <c r="E6034" s="66"/>
      <c r="F6034" s="66"/>
    </row>
    <row r="6035" spans="4:6" x14ac:dyDescent="0.35">
      <c r="D6035" s="66"/>
      <c r="E6035" s="66"/>
      <c r="F6035" s="66"/>
    </row>
    <row r="6036" spans="4:6" x14ac:dyDescent="0.35">
      <c r="D6036" s="66"/>
      <c r="E6036" s="66"/>
      <c r="F6036" s="66"/>
    </row>
    <row r="6037" spans="4:6" x14ac:dyDescent="0.35">
      <c r="D6037" s="66"/>
      <c r="E6037" s="66"/>
      <c r="F6037" s="66"/>
    </row>
    <row r="6038" spans="4:6" x14ac:dyDescent="0.35">
      <c r="D6038" s="66"/>
      <c r="E6038" s="66"/>
      <c r="F6038" s="66"/>
    </row>
    <row r="6039" spans="4:6" x14ac:dyDescent="0.35">
      <c r="D6039" s="66"/>
      <c r="E6039" s="66"/>
      <c r="F6039" s="66"/>
    </row>
    <row r="6040" spans="4:6" x14ac:dyDescent="0.35">
      <c r="D6040" s="66"/>
      <c r="E6040" s="66"/>
      <c r="F6040" s="66"/>
    </row>
    <row r="6041" spans="4:6" x14ac:dyDescent="0.35">
      <c r="D6041" s="66"/>
      <c r="E6041" s="66"/>
      <c r="F6041" s="66"/>
    </row>
    <row r="6042" spans="4:6" x14ac:dyDescent="0.35">
      <c r="D6042" s="66"/>
      <c r="E6042" s="66"/>
      <c r="F6042" s="66"/>
    </row>
    <row r="6043" spans="4:6" x14ac:dyDescent="0.35">
      <c r="D6043" s="66"/>
      <c r="E6043" s="66"/>
      <c r="F6043" s="66"/>
    </row>
    <row r="6044" spans="4:6" x14ac:dyDescent="0.35">
      <c r="D6044" s="66"/>
      <c r="E6044" s="66"/>
      <c r="F6044" s="66"/>
    </row>
    <row r="6045" spans="4:6" x14ac:dyDescent="0.35">
      <c r="D6045" s="66"/>
      <c r="E6045" s="66"/>
      <c r="F6045" s="66"/>
    </row>
    <row r="6046" spans="4:6" x14ac:dyDescent="0.35">
      <c r="D6046" s="66"/>
      <c r="E6046" s="66"/>
      <c r="F6046" s="66"/>
    </row>
    <row r="6047" spans="4:6" x14ac:dyDescent="0.35">
      <c r="D6047" s="66"/>
      <c r="E6047" s="66"/>
      <c r="F6047" s="66"/>
    </row>
    <row r="6048" spans="4:6" x14ac:dyDescent="0.35">
      <c r="D6048" s="66"/>
      <c r="E6048" s="66"/>
      <c r="F6048" s="66"/>
    </row>
    <row r="6049" spans="4:6" x14ac:dyDescent="0.35">
      <c r="D6049" s="66"/>
      <c r="E6049" s="66"/>
      <c r="F6049" s="66"/>
    </row>
    <row r="6050" spans="4:6" x14ac:dyDescent="0.35">
      <c r="D6050" s="66"/>
      <c r="E6050" s="66"/>
      <c r="F6050" s="66"/>
    </row>
    <row r="6051" spans="4:6" x14ac:dyDescent="0.35">
      <c r="D6051" s="66"/>
      <c r="E6051" s="66"/>
      <c r="F6051" s="66"/>
    </row>
    <row r="6052" spans="4:6" x14ac:dyDescent="0.35">
      <c r="D6052" s="66"/>
      <c r="E6052" s="66"/>
      <c r="F6052" s="66"/>
    </row>
    <row r="6053" spans="4:6" x14ac:dyDescent="0.35">
      <c r="D6053" s="66"/>
      <c r="E6053" s="66"/>
      <c r="F6053" s="66"/>
    </row>
    <row r="6054" spans="4:6" x14ac:dyDescent="0.35">
      <c r="D6054" s="66"/>
      <c r="E6054" s="66"/>
      <c r="F6054" s="66"/>
    </row>
    <row r="6055" spans="4:6" x14ac:dyDescent="0.35">
      <c r="D6055" s="66"/>
      <c r="E6055" s="66"/>
      <c r="F6055" s="66"/>
    </row>
    <row r="6056" spans="4:6" x14ac:dyDescent="0.35">
      <c r="D6056" s="66"/>
      <c r="E6056" s="66"/>
      <c r="F6056" s="66"/>
    </row>
    <row r="6057" spans="4:6" x14ac:dyDescent="0.35">
      <c r="D6057" s="66"/>
      <c r="E6057" s="66"/>
      <c r="F6057" s="66"/>
    </row>
    <row r="6058" spans="4:6" x14ac:dyDescent="0.35">
      <c r="D6058" s="66"/>
      <c r="E6058" s="66"/>
      <c r="F6058" s="66"/>
    </row>
    <row r="6059" spans="4:6" x14ac:dyDescent="0.35">
      <c r="D6059" s="66"/>
      <c r="E6059" s="66"/>
      <c r="F6059" s="66"/>
    </row>
    <row r="6060" spans="4:6" x14ac:dyDescent="0.35">
      <c r="D6060" s="66"/>
      <c r="E6060" s="66"/>
      <c r="F6060" s="66"/>
    </row>
    <row r="6061" spans="4:6" x14ac:dyDescent="0.35">
      <c r="D6061" s="66"/>
      <c r="E6061" s="66"/>
      <c r="F6061" s="66"/>
    </row>
    <row r="6062" spans="4:6" x14ac:dyDescent="0.35">
      <c r="D6062" s="66"/>
      <c r="E6062" s="66"/>
      <c r="F6062" s="66"/>
    </row>
    <row r="6063" spans="4:6" x14ac:dyDescent="0.35">
      <c r="D6063" s="66"/>
      <c r="E6063" s="66"/>
      <c r="F6063" s="66"/>
    </row>
    <row r="6064" spans="4:6" x14ac:dyDescent="0.35">
      <c r="D6064" s="66"/>
      <c r="E6064" s="66"/>
      <c r="F6064" s="66"/>
    </row>
    <row r="6065" spans="4:6" x14ac:dyDescent="0.35">
      <c r="D6065" s="66"/>
      <c r="E6065" s="66"/>
      <c r="F6065" s="66"/>
    </row>
    <row r="6066" spans="4:6" x14ac:dyDescent="0.35">
      <c r="D6066" s="66"/>
      <c r="E6066" s="66"/>
      <c r="F6066" s="66"/>
    </row>
    <row r="6067" spans="4:6" x14ac:dyDescent="0.35">
      <c r="D6067" s="66"/>
      <c r="E6067" s="66"/>
      <c r="F6067" s="66"/>
    </row>
    <row r="6068" spans="4:6" x14ac:dyDescent="0.35">
      <c r="D6068" s="66"/>
      <c r="E6068" s="66"/>
      <c r="F6068" s="66"/>
    </row>
    <row r="6069" spans="4:6" x14ac:dyDescent="0.35">
      <c r="D6069" s="66"/>
      <c r="E6069" s="66"/>
      <c r="F6069" s="66"/>
    </row>
    <row r="6070" spans="4:6" x14ac:dyDescent="0.35">
      <c r="D6070" s="66"/>
      <c r="E6070" s="66"/>
      <c r="F6070" s="66"/>
    </row>
    <row r="6071" spans="4:6" x14ac:dyDescent="0.35">
      <c r="D6071" s="66"/>
      <c r="E6071" s="66"/>
      <c r="F6071" s="66"/>
    </row>
    <row r="6072" spans="4:6" x14ac:dyDescent="0.35">
      <c r="D6072" s="66"/>
      <c r="E6072" s="66"/>
      <c r="F6072" s="66"/>
    </row>
    <row r="6073" spans="4:6" x14ac:dyDescent="0.35">
      <c r="D6073" s="66"/>
      <c r="E6073" s="66"/>
      <c r="F6073" s="66"/>
    </row>
    <row r="6074" spans="4:6" x14ac:dyDescent="0.35">
      <c r="D6074" s="66"/>
      <c r="E6074" s="66"/>
      <c r="F6074" s="66"/>
    </row>
    <row r="6075" spans="4:6" x14ac:dyDescent="0.35">
      <c r="D6075" s="66"/>
      <c r="E6075" s="66"/>
      <c r="F6075" s="66"/>
    </row>
    <row r="6076" spans="4:6" x14ac:dyDescent="0.35">
      <c r="D6076" s="66"/>
      <c r="E6076" s="66"/>
      <c r="F6076" s="66"/>
    </row>
    <row r="6077" spans="4:6" x14ac:dyDescent="0.35">
      <c r="D6077" s="66"/>
      <c r="E6077" s="66"/>
      <c r="F6077" s="66"/>
    </row>
    <row r="6078" spans="4:6" x14ac:dyDescent="0.35">
      <c r="D6078" s="66"/>
      <c r="E6078" s="66"/>
      <c r="F6078" s="66"/>
    </row>
    <row r="6079" spans="4:6" x14ac:dyDescent="0.35">
      <c r="D6079" s="66"/>
      <c r="E6079" s="66"/>
      <c r="F6079" s="66"/>
    </row>
    <row r="6080" spans="4:6" x14ac:dyDescent="0.35">
      <c r="D6080" s="66"/>
      <c r="E6080" s="66"/>
      <c r="F6080" s="66"/>
    </row>
    <row r="6081" spans="4:6" x14ac:dyDescent="0.35">
      <c r="D6081" s="66"/>
      <c r="E6081" s="66"/>
      <c r="F6081" s="66"/>
    </row>
    <row r="6082" spans="4:6" x14ac:dyDescent="0.35">
      <c r="D6082" s="66"/>
      <c r="E6082" s="66"/>
      <c r="F6082" s="66"/>
    </row>
    <row r="6083" spans="4:6" x14ac:dyDescent="0.35">
      <c r="D6083" s="66"/>
      <c r="E6083" s="66"/>
      <c r="F6083" s="66"/>
    </row>
    <row r="6084" spans="4:6" x14ac:dyDescent="0.35">
      <c r="D6084" s="66"/>
      <c r="E6084" s="66"/>
      <c r="F6084" s="66"/>
    </row>
    <row r="6085" spans="4:6" x14ac:dyDescent="0.35">
      <c r="D6085" s="66"/>
      <c r="E6085" s="66"/>
      <c r="F6085" s="66"/>
    </row>
    <row r="6086" spans="4:6" x14ac:dyDescent="0.35">
      <c r="D6086" s="66"/>
      <c r="E6086" s="66"/>
      <c r="F6086" s="66"/>
    </row>
    <row r="6087" spans="4:6" x14ac:dyDescent="0.35">
      <c r="D6087" s="66"/>
      <c r="E6087" s="66"/>
      <c r="F6087" s="66"/>
    </row>
    <row r="6088" spans="4:6" x14ac:dyDescent="0.35">
      <c r="D6088" s="66"/>
      <c r="E6088" s="66"/>
      <c r="F6088" s="66"/>
    </row>
    <row r="6089" spans="4:6" x14ac:dyDescent="0.35">
      <c r="D6089" s="66"/>
      <c r="E6089" s="66"/>
      <c r="F6089" s="66"/>
    </row>
    <row r="6090" spans="4:6" x14ac:dyDescent="0.35">
      <c r="D6090" s="66"/>
      <c r="E6090" s="66"/>
      <c r="F6090" s="66"/>
    </row>
    <row r="6091" spans="4:6" x14ac:dyDescent="0.35">
      <c r="D6091" s="66"/>
      <c r="E6091" s="66"/>
      <c r="F6091" s="66"/>
    </row>
    <row r="6092" spans="4:6" x14ac:dyDescent="0.35">
      <c r="D6092" s="66"/>
      <c r="E6092" s="66"/>
      <c r="F6092" s="66"/>
    </row>
    <row r="6093" spans="4:6" x14ac:dyDescent="0.35">
      <c r="D6093" s="66"/>
      <c r="E6093" s="66"/>
      <c r="F6093" s="66"/>
    </row>
    <row r="6094" spans="4:6" x14ac:dyDescent="0.35">
      <c r="D6094" s="66"/>
      <c r="E6094" s="66"/>
      <c r="F6094" s="66"/>
    </row>
    <row r="6095" spans="4:6" x14ac:dyDescent="0.35">
      <c r="D6095" s="66"/>
      <c r="E6095" s="66"/>
      <c r="F6095" s="66"/>
    </row>
    <row r="6096" spans="4:6" x14ac:dyDescent="0.35">
      <c r="D6096" s="66"/>
      <c r="E6096" s="66"/>
      <c r="F6096" s="66"/>
    </row>
    <row r="6097" spans="4:6" x14ac:dyDescent="0.35">
      <c r="D6097" s="66"/>
      <c r="E6097" s="66"/>
      <c r="F6097" s="66"/>
    </row>
    <row r="6098" spans="4:6" x14ac:dyDescent="0.35">
      <c r="D6098" s="66"/>
      <c r="E6098" s="66"/>
      <c r="F6098" s="66"/>
    </row>
    <row r="6099" spans="4:6" x14ac:dyDescent="0.35">
      <c r="D6099" s="66"/>
      <c r="E6099" s="66"/>
      <c r="F6099" s="66"/>
    </row>
    <row r="6100" spans="4:6" x14ac:dyDescent="0.35">
      <c r="D6100" s="66"/>
      <c r="E6100" s="66"/>
      <c r="F6100" s="66"/>
    </row>
    <row r="6101" spans="4:6" x14ac:dyDescent="0.35">
      <c r="D6101" s="66"/>
      <c r="E6101" s="66"/>
      <c r="F6101" s="66"/>
    </row>
    <row r="6102" spans="4:6" x14ac:dyDescent="0.35">
      <c r="D6102" s="66"/>
      <c r="E6102" s="66"/>
      <c r="F6102" s="66"/>
    </row>
    <row r="6103" spans="4:6" x14ac:dyDescent="0.35">
      <c r="D6103" s="66"/>
      <c r="E6103" s="66"/>
      <c r="F6103" s="66"/>
    </row>
    <row r="6104" spans="4:6" x14ac:dyDescent="0.35">
      <c r="D6104" s="66"/>
      <c r="E6104" s="66"/>
      <c r="F6104" s="66"/>
    </row>
    <row r="6105" spans="4:6" x14ac:dyDescent="0.35">
      <c r="D6105" s="66"/>
      <c r="E6105" s="66"/>
      <c r="F6105" s="66"/>
    </row>
    <row r="6106" spans="4:6" x14ac:dyDescent="0.35">
      <c r="D6106" s="66"/>
      <c r="E6106" s="66"/>
      <c r="F6106" s="66"/>
    </row>
    <row r="6107" spans="4:6" x14ac:dyDescent="0.35">
      <c r="D6107" s="66"/>
      <c r="E6107" s="66"/>
      <c r="F6107" s="66"/>
    </row>
    <row r="6108" spans="4:6" x14ac:dyDescent="0.35">
      <c r="D6108" s="66"/>
      <c r="E6108" s="66"/>
      <c r="F6108" s="66"/>
    </row>
    <row r="6109" spans="4:6" x14ac:dyDescent="0.35">
      <c r="D6109" s="66"/>
      <c r="E6109" s="66"/>
      <c r="F6109" s="66"/>
    </row>
    <row r="6110" spans="4:6" x14ac:dyDescent="0.35">
      <c r="D6110" s="66"/>
      <c r="E6110" s="66"/>
      <c r="F6110" s="66"/>
    </row>
    <row r="6111" spans="4:6" x14ac:dyDescent="0.35">
      <c r="D6111" s="66"/>
      <c r="E6111" s="66"/>
      <c r="F6111" s="66"/>
    </row>
    <row r="6112" spans="4:6" x14ac:dyDescent="0.35">
      <c r="D6112" s="66"/>
      <c r="E6112" s="66"/>
      <c r="F6112" s="66"/>
    </row>
    <row r="6113" spans="4:6" x14ac:dyDescent="0.35">
      <c r="D6113" s="66"/>
      <c r="E6113" s="66"/>
      <c r="F6113" s="66"/>
    </row>
    <row r="6114" spans="4:6" x14ac:dyDescent="0.35">
      <c r="D6114" s="66"/>
      <c r="E6114" s="66"/>
      <c r="F6114" s="66"/>
    </row>
    <row r="6115" spans="4:6" x14ac:dyDescent="0.35">
      <c r="D6115" s="66"/>
      <c r="E6115" s="66"/>
      <c r="F6115" s="66"/>
    </row>
    <row r="6116" spans="4:6" x14ac:dyDescent="0.35">
      <c r="D6116" s="66"/>
      <c r="E6116" s="66"/>
      <c r="F6116" s="66"/>
    </row>
    <row r="6117" spans="4:6" x14ac:dyDescent="0.35">
      <c r="D6117" s="66"/>
      <c r="E6117" s="66"/>
      <c r="F6117" s="66"/>
    </row>
    <row r="6118" spans="4:6" x14ac:dyDescent="0.35">
      <c r="D6118" s="66"/>
      <c r="E6118" s="66"/>
      <c r="F6118" s="66"/>
    </row>
    <row r="6119" spans="4:6" x14ac:dyDescent="0.35">
      <c r="D6119" s="66"/>
      <c r="E6119" s="66"/>
      <c r="F6119" s="66"/>
    </row>
    <row r="6120" spans="4:6" x14ac:dyDescent="0.35">
      <c r="D6120" s="66"/>
      <c r="E6120" s="66"/>
      <c r="F6120" s="66"/>
    </row>
    <row r="6121" spans="4:6" x14ac:dyDescent="0.35">
      <c r="D6121" s="66"/>
      <c r="E6121" s="66"/>
      <c r="F6121" s="66"/>
    </row>
    <row r="6122" spans="4:6" x14ac:dyDescent="0.35">
      <c r="D6122" s="66"/>
      <c r="E6122" s="66"/>
      <c r="F6122" s="66"/>
    </row>
    <row r="6123" spans="4:6" x14ac:dyDescent="0.35">
      <c r="D6123" s="66"/>
      <c r="E6123" s="66"/>
      <c r="F6123" s="66"/>
    </row>
    <row r="6124" spans="4:6" x14ac:dyDescent="0.35">
      <c r="D6124" s="66"/>
      <c r="E6124" s="66"/>
      <c r="F6124" s="66"/>
    </row>
    <row r="6125" spans="4:6" x14ac:dyDescent="0.35">
      <c r="D6125" s="66"/>
      <c r="E6125" s="66"/>
      <c r="F6125" s="66"/>
    </row>
    <row r="6126" spans="4:6" x14ac:dyDescent="0.35">
      <c r="D6126" s="66"/>
      <c r="E6126" s="66"/>
      <c r="F6126" s="66"/>
    </row>
    <row r="6127" spans="4:6" x14ac:dyDescent="0.35">
      <c r="D6127" s="66"/>
      <c r="E6127" s="66"/>
      <c r="F6127" s="66"/>
    </row>
    <row r="6128" spans="4:6" x14ac:dyDescent="0.35">
      <c r="D6128" s="66"/>
      <c r="E6128" s="66"/>
      <c r="F6128" s="66"/>
    </row>
    <row r="6129" spans="4:6" x14ac:dyDescent="0.35">
      <c r="D6129" s="66"/>
      <c r="E6129" s="66"/>
      <c r="F6129" s="66"/>
    </row>
    <row r="6130" spans="4:6" x14ac:dyDescent="0.35">
      <c r="D6130" s="66"/>
      <c r="E6130" s="66"/>
      <c r="F6130" s="66"/>
    </row>
    <row r="6131" spans="4:6" x14ac:dyDescent="0.35">
      <c r="D6131" s="66"/>
      <c r="E6131" s="66"/>
      <c r="F6131" s="66"/>
    </row>
    <row r="6132" spans="4:6" x14ac:dyDescent="0.35">
      <c r="D6132" s="66"/>
      <c r="E6132" s="66"/>
      <c r="F6132" s="66"/>
    </row>
    <row r="6133" spans="4:6" x14ac:dyDescent="0.35">
      <c r="D6133" s="66"/>
      <c r="E6133" s="66"/>
      <c r="F6133" s="66"/>
    </row>
    <row r="6134" spans="4:6" x14ac:dyDescent="0.35">
      <c r="D6134" s="66"/>
      <c r="E6134" s="66"/>
      <c r="F6134" s="66"/>
    </row>
    <row r="6135" spans="4:6" x14ac:dyDescent="0.35">
      <c r="D6135" s="66"/>
      <c r="E6135" s="66"/>
      <c r="F6135" s="66"/>
    </row>
    <row r="6136" spans="4:6" x14ac:dyDescent="0.35">
      <c r="D6136" s="66"/>
      <c r="E6136" s="66"/>
      <c r="F6136" s="66"/>
    </row>
    <row r="6137" spans="4:6" x14ac:dyDescent="0.35">
      <c r="D6137" s="66"/>
      <c r="E6137" s="66"/>
      <c r="F6137" s="66"/>
    </row>
    <row r="6138" spans="4:6" x14ac:dyDescent="0.35">
      <c r="D6138" s="66"/>
      <c r="E6138" s="66"/>
      <c r="F6138" s="66"/>
    </row>
    <row r="6139" spans="4:6" x14ac:dyDescent="0.35">
      <c r="D6139" s="66"/>
      <c r="E6139" s="66"/>
      <c r="F6139" s="66"/>
    </row>
    <row r="6140" spans="4:6" x14ac:dyDescent="0.35">
      <c r="D6140" s="66"/>
      <c r="E6140" s="66"/>
      <c r="F6140" s="66"/>
    </row>
    <row r="6141" spans="4:6" x14ac:dyDescent="0.35">
      <c r="D6141" s="66"/>
      <c r="E6141" s="66"/>
      <c r="F6141" s="66"/>
    </row>
    <row r="6142" spans="4:6" x14ac:dyDescent="0.35">
      <c r="D6142" s="66"/>
      <c r="E6142" s="66"/>
      <c r="F6142" s="66"/>
    </row>
    <row r="6143" spans="4:6" x14ac:dyDescent="0.35">
      <c r="D6143" s="66"/>
      <c r="E6143" s="66"/>
      <c r="F6143" s="66"/>
    </row>
    <row r="6144" spans="4:6" x14ac:dyDescent="0.35">
      <c r="D6144" s="66"/>
      <c r="E6144" s="66"/>
      <c r="F6144" s="66"/>
    </row>
    <row r="6145" spans="4:6" x14ac:dyDescent="0.35">
      <c r="D6145" s="66"/>
      <c r="E6145" s="66"/>
      <c r="F6145" s="66"/>
    </row>
    <row r="6146" spans="4:6" x14ac:dyDescent="0.35">
      <c r="D6146" s="66"/>
      <c r="E6146" s="66"/>
      <c r="F6146" s="66"/>
    </row>
    <row r="6147" spans="4:6" x14ac:dyDescent="0.35">
      <c r="D6147" s="66"/>
      <c r="E6147" s="66"/>
      <c r="F6147" s="66"/>
    </row>
    <row r="6148" spans="4:6" x14ac:dyDescent="0.35">
      <c r="D6148" s="66"/>
      <c r="E6148" s="66"/>
      <c r="F6148" s="66"/>
    </row>
    <row r="6149" spans="4:6" x14ac:dyDescent="0.35">
      <c r="D6149" s="66"/>
      <c r="E6149" s="66"/>
      <c r="F6149" s="66"/>
    </row>
    <row r="6150" spans="4:6" x14ac:dyDescent="0.35">
      <c r="D6150" s="66"/>
      <c r="E6150" s="66"/>
      <c r="F6150" s="66"/>
    </row>
    <row r="6151" spans="4:6" x14ac:dyDescent="0.35">
      <c r="D6151" s="66"/>
      <c r="E6151" s="66"/>
      <c r="F6151" s="66"/>
    </row>
    <row r="6152" spans="4:6" x14ac:dyDescent="0.35">
      <c r="D6152" s="66"/>
      <c r="E6152" s="66"/>
      <c r="F6152" s="66"/>
    </row>
    <row r="6153" spans="4:6" x14ac:dyDescent="0.35">
      <c r="D6153" s="66"/>
      <c r="E6153" s="66"/>
      <c r="F6153" s="66"/>
    </row>
    <row r="6154" spans="4:6" x14ac:dyDescent="0.35">
      <c r="D6154" s="66"/>
      <c r="E6154" s="66"/>
      <c r="F6154" s="66"/>
    </row>
    <row r="6155" spans="4:6" x14ac:dyDescent="0.35">
      <c r="D6155" s="66"/>
      <c r="E6155" s="66"/>
      <c r="F6155" s="66"/>
    </row>
    <row r="6156" spans="4:6" x14ac:dyDescent="0.35">
      <c r="D6156" s="66"/>
      <c r="E6156" s="66"/>
      <c r="F6156" s="66"/>
    </row>
    <row r="6157" spans="4:6" x14ac:dyDescent="0.35">
      <c r="D6157" s="66"/>
      <c r="E6157" s="66"/>
      <c r="F6157" s="66"/>
    </row>
    <row r="6158" spans="4:6" x14ac:dyDescent="0.35">
      <c r="D6158" s="66"/>
      <c r="E6158" s="66"/>
      <c r="F6158" s="66"/>
    </row>
    <row r="6159" spans="4:6" x14ac:dyDescent="0.35">
      <c r="D6159" s="66"/>
      <c r="E6159" s="66"/>
      <c r="F6159" s="66"/>
    </row>
    <row r="6160" spans="4:6" x14ac:dyDescent="0.35">
      <c r="D6160" s="66"/>
      <c r="E6160" s="66"/>
      <c r="F6160" s="66"/>
    </row>
    <row r="6161" spans="4:6" x14ac:dyDescent="0.35">
      <c r="D6161" s="66"/>
      <c r="E6161" s="66"/>
      <c r="F6161" s="66"/>
    </row>
    <row r="6162" spans="4:6" x14ac:dyDescent="0.35">
      <c r="D6162" s="66"/>
      <c r="E6162" s="66"/>
      <c r="F6162" s="66"/>
    </row>
    <row r="6163" spans="4:6" x14ac:dyDescent="0.35">
      <c r="D6163" s="66"/>
      <c r="E6163" s="66"/>
      <c r="F6163" s="66"/>
    </row>
    <row r="6164" spans="4:6" x14ac:dyDescent="0.35">
      <c r="D6164" s="66"/>
      <c r="E6164" s="66"/>
      <c r="F6164" s="66"/>
    </row>
    <row r="6165" spans="4:6" x14ac:dyDescent="0.35">
      <c r="D6165" s="66"/>
      <c r="E6165" s="66"/>
      <c r="F6165" s="66"/>
    </row>
    <row r="6166" spans="4:6" x14ac:dyDescent="0.35">
      <c r="D6166" s="66"/>
      <c r="E6166" s="66"/>
      <c r="F6166" s="66"/>
    </row>
    <row r="6167" spans="4:6" x14ac:dyDescent="0.35">
      <c r="D6167" s="66"/>
      <c r="E6167" s="66"/>
      <c r="F6167" s="66"/>
    </row>
    <row r="6168" spans="4:6" x14ac:dyDescent="0.35">
      <c r="D6168" s="66"/>
      <c r="E6168" s="66"/>
      <c r="F6168" s="66"/>
    </row>
    <row r="6169" spans="4:6" x14ac:dyDescent="0.35">
      <c r="D6169" s="66"/>
      <c r="E6169" s="66"/>
      <c r="F6169" s="66"/>
    </row>
    <row r="6170" spans="4:6" x14ac:dyDescent="0.35">
      <c r="D6170" s="66"/>
      <c r="E6170" s="66"/>
      <c r="F6170" s="66"/>
    </row>
    <row r="6171" spans="4:6" x14ac:dyDescent="0.35">
      <c r="D6171" s="66"/>
      <c r="E6171" s="66"/>
      <c r="F6171" s="66"/>
    </row>
    <row r="6172" spans="4:6" x14ac:dyDescent="0.35">
      <c r="D6172" s="66"/>
      <c r="E6172" s="66"/>
      <c r="F6172" s="66"/>
    </row>
    <row r="6173" spans="4:6" x14ac:dyDescent="0.35">
      <c r="D6173" s="66"/>
      <c r="E6173" s="66"/>
      <c r="F6173" s="66"/>
    </row>
    <row r="6174" spans="4:6" x14ac:dyDescent="0.35">
      <c r="D6174" s="66"/>
      <c r="E6174" s="66"/>
      <c r="F6174" s="66"/>
    </row>
    <row r="6175" spans="4:6" x14ac:dyDescent="0.35">
      <c r="D6175" s="66"/>
      <c r="E6175" s="66"/>
      <c r="F6175" s="66"/>
    </row>
    <row r="6176" spans="4:6" x14ac:dyDescent="0.35">
      <c r="D6176" s="66"/>
      <c r="E6176" s="66"/>
      <c r="F6176" s="66"/>
    </row>
    <row r="6177" spans="4:6" x14ac:dyDescent="0.35">
      <c r="D6177" s="66"/>
      <c r="E6177" s="66"/>
      <c r="F6177" s="66"/>
    </row>
    <row r="6178" spans="4:6" x14ac:dyDescent="0.35">
      <c r="D6178" s="66"/>
      <c r="E6178" s="66"/>
      <c r="F6178" s="66"/>
    </row>
    <row r="6179" spans="4:6" x14ac:dyDescent="0.35">
      <c r="D6179" s="66"/>
      <c r="E6179" s="66"/>
      <c r="F6179" s="66"/>
    </row>
    <row r="6180" spans="4:6" x14ac:dyDescent="0.35">
      <c r="D6180" s="66"/>
      <c r="E6180" s="66"/>
      <c r="F6180" s="66"/>
    </row>
    <row r="6181" spans="4:6" x14ac:dyDescent="0.35">
      <c r="D6181" s="66"/>
      <c r="E6181" s="66"/>
      <c r="F6181" s="66"/>
    </row>
    <row r="6182" spans="4:6" x14ac:dyDescent="0.35">
      <c r="D6182" s="66"/>
      <c r="E6182" s="66"/>
      <c r="F6182" s="66"/>
    </row>
    <row r="6183" spans="4:6" x14ac:dyDescent="0.35">
      <c r="D6183" s="66"/>
      <c r="E6183" s="66"/>
      <c r="F6183" s="66"/>
    </row>
    <row r="6184" spans="4:6" x14ac:dyDescent="0.35">
      <c r="D6184" s="66"/>
      <c r="E6184" s="66"/>
      <c r="F6184" s="66"/>
    </row>
    <row r="6185" spans="4:6" x14ac:dyDescent="0.35">
      <c r="D6185" s="66"/>
      <c r="E6185" s="66"/>
      <c r="F6185" s="66"/>
    </row>
    <row r="6186" spans="4:6" x14ac:dyDescent="0.35">
      <c r="D6186" s="66"/>
      <c r="E6186" s="66"/>
      <c r="F6186" s="66"/>
    </row>
    <row r="6187" spans="4:6" x14ac:dyDescent="0.35">
      <c r="D6187" s="66"/>
      <c r="E6187" s="66"/>
      <c r="F6187" s="66"/>
    </row>
    <row r="6188" spans="4:6" x14ac:dyDescent="0.35">
      <c r="D6188" s="66"/>
      <c r="E6188" s="66"/>
      <c r="F6188" s="66"/>
    </row>
    <row r="6189" spans="4:6" x14ac:dyDescent="0.35">
      <c r="D6189" s="66"/>
      <c r="E6189" s="66"/>
      <c r="F6189" s="66"/>
    </row>
    <row r="6190" spans="4:6" x14ac:dyDescent="0.35">
      <c r="D6190" s="66"/>
      <c r="E6190" s="66"/>
      <c r="F6190" s="66"/>
    </row>
    <row r="6191" spans="4:6" x14ac:dyDescent="0.35">
      <c r="D6191" s="66"/>
      <c r="E6191" s="66"/>
      <c r="F6191" s="66"/>
    </row>
    <row r="6192" spans="4:6" x14ac:dyDescent="0.35">
      <c r="D6192" s="66"/>
      <c r="E6192" s="66"/>
      <c r="F6192" s="66"/>
    </row>
    <row r="6193" spans="4:6" x14ac:dyDescent="0.35">
      <c r="D6193" s="66"/>
      <c r="E6193" s="66"/>
      <c r="F6193" s="66"/>
    </row>
    <row r="6194" spans="4:6" x14ac:dyDescent="0.35">
      <c r="D6194" s="66"/>
      <c r="E6194" s="66"/>
      <c r="F6194" s="66"/>
    </row>
    <row r="6195" spans="4:6" x14ac:dyDescent="0.35">
      <c r="D6195" s="66"/>
      <c r="E6195" s="66"/>
      <c r="F6195" s="66"/>
    </row>
    <row r="6196" spans="4:6" x14ac:dyDescent="0.35">
      <c r="D6196" s="66"/>
      <c r="E6196" s="66"/>
      <c r="F6196" s="66"/>
    </row>
    <row r="6197" spans="4:6" x14ac:dyDescent="0.35">
      <c r="D6197" s="66"/>
      <c r="E6197" s="66"/>
      <c r="F6197" s="66"/>
    </row>
    <row r="6198" spans="4:6" x14ac:dyDescent="0.35">
      <c r="D6198" s="66"/>
      <c r="E6198" s="66"/>
      <c r="F6198" s="66"/>
    </row>
    <row r="6199" spans="4:6" x14ac:dyDescent="0.35">
      <c r="D6199" s="66"/>
      <c r="E6199" s="66"/>
      <c r="F6199" s="66"/>
    </row>
    <row r="6200" spans="4:6" x14ac:dyDescent="0.35">
      <c r="D6200" s="66"/>
      <c r="E6200" s="66"/>
      <c r="F6200" s="66"/>
    </row>
    <row r="6201" spans="4:6" x14ac:dyDescent="0.35">
      <c r="D6201" s="66"/>
      <c r="E6201" s="66"/>
      <c r="F6201" s="66"/>
    </row>
    <row r="6202" spans="4:6" x14ac:dyDescent="0.35">
      <c r="D6202" s="66"/>
      <c r="E6202" s="66"/>
      <c r="F6202" s="66"/>
    </row>
    <row r="6203" spans="4:6" x14ac:dyDescent="0.35">
      <c r="D6203" s="66"/>
      <c r="E6203" s="66"/>
      <c r="F6203" s="66"/>
    </row>
    <row r="6204" spans="4:6" x14ac:dyDescent="0.35">
      <c r="D6204" s="66"/>
      <c r="E6204" s="66"/>
      <c r="F6204" s="66"/>
    </row>
    <row r="6205" spans="4:6" x14ac:dyDescent="0.35">
      <c r="D6205" s="66"/>
      <c r="E6205" s="66"/>
      <c r="F6205" s="66"/>
    </row>
    <row r="6206" spans="4:6" x14ac:dyDescent="0.35">
      <c r="D6206" s="66"/>
      <c r="E6206" s="66"/>
      <c r="F6206" s="66"/>
    </row>
    <row r="6207" spans="4:6" x14ac:dyDescent="0.35">
      <c r="D6207" s="66"/>
      <c r="E6207" s="66"/>
      <c r="F6207" s="66"/>
    </row>
    <row r="6208" spans="4:6" x14ac:dyDescent="0.35">
      <c r="D6208" s="66"/>
      <c r="E6208" s="66"/>
      <c r="F6208" s="66"/>
    </row>
    <row r="6209" spans="4:6" x14ac:dyDescent="0.35">
      <c r="D6209" s="66"/>
      <c r="E6209" s="66"/>
      <c r="F6209" s="66"/>
    </row>
    <row r="6210" spans="4:6" x14ac:dyDescent="0.35">
      <c r="D6210" s="66"/>
      <c r="E6210" s="66"/>
      <c r="F6210" s="66"/>
    </row>
    <row r="6211" spans="4:6" x14ac:dyDescent="0.35">
      <c r="D6211" s="66"/>
      <c r="E6211" s="66"/>
      <c r="F6211" s="66"/>
    </row>
    <row r="6212" spans="4:6" x14ac:dyDescent="0.35">
      <c r="D6212" s="66"/>
      <c r="E6212" s="66"/>
      <c r="F6212" s="66"/>
    </row>
    <row r="6213" spans="4:6" x14ac:dyDescent="0.35">
      <c r="D6213" s="66"/>
      <c r="E6213" s="66"/>
      <c r="F6213" s="66"/>
    </row>
    <row r="6214" spans="4:6" x14ac:dyDescent="0.35">
      <c r="D6214" s="66"/>
      <c r="E6214" s="66"/>
      <c r="F6214" s="66"/>
    </row>
    <row r="6215" spans="4:6" x14ac:dyDescent="0.35">
      <c r="D6215" s="66"/>
      <c r="E6215" s="66"/>
      <c r="F6215" s="66"/>
    </row>
    <row r="6216" spans="4:6" x14ac:dyDescent="0.35">
      <c r="D6216" s="66"/>
      <c r="E6216" s="66"/>
      <c r="F6216" s="66"/>
    </row>
    <row r="6217" spans="4:6" x14ac:dyDescent="0.35">
      <c r="D6217" s="66"/>
      <c r="E6217" s="66"/>
      <c r="F6217" s="66"/>
    </row>
    <row r="6218" spans="4:6" x14ac:dyDescent="0.35">
      <c r="D6218" s="66"/>
      <c r="E6218" s="66"/>
      <c r="F6218" s="66"/>
    </row>
    <row r="6219" spans="4:6" x14ac:dyDescent="0.35">
      <c r="D6219" s="66"/>
      <c r="E6219" s="66"/>
      <c r="F6219" s="66"/>
    </row>
    <row r="6220" spans="4:6" x14ac:dyDescent="0.35">
      <c r="D6220" s="66"/>
      <c r="E6220" s="66"/>
      <c r="F6220" s="66"/>
    </row>
    <row r="6221" spans="4:6" x14ac:dyDescent="0.35">
      <c r="D6221" s="66"/>
      <c r="E6221" s="66"/>
      <c r="F6221" s="66"/>
    </row>
    <row r="6222" spans="4:6" x14ac:dyDescent="0.35">
      <c r="D6222" s="66"/>
      <c r="E6222" s="66"/>
      <c r="F6222" s="66"/>
    </row>
    <row r="6223" spans="4:6" x14ac:dyDescent="0.35">
      <c r="D6223" s="66"/>
      <c r="E6223" s="66"/>
      <c r="F6223" s="66"/>
    </row>
    <row r="6224" spans="4:6" x14ac:dyDescent="0.35">
      <c r="D6224" s="66"/>
      <c r="E6224" s="66"/>
      <c r="F6224" s="66"/>
    </row>
    <row r="6225" spans="4:6" x14ac:dyDescent="0.35">
      <c r="D6225" s="66"/>
      <c r="E6225" s="66"/>
      <c r="F6225" s="66"/>
    </row>
    <row r="6226" spans="4:6" x14ac:dyDescent="0.35">
      <c r="D6226" s="66"/>
      <c r="E6226" s="66"/>
      <c r="F6226" s="66"/>
    </row>
    <row r="6227" spans="4:6" x14ac:dyDescent="0.35">
      <c r="D6227" s="66"/>
      <c r="E6227" s="66"/>
      <c r="F6227" s="66"/>
    </row>
    <row r="6228" spans="4:6" x14ac:dyDescent="0.35">
      <c r="D6228" s="66"/>
      <c r="E6228" s="66"/>
      <c r="F6228" s="66"/>
    </row>
    <row r="6229" spans="4:6" x14ac:dyDescent="0.35">
      <c r="D6229" s="66"/>
      <c r="E6229" s="66"/>
      <c r="F6229" s="66"/>
    </row>
    <row r="6230" spans="4:6" x14ac:dyDescent="0.35">
      <c r="D6230" s="66"/>
      <c r="E6230" s="66"/>
      <c r="F6230" s="66"/>
    </row>
    <row r="6231" spans="4:6" x14ac:dyDescent="0.35">
      <c r="D6231" s="66"/>
      <c r="E6231" s="66"/>
      <c r="F6231" s="66"/>
    </row>
    <row r="6232" spans="4:6" x14ac:dyDescent="0.35">
      <c r="D6232" s="66"/>
      <c r="E6232" s="66"/>
      <c r="F6232" s="66"/>
    </row>
    <row r="6233" spans="4:6" x14ac:dyDescent="0.35">
      <c r="D6233" s="66"/>
      <c r="E6233" s="66"/>
      <c r="F6233" s="66"/>
    </row>
    <row r="6234" spans="4:6" x14ac:dyDescent="0.35">
      <c r="D6234" s="66"/>
      <c r="E6234" s="66"/>
      <c r="F6234" s="66"/>
    </row>
    <row r="6235" spans="4:6" x14ac:dyDescent="0.35">
      <c r="D6235" s="66"/>
      <c r="E6235" s="66"/>
      <c r="F6235" s="66"/>
    </row>
    <row r="6236" spans="4:6" x14ac:dyDescent="0.35">
      <c r="D6236" s="66"/>
      <c r="E6236" s="66"/>
      <c r="F6236" s="66"/>
    </row>
    <row r="6237" spans="4:6" x14ac:dyDescent="0.35">
      <c r="D6237" s="66"/>
      <c r="E6237" s="66"/>
      <c r="F6237" s="66"/>
    </row>
    <row r="6238" spans="4:6" x14ac:dyDescent="0.35">
      <c r="D6238" s="66"/>
      <c r="E6238" s="66"/>
      <c r="F6238" s="66"/>
    </row>
    <row r="6239" spans="4:6" x14ac:dyDescent="0.35">
      <c r="D6239" s="66"/>
      <c r="E6239" s="66"/>
      <c r="F6239" s="66"/>
    </row>
    <row r="6240" spans="4:6" x14ac:dyDescent="0.35">
      <c r="D6240" s="66"/>
      <c r="E6240" s="66"/>
      <c r="F6240" s="66"/>
    </row>
    <row r="6241" spans="4:6" x14ac:dyDescent="0.35">
      <c r="D6241" s="66"/>
      <c r="E6241" s="66"/>
      <c r="F6241" s="66"/>
    </row>
    <row r="6242" spans="4:6" x14ac:dyDescent="0.35">
      <c r="D6242" s="66"/>
      <c r="E6242" s="66"/>
      <c r="F6242" s="66"/>
    </row>
    <row r="6243" spans="4:6" x14ac:dyDescent="0.35">
      <c r="D6243" s="66"/>
      <c r="E6243" s="66"/>
      <c r="F6243" s="66"/>
    </row>
    <row r="6244" spans="4:6" x14ac:dyDescent="0.35">
      <c r="D6244" s="66"/>
      <c r="E6244" s="66"/>
      <c r="F6244" s="66"/>
    </row>
    <row r="6245" spans="4:6" x14ac:dyDescent="0.35">
      <c r="D6245" s="66"/>
      <c r="E6245" s="66"/>
      <c r="F6245" s="66"/>
    </row>
    <row r="6246" spans="4:6" x14ac:dyDescent="0.35">
      <c r="D6246" s="66"/>
      <c r="E6246" s="66"/>
      <c r="F6246" s="66"/>
    </row>
    <row r="6247" spans="4:6" x14ac:dyDescent="0.35">
      <c r="D6247" s="66"/>
      <c r="E6247" s="66"/>
      <c r="F6247" s="66"/>
    </row>
    <row r="6248" spans="4:6" x14ac:dyDescent="0.35">
      <c r="D6248" s="66"/>
      <c r="E6248" s="66"/>
      <c r="F6248" s="66"/>
    </row>
    <row r="6249" spans="4:6" x14ac:dyDescent="0.35">
      <c r="D6249" s="66"/>
      <c r="E6249" s="66"/>
      <c r="F6249" s="66"/>
    </row>
    <row r="6250" spans="4:6" x14ac:dyDescent="0.35">
      <c r="D6250" s="66"/>
      <c r="E6250" s="66"/>
      <c r="F6250" s="66"/>
    </row>
    <row r="6251" spans="4:6" x14ac:dyDescent="0.35">
      <c r="D6251" s="66"/>
      <c r="E6251" s="66"/>
      <c r="F6251" s="66"/>
    </row>
    <row r="6252" spans="4:6" x14ac:dyDescent="0.35">
      <c r="D6252" s="66"/>
      <c r="E6252" s="66"/>
      <c r="F6252" s="66"/>
    </row>
    <row r="6253" spans="4:6" x14ac:dyDescent="0.35">
      <c r="D6253" s="66"/>
      <c r="E6253" s="66"/>
      <c r="F6253" s="66"/>
    </row>
    <row r="6254" spans="4:6" x14ac:dyDescent="0.35">
      <c r="D6254" s="66"/>
      <c r="E6254" s="66"/>
      <c r="F6254" s="66"/>
    </row>
    <row r="6255" spans="4:6" x14ac:dyDescent="0.35">
      <c r="D6255" s="66"/>
      <c r="E6255" s="66"/>
      <c r="F6255" s="66"/>
    </row>
    <row r="6256" spans="4:6" x14ac:dyDescent="0.35">
      <c r="D6256" s="66"/>
      <c r="E6256" s="66"/>
      <c r="F6256" s="66"/>
    </row>
    <row r="6257" spans="4:6" x14ac:dyDescent="0.35">
      <c r="D6257" s="66"/>
      <c r="E6257" s="66"/>
      <c r="F6257" s="66"/>
    </row>
    <row r="6258" spans="4:6" x14ac:dyDescent="0.35">
      <c r="D6258" s="66"/>
      <c r="E6258" s="66"/>
      <c r="F6258" s="66"/>
    </row>
    <row r="6259" spans="4:6" x14ac:dyDescent="0.35">
      <c r="D6259" s="66"/>
      <c r="E6259" s="66"/>
      <c r="F6259" s="66"/>
    </row>
    <row r="6260" spans="4:6" x14ac:dyDescent="0.35">
      <c r="D6260" s="66"/>
      <c r="E6260" s="66"/>
      <c r="F6260" s="66"/>
    </row>
    <row r="6261" spans="4:6" x14ac:dyDescent="0.35">
      <c r="D6261" s="66"/>
      <c r="E6261" s="66"/>
      <c r="F6261" s="66"/>
    </row>
    <row r="6262" spans="4:6" x14ac:dyDescent="0.35">
      <c r="D6262" s="66"/>
      <c r="E6262" s="66"/>
      <c r="F6262" s="66"/>
    </row>
    <row r="6263" spans="4:6" x14ac:dyDescent="0.35">
      <c r="D6263" s="66"/>
      <c r="E6263" s="66"/>
      <c r="F6263" s="66"/>
    </row>
    <row r="6264" spans="4:6" x14ac:dyDescent="0.35">
      <c r="D6264" s="66"/>
      <c r="E6264" s="66"/>
      <c r="F6264" s="66"/>
    </row>
    <row r="6265" spans="4:6" x14ac:dyDescent="0.35">
      <c r="D6265" s="66"/>
      <c r="E6265" s="66"/>
      <c r="F6265" s="66"/>
    </row>
    <row r="6266" spans="4:6" x14ac:dyDescent="0.35">
      <c r="D6266" s="66"/>
      <c r="E6266" s="66"/>
      <c r="F6266" s="66"/>
    </row>
    <row r="6267" spans="4:6" x14ac:dyDescent="0.35">
      <c r="D6267" s="66"/>
      <c r="E6267" s="66"/>
      <c r="F6267" s="66"/>
    </row>
    <row r="6268" spans="4:6" x14ac:dyDescent="0.35">
      <c r="D6268" s="66"/>
      <c r="E6268" s="66"/>
      <c r="F6268" s="66"/>
    </row>
    <row r="6269" spans="4:6" x14ac:dyDescent="0.35">
      <c r="D6269" s="66"/>
      <c r="E6269" s="66"/>
      <c r="F6269" s="66"/>
    </row>
    <row r="6270" spans="4:6" x14ac:dyDescent="0.35">
      <c r="D6270" s="66"/>
      <c r="E6270" s="66"/>
      <c r="F6270" s="66"/>
    </row>
    <row r="6271" spans="4:6" x14ac:dyDescent="0.35">
      <c r="D6271" s="66"/>
      <c r="E6271" s="66"/>
      <c r="F6271" s="66"/>
    </row>
    <row r="6272" spans="4:6" x14ac:dyDescent="0.35">
      <c r="D6272" s="66"/>
      <c r="E6272" s="66"/>
      <c r="F6272" s="66"/>
    </row>
    <row r="6273" spans="4:6" x14ac:dyDescent="0.35">
      <c r="D6273" s="66"/>
      <c r="E6273" s="66"/>
      <c r="F6273" s="66"/>
    </row>
    <row r="6274" spans="4:6" x14ac:dyDescent="0.35">
      <c r="D6274" s="66"/>
      <c r="E6274" s="66"/>
      <c r="F6274" s="66"/>
    </row>
    <row r="6275" spans="4:6" x14ac:dyDescent="0.35">
      <c r="D6275" s="66"/>
      <c r="E6275" s="66"/>
      <c r="F6275" s="66"/>
    </row>
    <row r="6276" spans="4:6" x14ac:dyDescent="0.35">
      <c r="D6276" s="66"/>
      <c r="E6276" s="66"/>
      <c r="F6276" s="66"/>
    </row>
    <row r="6277" spans="4:6" x14ac:dyDescent="0.35">
      <c r="D6277" s="66"/>
      <c r="E6277" s="66"/>
      <c r="F6277" s="66"/>
    </row>
    <row r="6278" spans="4:6" x14ac:dyDescent="0.35">
      <c r="D6278" s="66"/>
      <c r="E6278" s="66"/>
      <c r="F6278" s="66"/>
    </row>
    <row r="6279" spans="4:6" x14ac:dyDescent="0.35">
      <c r="D6279" s="66"/>
      <c r="E6279" s="66"/>
      <c r="F6279" s="66"/>
    </row>
    <row r="6280" spans="4:6" x14ac:dyDescent="0.35">
      <c r="D6280" s="66"/>
      <c r="E6280" s="66"/>
      <c r="F6280" s="66"/>
    </row>
    <row r="6281" spans="4:6" x14ac:dyDescent="0.35">
      <c r="D6281" s="66"/>
      <c r="E6281" s="66"/>
      <c r="F6281" s="66"/>
    </row>
    <row r="6282" spans="4:6" x14ac:dyDescent="0.35">
      <c r="D6282" s="66"/>
      <c r="E6282" s="66"/>
      <c r="F6282" s="66"/>
    </row>
    <row r="6283" spans="4:6" x14ac:dyDescent="0.35">
      <c r="D6283" s="66"/>
      <c r="E6283" s="66"/>
      <c r="F6283" s="66"/>
    </row>
    <row r="6284" spans="4:6" x14ac:dyDescent="0.35">
      <c r="D6284" s="66"/>
      <c r="E6284" s="66"/>
      <c r="F6284" s="66"/>
    </row>
    <row r="6285" spans="4:6" x14ac:dyDescent="0.35">
      <c r="D6285" s="66"/>
      <c r="E6285" s="66"/>
      <c r="F6285" s="66"/>
    </row>
    <row r="6286" spans="4:6" x14ac:dyDescent="0.35">
      <c r="D6286" s="66"/>
      <c r="E6286" s="66"/>
      <c r="F6286" s="66"/>
    </row>
    <row r="6287" spans="4:6" x14ac:dyDescent="0.35">
      <c r="D6287" s="66"/>
      <c r="E6287" s="66"/>
      <c r="F6287" s="66"/>
    </row>
    <row r="6288" spans="4:6" x14ac:dyDescent="0.35">
      <c r="D6288" s="66"/>
      <c r="E6288" s="66"/>
      <c r="F6288" s="66"/>
    </row>
    <row r="6289" spans="4:6" x14ac:dyDescent="0.35">
      <c r="D6289" s="66"/>
      <c r="E6289" s="66"/>
      <c r="F6289" s="66"/>
    </row>
    <row r="6290" spans="4:6" x14ac:dyDescent="0.35">
      <c r="D6290" s="66"/>
      <c r="E6290" s="66"/>
      <c r="F6290" s="66"/>
    </row>
    <row r="6291" spans="4:6" x14ac:dyDescent="0.35">
      <c r="D6291" s="66"/>
      <c r="E6291" s="66"/>
      <c r="F6291" s="66"/>
    </row>
    <row r="6292" spans="4:6" x14ac:dyDescent="0.35">
      <c r="D6292" s="66"/>
      <c r="E6292" s="66"/>
      <c r="F6292" s="66"/>
    </row>
    <row r="6293" spans="4:6" x14ac:dyDescent="0.35">
      <c r="D6293" s="66"/>
      <c r="E6293" s="66"/>
      <c r="F6293" s="66"/>
    </row>
    <row r="6294" spans="4:6" x14ac:dyDescent="0.35">
      <c r="D6294" s="66"/>
      <c r="E6294" s="66"/>
      <c r="F6294" s="66"/>
    </row>
    <row r="6295" spans="4:6" x14ac:dyDescent="0.35">
      <c r="D6295" s="66"/>
      <c r="E6295" s="66"/>
      <c r="F6295" s="66"/>
    </row>
    <row r="6296" spans="4:6" x14ac:dyDescent="0.35">
      <c r="D6296" s="66"/>
      <c r="E6296" s="66"/>
      <c r="F6296" s="66"/>
    </row>
    <row r="6297" spans="4:6" x14ac:dyDescent="0.35">
      <c r="D6297" s="66"/>
      <c r="E6297" s="66"/>
      <c r="F6297" s="66"/>
    </row>
    <row r="6298" spans="4:6" x14ac:dyDescent="0.35">
      <c r="D6298" s="66"/>
      <c r="E6298" s="66"/>
      <c r="F6298" s="66"/>
    </row>
    <row r="6299" spans="4:6" x14ac:dyDescent="0.35">
      <c r="D6299" s="66"/>
      <c r="E6299" s="66"/>
      <c r="F6299" s="66"/>
    </row>
    <row r="6300" spans="4:6" x14ac:dyDescent="0.35">
      <c r="D6300" s="66"/>
      <c r="E6300" s="66"/>
      <c r="F6300" s="66"/>
    </row>
    <row r="6301" spans="4:6" x14ac:dyDescent="0.35">
      <c r="D6301" s="66"/>
      <c r="E6301" s="66"/>
      <c r="F6301" s="66"/>
    </row>
    <row r="6302" spans="4:6" x14ac:dyDescent="0.35">
      <c r="D6302" s="66"/>
      <c r="E6302" s="66"/>
      <c r="F6302" s="66"/>
    </row>
    <row r="6303" spans="4:6" x14ac:dyDescent="0.35">
      <c r="D6303" s="66"/>
      <c r="E6303" s="66"/>
      <c r="F6303" s="66"/>
    </row>
    <row r="6304" spans="4:6" x14ac:dyDescent="0.35">
      <c r="D6304" s="66"/>
      <c r="E6304" s="66"/>
      <c r="F6304" s="66"/>
    </row>
    <row r="6305" spans="4:6" x14ac:dyDescent="0.35">
      <c r="D6305" s="66"/>
      <c r="E6305" s="66"/>
      <c r="F6305" s="66"/>
    </row>
    <row r="6306" spans="4:6" x14ac:dyDescent="0.35">
      <c r="D6306" s="66"/>
      <c r="E6306" s="66"/>
      <c r="F6306" s="66"/>
    </row>
    <row r="6307" spans="4:6" x14ac:dyDescent="0.35">
      <c r="D6307" s="66"/>
      <c r="E6307" s="66"/>
      <c r="F6307" s="66"/>
    </row>
    <row r="6308" spans="4:6" x14ac:dyDescent="0.35">
      <c r="D6308" s="66"/>
      <c r="E6308" s="66"/>
      <c r="F6308" s="66"/>
    </row>
    <row r="6309" spans="4:6" x14ac:dyDescent="0.35">
      <c r="D6309" s="66"/>
      <c r="E6309" s="66"/>
      <c r="F6309" s="66"/>
    </row>
    <row r="6310" spans="4:6" x14ac:dyDescent="0.35">
      <c r="D6310" s="66"/>
      <c r="E6310" s="66"/>
      <c r="F6310" s="66"/>
    </row>
    <row r="6311" spans="4:6" x14ac:dyDescent="0.35">
      <c r="D6311" s="66"/>
      <c r="E6311" s="66"/>
      <c r="F6311" s="66"/>
    </row>
    <row r="6312" spans="4:6" x14ac:dyDescent="0.35">
      <c r="D6312" s="66"/>
      <c r="E6312" s="66"/>
      <c r="F6312" s="66"/>
    </row>
    <row r="6313" spans="4:6" x14ac:dyDescent="0.35">
      <c r="D6313" s="66"/>
      <c r="E6313" s="66"/>
      <c r="F6313" s="66"/>
    </row>
    <row r="6314" spans="4:6" x14ac:dyDescent="0.35">
      <c r="D6314" s="66"/>
      <c r="E6314" s="66"/>
      <c r="F6314" s="66"/>
    </row>
    <row r="6315" spans="4:6" x14ac:dyDescent="0.35">
      <c r="D6315" s="66"/>
      <c r="E6315" s="66"/>
      <c r="F6315" s="66"/>
    </row>
    <row r="6316" spans="4:6" x14ac:dyDescent="0.35">
      <c r="D6316" s="66"/>
      <c r="E6316" s="66"/>
      <c r="F6316" s="66"/>
    </row>
    <row r="6317" spans="4:6" x14ac:dyDescent="0.35">
      <c r="D6317" s="66"/>
      <c r="E6317" s="66"/>
      <c r="F6317" s="66"/>
    </row>
    <row r="6318" spans="4:6" x14ac:dyDescent="0.35">
      <c r="D6318" s="66"/>
      <c r="E6318" s="66"/>
      <c r="F6318" s="66"/>
    </row>
    <row r="6319" spans="4:6" x14ac:dyDescent="0.35">
      <c r="D6319" s="66"/>
      <c r="E6319" s="66"/>
      <c r="F6319" s="66"/>
    </row>
    <row r="6320" spans="4:6" x14ac:dyDescent="0.35">
      <c r="D6320" s="66"/>
      <c r="E6320" s="66"/>
      <c r="F6320" s="66"/>
    </row>
    <row r="6321" spans="4:6" x14ac:dyDescent="0.35">
      <c r="D6321" s="66"/>
      <c r="E6321" s="66"/>
      <c r="F6321" s="66"/>
    </row>
    <row r="6322" spans="4:6" x14ac:dyDescent="0.35">
      <c r="D6322" s="66"/>
      <c r="E6322" s="66"/>
      <c r="F6322" s="66"/>
    </row>
    <row r="6323" spans="4:6" x14ac:dyDescent="0.35">
      <c r="D6323" s="66"/>
      <c r="E6323" s="66"/>
      <c r="F6323" s="66"/>
    </row>
    <row r="6324" spans="4:6" x14ac:dyDescent="0.35">
      <c r="D6324" s="66"/>
      <c r="E6324" s="66"/>
      <c r="F6324" s="66"/>
    </row>
    <row r="6325" spans="4:6" x14ac:dyDescent="0.35">
      <c r="D6325" s="66"/>
      <c r="E6325" s="66"/>
      <c r="F6325" s="66"/>
    </row>
    <row r="6326" spans="4:6" x14ac:dyDescent="0.35">
      <c r="D6326" s="66"/>
      <c r="E6326" s="66"/>
      <c r="F6326" s="66"/>
    </row>
    <row r="6327" spans="4:6" x14ac:dyDescent="0.35">
      <c r="D6327" s="66"/>
      <c r="E6327" s="66"/>
      <c r="F6327" s="66"/>
    </row>
    <row r="6328" spans="4:6" x14ac:dyDescent="0.35">
      <c r="D6328" s="66"/>
      <c r="E6328" s="66"/>
      <c r="F6328" s="66"/>
    </row>
    <row r="6329" spans="4:6" x14ac:dyDescent="0.35">
      <c r="D6329" s="66"/>
      <c r="E6329" s="66"/>
      <c r="F6329" s="66"/>
    </row>
    <row r="6330" spans="4:6" x14ac:dyDescent="0.35">
      <c r="D6330" s="66"/>
      <c r="E6330" s="66"/>
      <c r="F6330" s="66"/>
    </row>
    <row r="6331" spans="4:6" x14ac:dyDescent="0.35">
      <c r="D6331" s="66"/>
      <c r="E6331" s="66"/>
      <c r="F6331" s="66"/>
    </row>
    <row r="6332" spans="4:6" x14ac:dyDescent="0.35">
      <c r="D6332" s="66"/>
      <c r="E6332" s="66"/>
      <c r="F6332" s="66"/>
    </row>
    <row r="6333" spans="4:6" x14ac:dyDescent="0.35">
      <c r="D6333" s="66"/>
      <c r="E6333" s="66"/>
      <c r="F6333" s="66"/>
    </row>
    <row r="6334" spans="4:6" x14ac:dyDescent="0.35">
      <c r="D6334" s="66"/>
      <c r="E6334" s="66"/>
      <c r="F6334" s="66"/>
    </row>
    <row r="6335" spans="4:6" x14ac:dyDescent="0.35">
      <c r="D6335" s="66"/>
      <c r="E6335" s="66"/>
      <c r="F6335" s="66"/>
    </row>
    <row r="6336" spans="4:6" x14ac:dyDescent="0.35">
      <c r="D6336" s="66"/>
      <c r="E6336" s="66"/>
      <c r="F6336" s="66"/>
    </row>
    <row r="6337" spans="4:6" x14ac:dyDescent="0.35">
      <c r="D6337" s="66"/>
      <c r="E6337" s="66"/>
      <c r="F6337" s="66"/>
    </row>
    <row r="6338" spans="4:6" x14ac:dyDescent="0.35">
      <c r="D6338" s="66"/>
      <c r="E6338" s="66"/>
      <c r="F6338" s="66"/>
    </row>
    <row r="6339" spans="4:6" x14ac:dyDescent="0.35">
      <c r="D6339" s="66"/>
      <c r="E6339" s="66"/>
      <c r="F6339" s="66"/>
    </row>
    <row r="6340" spans="4:6" x14ac:dyDescent="0.35">
      <c r="D6340" s="66"/>
      <c r="E6340" s="66"/>
      <c r="F6340" s="66"/>
    </row>
    <row r="6341" spans="4:6" x14ac:dyDescent="0.35">
      <c r="D6341" s="66"/>
      <c r="E6341" s="66"/>
      <c r="F6341" s="66"/>
    </row>
    <row r="6342" spans="4:6" x14ac:dyDescent="0.35">
      <c r="D6342" s="66"/>
      <c r="E6342" s="66"/>
      <c r="F6342" s="66"/>
    </row>
    <row r="6343" spans="4:6" x14ac:dyDescent="0.35">
      <c r="D6343" s="66"/>
      <c r="E6343" s="66"/>
      <c r="F6343" s="66"/>
    </row>
    <row r="6344" spans="4:6" x14ac:dyDescent="0.35">
      <c r="D6344" s="66"/>
      <c r="E6344" s="66"/>
      <c r="F6344" s="66"/>
    </row>
    <row r="6345" spans="4:6" x14ac:dyDescent="0.35">
      <c r="D6345" s="66"/>
      <c r="E6345" s="66"/>
      <c r="F6345" s="66"/>
    </row>
    <row r="6346" spans="4:6" x14ac:dyDescent="0.35">
      <c r="D6346" s="66"/>
      <c r="E6346" s="66"/>
      <c r="F6346" s="66"/>
    </row>
    <row r="6347" spans="4:6" x14ac:dyDescent="0.35">
      <c r="D6347" s="66"/>
      <c r="E6347" s="66"/>
      <c r="F6347" s="66"/>
    </row>
    <row r="6348" spans="4:6" x14ac:dyDescent="0.35">
      <c r="D6348" s="66"/>
      <c r="E6348" s="66"/>
      <c r="F6348" s="66"/>
    </row>
    <row r="6349" spans="4:6" x14ac:dyDescent="0.35">
      <c r="D6349" s="66"/>
      <c r="E6349" s="66"/>
      <c r="F6349" s="66"/>
    </row>
    <row r="6350" spans="4:6" x14ac:dyDescent="0.35">
      <c r="D6350" s="66"/>
      <c r="E6350" s="66"/>
      <c r="F6350" s="66"/>
    </row>
    <row r="6351" spans="4:6" x14ac:dyDescent="0.35">
      <c r="D6351" s="66"/>
      <c r="E6351" s="66"/>
      <c r="F6351" s="66"/>
    </row>
    <row r="6352" spans="4:6" x14ac:dyDescent="0.35">
      <c r="D6352" s="66"/>
      <c r="E6352" s="66"/>
      <c r="F6352" s="66"/>
    </row>
    <row r="6353" spans="4:6" x14ac:dyDescent="0.35">
      <c r="D6353" s="66"/>
      <c r="E6353" s="66"/>
      <c r="F6353" s="66"/>
    </row>
    <row r="6354" spans="4:6" x14ac:dyDescent="0.35">
      <c r="D6354" s="66"/>
      <c r="E6354" s="66"/>
      <c r="F6354" s="66"/>
    </row>
    <row r="6355" spans="4:6" x14ac:dyDescent="0.35">
      <c r="D6355" s="66"/>
      <c r="E6355" s="66"/>
      <c r="F6355" s="66"/>
    </row>
    <row r="6356" spans="4:6" x14ac:dyDescent="0.35">
      <c r="D6356" s="66"/>
      <c r="E6356" s="66"/>
      <c r="F6356" s="66"/>
    </row>
    <row r="6357" spans="4:6" x14ac:dyDescent="0.35">
      <c r="D6357" s="66"/>
      <c r="E6357" s="66"/>
      <c r="F6357" s="66"/>
    </row>
    <row r="6358" spans="4:6" x14ac:dyDescent="0.35">
      <c r="D6358" s="66"/>
      <c r="E6358" s="66"/>
      <c r="F6358" s="66"/>
    </row>
    <row r="6359" spans="4:6" x14ac:dyDescent="0.35">
      <c r="D6359" s="66"/>
      <c r="E6359" s="66"/>
      <c r="F6359" s="66"/>
    </row>
    <row r="6360" spans="4:6" x14ac:dyDescent="0.35">
      <c r="D6360" s="66"/>
      <c r="E6360" s="66"/>
      <c r="F6360" s="66"/>
    </row>
    <row r="6361" spans="4:6" x14ac:dyDescent="0.35">
      <c r="D6361" s="66"/>
      <c r="E6361" s="66"/>
      <c r="F6361" s="66"/>
    </row>
    <row r="6362" spans="4:6" x14ac:dyDescent="0.35">
      <c r="D6362" s="66"/>
      <c r="E6362" s="66"/>
      <c r="F6362" s="66"/>
    </row>
    <row r="6363" spans="4:6" x14ac:dyDescent="0.35">
      <c r="D6363" s="66"/>
      <c r="E6363" s="66"/>
      <c r="F6363" s="66"/>
    </row>
    <row r="6364" spans="4:6" x14ac:dyDescent="0.35">
      <c r="D6364" s="66"/>
      <c r="E6364" s="66"/>
      <c r="F6364" s="66"/>
    </row>
    <row r="6365" spans="4:6" x14ac:dyDescent="0.35">
      <c r="D6365" s="66"/>
      <c r="E6365" s="66"/>
      <c r="F6365" s="66"/>
    </row>
    <row r="6366" spans="4:6" x14ac:dyDescent="0.35">
      <c r="D6366" s="66"/>
      <c r="E6366" s="66"/>
      <c r="F6366" s="66"/>
    </row>
    <row r="6367" spans="4:6" x14ac:dyDescent="0.35">
      <c r="D6367" s="66"/>
      <c r="E6367" s="66"/>
      <c r="F6367" s="66"/>
    </row>
    <row r="6368" spans="4:6" x14ac:dyDescent="0.35">
      <c r="D6368" s="66"/>
      <c r="E6368" s="66"/>
      <c r="F6368" s="66"/>
    </row>
    <row r="6369" spans="4:6" x14ac:dyDescent="0.35">
      <c r="D6369" s="66"/>
      <c r="E6369" s="66"/>
      <c r="F6369" s="66"/>
    </row>
    <row r="6370" spans="4:6" x14ac:dyDescent="0.35">
      <c r="D6370" s="66"/>
      <c r="E6370" s="66"/>
      <c r="F6370" s="66"/>
    </row>
    <row r="6371" spans="4:6" x14ac:dyDescent="0.35">
      <c r="D6371" s="66"/>
      <c r="E6371" s="66"/>
      <c r="F6371" s="66"/>
    </row>
    <row r="6372" spans="4:6" x14ac:dyDescent="0.35">
      <c r="D6372" s="66"/>
      <c r="E6372" s="66"/>
      <c r="F6372" s="66"/>
    </row>
    <row r="6373" spans="4:6" x14ac:dyDescent="0.35">
      <c r="D6373" s="66"/>
      <c r="E6373" s="66"/>
      <c r="F6373" s="66"/>
    </row>
    <row r="6374" spans="4:6" x14ac:dyDescent="0.35">
      <c r="D6374" s="66"/>
      <c r="E6374" s="66"/>
      <c r="F6374" s="66"/>
    </row>
    <row r="6375" spans="4:6" x14ac:dyDescent="0.35">
      <c r="D6375" s="66"/>
      <c r="E6375" s="66"/>
      <c r="F6375" s="66"/>
    </row>
    <row r="6376" spans="4:6" x14ac:dyDescent="0.35">
      <c r="D6376" s="66"/>
      <c r="E6376" s="66"/>
      <c r="F6376" s="66"/>
    </row>
    <row r="6377" spans="4:6" x14ac:dyDescent="0.35">
      <c r="D6377" s="66"/>
      <c r="E6377" s="66"/>
      <c r="F6377" s="66"/>
    </row>
    <row r="6378" spans="4:6" x14ac:dyDescent="0.35">
      <c r="D6378" s="66"/>
      <c r="E6378" s="66"/>
      <c r="F6378" s="66"/>
    </row>
    <row r="6379" spans="4:6" x14ac:dyDescent="0.35">
      <c r="D6379" s="66"/>
      <c r="E6379" s="66"/>
      <c r="F6379" s="66"/>
    </row>
    <row r="6380" spans="4:6" x14ac:dyDescent="0.35">
      <c r="D6380" s="66"/>
      <c r="E6380" s="66"/>
      <c r="F6380" s="66"/>
    </row>
    <row r="6381" spans="4:6" x14ac:dyDescent="0.35">
      <c r="D6381" s="66"/>
      <c r="E6381" s="66"/>
      <c r="F6381" s="66"/>
    </row>
    <row r="6382" spans="4:6" x14ac:dyDescent="0.35">
      <c r="D6382" s="66"/>
      <c r="E6382" s="66"/>
      <c r="F6382" s="66"/>
    </row>
    <row r="6383" spans="4:6" x14ac:dyDescent="0.35">
      <c r="D6383" s="66"/>
      <c r="E6383" s="66"/>
      <c r="F6383" s="66"/>
    </row>
    <row r="6384" spans="4:6" x14ac:dyDescent="0.35">
      <c r="D6384" s="66"/>
      <c r="E6384" s="66"/>
      <c r="F6384" s="66"/>
    </row>
    <row r="6385" spans="4:6" x14ac:dyDescent="0.35">
      <c r="D6385" s="66"/>
      <c r="E6385" s="66"/>
      <c r="F6385" s="66"/>
    </row>
    <row r="6386" spans="4:6" x14ac:dyDescent="0.35">
      <c r="D6386" s="66"/>
      <c r="E6386" s="66"/>
      <c r="F6386" s="66"/>
    </row>
    <row r="6387" spans="4:6" x14ac:dyDescent="0.35">
      <c r="D6387" s="66"/>
      <c r="E6387" s="66"/>
      <c r="F6387" s="66"/>
    </row>
    <row r="6388" spans="4:6" x14ac:dyDescent="0.35">
      <c r="D6388" s="66"/>
      <c r="E6388" s="66"/>
      <c r="F6388" s="66"/>
    </row>
    <row r="6389" spans="4:6" x14ac:dyDescent="0.35">
      <c r="D6389" s="66"/>
      <c r="E6389" s="66"/>
      <c r="F6389" s="66"/>
    </row>
    <row r="6390" spans="4:6" x14ac:dyDescent="0.35">
      <c r="D6390" s="66"/>
      <c r="E6390" s="66"/>
      <c r="F6390" s="66"/>
    </row>
    <row r="6391" spans="4:6" x14ac:dyDescent="0.35">
      <c r="D6391" s="66"/>
      <c r="E6391" s="66"/>
      <c r="F6391" s="66"/>
    </row>
    <row r="6392" spans="4:6" x14ac:dyDescent="0.35">
      <c r="D6392" s="66"/>
      <c r="E6392" s="66"/>
      <c r="F6392" s="66"/>
    </row>
    <row r="6393" spans="4:6" x14ac:dyDescent="0.35">
      <c r="D6393" s="66"/>
      <c r="E6393" s="66"/>
      <c r="F6393" s="66"/>
    </row>
    <row r="6394" spans="4:6" x14ac:dyDescent="0.35">
      <c r="D6394" s="66"/>
      <c r="E6394" s="66"/>
      <c r="F6394" s="66"/>
    </row>
    <row r="6395" spans="4:6" x14ac:dyDescent="0.35">
      <c r="D6395" s="66"/>
      <c r="E6395" s="66"/>
      <c r="F6395" s="66"/>
    </row>
    <row r="6396" spans="4:6" x14ac:dyDescent="0.35">
      <c r="D6396" s="66"/>
      <c r="E6396" s="66"/>
      <c r="F6396" s="66"/>
    </row>
    <row r="6397" spans="4:6" x14ac:dyDescent="0.35">
      <c r="D6397" s="66"/>
      <c r="E6397" s="66"/>
      <c r="F6397" s="66"/>
    </row>
    <row r="6398" spans="4:6" x14ac:dyDescent="0.35">
      <c r="D6398" s="66"/>
      <c r="E6398" s="66"/>
      <c r="F6398" s="66"/>
    </row>
    <row r="6399" spans="4:6" x14ac:dyDescent="0.35">
      <c r="D6399" s="66"/>
      <c r="E6399" s="66"/>
      <c r="F6399" s="66"/>
    </row>
    <row r="6400" spans="4:6" x14ac:dyDescent="0.35">
      <c r="D6400" s="66"/>
      <c r="E6400" s="66"/>
      <c r="F6400" s="66"/>
    </row>
    <row r="6401" spans="4:6" x14ac:dyDescent="0.35">
      <c r="D6401" s="66"/>
      <c r="E6401" s="66"/>
      <c r="F6401" s="66"/>
    </row>
    <row r="6402" spans="4:6" x14ac:dyDescent="0.35">
      <c r="D6402" s="66"/>
      <c r="E6402" s="66"/>
      <c r="F6402" s="66"/>
    </row>
    <row r="6403" spans="4:6" x14ac:dyDescent="0.35">
      <c r="D6403" s="66"/>
      <c r="E6403" s="66"/>
      <c r="F6403" s="66"/>
    </row>
    <row r="6404" spans="4:6" x14ac:dyDescent="0.35">
      <c r="D6404" s="66"/>
      <c r="E6404" s="66"/>
      <c r="F6404" s="66"/>
    </row>
    <row r="6405" spans="4:6" x14ac:dyDescent="0.35">
      <c r="D6405" s="66"/>
      <c r="E6405" s="66"/>
      <c r="F6405" s="66"/>
    </row>
    <row r="6406" spans="4:6" x14ac:dyDescent="0.35">
      <c r="D6406" s="66"/>
      <c r="E6406" s="66"/>
      <c r="F6406" s="66"/>
    </row>
    <row r="6407" spans="4:6" x14ac:dyDescent="0.35">
      <c r="D6407" s="66"/>
      <c r="E6407" s="66"/>
      <c r="F6407" s="66"/>
    </row>
    <row r="6408" spans="4:6" x14ac:dyDescent="0.35">
      <c r="D6408" s="66"/>
      <c r="E6408" s="66"/>
      <c r="F6408" s="66"/>
    </row>
    <row r="6409" spans="4:6" x14ac:dyDescent="0.35">
      <c r="D6409" s="66"/>
      <c r="E6409" s="66"/>
      <c r="F6409" s="66"/>
    </row>
    <row r="6410" spans="4:6" x14ac:dyDescent="0.35">
      <c r="D6410" s="66"/>
      <c r="E6410" s="66"/>
      <c r="F6410" s="66"/>
    </row>
    <row r="6411" spans="4:6" x14ac:dyDescent="0.35">
      <c r="D6411" s="66"/>
      <c r="E6411" s="66"/>
      <c r="F6411" s="66"/>
    </row>
    <row r="6412" spans="4:6" x14ac:dyDescent="0.35">
      <c r="D6412" s="66"/>
      <c r="E6412" s="66"/>
      <c r="F6412" s="66"/>
    </row>
    <row r="6413" spans="4:6" x14ac:dyDescent="0.35">
      <c r="D6413" s="66"/>
      <c r="E6413" s="66"/>
      <c r="F6413" s="66"/>
    </row>
    <row r="6414" spans="4:6" x14ac:dyDescent="0.35">
      <c r="D6414" s="66"/>
      <c r="E6414" s="66"/>
      <c r="F6414" s="66"/>
    </row>
    <row r="6415" spans="4:6" x14ac:dyDescent="0.35">
      <c r="D6415" s="66"/>
      <c r="E6415" s="66"/>
      <c r="F6415" s="66"/>
    </row>
    <row r="6416" spans="4:6" x14ac:dyDescent="0.35">
      <c r="D6416" s="66"/>
      <c r="E6416" s="66"/>
      <c r="F6416" s="66"/>
    </row>
    <row r="6417" spans="4:6" x14ac:dyDescent="0.35">
      <c r="D6417" s="66"/>
      <c r="E6417" s="66"/>
      <c r="F6417" s="66"/>
    </row>
    <row r="6418" spans="4:6" x14ac:dyDescent="0.35">
      <c r="D6418" s="66"/>
      <c r="E6418" s="66"/>
      <c r="F6418" s="66"/>
    </row>
    <row r="6419" spans="4:6" x14ac:dyDescent="0.35">
      <c r="D6419" s="66"/>
      <c r="E6419" s="66"/>
      <c r="F6419" s="66"/>
    </row>
    <row r="6420" spans="4:6" x14ac:dyDescent="0.35">
      <c r="D6420" s="66"/>
      <c r="E6420" s="66"/>
      <c r="F6420" s="66"/>
    </row>
    <row r="6421" spans="4:6" x14ac:dyDescent="0.35">
      <c r="D6421" s="66"/>
      <c r="E6421" s="66"/>
      <c r="F6421" s="66"/>
    </row>
    <row r="6422" spans="4:6" x14ac:dyDescent="0.35">
      <c r="D6422" s="66"/>
      <c r="E6422" s="66"/>
      <c r="F6422" s="66"/>
    </row>
    <row r="6423" spans="4:6" x14ac:dyDescent="0.35">
      <c r="D6423" s="66"/>
      <c r="E6423" s="66"/>
      <c r="F6423" s="66"/>
    </row>
    <row r="6424" spans="4:6" x14ac:dyDescent="0.35">
      <c r="D6424" s="66"/>
      <c r="E6424" s="66"/>
      <c r="F6424" s="66"/>
    </row>
    <row r="6425" spans="4:6" x14ac:dyDescent="0.35">
      <c r="D6425" s="66"/>
      <c r="E6425" s="66"/>
      <c r="F6425" s="66"/>
    </row>
    <row r="6426" spans="4:6" x14ac:dyDescent="0.35">
      <c r="D6426" s="66"/>
      <c r="E6426" s="66"/>
      <c r="F6426" s="66"/>
    </row>
    <row r="6427" spans="4:6" x14ac:dyDescent="0.35">
      <c r="D6427" s="66"/>
      <c r="E6427" s="66"/>
      <c r="F6427" s="66"/>
    </row>
    <row r="6428" spans="4:6" x14ac:dyDescent="0.35">
      <c r="D6428" s="66"/>
      <c r="E6428" s="66"/>
      <c r="F6428" s="66"/>
    </row>
    <row r="6429" spans="4:6" x14ac:dyDescent="0.35">
      <c r="D6429" s="66"/>
      <c r="E6429" s="66"/>
      <c r="F6429" s="66"/>
    </row>
    <row r="6430" spans="4:6" x14ac:dyDescent="0.35">
      <c r="D6430" s="66"/>
      <c r="E6430" s="66"/>
      <c r="F6430" s="66"/>
    </row>
    <row r="6431" spans="4:6" x14ac:dyDescent="0.35">
      <c r="D6431" s="66"/>
      <c r="E6431" s="66"/>
      <c r="F6431" s="66"/>
    </row>
    <row r="6432" spans="4:6" x14ac:dyDescent="0.35">
      <c r="D6432" s="66"/>
      <c r="E6432" s="66"/>
      <c r="F6432" s="66"/>
    </row>
    <row r="6433" spans="4:6" x14ac:dyDescent="0.35">
      <c r="D6433" s="66"/>
      <c r="E6433" s="66"/>
      <c r="F6433" s="66"/>
    </row>
    <row r="6434" spans="4:6" x14ac:dyDescent="0.35">
      <c r="D6434" s="66"/>
      <c r="E6434" s="66"/>
      <c r="F6434" s="66"/>
    </row>
    <row r="6435" spans="4:6" x14ac:dyDescent="0.35">
      <c r="D6435" s="66"/>
      <c r="E6435" s="66"/>
      <c r="F6435" s="66"/>
    </row>
    <row r="6436" spans="4:6" x14ac:dyDescent="0.35">
      <c r="D6436" s="66"/>
      <c r="E6436" s="66"/>
      <c r="F6436" s="66"/>
    </row>
    <row r="6437" spans="4:6" x14ac:dyDescent="0.35">
      <c r="D6437" s="66"/>
      <c r="E6437" s="66"/>
      <c r="F6437" s="66"/>
    </row>
    <row r="6438" spans="4:6" x14ac:dyDescent="0.35">
      <c r="D6438" s="66"/>
      <c r="E6438" s="66"/>
      <c r="F6438" s="66"/>
    </row>
    <row r="6439" spans="4:6" x14ac:dyDescent="0.35">
      <c r="D6439" s="66"/>
      <c r="E6439" s="66"/>
      <c r="F6439" s="66"/>
    </row>
    <row r="6440" spans="4:6" x14ac:dyDescent="0.35">
      <c r="D6440" s="66"/>
      <c r="E6440" s="66"/>
      <c r="F6440" s="66"/>
    </row>
    <row r="6441" spans="4:6" x14ac:dyDescent="0.35">
      <c r="D6441" s="66"/>
      <c r="E6441" s="66"/>
      <c r="F6441" s="66"/>
    </row>
    <row r="6442" spans="4:6" x14ac:dyDescent="0.35">
      <c r="D6442" s="66"/>
      <c r="E6442" s="66"/>
      <c r="F6442" s="66"/>
    </row>
    <row r="6443" spans="4:6" x14ac:dyDescent="0.35">
      <c r="D6443" s="66"/>
      <c r="E6443" s="66"/>
      <c r="F6443" s="66"/>
    </row>
    <row r="6444" spans="4:6" x14ac:dyDescent="0.35">
      <c r="D6444" s="66"/>
      <c r="E6444" s="66"/>
      <c r="F6444" s="66"/>
    </row>
    <row r="6445" spans="4:6" x14ac:dyDescent="0.35">
      <c r="D6445" s="66"/>
      <c r="E6445" s="66"/>
      <c r="F6445" s="66"/>
    </row>
    <row r="6446" spans="4:6" x14ac:dyDescent="0.35">
      <c r="D6446" s="66"/>
      <c r="E6446" s="66"/>
      <c r="F6446" s="66"/>
    </row>
    <row r="6447" spans="4:6" x14ac:dyDescent="0.35">
      <c r="D6447" s="66"/>
      <c r="E6447" s="66"/>
      <c r="F6447" s="66"/>
    </row>
    <row r="6448" spans="4:6" x14ac:dyDescent="0.35">
      <c r="D6448" s="66"/>
      <c r="E6448" s="66"/>
      <c r="F6448" s="66"/>
    </row>
    <row r="6449" spans="4:6" x14ac:dyDescent="0.35">
      <c r="D6449" s="66"/>
      <c r="E6449" s="66"/>
      <c r="F6449" s="66"/>
    </row>
    <row r="6450" spans="4:6" x14ac:dyDescent="0.35">
      <c r="D6450" s="66"/>
      <c r="E6450" s="66"/>
      <c r="F6450" s="66"/>
    </row>
    <row r="6451" spans="4:6" x14ac:dyDescent="0.35">
      <c r="D6451" s="66"/>
      <c r="E6451" s="66"/>
      <c r="F6451" s="66"/>
    </row>
    <row r="6452" spans="4:6" x14ac:dyDescent="0.35">
      <c r="D6452" s="66"/>
      <c r="E6452" s="66"/>
      <c r="F6452" s="66"/>
    </row>
    <row r="6453" spans="4:6" x14ac:dyDescent="0.35">
      <c r="D6453" s="66"/>
      <c r="E6453" s="66"/>
      <c r="F6453" s="66"/>
    </row>
    <row r="6454" spans="4:6" x14ac:dyDescent="0.35">
      <c r="D6454" s="66"/>
      <c r="E6454" s="66"/>
      <c r="F6454" s="66"/>
    </row>
    <row r="6455" spans="4:6" x14ac:dyDescent="0.35">
      <c r="D6455" s="66"/>
      <c r="E6455" s="66"/>
      <c r="F6455" s="66"/>
    </row>
    <row r="6456" spans="4:6" x14ac:dyDescent="0.35">
      <c r="D6456" s="66"/>
      <c r="E6456" s="66"/>
      <c r="F6456" s="66"/>
    </row>
    <row r="6457" spans="4:6" x14ac:dyDescent="0.35">
      <c r="D6457" s="66"/>
      <c r="E6457" s="66"/>
      <c r="F6457" s="66"/>
    </row>
    <row r="6458" spans="4:6" x14ac:dyDescent="0.35">
      <c r="D6458" s="66"/>
      <c r="E6458" s="66"/>
      <c r="F6458" s="66"/>
    </row>
    <row r="6459" spans="4:6" x14ac:dyDescent="0.35">
      <c r="D6459" s="66"/>
      <c r="E6459" s="66"/>
      <c r="F6459" s="66"/>
    </row>
    <row r="6460" spans="4:6" x14ac:dyDescent="0.35">
      <c r="D6460" s="66"/>
      <c r="E6460" s="66"/>
      <c r="F6460" s="66"/>
    </row>
    <row r="6461" spans="4:6" x14ac:dyDescent="0.35">
      <c r="D6461" s="66"/>
      <c r="E6461" s="66"/>
      <c r="F6461" s="66"/>
    </row>
    <row r="6462" spans="4:6" x14ac:dyDescent="0.35">
      <c r="D6462" s="66"/>
      <c r="E6462" s="66"/>
      <c r="F6462" s="66"/>
    </row>
    <row r="6463" spans="4:6" x14ac:dyDescent="0.35">
      <c r="D6463" s="66"/>
      <c r="E6463" s="66"/>
      <c r="F6463" s="66"/>
    </row>
    <row r="6464" spans="4:6" x14ac:dyDescent="0.35">
      <c r="D6464" s="66"/>
      <c r="E6464" s="66"/>
      <c r="F6464" s="66"/>
    </row>
    <row r="6465" spans="4:6" x14ac:dyDescent="0.35">
      <c r="D6465" s="66"/>
      <c r="E6465" s="66"/>
      <c r="F6465" s="66"/>
    </row>
    <row r="6466" spans="4:6" x14ac:dyDescent="0.35">
      <c r="D6466" s="66"/>
      <c r="E6466" s="66"/>
      <c r="F6466" s="66"/>
    </row>
    <row r="6467" spans="4:6" x14ac:dyDescent="0.35">
      <c r="D6467" s="66"/>
      <c r="E6467" s="66"/>
      <c r="F6467" s="66"/>
    </row>
    <row r="6468" spans="4:6" x14ac:dyDescent="0.35">
      <c r="D6468" s="66"/>
      <c r="E6468" s="66"/>
      <c r="F6468" s="66"/>
    </row>
    <row r="6469" spans="4:6" x14ac:dyDescent="0.35">
      <c r="D6469" s="66"/>
      <c r="E6469" s="66"/>
      <c r="F6469" s="66"/>
    </row>
    <row r="6470" spans="4:6" x14ac:dyDescent="0.35">
      <c r="D6470" s="66"/>
      <c r="E6470" s="66"/>
      <c r="F6470" s="66"/>
    </row>
    <row r="6471" spans="4:6" x14ac:dyDescent="0.35">
      <c r="D6471" s="66"/>
      <c r="E6471" s="66"/>
      <c r="F6471" s="66"/>
    </row>
    <row r="6472" spans="4:6" x14ac:dyDescent="0.35">
      <c r="D6472" s="66"/>
      <c r="E6472" s="66"/>
      <c r="F6472" s="66"/>
    </row>
    <row r="6473" spans="4:6" x14ac:dyDescent="0.35">
      <c r="D6473" s="66"/>
      <c r="E6473" s="66"/>
      <c r="F6473" s="66"/>
    </row>
    <row r="6474" spans="4:6" x14ac:dyDescent="0.35">
      <c r="D6474" s="66"/>
      <c r="E6474" s="66"/>
      <c r="F6474" s="66"/>
    </row>
    <row r="6475" spans="4:6" x14ac:dyDescent="0.35">
      <c r="D6475" s="66"/>
      <c r="E6475" s="66"/>
      <c r="F6475" s="66"/>
    </row>
    <row r="6476" spans="4:6" x14ac:dyDescent="0.35">
      <c r="D6476" s="66"/>
      <c r="E6476" s="66"/>
      <c r="F6476" s="66"/>
    </row>
    <row r="6477" spans="4:6" x14ac:dyDescent="0.35">
      <c r="D6477" s="66"/>
      <c r="E6477" s="66"/>
      <c r="F6477" s="66"/>
    </row>
    <row r="6478" spans="4:6" x14ac:dyDescent="0.35">
      <c r="D6478" s="66"/>
      <c r="E6478" s="66"/>
      <c r="F6478" s="66"/>
    </row>
    <row r="6479" spans="4:6" x14ac:dyDescent="0.35">
      <c r="D6479" s="66"/>
      <c r="E6479" s="66"/>
      <c r="F6479" s="66"/>
    </row>
    <row r="6480" spans="4:6" x14ac:dyDescent="0.35">
      <c r="D6480" s="66"/>
      <c r="E6480" s="66"/>
      <c r="F6480" s="66"/>
    </row>
    <row r="6481" spans="4:6" x14ac:dyDescent="0.35">
      <c r="D6481" s="66"/>
      <c r="E6481" s="66"/>
      <c r="F6481" s="66"/>
    </row>
    <row r="6482" spans="4:6" x14ac:dyDescent="0.35">
      <c r="D6482" s="66"/>
      <c r="E6482" s="66"/>
      <c r="F6482" s="66"/>
    </row>
    <row r="6483" spans="4:6" x14ac:dyDescent="0.35">
      <c r="D6483" s="66"/>
      <c r="E6483" s="66"/>
      <c r="F6483" s="66"/>
    </row>
    <row r="6484" spans="4:6" x14ac:dyDescent="0.35">
      <c r="D6484" s="66"/>
      <c r="E6484" s="66"/>
      <c r="F6484" s="66"/>
    </row>
    <row r="6485" spans="4:6" x14ac:dyDescent="0.35">
      <c r="D6485" s="66"/>
      <c r="E6485" s="66"/>
      <c r="F6485" s="66"/>
    </row>
    <row r="6486" spans="4:6" x14ac:dyDescent="0.35">
      <c r="D6486" s="66"/>
      <c r="E6486" s="66"/>
      <c r="F6486" s="66"/>
    </row>
    <row r="6487" spans="4:6" x14ac:dyDescent="0.35">
      <c r="D6487" s="66"/>
      <c r="E6487" s="66"/>
      <c r="F6487" s="66"/>
    </row>
    <row r="6488" spans="4:6" x14ac:dyDescent="0.35">
      <c r="D6488" s="66"/>
      <c r="E6488" s="66"/>
      <c r="F6488" s="66"/>
    </row>
    <row r="6489" spans="4:6" x14ac:dyDescent="0.35">
      <c r="D6489" s="66"/>
      <c r="E6489" s="66"/>
      <c r="F6489" s="66"/>
    </row>
    <row r="6490" spans="4:6" x14ac:dyDescent="0.35">
      <c r="D6490" s="66"/>
      <c r="E6490" s="66"/>
      <c r="F6490" s="66"/>
    </row>
    <row r="6491" spans="4:6" x14ac:dyDescent="0.35">
      <c r="D6491" s="66"/>
      <c r="E6491" s="66"/>
      <c r="F6491" s="66"/>
    </row>
    <row r="6492" spans="4:6" x14ac:dyDescent="0.35">
      <c r="D6492" s="66"/>
      <c r="E6492" s="66"/>
      <c r="F6492" s="66"/>
    </row>
    <row r="6493" spans="4:6" x14ac:dyDescent="0.35">
      <c r="D6493" s="66"/>
      <c r="E6493" s="66"/>
      <c r="F6493" s="66"/>
    </row>
    <row r="6494" spans="4:6" x14ac:dyDescent="0.35">
      <c r="D6494" s="66"/>
      <c r="E6494" s="66"/>
      <c r="F6494" s="66"/>
    </row>
    <row r="6495" spans="4:6" x14ac:dyDescent="0.35">
      <c r="D6495" s="66"/>
      <c r="E6495" s="66"/>
      <c r="F6495" s="66"/>
    </row>
    <row r="6496" spans="4:6" x14ac:dyDescent="0.35">
      <c r="D6496" s="66"/>
      <c r="E6496" s="66"/>
      <c r="F6496" s="66"/>
    </row>
    <row r="6497" spans="4:6" x14ac:dyDescent="0.35">
      <c r="D6497" s="66"/>
      <c r="E6497" s="66"/>
      <c r="F6497" s="66"/>
    </row>
    <row r="6498" spans="4:6" x14ac:dyDescent="0.35">
      <c r="D6498" s="66"/>
      <c r="E6498" s="66"/>
      <c r="F6498" s="66"/>
    </row>
    <row r="6499" spans="4:6" x14ac:dyDescent="0.35">
      <c r="D6499" s="66"/>
      <c r="E6499" s="66"/>
      <c r="F6499" s="66"/>
    </row>
    <row r="6500" spans="4:6" x14ac:dyDescent="0.35">
      <c r="D6500" s="66"/>
      <c r="E6500" s="66"/>
      <c r="F6500" s="66"/>
    </row>
    <row r="6501" spans="4:6" x14ac:dyDescent="0.35">
      <c r="D6501" s="66"/>
      <c r="E6501" s="66"/>
      <c r="F6501" s="66"/>
    </row>
    <row r="6502" spans="4:6" x14ac:dyDescent="0.35">
      <c r="D6502" s="66"/>
      <c r="E6502" s="66"/>
      <c r="F6502" s="66"/>
    </row>
    <row r="6503" spans="4:6" x14ac:dyDescent="0.35">
      <c r="D6503" s="66"/>
      <c r="E6503" s="66"/>
      <c r="F6503" s="66"/>
    </row>
    <row r="6504" spans="4:6" x14ac:dyDescent="0.35">
      <c r="D6504" s="66"/>
      <c r="E6504" s="66"/>
      <c r="F6504" s="66"/>
    </row>
    <row r="6505" spans="4:6" x14ac:dyDescent="0.35">
      <c r="D6505" s="66"/>
      <c r="E6505" s="66"/>
      <c r="F6505" s="66"/>
    </row>
    <row r="6506" spans="4:6" x14ac:dyDescent="0.35">
      <c r="D6506" s="66"/>
      <c r="E6506" s="66"/>
      <c r="F6506" s="66"/>
    </row>
    <row r="6507" spans="4:6" x14ac:dyDescent="0.35">
      <c r="D6507" s="66"/>
      <c r="E6507" s="66"/>
      <c r="F6507" s="66"/>
    </row>
    <row r="6508" spans="4:6" x14ac:dyDescent="0.35">
      <c r="D6508" s="66"/>
      <c r="E6508" s="66"/>
      <c r="F6508" s="66"/>
    </row>
    <row r="6509" spans="4:6" x14ac:dyDescent="0.35">
      <c r="D6509" s="66"/>
      <c r="E6509" s="66"/>
      <c r="F6509" s="66"/>
    </row>
    <row r="6510" spans="4:6" x14ac:dyDescent="0.35">
      <c r="D6510" s="66"/>
      <c r="E6510" s="66"/>
      <c r="F6510" s="66"/>
    </row>
    <row r="6511" spans="4:6" x14ac:dyDescent="0.35">
      <c r="D6511" s="66"/>
      <c r="E6511" s="66"/>
      <c r="F6511" s="66"/>
    </row>
    <row r="6512" spans="4:6" x14ac:dyDescent="0.35">
      <c r="D6512" s="66"/>
      <c r="E6512" s="66"/>
      <c r="F6512" s="66"/>
    </row>
    <row r="6513" spans="4:6" x14ac:dyDescent="0.35">
      <c r="D6513" s="66"/>
      <c r="E6513" s="66"/>
      <c r="F6513" s="66"/>
    </row>
    <row r="6514" spans="4:6" x14ac:dyDescent="0.35">
      <c r="D6514" s="66"/>
      <c r="E6514" s="66"/>
      <c r="F6514" s="66"/>
    </row>
    <row r="6515" spans="4:6" x14ac:dyDescent="0.35">
      <c r="D6515" s="66"/>
      <c r="E6515" s="66"/>
      <c r="F6515" s="66"/>
    </row>
    <row r="6516" spans="4:6" x14ac:dyDescent="0.35">
      <c r="D6516" s="66"/>
      <c r="E6516" s="66"/>
      <c r="F6516" s="66"/>
    </row>
    <row r="6517" spans="4:6" x14ac:dyDescent="0.35">
      <c r="D6517" s="66"/>
      <c r="E6517" s="66"/>
      <c r="F6517" s="66"/>
    </row>
    <row r="6518" spans="4:6" x14ac:dyDescent="0.35">
      <c r="D6518" s="66"/>
      <c r="E6518" s="66"/>
      <c r="F6518" s="66"/>
    </row>
    <row r="6519" spans="4:6" x14ac:dyDescent="0.35">
      <c r="D6519" s="66"/>
      <c r="E6519" s="66"/>
      <c r="F6519" s="66"/>
    </row>
    <row r="6520" spans="4:6" x14ac:dyDescent="0.35">
      <c r="D6520" s="66"/>
      <c r="E6520" s="66"/>
      <c r="F6520" s="66"/>
    </row>
    <row r="6521" spans="4:6" x14ac:dyDescent="0.35">
      <c r="D6521" s="66"/>
      <c r="E6521" s="66"/>
      <c r="F6521" s="66"/>
    </row>
    <row r="6522" spans="4:6" x14ac:dyDescent="0.35">
      <c r="D6522" s="66"/>
      <c r="E6522" s="66"/>
      <c r="F6522" s="66"/>
    </row>
    <row r="6523" spans="4:6" x14ac:dyDescent="0.35">
      <c r="D6523" s="66"/>
      <c r="E6523" s="66"/>
      <c r="F6523" s="66"/>
    </row>
    <row r="6524" spans="4:6" x14ac:dyDescent="0.35">
      <c r="D6524" s="66"/>
      <c r="E6524" s="66"/>
      <c r="F6524" s="66"/>
    </row>
    <row r="6525" spans="4:6" x14ac:dyDescent="0.35">
      <c r="D6525" s="66"/>
      <c r="E6525" s="66"/>
      <c r="F6525" s="66"/>
    </row>
    <row r="6526" spans="4:6" x14ac:dyDescent="0.35">
      <c r="D6526" s="66"/>
      <c r="E6526" s="66"/>
      <c r="F6526" s="66"/>
    </row>
    <row r="6527" spans="4:6" x14ac:dyDescent="0.35">
      <c r="D6527" s="66"/>
      <c r="E6527" s="66"/>
      <c r="F6527" s="66"/>
    </row>
    <row r="6528" spans="4:6" x14ac:dyDescent="0.35">
      <c r="D6528" s="66"/>
      <c r="E6528" s="66"/>
      <c r="F6528" s="66"/>
    </row>
    <row r="6529" spans="4:6" x14ac:dyDescent="0.35">
      <c r="D6529" s="66"/>
      <c r="E6529" s="66"/>
      <c r="F6529" s="66"/>
    </row>
    <row r="6530" spans="4:6" x14ac:dyDescent="0.35">
      <c r="D6530" s="66"/>
      <c r="E6530" s="66"/>
      <c r="F6530" s="66"/>
    </row>
    <row r="6531" spans="4:6" x14ac:dyDescent="0.35">
      <c r="D6531" s="66"/>
      <c r="E6531" s="66"/>
      <c r="F6531" s="66"/>
    </row>
    <row r="6532" spans="4:6" x14ac:dyDescent="0.35">
      <c r="D6532" s="66"/>
      <c r="E6532" s="66"/>
      <c r="F6532" s="66"/>
    </row>
    <row r="6533" spans="4:6" x14ac:dyDescent="0.35">
      <c r="D6533" s="66"/>
      <c r="E6533" s="66"/>
      <c r="F6533" s="66"/>
    </row>
    <row r="6534" spans="4:6" x14ac:dyDescent="0.35">
      <c r="D6534" s="66"/>
      <c r="E6534" s="66"/>
      <c r="F6534" s="66"/>
    </row>
    <row r="6535" spans="4:6" x14ac:dyDescent="0.35">
      <c r="D6535" s="66"/>
      <c r="E6535" s="66"/>
      <c r="F6535" s="66"/>
    </row>
    <row r="6536" spans="4:6" x14ac:dyDescent="0.35">
      <c r="D6536" s="66"/>
      <c r="E6536" s="66"/>
      <c r="F6536" s="66"/>
    </row>
    <row r="6537" spans="4:6" x14ac:dyDescent="0.35">
      <c r="D6537" s="66"/>
      <c r="E6537" s="66"/>
      <c r="F6537" s="66"/>
    </row>
    <row r="6538" spans="4:6" x14ac:dyDescent="0.35">
      <c r="D6538" s="66"/>
      <c r="E6538" s="66"/>
      <c r="F6538" s="66"/>
    </row>
    <row r="6539" spans="4:6" x14ac:dyDescent="0.35">
      <c r="D6539" s="66"/>
      <c r="E6539" s="66"/>
      <c r="F6539" s="66"/>
    </row>
    <row r="6540" spans="4:6" x14ac:dyDescent="0.35">
      <c r="D6540" s="66"/>
      <c r="E6540" s="66"/>
      <c r="F6540" s="66"/>
    </row>
    <row r="6541" spans="4:6" x14ac:dyDescent="0.35">
      <c r="D6541" s="66"/>
      <c r="E6541" s="66"/>
      <c r="F6541" s="66"/>
    </row>
    <row r="6542" spans="4:6" x14ac:dyDescent="0.35">
      <c r="D6542" s="66"/>
      <c r="E6542" s="66"/>
      <c r="F6542" s="66"/>
    </row>
    <row r="6543" spans="4:6" x14ac:dyDescent="0.35">
      <c r="D6543" s="66"/>
      <c r="E6543" s="66"/>
      <c r="F6543" s="66"/>
    </row>
    <row r="6544" spans="4:6" x14ac:dyDescent="0.35">
      <c r="D6544" s="66"/>
      <c r="E6544" s="66"/>
      <c r="F6544" s="66"/>
    </row>
    <row r="6545" spans="4:6" x14ac:dyDescent="0.35">
      <c r="D6545" s="66"/>
      <c r="E6545" s="66"/>
      <c r="F6545" s="66"/>
    </row>
    <row r="6546" spans="4:6" x14ac:dyDescent="0.35">
      <c r="D6546" s="66"/>
      <c r="E6546" s="66"/>
      <c r="F6546" s="66"/>
    </row>
    <row r="6547" spans="4:6" x14ac:dyDescent="0.35">
      <c r="D6547" s="66"/>
      <c r="E6547" s="66"/>
      <c r="F6547" s="66"/>
    </row>
    <row r="6548" spans="4:6" x14ac:dyDescent="0.35">
      <c r="D6548" s="66"/>
      <c r="E6548" s="66"/>
      <c r="F6548" s="66"/>
    </row>
    <row r="6549" spans="4:6" x14ac:dyDescent="0.35">
      <c r="D6549" s="66"/>
      <c r="E6549" s="66"/>
      <c r="F6549" s="66"/>
    </row>
    <row r="6550" spans="4:6" x14ac:dyDescent="0.35">
      <c r="D6550" s="66"/>
      <c r="E6550" s="66"/>
      <c r="F6550" s="66"/>
    </row>
    <row r="6551" spans="4:6" x14ac:dyDescent="0.35">
      <c r="D6551" s="66"/>
      <c r="E6551" s="66"/>
      <c r="F6551" s="66"/>
    </row>
    <row r="6552" spans="4:6" x14ac:dyDescent="0.35">
      <c r="D6552" s="66"/>
      <c r="E6552" s="66"/>
      <c r="F6552" s="66"/>
    </row>
    <row r="6553" spans="4:6" x14ac:dyDescent="0.35">
      <c r="D6553" s="66"/>
      <c r="E6553" s="66"/>
      <c r="F6553" s="66"/>
    </row>
    <row r="6554" spans="4:6" x14ac:dyDescent="0.35">
      <c r="D6554" s="66"/>
      <c r="E6554" s="66"/>
      <c r="F6554" s="66"/>
    </row>
    <row r="6555" spans="4:6" x14ac:dyDescent="0.35">
      <c r="D6555" s="66"/>
      <c r="E6555" s="66"/>
      <c r="F6555" s="66"/>
    </row>
    <row r="6556" spans="4:6" x14ac:dyDescent="0.35">
      <c r="D6556" s="66"/>
      <c r="E6556" s="66"/>
      <c r="F6556" s="66"/>
    </row>
    <row r="6557" spans="4:6" x14ac:dyDescent="0.35">
      <c r="D6557" s="66"/>
      <c r="E6557" s="66"/>
      <c r="F6557" s="66"/>
    </row>
    <row r="6558" spans="4:6" x14ac:dyDescent="0.35">
      <c r="D6558" s="66"/>
      <c r="E6558" s="66"/>
      <c r="F6558" s="66"/>
    </row>
    <row r="6559" spans="4:6" x14ac:dyDescent="0.35">
      <c r="D6559" s="66"/>
      <c r="E6559" s="66"/>
      <c r="F6559" s="66"/>
    </row>
    <row r="6560" spans="4:6" x14ac:dyDescent="0.35">
      <c r="D6560" s="66"/>
      <c r="E6560" s="66"/>
      <c r="F6560" s="66"/>
    </row>
    <row r="6561" spans="4:6" x14ac:dyDescent="0.35">
      <c r="D6561" s="66"/>
      <c r="E6561" s="66"/>
      <c r="F6561" s="66"/>
    </row>
    <row r="6562" spans="4:6" x14ac:dyDescent="0.35">
      <c r="D6562" s="66"/>
      <c r="E6562" s="66"/>
      <c r="F6562" s="66"/>
    </row>
    <row r="6563" spans="4:6" x14ac:dyDescent="0.35">
      <c r="D6563" s="66"/>
      <c r="E6563" s="66"/>
      <c r="F6563" s="66"/>
    </row>
    <row r="6564" spans="4:6" x14ac:dyDescent="0.35">
      <c r="D6564" s="66"/>
      <c r="E6564" s="66"/>
      <c r="F6564" s="66"/>
    </row>
    <row r="6565" spans="4:6" x14ac:dyDescent="0.35">
      <c r="D6565" s="66"/>
      <c r="E6565" s="66"/>
      <c r="F6565" s="66"/>
    </row>
    <row r="6566" spans="4:6" x14ac:dyDescent="0.35">
      <c r="D6566" s="66"/>
      <c r="E6566" s="66"/>
      <c r="F6566" s="66"/>
    </row>
    <row r="6567" spans="4:6" x14ac:dyDescent="0.35">
      <c r="D6567" s="66"/>
      <c r="E6567" s="66"/>
      <c r="F6567" s="66"/>
    </row>
    <row r="6568" spans="4:6" x14ac:dyDescent="0.35">
      <c r="D6568" s="66"/>
      <c r="E6568" s="66"/>
      <c r="F6568" s="66"/>
    </row>
    <row r="6569" spans="4:6" x14ac:dyDescent="0.35">
      <c r="D6569" s="66"/>
      <c r="E6569" s="66"/>
      <c r="F6569" s="66"/>
    </row>
    <row r="6570" spans="4:6" x14ac:dyDescent="0.35">
      <c r="D6570" s="66"/>
      <c r="E6570" s="66"/>
      <c r="F6570" s="66"/>
    </row>
    <row r="6571" spans="4:6" x14ac:dyDescent="0.35">
      <c r="D6571" s="66"/>
      <c r="E6571" s="66"/>
      <c r="F6571" s="66"/>
    </row>
    <row r="6572" spans="4:6" x14ac:dyDescent="0.35">
      <c r="D6572" s="66"/>
      <c r="E6572" s="66"/>
      <c r="F6572" s="66"/>
    </row>
    <row r="6573" spans="4:6" x14ac:dyDescent="0.35">
      <c r="D6573" s="66"/>
      <c r="E6573" s="66"/>
      <c r="F6573" s="66"/>
    </row>
    <row r="6574" spans="4:6" x14ac:dyDescent="0.35">
      <c r="D6574" s="66"/>
      <c r="E6574" s="66"/>
      <c r="F6574" s="66"/>
    </row>
    <row r="6575" spans="4:6" x14ac:dyDescent="0.35">
      <c r="D6575" s="66"/>
      <c r="E6575" s="66"/>
      <c r="F6575" s="66"/>
    </row>
    <row r="6576" spans="4:6" x14ac:dyDescent="0.35">
      <c r="D6576" s="66"/>
      <c r="E6576" s="66"/>
      <c r="F6576" s="66"/>
    </row>
    <row r="6577" spans="4:6" x14ac:dyDescent="0.35">
      <c r="D6577" s="66"/>
      <c r="E6577" s="66"/>
      <c r="F6577" s="66"/>
    </row>
    <row r="6578" spans="4:6" x14ac:dyDescent="0.35">
      <c r="D6578" s="66"/>
      <c r="E6578" s="66"/>
      <c r="F6578" s="66"/>
    </row>
    <row r="6579" spans="4:6" x14ac:dyDescent="0.35">
      <c r="D6579" s="66"/>
      <c r="E6579" s="66"/>
      <c r="F6579" s="66"/>
    </row>
    <row r="6580" spans="4:6" x14ac:dyDescent="0.35">
      <c r="D6580" s="66"/>
      <c r="E6580" s="66"/>
      <c r="F6580" s="66"/>
    </row>
    <row r="6581" spans="4:6" x14ac:dyDescent="0.35">
      <c r="D6581" s="66"/>
      <c r="E6581" s="66"/>
      <c r="F6581" s="66"/>
    </row>
    <row r="6582" spans="4:6" x14ac:dyDescent="0.35">
      <c r="D6582" s="66"/>
      <c r="E6582" s="66"/>
      <c r="F6582" s="66"/>
    </row>
    <row r="6583" spans="4:6" x14ac:dyDescent="0.35">
      <c r="D6583" s="66"/>
      <c r="E6583" s="66"/>
      <c r="F6583" s="66"/>
    </row>
    <row r="6584" spans="4:6" x14ac:dyDescent="0.35">
      <c r="D6584" s="66"/>
      <c r="E6584" s="66"/>
      <c r="F6584" s="66"/>
    </row>
    <row r="6585" spans="4:6" x14ac:dyDescent="0.35">
      <c r="D6585" s="66"/>
      <c r="E6585" s="66"/>
      <c r="F6585" s="66"/>
    </row>
    <row r="6586" spans="4:6" x14ac:dyDescent="0.35">
      <c r="D6586" s="66"/>
      <c r="E6586" s="66"/>
      <c r="F6586" s="66"/>
    </row>
    <row r="6587" spans="4:6" x14ac:dyDescent="0.35">
      <c r="D6587" s="66"/>
      <c r="E6587" s="66"/>
      <c r="F6587" s="66"/>
    </row>
    <row r="6588" spans="4:6" x14ac:dyDescent="0.35">
      <c r="D6588" s="66"/>
      <c r="E6588" s="66"/>
      <c r="F6588" s="66"/>
    </row>
    <row r="6589" spans="4:6" x14ac:dyDescent="0.35">
      <c r="D6589" s="66"/>
      <c r="E6589" s="66"/>
      <c r="F6589" s="66"/>
    </row>
    <row r="6590" spans="4:6" x14ac:dyDescent="0.35">
      <c r="D6590" s="66"/>
      <c r="E6590" s="66"/>
      <c r="F6590" s="66"/>
    </row>
    <row r="6591" spans="4:6" x14ac:dyDescent="0.35">
      <c r="D6591" s="66"/>
      <c r="E6591" s="66"/>
      <c r="F6591" s="66"/>
    </row>
    <row r="6592" spans="4:6" x14ac:dyDescent="0.35">
      <c r="D6592" s="66"/>
      <c r="E6592" s="66"/>
      <c r="F6592" s="66"/>
    </row>
    <row r="6593" spans="4:6" x14ac:dyDescent="0.35">
      <c r="D6593" s="66"/>
      <c r="E6593" s="66"/>
      <c r="F6593" s="66"/>
    </row>
    <row r="6594" spans="4:6" x14ac:dyDescent="0.35">
      <c r="D6594" s="66"/>
      <c r="E6594" s="66"/>
      <c r="F6594" s="66"/>
    </row>
    <row r="6595" spans="4:6" x14ac:dyDescent="0.35">
      <c r="D6595" s="66"/>
      <c r="E6595" s="66"/>
      <c r="F6595" s="66"/>
    </row>
    <row r="6596" spans="4:6" x14ac:dyDescent="0.35">
      <c r="D6596" s="66"/>
      <c r="E6596" s="66"/>
      <c r="F6596" s="66"/>
    </row>
    <row r="6597" spans="4:6" x14ac:dyDescent="0.35">
      <c r="D6597" s="66"/>
      <c r="E6597" s="66"/>
      <c r="F6597" s="66"/>
    </row>
    <row r="6598" spans="4:6" x14ac:dyDescent="0.35">
      <c r="D6598" s="66"/>
      <c r="E6598" s="66"/>
      <c r="F6598" s="66"/>
    </row>
    <row r="6599" spans="4:6" x14ac:dyDescent="0.35">
      <c r="D6599" s="66"/>
      <c r="E6599" s="66"/>
      <c r="F6599" s="66"/>
    </row>
    <row r="6600" spans="4:6" x14ac:dyDescent="0.35">
      <c r="D6600" s="66"/>
      <c r="E6600" s="66"/>
      <c r="F6600" s="66"/>
    </row>
    <row r="6601" spans="4:6" x14ac:dyDescent="0.35">
      <c r="D6601" s="66"/>
      <c r="E6601" s="66"/>
      <c r="F6601" s="66"/>
    </row>
    <row r="6602" spans="4:6" x14ac:dyDescent="0.35">
      <c r="D6602" s="66"/>
      <c r="E6602" s="66"/>
      <c r="F6602" s="66"/>
    </row>
    <row r="6603" spans="4:6" x14ac:dyDescent="0.35">
      <c r="D6603" s="66"/>
      <c r="E6603" s="66"/>
      <c r="F6603" s="66"/>
    </row>
    <row r="6604" spans="4:6" x14ac:dyDescent="0.35">
      <c r="D6604" s="66"/>
      <c r="E6604" s="66"/>
      <c r="F6604" s="66"/>
    </row>
    <row r="6605" spans="4:6" x14ac:dyDescent="0.35">
      <c r="D6605" s="66"/>
      <c r="E6605" s="66"/>
      <c r="F6605" s="66"/>
    </row>
    <row r="6606" spans="4:6" x14ac:dyDescent="0.35">
      <c r="D6606" s="66"/>
      <c r="E6606" s="66"/>
      <c r="F6606" s="66"/>
    </row>
    <row r="6607" spans="4:6" x14ac:dyDescent="0.35">
      <c r="D6607" s="66"/>
      <c r="E6607" s="66"/>
      <c r="F6607" s="66"/>
    </row>
    <row r="6608" spans="4:6" x14ac:dyDescent="0.35">
      <c r="D6608" s="66"/>
      <c r="E6608" s="66"/>
      <c r="F6608" s="66"/>
    </row>
    <row r="6609" spans="4:6" x14ac:dyDescent="0.35">
      <c r="D6609" s="66"/>
      <c r="E6609" s="66"/>
      <c r="F6609" s="66"/>
    </row>
    <row r="6610" spans="4:6" x14ac:dyDescent="0.35">
      <c r="D6610" s="66"/>
      <c r="E6610" s="66"/>
      <c r="F6610" s="66"/>
    </row>
    <row r="6611" spans="4:6" x14ac:dyDescent="0.35">
      <c r="D6611" s="66"/>
      <c r="E6611" s="66"/>
      <c r="F6611" s="66"/>
    </row>
    <row r="6612" spans="4:6" x14ac:dyDescent="0.35">
      <c r="D6612" s="66"/>
      <c r="E6612" s="66"/>
      <c r="F6612" s="66"/>
    </row>
    <row r="6613" spans="4:6" x14ac:dyDescent="0.35">
      <c r="D6613" s="66"/>
      <c r="E6613" s="66"/>
      <c r="F6613" s="66"/>
    </row>
    <row r="6614" spans="4:6" x14ac:dyDescent="0.35">
      <c r="D6614" s="66"/>
      <c r="E6614" s="66"/>
      <c r="F6614" s="66"/>
    </row>
    <row r="6615" spans="4:6" x14ac:dyDescent="0.35">
      <c r="D6615" s="66"/>
      <c r="E6615" s="66"/>
      <c r="F6615" s="66"/>
    </row>
    <row r="6616" spans="4:6" x14ac:dyDescent="0.35">
      <c r="D6616" s="66"/>
      <c r="E6616" s="66"/>
      <c r="F6616" s="66"/>
    </row>
    <row r="6617" spans="4:6" x14ac:dyDescent="0.35">
      <c r="D6617" s="66"/>
      <c r="E6617" s="66"/>
      <c r="F6617" s="66"/>
    </row>
    <row r="6618" spans="4:6" x14ac:dyDescent="0.35">
      <c r="D6618" s="66"/>
      <c r="E6618" s="66"/>
      <c r="F6618" s="66"/>
    </row>
    <row r="6619" spans="4:6" x14ac:dyDescent="0.35">
      <c r="D6619" s="66"/>
      <c r="E6619" s="66"/>
      <c r="F6619" s="66"/>
    </row>
    <row r="6620" spans="4:6" x14ac:dyDescent="0.35">
      <c r="D6620" s="66"/>
      <c r="E6620" s="66"/>
      <c r="F6620" s="66"/>
    </row>
    <row r="6621" spans="4:6" x14ac:dyDescent="0.35">
      <c r="D6621" s="66"/>
      <c r="E6621" s="66"/>
      <c r="F6621" s="66"/>
    </row>
    <row r="6622" spans="4:6" x14ac:dyDescent="0.35">
      <c r="D6622" s="66"/>
      <c r="E6622" s="66"/>
      <c r="F6622" s="66"/>
    </row>
    <row r="6623" spans="4:6" x14ac:dyDescent="0.35">
      <c r="D6623" s="66"/>
      <c r="E6623" s="66"/>
      <c r="F6623" s="66"/>
    </row>
    <row r="6624" spans="4:6" x14ac:dyDescent="0.35">
      <c r="D6624" s="66"/>
      <c r="E6624" s="66"/>
      <c r="F6624" s="66"/>
    </row>
    <row r="6625" spans="4:6" x14ac:dyDescent="0.35">
      <c r="D6625" s="66"/>
      <c r="E6625" s="66"/>
      <c r="F6625" s="66"/>
    </row>
    <row r="6626" spans="4:6" x14ac:dyDescent="0.35">
      <c r="D6626" s="66"/>
      <c r="E6626" s="66"/>
      <c r="F6626" s="66"/>
    </row>
    <row r="6627" spans="4:6" x14ac:dyDescent="0.35">
      <c r="D6627" s="66"/>
      <c r="E6627" s="66"/>
      <c r="F6627" s="66"/>
    </row>
    <row r="6628" spans="4:6" x14ac:dyDescent="0.35">
      <c r="D6628" s="66"/>
      <c r="E6628" s="66"/>
      <c r="F6628" s="66"/>
    </row>
    <row r="6629" spans="4:6" x14ac:dyDescent="0.35">
      <c r="D6629" s="66"/>
      <c r="E6629" s="66"/>
      <c r="F6629" s="66"/>
    </row>
    <row r="6630" spans="4:6" x14ac:dyDescent="0.35">
      <c r="D6630" s="66"/>
      <c r="E6630" s="66"/>
      <c r="F6630" s="66"/>
    </row>
    <row r="6631" spans="4:6" x14ac:dyDescent="0.35">
      <c r="D6631" s="66"/>
      <c r="E6631" s="66"/>
      <c r="F6631" s="66"/>
    </row>
    <row r="6632" spans="4:6" x14ac:dyDescent="0.35">
      <c r="D6632" s="66"/>
      <c r="E6632" s="66"/>
      <c r="F6632" s="66"/>
    </row>
    <row r="6633" spans="4:6" x14ac:dyDescent="0.35">
      <c r="D6633" s="66"/>
      <c r="E6633" s="66"/>
      <c r="F6633" s="66"/>
    </row>
    <row r="6634" spans="4:6" x14ac:dyDescent="0.35">
      <c r="D6634" s="66"/>
      <c r="E6634" s="66"/>
      <c r="F6634" s="66"/>
    </row>
    <row r="6635" spans="4:6" x14ac:dyDescent="0.35">
      <c r="D6635" s="66"/>
      <c r="E6635" s="66"/>
      <c r="F6635" s="66"/>
    </row>
    <row r="6636" spans="4:6" x14ac:dyDescent="0.35">
      <c r="D6636" s="66"/>
      <c r="E6636" s="66"/>
      <c r="F6636" s="66"/>
    </row>
    <row r="6637" spans="4:6" x14ac:dyDescent="0.35">
      <c r="D6637" s="66"/>
      <c r="E6637" s="66"/>
      <c r="F6637" s="66"/>
    </row>
    <row r="6638" spans="4:6" x14ac:dyDescent="0.35">
      <c r="D6638" s="66"/>
      <c r="E6638" s="66"/>
      <c r="F6638" s="66"/>
    </row>
    <row r="6639" spans="4:6" x14ac:dyDescent="0.35">
      <c r="D6639" s="66"/>
      <c r="E6639" s="66"/>
      <c r="F6639" s="66"/>
    </row>
    <row r="6640" spans="4:6" x14ac:dyDescent="0.35">
      <c r="D6640" s="66"/>
      <c r="E6640" s="66"/>
      <c r="F6640" s="66"/>
    </row>
    <row r="6641" spans="4:6" x14ac:dyDescent="0.35">
      <c r="D6641" s="66"/>
      <c r="E6641" s="66"/>
      <c r="F6641" s="66"/>
    </row>
    <row r="6642" spans="4:6" x14ac:dyDescent="0.35">
      <c r="D6642" s="66"/>
      <c r="E6642" s="66"/>
      <c r="F6642" s="66"/>
    </row>
    <row r="6643" spans="4:6" x14ac:dyDescent="0.35">
      <c r="D6643" s="66"/>
      <c r="E6643" s="66"/>
      <c r="F6643" s="66"/>
    </row>
    <row r="6644" spans="4:6" x14ac:dyDescent="0.35">
      <c r="D6644" s="66"/>
      <c r="E6644" s="66"/>
      <c r="F6644" s="66"/>
    </row>
    <row r="6645" spans="4:6" x14ac:dyDescent="0.35">
      <c r="D6645" s="66"/>
      <c r="E6645" s="66"/>
      <c r="F6645" s="66"/>
    </row>
    <row r="6646" spans="4:6" x14ac:dyDescent="0.35">
      <c r="D6646" s="66"/>
      <c r="E6646" s="66"/>
      <c r="F6646" s="66"/>
    </row>
    <row r="6647" spans="4:6" x14ac:dyDescent="0.35">
      <c r="D6647" s="66"/>
      <c r="E6647" s="66"/>
      <c r="F6647" s="66"/>
    </row>
    <row r="6648" spans="4:6" x14ac:dyDescent="0.35">
      <c r="D6648" s="66"/>
      <c r="E6648" s="66"/>
      <c r="F6648" s="66"/>
    </row>
    <row r="6649" spans="4:6" x14ac:dyDescent="0.35">
      <c r="D6649" s="66"/>
      <c r="E6649" s="66"/>
      <c r="F6649" s="66"/>
    </row>
    <row r="6650" spans="4:6" x14ac:dyDescent="0.35">
      <c r="D6650" s="66"/>
      <c r="E6650" s="66"/>
      <c r="F6650" s="66"/>
    </row>
    <row r="6651" spans="4:6" x14ac:dyDescent="0.35">
      <c r="D6651" s="66"/>
      <c r="E6651" s="66"/>
      <c r="F6651" s="66"/>
    </row>
    <row r="6652" spans="4:6" x14ac:dyDescent="0.35">
      <c r="D6652" s="66"/>
      <c r="E6652" s="66"/>
      <c r="F6652" s="66"/>
    </row>
    <row r="6653" spans="4:6" x14ac:dyDescent="0.35">
      <c r="D6653" s="66"/>
      <c r="E6653" s="66"/>
      <c r="F6653" s="66"/>
    </row>
    <row r="6654" spans="4:6" x14ac:dyDescent="0.35">
      <c r="D6654" s="66"/>
      <c r="E6654" s="66"/>
      <c r="F6654" s="66"/>
    </row>
    <row r="6655" spans="4:6" x14ac:dyDescent="0.35">
      <c r="D6655" s="66"/>
      <c r="E6655" s="66"/>
      <c r="F6655" s="66"/>
    </row>
    <row r="6656" spans="4:6" x14ac:dyDescent="0.35">
      <c r="D6656" s="66"/>
      <c r="E6656" s="66"/>
      <c r="F6656" s="66"/>
    </row>
    <row r="6657" spans="4:6" x14ac:dyDescent="0.35">
      <c r="D6657" s="66"/>
      <c r="E6657" s="66"/>
      <c r="F6657" s="66"/>
    </row>
    <row r="6658" spans="4:6" x14ac:dyDescent="0.35">
      <c r="D6658" s="66"/>
      <c r="E6658" s="66"/>
      <c r="F6658" s="66"/>
    </row>
    <row r="6659" spans="4:6" x14ac:dyDescent="0.35">
      <c r="D6659" s="66"/>
      <c r="E6659" s="66"/>
      <c r="F6659" s="66"/>
    </row>
    <row r="6660" spans="4:6" x14ac:dyDescent="0.35">
      <c r="D6660" s="66"/>
      <c r="E6660" s="66"/>
      <c r="F6660" s="66"/>
    </row>
    <row r="6661" spans="4:6" x14ac:dyDescent="0.35">
      <c r="D6661" s="66"/>
      <c r="E6661" s="66"/>
      <c r="F6661" s="66"/>
    </row>
    <row r="6662" spans="4:6" x14ac:dyDescent="0.35">
      <c r="D6662" s="66"/>
      <c r="E6662" s="66"/>
      <c r="F6662" s="66"/>
    </row>
    <row r="6663" spans="4:6" x14ac:dyDescent="0.35">
      <c r="D6663" s="66"/>
      <c r="E6663" s="66"/>
      <c r="F6663" s="66"/>
    </row>
    <row r="6664" spans="4:6" x14ac:dyDescent="0.35">
      <c r="D6664" s="66"/>
      <c r="E6664" s="66"/>
      <c r="F6664" s="66"/>
    </row>
    <row r="6665" spans="4:6" x14ac:dyDescent="0.35">
      <c r="D6665" s="66"/>
      <c r="E6665" s="66"/>
      <c r="F6665" s="66"/>
    </row>
    <row r="6666" spans="4:6" x14ac:dyDescent="0.35">
      <c r="D6666" s="66"/>
      <c r="E6666" s="66"/>
      <c r="F6666" s="66"/>
    </row>
    <row r="6667" spans="4:6" x14ac:dyDescent="0.35">
      <c r="D6667" s="66"/>
      <c r="E6667" s="66"/>
      <c r="F6667" s="66"/>
    </row>
    <row r="6668" spans="4:6" x14ac:dyDescent="0.35">
      <c r="D6668" s="66"/>
      <c r="E6668" s="66"/>
      <c r="F6668" s="66"/>
    </row>
    <row r="6669" spans="4:6" x14ac:dyDescent="0.35">
      <c r="D6669" s="66"/>
      <c r="E6669" s="66"/>
      <c r="F6669" s="66"/>
    </row>
    <row r="6670" spans="4:6" x14ac:dyDescent="0.35">
      <c r="D6670" s="66"/>
      <c r="E6670" s="66"/>
      <c r="F6670" s="66"/>
    </row>
    <row r="6671" spans="4:6" x14ac:dyDescent="0.35">
      <c r="D6671" s="66"/>
      <c r="E6671" s="66"/>
      <c r="F6671" s="66"/>
    </row>
    <row r="6672" spans="4:6" x14ac:dyDescent="0.35">
      <c r="D6672" s="66"/>
      <c r="E6672" s="66"/>
      <c r="F6672" s="66"/>
    </row>
    <row r="6673" spans="4:6" x14ac:dyDescent="0.35">
      <c r="D6673" s="66"/>
      <c r="E6673" s="66"/>
      <c r="F6673" s="66"/>
    </row>
    <row r="6674" spans="4:6" x14ac:dyDescent="0.35">
      <c r="D6674" s="66"/>
      <c r="E6674" s="66"/>
      <c r="F6674" s="66"/>
    </row>
    <row r="6675" spans="4:6" x14ac:dyDescent="0.35">
      <c r="D6675" s="66"/>
      <c r="E6675" s="66"/>
      <c r="F6675" s="66"/>
    </row>
    <row r="6676" spans="4:6" x14ac:dyDescent="0.35">
      <c r="D6676" s="66"/>
      <c r="E6676" s="66"/>
      <c r="F6676" s="66"/>
    </row>
    <row r="6677" spans="4:6" x14ac:dyDescent="0.35">
      <c r="D6677" s="66"/>
      <c r="E6677" s="66"/>
      <c r="F6677" s="66"/>
    </row>
    <row r="6678" spans="4:6" x14ac:dyDescent="0.35">
      <c r="D6678" s="66"/>
      <c r="E6678" s="66"/>
      <c r="F6678" s="66"/>
    </row>
    <row r="6679" spans="4:6" x14ac:dyDescent="0.35">
      <c r="D6679" s="66"/>
      <c r="E6679" s="66"/>
      <c r="F6679" s="66"/>
    </row>
    <row r="6680" spans="4:6" x14ac:dyDescent="0.35">
      <c r="D6680" s="66"/>
      <c r="E6680" s="66"/>
      <c r="F6680" s="66"/>
    </row>
    <row r="6681" spans="4:6" x14ac:dyDescent="0.35">
      <c r="D6681" s="66"/>
      <c r="E6681" s="66"/>
      <c r="F6681" s="66"/>
    </row>
    <row r="6682" spans="4:6" x14ac:dyDescent="0.35">
      <c r="D6682" s="66"/>
      <c r="E6682" s="66"/>
      <c r="F6682" s="66"/>
    </row>
    <row r="6683" spans="4:6" x14ac:dyDescent="0.35">
      <c r="D6683" s="66"/>
      <c r="E6683" s="66"/>
      <c r="F6683" s="66"/>
    </row>
    <row r="6684" spans="4:6" x14ac:dyDescent="0.35">
      <c r="D6684" s="66"/>
      <c r="E6684" s="66"/>
      <c r="F6684" s="66"/>
    </row>
    <row r="6685" spans="4:6" x14ac:dyDescent="0.35">
      <c r="D6685" s="66"/>
      <c r="E6685" s="66"/>
      <c r="F6685" s="66"/>
    </row>
    <row r="6686" spans="4:6" x14ac:dyDescent="0.35">
      <c r="D6686" s="66"/>
      <c r="E6686" s="66"/>
      <c r="F6686" s="66"/>
    </row>
    <row r="6687" spans="4:6" x14ac:dyDescent="0.35">
      <c r="D6687" s="66"/>
      <c r="E6687" s="66"/>
      <c r="F6687" s="66"/>
    </row>
    <row r="6688" spans="4:6" x14ac:dyDescent="0.35">
      <c r="D6688" s="66"/>
      <c r="E6688" s="66"/>
      <c r="F6688" s="66"/>
    </row>
    <row r="6689" spans="4:6" x14ac:dyDescent="0.35">
      <c r="D6689" s="66"/>
      <c r="E6689" s="66"/>
      <c r="F6689" s="66"/>
    </row>
    <row r="6690" spans="4:6" x14ac:dyDescent="0.35">
      <c r="D6690" s="66"/>
      <c r="E6690" s="66"/>
      <c r="F6690" s="66"/>
    </row>
    <row r="6691" spans="4:6" x14ac:dyDescent="0.35">
      <c r="D6691" s="66"/>
      <c r="E6691" s="66"/>
      <c r="F6691" s="66"/>
    </row>
    <row r="6692" spans="4:6" x14ac:dyDescent="0.35">
      <c r="D6692" s="66"/>
      <c r="E6692" s="66"/>
      <c r="F6692" s="66"/>
    </row>
    <row r="6693" spans="4:6" x14ac:dyDescent="0.35">
      <c r="D6693" s="66"/>
      <c r="E6693" s="66"/>
      <c r="F6693" s="66"/>
    </row>
    <row r="6694" spans="4:6" x14ac:dyDescent="0.35">
      <c r="D6694" s="66"/>
      <c r="E6694" s="66"/>
      <c r="F6694" s="66"/>
    </row>
    <row r="6695" spans="4:6" x14ac:dyDescent="0.35">
      <c r="D6695" s="66"/>
      <c r="E6695" s="66"/>
      <c r="F6695" s="66"/>
    </row>
    <row r="6696" spans="4:6" x14ac:dyDescent="0.35">
      <c r="D6696" s="66"/>
      <c r="E6696" s="66"/>
      <c r="F6696" s="66"/>
    </row>
    <row r="6697" spans="4:6" x14ac:dyDescent="0.35">
      <c r="D6697" s="66"/>
      <c r="E6697" s="66"/>
      <c r="F6697" s="66"/>
    </row>
    <row r="6698" spans="4:6" x14ac:dyDescent="0.35">
      <c r="D6698" s="66"/>
      <c r="E6698" s="66"/>
      <c r="F6698" s="66"/>
    </row>
    <row r="6699" spans="4:6" x14ac:dyDescent="0.35">
      <c r="D6699" s="66"/>
      <c r="E6699" s="66"/>
      <c r="F6699" s="66"/>
    </row>
    <row r="6700" spans="4:6" x14ac:dyDescent="0.35">
      <c r="D6700" s="66"/>
      <c r="E6700" s="66"/>
      <c r="F6700" s="66"/>
    </row>
    <row r="6701" spans="4:6" x14ac:dyDescent="0.35">
      <c r="D6701" s="66"/>
      <c r="E6701" s="66"/>
      <c r="F6701" s="66"/>
    </row>
    <row r="6702" spans="4:6" x14ac:dyDescent="0.35">
      <c r="D6702" s="66"/>
      <c r="E6702" s="66"/>
      <c r="F6702" s="66"/>
    </row>
    <row r="6703" spans="4:6" x14ac:dyDescent="0.35">
      <c r="D6703" s="66"/>
      <c r="E6703" s="66"/>
      <c r="F6703" s="66"/>
    </row>
    <row r="6704" spans="4:6" x14ac:dyDescent="0.35">
      <c r="D6704" s="66"/>
      <c r="E6704" s="66"/>
      <c r="F6704" s="66"/>
    </row>
    <row r="6705" spans="4:6" x14ac:dyDescent="0.35">
      <c r="D6705" s="66"/>
      <c r="E6705" s="66"/>
      <c r="F6705" s="66"/>
    </row>
    <row r="6706" spans="4:6" x14ac:dyDescent="0.35">
      <c r="D6706" s="66"/>
      <c r="E6706" s="66"/>
      <c r="F6706" s="66"/>
    </row>
    <row r="6707" spans="4:6" x14ac:dyDescent="0.35">
      <c r="D6707" s="66"/>
      <c r="E6707" s="66"/>
      <c r="F6707" s="66"/>
    </row>
    <row r="6708" spans="4:6" x14ac:dyDescent="0.35">
      <c r="D6708" s="66"/>
      <c r="E6708" s="66"/>
      <c r="F6708" s="66"/>
    </row>
    <row r="6709" spans="4:6" x14ac:dyDescent="0.35">
      <c r="D6709" s="66"/>
      <c r="E6709" s="66"/>
      <c r="F6709" s="66"/>
    </row>
    <row r="6710" spans="4:6" x14ac:dyDescent="0.35">
      <c r="D6710" s="66"/>
      <c r="E6710" s="66"/>
      <c r="F6710" s="66"/>
    </row>
    <row r="6711" spans="4:6" x14ac:dyDescent="0.35">
      <c r="D6711" s="66"/>
      <c r="E6711" s="66"/>
      <c r="F6711" s="66"/>
    </row>
    <row r="6712" spans="4:6" x14ac:dyDescent="0.35">
      <c r="D6712" s="66"/>
      <c r="E6712" s="66"/>
      <c r="F6712" s="66"/>
    </row>
    <row r="6713" spans="4:6" x14ac:dyDescent="0.35">
      <c r="D6713" s="66"/>
      <c r="E6713" s="66"/>
      <c r="F6713" s="66"/>
    </row>
    <row r="6714" spans="4:6" x14ac:dyDescent="0.35">
      <c r="D6714" s="66"/>
      <c r="E6714" s="66"/>
      <c r="F6714" s="66"/>
    </row>
    <row r="6715" spans="4:6" x14ac:dyDescent="0.35">
      <c r="D6715" s="66"/>
      <c r="E6715" s="66"/>
      <c r="F6715" s="66"/>
    </row>
    <row r="6716" spans="4:6" x14ac:dyDescent="0.35">
      <c r="D6716" s="66"/>
      <c r="E6716" s="66"/>
      <c r="F6716" s="66"/>
    </row>
    <row r="6717" spans="4:6" x14ac:dyDescent="0.35">
      <c r="D6717" s="66"/>
      <c r="E6717" s="66"/>
      <c r="F6717" s="66"/>
    </row>
    <row r="6718" spans="4:6" x14ac:dyDescent="0.35">
      <c r="D6718" s="66"/>
      <c r="E6718" s="66"/>
      <c r="F6718" s="66"/>
    </row>
    <row r="6719" spans="4:6" x14ac:dyDescent="0.35">
      <c r="D6719" s="66"/>
      <c r="E6719" s="66"/>
      <c r="F6719" s="66"/>
    </row>
    <row r="6720" spans="4:6" x14ac:dyDescent="0.35">
      <c r="D6720" s="66"/>
      <c r="E6720" s="66"/>
      <c r="F6720" s="66"/>
    </row>
    <row r="6721" spans="4:6" x14ac:dyDescent="0.35">
      <c r="D6721" s="66"/>
      <c r="E6721" s="66"/>
      <c r="F6721" s="66"/>
    </row>
    <row r="6722" spans="4:6" x14ac:dyDescent="0.35">
      <c r="D6722" s="66"/>
      <c r="E6722" s="66"/>
      <c r="F6722" s="66"/>
    </row>
    <row r="6723" spans="4:6" x14ac:dyDescent="0.35">
      <c r="D6723" s="66"/>
      <c r="E6723" s="66"/>
      <c r="F6723" s="66"/>
    </row>
    <row r="6724" spans="4:6" x14ac:dyDescent="0.35">
      <c r="D6724" s="66"/>
      <c r="E6724" s="66"/>
      <c r="F6724" s="66"/>
    </row>
    <row r="6725" spans="4:6" x14ac:dyDescent="0.35">
      <c r="D6725" s="66"/>
      <c r="E6725" s="66"/>
      <c r="F6725" s="66"/>
    </row>
    <row r="6726" spans="4:6" x14ac:dyDescent="0.35">
      <c r="D6726" s="66"/>
      <c r="E6726" s="66"/>
      <c r="F6726" s="66"/>
    </row>
    <row r="6727" spans="4:6" x14ac:dyDescent="0.35">
      <c r="D6727" s="66"/>
      <c r="E6727" s="66"/>
      <c r="F6727" s="66"/>
    </row>
    <row r="6728" spans="4:6" x14ac:dyDescent="0.35">
      <c r="D6728" s="66"/>
      <c r="E6728" s="66"/>
      <c r="F6728" s="66"/>
    </row>
    <row r="6729" spans="4:6" x14ac:dyDescent="0.35">
      <c r="D6729" s="66"/>
      <c r="E6729" s="66"/>
      <c r="F6729" s="66"/>
    </row>
    <row r="6730" spans="4:6" x14ac:dyDescent="0.35">
      <c r="D6730" s="66"/>
      <c r="E6730" s="66"/>
      <c r="F6730" s="66"/>
    </row>
    <row r="6731" spans="4:6" x14ac:dyDescent="0.35">
      <c r="D6731" s="66"/>
      <c r="E6731" s="66"/>
      <c r="F6731" s="66"/>
    </row>
    <row r="6732" spans="4:6" x14ac:dyDescent="0.35">
      <c r="D6732" s="66"/>
      <c r="E6732" s="66"/>
      <c r="F6732" s="66"/>
    </row>
    <row r="6733" spans="4:6" x14ac:dyDescent="0.35">
      <c r="D6733" s="66"/>
      <c r="E6733" s="66"/>
      <c r="F6733" s="66"/>
    </row>
    <row r="6734" spans="4:6" x14ac:dyDescent="0.35">
      <c r="D6734" s="66"/>
      <c r="E6734" s="66"/>
      <c r="F6734" s="66"/>
    </row>
    <row r="6735" spans="4:6" x14ac:dyDescent="0.35">
      <c r="D6735" s="66"/>
      <c r="E6735" s="66"/>
      <c r="F6735" s="66"/>
    </row>
    <row r="6736" spans="4:6" x14ac:dyDescent="0.35">
      <c r="D6736" s="66"/>
      <c r="E6736" s="66"/>
      <c r="F6736" s="66"/>
    </row>
    <row r="6737" spans="4:6" x14ac:dyDescent="0.35">
      <c r="D6737" s="66"/>
      <c r="E6737" s="66"/>
      <c r="F6737" s="66"/>
    </row>
    <row r="6738" spans="4:6" x14ac:dyDescent="0.35">
      <c r="D6738" s="66"/>
      <c r="E6738" s="66"/>
      <c r="F6738" s="66"/>
    </row>
    <row r="6739" spans="4:6" x14ac:dyDescent="0.35">
      <c r="D6739" s="66"/>
      <c r="E6739" s="66"/>
      <c r="F6739" s="66"/>
    </row>
    <row r="6740" spans="4:6" x14ac:dyDescent="0.35">
      <c r="D6740" s="66"/>
      <c r="E6740" s="66"/>
      <c r="F6740" s="66"/>
    </row>
    <row r="6741" spans="4:6" x14ac:dyDescent="0.35">
      <c r="D6741" s="66"/>
      <c r="E6741" s="66"/>
      <c r="F6741" s="66"/>
    </row>
    <row r="6742" spans="4:6" x14ac:dyDescent="0.35">
      <c r="D6742" s="66"/>
      <c r="E6742" s="66"/>
      <c r="F6742" s="66"/>
    </row>
    <row r="6743" spans="4:6" x14ac:dyDescent="0.35">
      <c r="D6743" s="66"/>
      <c r="E6743" s="66"/>
      <c r="F6743" s="66"/>
    </row>
    <row r="6744" spans="4:6" x14ac:dyDescent="0.35">
      <c r="D6744" s="66"/>
      <c r="E6744" s="66"/>
      <c r="F6744" s="66"/>
    </row>
    <row r="6745" spans="4:6" x14ac:dyDescent="0.35">
      <c r="D6745" s="66"/>
      <c r="E6745" s="66"/>
      <c r="F6745" s="66"/>
    </row>
    <row r="6746" spans="4:6" x14ac:dyDescent="0.35">
      <c r="D6746" s="66"/>
      <c r="E6746" s="66"/>
      <c r="F6746" s="66"/>
    </row>
    <row r="6747" spans="4:6" x14ac:dyDescent="0.35">
      <c r="D6747" s="66"/>
      <c r="E6747" s="66"/>
      <c r="F6747" s="66"/>
    </row>
    <row r="6748" spans="4:6" x14ac:dyDescent="0.35">
      <c r="D6748" s="66"/>
      <c r="E6748" s="66"/>
      <c r="F6748" s="66"/>
    </row>
    <row r="6749" spans="4:6" x14ac:dyDescent="0.35">
      <c r="D6749" s="66"/>
      <c r="E6749" s="66"/>
      <c r="F6749" s="66"/>
    </row>
    <row r="6750" spans="4:6" x14ac:dyDescent="0.35">
      <c r="D6750" s="66"/>
      <c r="E6750" s="66"/>
      <c r="F6750" s="66"/>
    </row>
    <row r="6751" spans="4:6" x14ac:dyDescent="0.35">
      <c r="D6751" s="66"/>
      <c r="E6751" s="66"/>
      <c r="F6751" s="66"/>
    </row>
    <row r="6752" spans="4:6" x14ac:dyDescent="0.35">
      <c r="D6752" s="66"/>
      <c r="E6752" s="66"/>
      <c r="F6752" s="66"/>
    </row>
    <row r="6753" spans="4:6" x14ac:dyDescent="0.35">
      <c r="D6753" s="66"/>
      <c r="E6753" s="66"/>
      <c r="F6753" s="66"/>
    </row>
    <row r="6754" spans="4:6" x14ac:dyDescent="0.35">
      <c r="D6754" s="66"/>
      <c r="E6754" s="66"/>
      <c r="F6754" s="66"/>
    </row>
    <row r="6755" spans="4:6" x14ac:dyDescent="0.35">
      <c r="D6755" s="66"/>
      <c r="E6755" s="66"/>
      <c r="F6755" s="66"/>
    </row>
    <row r="6756" spans="4:6" x14ac:dyDescent="0.35">
      <c r="D6756" s="66"/>
      <c r="E6756" s="66"/>
      <c r="F6756" s="66"/>
    </row>
    <row r="6757" spans="4:6" x14ac:dyDescent="0.35">
      <c r="D6757" s="66"/>
      <c r="E6757" s="66"/>
      <c r="F6757" s="66"/>
    </row>
    <row r="6758" spans="4:6" x14ac:dyDescent="0.35">
      <c r="D6758" s="66"/>
      <c r="E6758" s="66"/>
      <c r="F6758" s="66"/>
    </row>
    <row r="6759" spans="4:6" x14ac:dyDescent="0.35">
      <c r="D6759" s="66"/>
      <c r="E6759" s="66"/>
      <c r="F6759" s="66"/>
    </row>
    <row r="6760" spans="4:6" x14ac:dyDescent="0.35">
      <c r="D6760" s="66"/>
      <c r="E6760" s="66"/>
      <c r="F6760" s="66"/>
    </row>
    <row r="6761" spans="4:6" x14ac:dyDescent="0.35">
      <c r="D6761" s="66"/>
      <c r="E6761" s="66"/>
      <c r="F6761" s="66"/>
    </row>
    <row r="6762" spans="4:6" x14ac:dyDescent="0.35">
      <c r="D6762" s="66"/>
      <c r="E6762" s="66"/>
      <c r="F6762" s="66"/>
    </row>
    <row r="6763" spans="4:6" x14ac:dyDescent="0.35">
      <c r="D6763" s="66"/>
      <c r="E6763" s="66"/>
      <c r="F6763" s="66"/>
    </row>
    <row r="6764" spans="4:6" x14ac:dyDescent="0.35">
      <c r="D6764" s="66"/>
      <c r="E6764" s="66"/>
      <c r="F6764" s="66"/>
    </row>
    <row r="6765" spans="4:6" x14ac:dyDescent="0.35">
      <c r="D6765" s="66"/>
      <c r="E6765" s="66"/>
      <c r="F6765" s="66"/>
    </row>
    <row r="6766" spans="4:6" x14ac:dyDescent="0.35">
      <c r="D6766" s="66"/>
      <c r="E6766" s="66"/>
      <c r="F6766" s="66"/>
    </row>
    <row r="6767" spans="4:6" x14ac:dyDescent="0.35">
      <c r="D6767" s="66"/>
      <c r="E6767" s="66"/>
      <c r="F6767" s="66"/>
    </row>
    <row r="6768" spans="4:6" x14ac:dyDescent="0.35">
      <c r="D6768" s="66"/>
      <c r="E6768" s="66"/>
      <c r="F6768" s="66"/>
    </row>
    <row r="6769" spans="4:6" x14ac:dyDescent="0.35">
      <c r="D6769" s="66"/>
      <c r="E6769" s="66"/>
      <c r="F6769" s="66"/>
    </row>
    <row r="6770" spans="4:6" x14ac:dyDescent="0.35">
      <c r="D6770" s="66"/>
      <c r="E6770" s="66"/>
      <c r="F6770" s="66"/>
    </row>
    <row r="6771" spans="4:6" x14ac:dyDescent="0.35">
      <c r="D6771" s="66"/>
      <c r="E6771" s="66"/>
      <c r="F6771" s="66"/>
    </row>
    <row r="6772" spans="4:6" x14ac:dyDescent="0.35">
      <c r="D6772" s="66"/>
      <c r="E6772" s="66"/>
      <c r="F6772" s="66"/>
    </row>
    <row r="6773" spans="4:6" x14ac:dyDescent="0.35">
      <c r="D6773" s="66"/>
      <c r="E6773" s="66"/>
      <c r="F6773" s="66"/>
    </row>
    <row r="6774" spans="4:6" x14ac:dyDescent="0.35">
      <c r="D6774" s="66"/>
      <c r="E6774" s="66"/>
      <c r="F6774" s="66"/>
    </row>
    <row r="6775" spans="4:6" x14ac:dyDescent="0.35">
      <c r="D6775" s="66"/>
      <c r="E6775" s="66"/>
      <c r="F6775" s="66"/>
    </row>
    <row r="6776" spans="4:6" x14ac:dyDescent="0.35">
      <c r="D6776" s="66"/>
      <c r="E6776" s="66"/>
      <c r="F6776" s="66"/>
    </row>
    <row r="6777" spans="4:6" x14ac:dyDescent="0.35">
      <c r="D6777" s="66"/>
      <c r="E6777" s="66"/>
      <c r="F6777" s="66"/>
    </row>
    <row r="6778" spans="4:6" x14ac:dyDescent="0.35">
      <c r="D6778" s="66"/>
      <c r="E6778" s="66"/>
      <c r="F6778" s="66"/>
    </row>
    <row r="6779" spans="4:6" x14ac:dyDescent="0.35">
      <c r="D6779" s="66"/>
      <c r="E6779" s="66"/>
      <c r="F6779" s="66"/>
    </row>
    <row r="6780" spans="4:6" x14ac:dyDescent="0.35">
      <c r="D6780" s="66"/>
      <c r="E6780" s="66"/>
      <c r="F6780" s="66"/>
    </row>
    <row r="6781" spans="4:6" x14ac:dyDescent="0.35">
      <c r="D6781" s="66"/>
      <c r="E6781" s="66"/>
      <c r="F6781" s="66"/>
    </row>
    <row r="6782" spans="4:6" x14ac:dyDescent="0.35">
      <c r="D6782" s="66"/>
      <c r="E6782" s="66"/>
      <c r="F6782" s="66"/>
    </row>
    <row r="6783" spans="4:6" x14ac:dyDescent="0.35">
      <c r="D6783" s="66"/>
      <c r="E6783" s="66"/>
      <c r="F6783" s="66"/>
    </row>
    <row r="6784" spans="4:6" x14ac:dyDescent="0.35">
      <c r="D6784" s="66"/>
      <c r="E6784" s="66"/>
      <c r="F6784" s="66"/>
    </row>
    <row r="6785" spans="4:6" x14ac:dyDescent="0.35">
      <c r="D6785" s="66"/>
      <c r="E6785" s="66"/>
      <c r="F6785" s="66"/>
    </row>
    <row r="6786" spans="4:6" x14ac:dyDescent="0.35">
      <c r="D6786" s="66"/>
      <c r="E6786" s="66"/>
      <c r="F6786" s="66"/>
    </row>
    <row r="6787" spans="4:6" x14ac:dyDescent="0.35">
      <c r="D6787" s="66"/>
      <c r="E6787" s="66"/>
      <c r="F6787" s="66"/>
    </row>
    <row r="6788" spans="4:6" x14ac:dyDescent="0.35">
      <c r="D6788" s="66"/>
      <c r="E6788" s="66"/>
      <c r="F6788" s="66"/>
    </row>
    <row r="6789" spans="4:6" x14ac:dyDescent="0.35">
      <c r="D6789" s="66"/>
      <c r="E6789" s="66"/>
      <c r="F6789" s="66"/>
    </row>
    <row r="6790" spans="4:6" x14ac:dyDescent="0.35">
      <c r="D6790" s="66"/>
      <c r="E6790" s="66"/>
      <c r="F6790" s="66"/>
    </row>
    <row r="6791" spans="4:6" x14ac:dyDescent="0.35">
      <c r="D6791" s="66"/>
      <c r="E6791" s="66"/>
      <c r="F6791" s="66"/>
    </row>
    <row r="6792" spans="4:6" x14ac:dyDescent="0.35">
      <c r="D6792" s="66"/>
      <c r="E6792" s="66"/>
      <c r="F6792" s="66"/>
    </row>
    <row r="6793" spans="4:6" x14ac:dyDescent="0.35">
      <c r="D6793" s="66"/>
      <c r="E6793" s="66"/>
      <c r="F6793" s="66"/>
    </row>
    <row r="6794" spans="4:6" x14ac:dyDescent="0.35">
      <c r="D6794" s="66"/>
      <c r="E6794" s="66"/>
      <c r="F6794" s="66"/>
    </row>
    <row r="6795" spans="4:6" x14ac:dyDescent="0.35">
      <c r="D6795" s="66"/>
      <c r="E6795" s="66"/>
      <c r="F6795" s="66"/>
    </row>
    <row r="6796" spans="4:6" x14ac:dyDescent="0.35">
      <c r="D6796" s="66"/>
      <c r="E6796" s="66"/>
      <c r="F6796" s="66"/>
    </row>
    <row r="6797" spans="4:6" x14ac:dyDescent="0.35">
      <c r="D6797" s="66"/>
      <c r="E6797" s="66"/>
      <c r="F6797" s="66"/>
    </row>
    <row r="6798" spans="4:6" x14ac:dyDescent="0.35">
      <c r="D6798" s="66"/>
      <c r="E6798" s="66"/>
      <c r="F6798" s="66"/>
    </row>
    <row r="6799" spans="4:6" x14ac:dyDescent="0.35">
      <c r="D6799" s="66"/>
      <c r="E6799" s="66"/>
      <c r="F6799" s="66"/>
    </row>
    <row r="6800" spans="4:6" x14ac:dyDescent="0.35">
      <c r="D6800" s="66"/>
      <c r="E6800" s="66"/>
      <c r="F6800" s="66"/>
    </row>
    <row r="6801" spans="4:6" x14ac:dyDescent="0.35">
      <c r="D6801" s="66"/>
      <c r="E6801" s="66"/>
      <c r="F6801" s="66"/>
    </row>
    <row r="6802" spans="4:6" x14ac:dyDescent="0.35">
      <c r="D6802" s="66"/>
      <c r="E6802" s="66"/>
      <c r="F6802" s="66"/>
    </row>
    <row r="6803" spans="4:6" x14ac:dyDescent="0.35">
      <c r="D6803" s="66"/>
      <c r="E6803" s="66"/>
      <c r="F6803" s="66"/>
    </row>
    <row r="6804" spans="4:6" x14ac:dyDescent="0.35">
      <c r="D6804" s="66"/>
      <c r="E6804" s="66"/>
      <c r="F6804" s="66"/>
    </row>
    <row r="6805" spans="4:6" x14ac:dyDescent="0.35">
      <c r="D6805" s="66"/>
      <c r="E6805" s="66"/>
      <c r="F6805" s="66"/>
    </row>
    <row r="6806" spans="4:6" x14ac:dyDescent="0.35">
      <c r="D6806" s="66"/>
      <c r="E6806" s="66"/>
      <c r="F6806" s="66"/>
    </row>
    <row r="6807" spans="4:6" x14ac:dyDescent="0.35">
      <c r="D6807" s="66"/>
      <c r="E6807" s="66"/>
      <c r="F6807" s="66"/>
    </row>
    <row r="6808" spans="4:6" x14ac:dyDescent="0.35">
      <c r="D6808" s="66"/>
      <c r="E6808" s="66"/>
      <c r="F6808" s="66"/>
    </row>
    <row r="6809" spans="4:6" x14ac:dyDescent="0.35">
      <c r="D6809" s="66"/>
      <c r="E6809" s="66"/>
      <c r="F6809" s="66"/>
    </row>
    <row r="6810" spans="4:6" x14ac:dyDescent="0.35">
      <c r="D6810" s="66"/>
      <c r="E6810" s="66"/>
      <c r="F6810" s="66"/>
    </row>
    <row r="6811" spans="4:6" x14ac:dyDescent="0.35">
      <c r="D6811" s="66"/>
      <c r="E6811" s="66"/>
      <c r="F6811" s="66"/>
    </row>
    <row r="6812" spans="4:6" x14ac:dyDescent="0.35">
      <c r="D6812" s="66"/>
      <c r="E6812" s="66"/>
      <c r="F6812" s="66"/>
    </row>
    <row r="6813" spans="4:6" x14ac:dyDescent="0.35">
      <c r="D6813" s="66"/>
      <c r="E6813" s="66"/>
      <c r="F6813" s="66"/>
    </row>
    <row r="6814" spans="4:6" x14ac:dyDescent="0.35">
      <c r="D6814" s="66"/>
      <c r="E6814" s="66"/>
      <c r="F6814" s="66"/>
    </row>
    <row r="6815" spans="4:6" x14ac:dyDescent="0.35">
      <c r="D6815" s="66"/>
      <c r="E6815" s="66"/>
      <c r="F6815" s="66"/>
    </row>
    <row r="6816" spans="4:6" x14ac:dyDescent="0.35">
      <c r="D6816" s="66"/>
      <c r="E6816" s="66"/>
      <c r="F6816" s="66"/>
    </row>
    <row r="6817" spans="4:6" x14ac:dyDescent="0.35">
      <c r="D6817" s="66"/>
      <c r="E6817" s="66"/>
      <c r="F6817" s="66"/>
    </row>
    <row r="6818" spans="4:6" x14ac:dyDescent="0.35">
      <c r="D6818" s="66"/>
      <c r="E6818" s="66"/>
      <c r="F6818" s="66"/>
    </row>
    <row r="6819" spans="4:6" x14ac:dyDescent="0.35">
      <c r="D6819" s="66"/>
      <c r="E6819" s="66"/>
      <c r="F6819" s="66"/>
    </row>
    <row r="6820" spans="4:6" x14ac:dyDescent="0.35">
      <c r="D6820" s="66"/>
      <c r="E6820" s="66"/>
      <c r="F6820" s="66"/>
    </row>
    <row r="6821" spans="4:6" x14ac:dyDescent="0.35">
      <c r="D6821" s="66"/>
      <c r="E6821" s="66"/>
      <c r="F6821" s="66"/>
    </row>
    <row r="6822" spans="4:6" x14ac:dyDescent="0.35">
      <c r="D6822" s="66"/>
      <c r="E6822" s="66"/>
      <c r="F6822" s="66"/>
    </row>
    <row r="6823" spans="4:6" x14ac:dyDescent="0.35">
      <c r="D6823" s="66"/>
      <c r="E6823" s="66"/>
      <c r="F6823" s="66"/>
    </row>
    <row r="6824" spans="4:6" x14ac:dyDescent="0.35">
      <c r="D6824" s="66"/>
      <c r="E6824" s="66"/>
      <c r="F6824" s="66"/>
    </row>
    <row r="6825" spans="4:6" x14ac:dyDescent="0.35">
      <c r="D6825" s="66"/>
      <c r="E6825" s="66"/>
      <c r="F6825" s="66"/>
    </row>
    <row r="6826" spans="4:6" x14ac:dyDescent="0.35">
      <c r="D6826" s="66"/>
      <c r="E6826" s="66"/>
      <c r="F6826" s="66"/>
    </row>
    <row r="6827" spans="4:6" x14ac:dyDescent="0.35">
      <c r="D6827" s="66"/>
      <c r="E6827" s="66"/>
      <c r="F6827" s="66"/>
    </row>
    <row r="6828" spans="4:6" x14ac:dyDescent="0.35">
      <c r="D6828" s="66"/>
      <c r="E6828" s="66"/>
      <c r="F6828" s="66"/>
    </row>
    <row r="6829" spans="4:6" x14ac:dyDescent="0.35">
      <c r="D6829" s="66"/>
      <c r="E6829" s="66"/>
      <c r="F6829" s="66"/>
    </row>
    <row r="6830" spans="4:6" x14ac:dyDescent="0.35">
      <c r="D6830" s="66"/>
      <c r="E6830" s="66"/>
      <c r="F6830" s="66"/>
    </row>
    <row r="6831" spans="4:6" x14ac:dyDescent="0.35">
      <c r="D6831" s="66"/>
      <c r="E6831" s="66"/>
      <c r="F6831" s="66"/>
    </row>
    <row r="6832" spans="4:6" x14ac:dyDescent="0.35">
      <c r="D6832" s="66"/>
      <c r="E6832" s="66"/>
      <c r="F6832" s="66"/>
    </row>
    <row r="6833" spans="4:6" x14ac:dyDescent="0.35">
      <c r="D6833" s="66"/>
      <c r="E6833" s="66"/>
      <c r="F6833" s="66"/>
    </row>
    <row r="6834" spans="4:6" x14ac:dyDescent="0.35">
      <c r="D6834" s="66"/>
      <c r="E6834" s="66"/>
      <c r="F6834" s="66"/>
    </row>
    <row r="6835" spans="4:6" x14ac:dyDescent="0.35">
      <c r="D6835" s="66"/>
      <c r="E6835" s="66"/>
      <c r="F6835" s="66"/>
    </row>
    <row r="6836" spans="4:6" x14ac:dyDescent="0.35">
      <c r="D6836" s="66"/>
      <c r="E6836" s="66"/>
      <c r="F6836" s="66"/>
    </row>
    <row r="6837" spans="4:6" x14ac:dyDescent="0.35">
      <c r="D6837" s="66"/>
      <c r="E6837" s="66"/>
      <c r="F6837" s="66"/>
    </row>
    <row r="6838" spans="4:6" x14ac:dyDescent="0.35">
      <c r="D6838" s="66"/>
      <c r="E6838" s="66"/>
      <c r="F6838" s="66"/>
    </row>
    <row r="6839" spans="4:6" x14ac:dyDescent="0.35">
      <c r="D6839" s="66"/>
      <c r="E6839" s="66"/>
      <c r="F6839" s="66"/>
    </row>
    <row r="6840" spans="4:6" x14ac:dyDescent="0.35">
      <c r="D6840" s="66"/>
      <c r="E6840" s="66"/>
      <c r="F6840" s="66"/>
    </row>
    <row r="6841" spans="4:6" x14ac:dyDescent="0.35">
      <c r="D6841" s="66"/>
      <c r="E6841" s="66"/>
      <c r="F6841" s="66"/>
    </row>
    <row r="6842" spans="4:6" x14ac:dyDescent="0.35">
      <c r="D6842" s="66"/>
      <c r="E6842" s="66"/>
      <c r="F6842" s="66"/>
    </row>
    <row r="6843" spans="4:6" x14ac:dyDescent="0.35">
      <c r="D6843" s="66"/>
      <c r="E6843" s="66"/>
      <c r="F6843" s="66"/>
    </row>
    <row r="6844" spans="4:6" x14ac:dyDescent="0.35">
      <c r="D6844" s="66"/>
      <c r="E6844" s="66"/>
      <c r="F6844" s="66"/>
    </row>
    <row r="6845" spans="4:6" x14ac:dyDescent="0.35">
      <c r="D6845" s="66"/>
      <c r="E6845" s="66"/>
      <c r="F6845" s="66"/>
    </row>
    <row r="6846" spans="4:6" x14ac:dyDescent="0.35">
      <c r="D6846" s="66"/>
      <c r="E6846" s="66"/>
      <c r="F6846" s="66"/>
    </row>
    <row r="6847" spans="4:6" x14ac:dyDescent="0.35">
      <c r="D6847" s="66"/>
      <c r="E6847" s="66"/>
      <c r="F6847" s="66"/>
    </row>
    <row r="6848" spans="4:6" x14ac:dyDescent="0.35">
      <c r="D6848" s="66"/>
      <c r="E6848" s="66"/>
      <c r="F6848" s="66"/>
    </row>
    <row r="6849" spans="4:6" x14ac:dyDescent="0.35">
      <c r="D6849" s="66"/>
      <c r="E6849" s="66"/>
      <c r="F6849" s="66"/>
    </row>
    <row r="6850" spans="4:6" x14ac:dyDescent="0.35">
      <c r="D6850" s="66"/>
      <c r="E6850" s="66"/>
      <c r="F6850" s="66"/>
    </row>
    <row r="6851" spans="4:6" x14ac:dyDescent="0.35">
      <c r="D6851" s="66"/>
      <c r="E6851" s="66"/>
      <c r="F6851" s="66"/>
    </row>
    <row r="6852" spans="4:6" x14ac:dyDescent="0.35">
      <c r="D6852" s="66"/>
      <c r="E6852" s="66"/>
      <c r="F6852" s="66"/>
    </row>
    <row r="6853" spans="4:6" x14ac:dyDescent="0.35">
      <c r="D6853" s="66"/>
      <c r="E6853" s="66"/>
      <c r="F6853" s="66"/>
    </row>
    <row r="6854" spans="4:6" x14ac:dyDescent="0.35">
      <c r="D6854" s="66"/>
      <c r="E6854" s="66"/>
      <c r="F6854" s="66"/>
    </row>
    <row r="6855" spans="4:6" x14ac:dyDescent="0.35">
      <c r="D6855" s="66"/>
      <c r="E6855" s="66"/>
      <c r="F6855" s="66"/>
    </row>
    <row r="6856" spans="4:6" x14ac:dyDescent="0.35">
      <c r="D6856" s="66"/>
      <c r="E6856" s="66"/>
      <c r="F6856" s="66"/>
    </row>
    <row r="6857" spans="4:6" x14ac:dyDescent="0.35">
      <c r="D6857" s="66"/>
      <c r="E6857" s="66"/>
      <c r="F6857" s="66"/>
    </row>
    <row r="6858" spans="4:6" x14ac:dyDescent="0.35">
      <c r="D6858" s="66"/>
      <c r="E6858" s="66"/>
      <c r="F6858" s="66"/>
    </row>
    <row r="6859" spans="4:6" x14ac:dyDescent="0.35">
      <c r="D6859" s="66"/>
      <c r="E6859" s="66"/>
      <c r="F6859" s="66"/>
    </row>
    <row r="6860" spans="4:6" x14ac:dyDescent="0.35">
      <c r="D6860" s="66"/>
      <c r="E6860" s="66"/>
      <c r="F6860" s="66"/>
    </row>
    <row r="6861" spans="4:6" x14ac:dyDescent="0.35">
      <c r="D6861" s="66"/>
      <c r="E6861" s="66"/>
      <c r="F6861" s="66"/>
    </row>
    <row r="6862" spans="4:6" x14ac:dyDescent="0.35">
      <c r="D6862" s="66"/>
      <c r="E6862" s="66"/>
      <c r="F6862" s="66"/>
    </row>
    <row r="6863" spans="4:6" x14ac:dyDescent="0.35">
      <c r="D6863" s="66"/>
      <c r="E6863" s="66"/>
      <c r="F6863" s="66"/>
    </row>
    <row r="6864" spans="4:6" x14ac:dyDescent="0.35">
      <c r="D6864" s="66"/>
      <c r="E6864" s="66"/>
      <c r="F6864" s="66"/>
    </row>
    <row r="6865" spans="4:6" x14ac:dyDescent="0.35">
      <c r="D6865" s="66"/>
      <c r="E6865" s="66"/>
      <c r="F6865" s="66"/>
    </row>
    <row r="6866" spans="4:6" x14ac:dyDescent="0.35">
      <c r="D6866" s="66"/>
      <c r="E6866" s="66"/>
      <c r="F6866" s="66"/>
    </row>
    <row r="6867" spans="4:6" x14ac:dyDescent="0.35">
      <c r="D6867" s="66"/>
      <c r="E6867" s="66"/>
      <c r="F6867" s="66"/>
    </row>
    <row r="6868" spans="4:6" x14ac:dyDescent="0.35">
      <c r="D6868" s="66"/>
      <c r="E6868" s="66"/>
      <c r="F6868" s="66"/>
    </row>
    <row r="6869" spans="4:6" x14ac:dyDescent="0.35">
      <c r="D6869" s="66"/>
      <c r="E6869" s="66"/>
      <c r="F6869" s="66"/>
    </row>
    <row r="6870" spans="4:6" x14ac:dyDescent="0.35">
      <c r="D6870" s="66"/>
      <c r="E6870" s="66"/>
      <c r="F6870" s="66"/>
    </row>
    <row r="6871" spans="4:6" x14ac:dyDescent="0.35">
      <c r="D6871" s="66"/>
      <c r="E6871" s="66"/>
      <c r="F6871" s="66"/>
    </row>
    <row r="6872" spans="4:6" x14ac:dyDescent="0.35">
      <c r="D6872" s="66"/>
      <c r="E6872" s="66"/>
      <c r="F6872" s="66"/>
    </row>
    <row r="6873" spans="4:6" x14ac:dyDescent="0.35">
      <c r="D6873" s="66"/>
      <c r="E6873" s="66"/>
      <c r="F6873" s="66"/>
    </row>
    <row r="6874" spans="4:6" x14ac:dyDescent="0.35">
      <c r="D6874" s="66"/>
      <c r="E6874" s="66"/>
      <c r="F6874" s="66"/>
    </row>
    <row r="6875" spans="4:6" x14ac:dyDescent="0.35">
      <c r="D6875" s="66"/>
      <c r="E6875" s="66"/>
      <c r="F6875" s="66"/>
    </row>
    <row r="6876" spans="4:6" x14ac:dyDescent="0.35">
      <c r="D6876" s="66"/>
      <c r="E6876" s="66"/>
      <c r="F6876" s="66"/>
    </row>
    <row r="6877" spans="4:6" x14ac:dyDescent="0.35">
      <c r="D6877" s="66"/>
      <c r="E6877" s="66"/>
      <c r="F6877" s="66"/>
    </row>
    <row r="6878" spans="4:6" x14ac:dyDescent="0.35">
      <c r="D6878" s="66"/>
      <c r="E6878" s="66"/>
      <c r="F6878" s="66"/>
    </row>
    <row r="6879" spans="4:6" x14ac:dyDescent="0.35">
      <c r="D6879" s="66"/>
      <c r="E6879" s="66"/>
      <c r="F6879" s="66"/>
    </row>
    <row r="6880" spans="4:6" x14ac:dyDescent="0.35">
      <c r="D6880" s="66"/>
      <c r="E6880" s="66"/>
      <c r="F6880" s="66"/>
    </row>
    <row r="6881" spans="4:6" x14ac:dyDescent="0.35">
      <c r="D6881" s="66"/>
      <c r="E6881" s="66"/>
      <c r="F6881" s="66"/>
    </row>
    <row r="6882" spans="4:6" x14ac:dyDescent="0.35">
      <c r="D6882" s="66"/>
      <c r="E6882" s="66"/>
      <c r="F6882" s="66"/>
    </row>
    <row r="6883" spans="4:6" x14ac:dyDescent="0.35">
      <c r="D6883" s="66"/>
      <c r="E6883" s="66"/>
      <c r="F6883" s="66"/>
    </row>
    <row r="6884" spans="4:6" x14ac:dyDescent="0.35">
      <c r="D6884" s="66"/>
      <c r="E6884" s="66"/>
      <c r="F6884" s="66"/>
    </row>
    <row r="6885" spans="4:6" x14ac:dyDescent="0.35">
      <c r="D6885" s="66"/>
      <c r="E6885" s="66"/>
      <c r="F6885" s="66"/>
    </row>
    <row r="6886" spans="4:6" x14ac:dyDescent="0.35">
      <c r="D6886" s="66"/>
      <c r="E6886" s="66"/>
      <c r="F6886" s="66"/>
    </row>
    <row r="6887" spans="4:6" x14ac:dyDescent="0.35">
      <c r="D6887" s="66"/>
      <c r="E6887" s="66"/>
      <c r="F6887" s="66"/>
    </row>
    <row r="6888" spans="4:6" x14ac:dyDescent="0.35">
      <c r="D6888" s="66"/>
      <c r="E6888" s="66"/>
      <c r="F6888" s="66"/>
    </row>
    <row r="6889" spans="4:6" x14ac:dyDescent="0.35">
      <c r="D6889" s="66"/>
      <c r="E6889" s="66"/>
      <c r="F6889" s="66"/>
    </row>
    <row r="6890" spans="4:6" x14ac:dyDescent="0.35">
      <c r="D6890" s="66"/>
      <c r="E6890" s="66"/>
      <c r="F6890" s="66"/>
    </row>
    <row r="6891" spans="4:6" x14ac:dyDescent="0.35">
      <c r="D6891" s="66"/>
      <c r="E6891" s="66"/>
      <c r="F6891" s="66"/>
    </row>
    <row r="6892" spans="4:6" x14ac:dyDescent="0.35">
      <c r="D6892" s="66"/>
      <c r="E6892" s="66"/>
      <c r="F6892" s="66"/>
    </row>
    <row r="6893" spans="4:6" x14ac:dyDescent="0.35">
      <c r="D6893" s="66"/>
      <c r="E6893" s="66"/>
      <c r="F6893" s="66"/>
    </row>
    <row r="6894" spans="4:6" x14ac:dyDescent="0.35">
      <c r="D6894" s="66"/>
      <c r="E6894" s="66"/>
      <c r="F6894" s="66"/>
    </row>
    <row r="6895" spans="4:6" x14ac:dyDescent="0.35">
      <c r="D6895" s="66"/>
      <c r="E6895" s="66"/>
      <c r="F6895" s="66"/>
    </row>
    <row r="6896" spans="4:6" x14ac:dyDescent="0.35">
      <c r="D6896" s="66"/>
      <c r="E6896" s="66"/>
      <c r="F6896" s="66"/>
    </row>
    <row r="6897" spans="4:6" x14ac:dyDescent="0.35">
      <c r="D6897" s="66"/>
      <c r="E6897" s="66"/>
      <c r="F6897" s="66"/>
    </row>
    <row r="6898" spans="4:6" x14ac:dyDescent="0.35">
      <c r="D6898" s="66"/>
      <c r="E6898" s="66"/>
      <c r="F6898" s="66"/>
    </row>
    <row r="6899" spans="4:6" x14ac:dyDescent="0.35">
      <c r="D6899" s="66"/>
      <c r="E6899" s="66"/>
      <c r="F6899" s="66"/>
    </row>
    <row r="6900" spans="4:6" x14ac:dyDescent="0.35">
      <c r="D6900" s="66"/>
      <c r="E6900" s="66"/>
      <c r="F6900" s="66"/>
    </row>
    <row r="6901" spans="4:6" x14ac:dyDescent="0.35">
      <c r="D6901" s="66"/>
      <c r="E6901" s="66"/>
      <c r="F6901" s="66"/>
    </row>
    <row r="6902" spans="4:6" x14ac:dyDescent="0.35">
      <c r="D6902" s="66"/>
      <c r="E6902" s="66"/>
      <c r="F6902" s="66"/>
    </row>
    <row r="6903" spans="4:6" x14ac:dyDescent="0.35">
      <c r="D6903" s="66"/>
      <c r="E6903" s="66"/>
      <c r="F6903" s="66"/>
    </row>
    <row r="6904" spans="4:6" x14ac:dyDescent="0.35">
      <c r="D6904" s="66"/>
      <c r="E6904" s="66"/>
      <c r="F6904" s="66"/>
    </row>
    <row r="6905" spans="4:6" x14ac:dyDescent="0.35">
      <c r="D6905" s="66"/>
      <c r="E6905" s="66"/>
      <c r="F6905" s="66"/>
    </row>
    <row r="6906" spans="4:6" x14ac:dyDescent="0.35">
      <c r="D6906" s="66"/>
      <c r="E6906" s="66"/>
      <c r="F6906" s="66"/>
    </row>
    <row r="6907" spans="4:6" x14ac:dyDescent="0.35">
      <c r="D6907" s="66"/>
      <c r="E6907" s="66"/>
      <c r="F6907" s="66"/>
    </row>
    <row r="6908" spans="4:6" x14ac:dyDescent="0.35">
      <c r="D6908" s="66"/>
      <c r="E6908" s="66"/>
      <c r="F6908" s="66"/>
    </row>
    <row r="6909" spans="4:6" x14ac:dyDescent="0.35">
      <c r="D6909" s="66"/>
      <c r="E6909" s="66"/>
      <c r="F6909" s="66"/>
    </row>
    <row r="6910" spans="4:6" x14ac:dyDescent="0.35">
      <c r="D6910" s="66"/>
      <c r="E6910" s="66"/>
      <c r="F6910" s="66"/>
    </row>
    <row r="6911" spans="4:6" x14ac:dyDescent="0.35">
      <c r="D6911" s="66"/>
      <c r="E6911" s="66"/>
      <c r="F6911" s="66"/>
    </row>
    <row r="6912" spans="4:6" x14ac:dyDescent="0.35">
      <c r="D6912" s="66"/>
      <c r="E6912" s="66"/>
      <c r="F6912" s="66"/>
    </row>
    <row r="6913" spans="4:6" x14ac:dyDescent="0.35">
      <c r="D6913" s="66"/>
      <c r="E6913" s="66"/>
      <c r="F6913" s="66"/>
    </row>
    <row r="6914" spans="4:6" x14ac:dyDescent="0.35">
      <c r="D6914" s="66"/>
      <c r="E6914" s="66"/>
      <c r="F6914" s="66"/>
    </row>
    <row r="6915" spans="4:6" x14ac:dyDescent="0.35">
      <c r="D6915" s="66"/>
      <c r="E6915" s="66"/>
      <c r="F6915" s="66"/>
    </row>
    <row r="6916" spans="4:6" x14ac:dyDescent="0.35">
      <c r="D6916" s="66"/>
      <c r="E6916" s="66"/>
      <c r="F6916" s="66"/>
    </row>
    <row r="6917" spans="4:6" x14ac:dyDescent="0.35">
      <c r="D6917" s="66"/>
      <c r="E6917" s="66"/>
      <c r="F6917" s="66"/>
    </row>
    <row r="6918" spans="4:6" x14ac:dyDescent="0.35">
      <c r="D6918" s="66"/>
      <c r="E6918" s="66"/>
      <c r="F6918" s="66"/>
    </row>
    <row r="6919" spans="4:6" x14ac:dyDescent="0.35">
      <c r="D6919" s="66"/>
      <c r="E6919" s="66"/>
      <c r="F6919" s="66"/>
    </row>
    <row r="6920" spans="4:6" x14ac:dyDescent="0.35">
      <c r="D6920" s="66"/>
      <c r="E6920" s="66"/>
      <c r="F6920" s="66"/>
    </row>
    <row r="6921" spans="4:6" x14ac:dyDescent="0.35">
      <c r="D6921" s="66"/>
      <c r="E6921" s="66"/>
      <c r="F6921" s="66"/>
    </row>
    <row r="6922" spans="4:6" x14ac:dyDescent="0.35">
      <c r="D6922" s="66"/>
      <c r="E6922" s="66"/>
      <c r="F6922" s="66"/>
    </row>
    <row r="6923" spans="4:6" x14ac:dyDescent="0.35">
      <c r="D6923" s="66"/>
      <c r="E6923" s="66"/>
      <c r="F6923" s="66"/>
    </row>
    <row r="6924" spans="4:6" x14ac:dyDescent="0.35">
      <c r="D6924" s="66"/>
      <c r="E6924" s="66"/>
      <c r="F6924" s="66"/>
    </row>
    <row r="6925" spans="4:6" x14ac:dyDescent="0.35">
      <c r="D6925" s="66"/>
      <c r="E6925" s="66"/>
      <c r="F6925" s="66"/>
    </row>
    <row r="6926" spans="4:6" x14ac:dyDescent="0.35">
      <c r="D6926" s="66"/>
      <c r="E6926" s="66"/>
      <c r="F6926" s="66"/>
    </row>
    <row r="6927" spans="4:6" x14ac:dyDescent="0.35">
      <c r="D6927" s="66"/>
      <c r="E6927" s="66"/>
      <c r="F6927" s="66"/>
    </row>
    <row r="6928" spans="4:6" x14ac:dyDescent="0.35">
      <c r="D6928" s="66"/>
      <c r="E6928" s="66"/>
      <c r="F6928" s="66"/>
    </row>
    <row r="6929" spans="4:6" x14ac:dyDescent="0.35">
      <c r="D6929" s="66"/>
      <c r="E6929" s="66"/>
      <c r="F6929" s="66"/>
    </row>
    <row r="6930" spans="4:6" x14ac:dyDescent="0.35">
      <c r="D6930" s="66"/>
      <c r="E6930" s="66"/>
      <c r="F6930" s="66"/>
    </row>
    <row r="6931" spans="4:6" x14ac:dyDescent="0.35">
      <c r="D6931" s="66"/>
      <c r="E6931" s="66"/>
      <c r="F6931" s="66"/>
    </row>
    <row r="6932" spans="4:6" x14ac:dyDescent="0.35">
      <c r="D6932" s="66"/>
      <c r="E6932" s="66"/>
      <c r="F6932" s="66"/>
    </row>
    <row r="6933" spans="4:6" x14ac:dyDescent="0.35">
      <c r="D6933" s="66"/>
      <c r="E6933" s="66"/>
      <c r="F6933" s="66"/>
    </row>
    <row r="6934" spans="4:6" x14ac:dyDescent="0.35">
      <c r="D6934" s="66"/>
      <c r="E6934" s="66"/>
      <c r="F6934" s="66"/>
    </row>
    <row r="6935" spans="4:6" x14ac:dyDescent="0.35">
      <c r="D6935" s="66"/>
      <c r="E6935" s="66"/>
      <c r="F6935" s="66"/>
    </row>
    <row r="6936" spans="4:6" x14ac:dyDescent="0.35">
      <c r="D6936" s="66"/>
      <c r="E6936" s="66"/>
      <c r="F6936" s="66"/>
    </row>
    <row r="6937" spans="4:6" x14ac:dyDescent="0.35">
      <c r="D6937" s="66"/>
      <c r="E6937" s="66"/>
      <c r="F6937" s="66"/>
    </row>
    <row r="6938" spans="4:6" x14ac:dyDescent="0.35">
      <c r="D6938" s="66"/>
      <c r="E6938" s="66"/>
      <c r="F6938" s="66"/>
    </row>
    <row r="6939" spans="4:6" x14ac:dyDescent="0.35">
      <c r="D6939" s="66"/>
      <c r="E6939" s="66"/>
      <c r="F6939" s="66"/>
    </row>
    <row r="6940" spans="4:6" x14ac:dyDescent="0.35">
      <c r="D6940" s="66"/>
      <c r="E6940" s="66"/>
      <c r="F6940" s="66"/>
    </row>
    <row r="6941" spans="4:6" x14ac:dyDescent="0.35">
      <c r="D6941" s="66"/>
      <c r="E6941" s="66"/>
      <c r="F6941" s="66"/>
    </row>
    <row r="6942" spans="4:6" x14ac:dyDescent="0.35">
      <c r="D6942" s="66"/>
      <c r="E6942" s="66"/>
      <c r="F6942" s="66"/>
    </row>
    <row r="6943" spans="4:6" x14ac:dyDescent="0.35">
      <c r="D6943" s="66"/>
      <c r="E6943" s="66"/>
      <c r="F6943" s="66"/>
    </row>
    <row r="6944" spans="4:6" x14ac:dyDescent="0.35">
      <c r="D6944" s="66"/>
      <c r="E6944" s="66"/>
      <c r="F6944" s="66"/>
    </row>
    <row r="6945" spans="4:6" x14ac:dyDescent="0.35">
      <c r="D6945" s="66"/>
      <c r="E6945" s="66"/>
      <c r="F6945" s="66"/>
    </row>
    <row r="6946" spans="4:6" x14ac:dyDescent="0.35">
      <c r="D6946" s="66"/>
      <c r="E6946" s="66"/>
      <c r="F6946" s="66"/>
    </row>
    <row r="6947" spans="4:6" x14ac:dyDescent="0.35">
      <c r="D6947" s="66"/>
      <c r="E6947" s="66"/>
      <c r="F6947" s="66"/>
    </row>
    <row r="6948" spans="4:6" x14ac:dyDescent="0.35">
      <c r="D6948" s="66"/>
      <c r="E6948" s="66"/>
      <c r="F6948" s="66"/>
    </row>
    <row r="6949" spans="4:6" x14ac:dyDescent="0.35">
      <c r="D6949" s="66"/>
      <c r="E6949" s="66"/>
      <c r="F6949" s="66"/>
    </row>
    <row r="6950" spans="4:6" x14ac:dyDescent="0.35">
      <c r="D6950" s="66"/>
      <c r="E6950" s="66"/>
      <c r="F6950" s="66"/>
    </row>
    <row r="6951" spans="4:6" x14ac:dyDescent="0.35">
      <c r="D6951" s="66"/>
      <c r="E6951" s="66"/>
      <c r="F6951" s="66"/>
    </row>
    <row r="6952" spans="4:6" x14ac:dyDescent="0.35">
      <c r="D6952" s="66"/>
      <c r="E6952" s="66"/>
      <c r="F6952" s="66"/>
    </row>
    <row r="6953" spans="4:6" x14ac:dyDescent="0.35">
      <c r="D6953" s="66"/>
      <c r="E6953" s="66"/>
      <c r="F6953" s="66"/>
    </row>
    <row r="6954" spans="4:6" x14ac:dyDescent="0.35">
      <c r="D6954" s="66"/>
      <c r="E6954" s="66"/>
      <c r="F6954" s="66"/>
    </row>
    <row r="6955" spans="4:6" x14ac:dyDescent="0.35">
      <c r="D6955" s="66"/>
      <c r="E6955" s="66"/>
      <c r="F6955" s="66"/>
    </row>
    <row r="6956" spans="4:6" x14ac:dyDescent="0.35">
      <c r="D6956" s="66"/>
      <c r="E6956" s="66"/>
      <c r="F6956" s="66"/>
    </row>
    <row r="6957" spans="4:6" x14ac:dyDescent="0.35">
      <c r="D6957" s="66"/>
      <c r="E6957" s="66"/>
      <c r="F6957" s="66"/>
    </row>
    <row r="6958" spans="4:6" x14ac:dyDescent="0.35">
      <c r="D6958" s="66"/>
      <c r="E6958" s="66"/>
      <c r="F6958" s="66"/>
    </row>
    <row r="6959" spans="4:6" x14ac:dyDescent="0.35">
      <c r="D6959" s="66"/>
      <c r="E6959" s="66"/>
      <c r="F6959" s="66"/>
    </row>
    <row r="6960" spans="4:6" x14ac:dyDescent="0.35">
      <c r="D6960" s="66"/>
      <c r="E6960" s="66"/>
      <c r="F6960" s="66"/>
    </row>
    <row r="6961" spans="4:6" x14ac:dyDescent="0.35">
      <c r="D6961" s="66"/>
      <c r="E6961" s="66"/>
      <c r="F6961" s="66"/>
    </row>
    <row r="6962" spans="4:6" x14ac:dyDescent="0.35">
      <c r="D6962" s="66"/>
      <c r="E6962" s="66"/>
      <c r="F6962" s="66"/>
    </row>
    <row r="6963" spans="4:6" x14ac:dyDescent="0.35">
      <c r="D6963" s="66"/>
      <c r="E6963" s="66"/>
      <c r="F6963" s="66"/>
    </row>
    <row r="6964" spans="4:6" x14ac:dyDescent="0.35">
      <c r="D6964" s="66"/>
      <c r="E6964" s="66"/>
      <c r="F6964" s="66"/>
    </row>
    <row r="6965" spans="4:6" x14ac:dyDescent="0.35">
      <c r="D6965" s="66"/>
      <c r="E6965" s="66"/>
      <c r="F6965" s="66"/>
    </row>
    <row r="6966" spans="4:6" x14ac:dyDescent="0.35">
      <c r="D6966" s="66"/>
      <c r="E6966" s="66"/>
      <c r="F6966" s="66"/>
    </row>
    <row r="6967" spans="4:6" x14ac:dyDescent="0.35">
      <c r="D6967" s="66"/>
      <c r="E6967" s="66"/>
      <c r="F6967" s="66"/>
    </row>
    <row r="6968" spans="4:6" x14ac:dyDescent="0.35">
      <c r="D6968" s="66"/>
      <c r="E6968" s="66"/>
      <c r="F6968" s="66"/>
    </row>
    <row r="6969" spans="4:6" x14ac:dyDescent="0.35">
      <c r="D6969" s="66"/>
      <c r="E6969" s="66"/>
      <c r="F6969" s="66"/>
    </row>
    <row r="6970" spans="4:6" x14ac:dyDescent="0.35">
      <c r="D6970" s="66"/>
      <c r="E6970" s="66"/>
      <c r="F6970" s="66"/>
    </row>
    <row r="6971" spans="4:6" x14ac:dyDescent="0.35">
      <c r="D6971" s="66"/>
      <c r="E6971" s="66"/>
      <c r="F6971" s="66"/>
    </row>
    <row r="6972" spans="4:6" x14ac:dyDescent="0.35">
      <c r="D6972" s="66"/>
      <c r="E6972" s="66"/>
      <c r="F6972" s="66"/>
    </row>
    <row r="6973" spans="4:6" x14ac:dyDescent="0.35">
      <c r="D6973" s="66"/>
      <c r="E6973" s="66"/>
      <c r="F6973" s="66"/>
    </row>
    <row r="6974" spans="4:6" x14ac:dyDescent="0.35">
      <c r="D6974" s="66"/>
      <c r="E6974" s="66"/>
      <c r="F6974" s="66"/>
    </row>
    <row r="6975" spans="4:6" x14ac:dyDescent="0.35">
      <c r="D6975" s="66"/>
      <c r="E6975" s="66"/>
      <c r="F6975" s="66"/>
    </row>
    <row r="6976" spans="4:6" x14ac:dyDescent="0.35">
      <c r="D6976" s="66"/>
      <c r="E6976" s="66"/>
      <c r="F6976" s="66"/>
    </row>
    <row r="6977" spans="4:6" x14ac:dyDescent="0.35">
      <c r="D6977" s="66"/>
      <c r="E6977" s="66"/>
      <c r="F6977" s="66"/>
    </row>
    <row r="6978" spans="4:6" x14ac:dyDescent="0.35">
      <c r="D6978" s="66"/>
      <c r="E6978" s="66"/>
      <c r="F6978" s="66"/>
    </row>
    <row r="6979" spans="4:6" x14ac:dyDescent="0.35">
      <c r="D6979" s="66"/>
      <c r="E6979" s="66"/>
      <c r="F6979" s="66"/>
    </row>
    <row r="6980" spans="4:6" x14ac:dyDescent="0.35">
      <c r="D6980" s="66"/>
      <c r="E6980" s="66"/>
      <c r="F6980" s="66"/>
    </row>
    <row r="6981" spans="4:6" x14ac:dyDescent="0.35">
      <c r="D6981" s="66"/>
      <c r="E6981" s="66"/>
      <c r="F6981" s="66"/>
    </row>
    <row r="6982" spans="4:6" x14ac:dyDescent="0.35">
      <c r="D6982" s="66"/>
      <c r="E6982" s="66"/>
      <c r="F6982" s="66"/>
    </row>
    <row r="6983" spans="4:6" x14ac:dyDescent="0.35">
      <c r="D6983" s="66"/>
      <c r="E6983" s="66"/>
      <c r="F6983" s="66"/>
    </row>
    <row r="6984" spans="4:6" x14ac:dyDescent="0.35">
      <c r="D6984" s="66"/>
      <c r="E6984" s="66"/>
      <c r="F6984" s="66"/>
    </row>
    <row r="6985" spans="4:6" x14ac:dyDescent="0.35">
      <c r="D6985" s="66"/>
      <c r="E6985" s="66"/>
      <c r="F6985" s="66"/>
    </row>
    <row r="6986" spans="4:6" x14ac:dyDescent="0.35">
      <c r="D6986" s="66"/>
      <c r="E6986" s="66"/>
      <c r="F6986" s="66"/>
    </row>
    <row r="6987" spans="4:6" x14ac:dyDescent="0.35">
      <c r="D6987" s="66"/>
      <c r="E6987" s="66"/>
      <c r="F6987" s="66"/>
    </row>
    <row r="6988" spans="4:6" x14ac:dyDescent="0.35">
      <c r="D6988" s="66"/>
      <c r="E6988" s="66"/>
      <c r="F6988" s="66"/>
    </row>
    <row r="6989" spans="4:6" x14ac:dyDescent="0.35">
      <c r="D6989" s="66"/>
      <c r="E6989" s="66"/>
      <c r="F6989" s="66"/>
    </row>
    <row r="6990" spans="4:6" x14ac:dyDescent="0.35">
      <c r="D6990" s="66"/>
      <c r="E6990" s="66"/>
      <c r="F6990" s="66"/>
    </row>
    <row r="6991" spans="4:6" x14ac:dyDescent="0.35">
      <c r="D6991" s="66"/>
      <c r="E6991" s="66"/>
      <c r="F6991" s="66"/>
    </row>
    <row r="6992" spans="4:6" x14ac:dyDescent="0.35">
      <c r="D6992" s="66"/>
      <c r="E6992" s="66"/>
      <c r="F6992" s="66"/>
    </row>
    <row r="6993" spans="4:6" x14ac:dyDescent="0.35">
      <c r="D6993" s="66"/>
      <c r="E6993" s="66"/>
      <c r="F6993" s="66"/>
    </row>
    <row r="6994" spans="4:6" x14ac:dyDescent="0.35">
      <c r="D6994" s="66"/>
      <c r="E6994" s="66"/>
      <c r="F6994" s="66"/>
    </row>
    <row r="6995" spans="4:6" x14ac:dyDescent="0.35">
      <c r="D6995" s="66"/>
      <c r="E6995" s="66"/>
      <c r="F6995" s="66"/>
    </row>
    <row r="6996" spans="4:6" x14ac:dyDescent="0.35">
      <c r="D6996" s="66"/>
      <c r="E6996" s="66"/>
      <c r="F6996" s="66"/>
    </row>
    <row r="6997" spans="4:6" x14ac:dyDescent="0.35">
      <c r="D6997" s="66"/>
      <c r="E6997" s="66"/>
      <c r="F6997" s="66"/>
    </row>
    <row r="6998" spans="4:6" x14ac:dyDescent="0.35">
      <c r="D6998" s="66"/>
      <c r="E6998" s="66"/>
      <c r="F6998" s="66"/>
    </row>
    <row r="6999" spans="4:6" x14ac:dyDescent="0.35">
      <c r="D6999" s="66"/>
      <c r="E6999" s="66"/>
      <c r="F6999" s="66"/>
    </row>
    <row r="7000" spans="4:6" x14ac:dyDescent="0.35">
      <c r="D7000" s="66"/>
      <c r="E7000" s="66"/>
      <c r="F7000" s="66"/>
    </row>
    <row r="7001" spans="4:6" x14ac:dyDescent="0.35">
      <c r="D7001" s="66"/>
      <c r="E7001" s="66"/>
      <c r="F7001" s="66"/>
    </row>
    <row r="7002" spans="4:6" x14ac:dyDescent="0.35">
      <c r="D7002" s="66"/>
      <c r="E7002" s="66"/>
      <c r="F7002" s="66"/>
    </row>
    <row r="7003" spans="4:6" x14ac:dyDescent="0.35">
      <c r="D7003" s="66"/>
      <c r="E7003" s="66"/>
      <c r="F7003" s="66"/>
    </row>
    <row r="7004" spans="4:6" x14ac:dyDescent="0.35">
      <c r="D7004" s="66"/>
      <c r="E7004" s="66"/>
      <c r="F7004" s="66"/>
    </row>
    <row r="7005" spans="4:6" x14ac:dyDescent="0.35">
      <c r="D7005" s="66"/>
      <c r="E7005" s="66"/>
      <c r="F7005" s="66"/>
    </row>
    <row r="7006" spans="4:6" x14ac:dyDescent="0.35">
      <c r="D7006" s="66"/>
      <c r="E7006" s="66"/>
      <c r="F7006" s="66"/>
    </row>
    <row r="7007" spans="4:6" x14ac:dyDescent="0.35">
      <c r="D7007" s="66"/>
      <c r="E7007" s="66"/>
      <c r="F7007" s="66"/>
    </row>
    <row r="7008" spans="4:6" x14ac:dyDescent="0.35">
      <c r="D7008" s="66"/>
      <c r="E7008" s="66"/>
      <c r="F7008" s="66"/>
    </row>
    <row r="7009" spans="4:6" x14ac:dyDescent="0.35">
      <c r="D7009" s="66"/>
      <c r="E7009" s="66"/>
      <c r="F7009" s="66"/>
    </row>
    <row r="7010" spans="4:6" x14ac:dyDescent="0.35">
      <c r="D7010" s="66"/>
      <c r="E7010" s="66"/>
      <c r="F7010" s="66"/>
    </row>
    <row r="7011" spans="4:6" x14ac:dyDescent="0.35">
      <c r="D7011" s="66"/>
      <c r="E7011" s="66"/>
      <c r="F7011" s="66"/>
    </row>
    <row r="7012" spans="4:6" x14ac:dyDescent="0.35">
      <c r="D7012" s="66"/>
      <c r="E7012" s="66"/>
      <c r="F7012" s="66"/>
    </row>
    <row r="7013" spans="4:6" x14ac:dyDescent="0.35">
      <c r="D7013" s="66"/>
      <c r="E7013" s="66"/>
      <c r="F7013" s="66"/>
    </row>
    <row r="7014" spans="4:6" x14ac:dyDescent="0.35">
      <c r="D7014" s="66"/>
      <c r="E7014" s="66"/>
      <c r="F7014" s="66"/>
    </row>
    <row r="7015" spans="4:6" x14ac:dyDescent="0.35">
      <c r="D7015" s="66"/>
      <c r="E7015" s="66"/>
      <c r="F7015" s="66"/>
    </row>
    <row r="7016" spans="4:6" x14ac:dyDescent="0.35">
      <c r="D7016" s="66"/>
      <c r="E7016" s="66"/>
      <c r="F7016" s="66"/>
    </row>
    <row r="7017" spans="4:6" x14ac:dyDescent="0.35">
      <c r="D7017" s="66"/>
      <c r="E7017" s="66"/>
      <c r="F7017" s="66"/>
    </row>
    <row r="7018" spans="4:6" x14ac:dyDescent="0.35">
      <c r="D7018" s="66"/>
      <c r="E7018" s="66"/>
      <c r="F7018" s="66"/>
    </row>
    <row r="7019" spans="4:6" x14ac:dyDescent="0.35">
      <c r="D7019" s="66"/>
      <c r="E7019" s="66"/>
      <c r="F7019" s="66"/>
    </row>
    <row r="7020" spans="4:6" x14ac:dyDescent="0.35">
      <c r="D7020" s="66"/>
      <c r="E7020" s="66"/>
      <c r="F7020" s="66"/>
    </row>
    <row r="7021" spans="4:6" x14ac:dyDescent="0.35">
      <c r="D7021" s="66"/>
      <c r="E7021" s="66"/>
      <c r="F7021" s="66"/>
    </row>
    <row r="7022" spans="4:6" x14ac:dyDescent="0.35">
      <c r="D7022" s="66"/>
      <c r="E7022" s="66"/>
      <c r="F7022" s="66"/>
    </row>
    <row r="7023" spans="4:6" x14ac:dyDescent="0.35">
      <c r="D7023" s="66"/>
      <c r="E7023" s="66"/>
      <c r="F7023" s="66"/>
    </row>
    <row r="7024" spans="4:6" x14ac:dyDescent="0.35">
      <c r="D7024" s="66"/>
      <c r="E7024" s="66"/>
      <c r="F7024" s="66"/>
    </row>
    <row r="7025" spans="4:6" x14ac:dyDescent="0.35">
      <c r="D7025" s="66"/>
      <c r="E7025" s="66"/>
      <c r="F7025" s="66"/>
    </row>
    <row r="7026" spans="4:6" x14ac:dyDescent="0.35">
      <c r="D7026" s="66"/>
      <c r="E7026" s="66"/>
      <c r="F7026" s="66"/>
    </row>
    <row r="7027" spans="4:6" x14ac:dyDescent="0.35">
      <c r="D7027" s="66"/>
      <c r="E7027" s="66"/>
      <c r="F7027" s="66"/>
    </row>
    <row r="7028" spans="4:6" x14ac:dyDescent="0.35">
      <c r="D7028" s="66"/>
      <c r="E7028" s="66"/>
      <c r="F7028" s="66"/>
    </row>
    <row r="7029" spans="4:6" x14ac:dyDescent="0.35">
      <c r="D7029" s="66"/>
      <c r="E7029" s="66"/>
      <c r="F7029" s="66"/>
    </row>
    <row r="7030" spans="4:6" x14ac:dyDescent="0.35">
      <c r="D7030" s="66"/>
      <c r="E7030" s="66"/>
      <c r="F7030" s="66"/>
    </row>
    <row r="7031" spans="4:6" x14ac:dyDescent="0.35">
      <c r="D7031" s="66"/>
      <c r="E7031" s="66"/>
      <c r="F7031" s="66"/>
    </row>
    <row r="7032" spans="4:6" x14ac:dyDescent="0.35">
      <c r="D7032" s="66"/>
      <c r="E7032" s="66"/>
      <c r="F7032" s="66"/>
    </row>
    <row r="7033" spans="4:6" x14ac:dyDescent="0.35">
      <c r="D7033" s="66"/>
      <c r="E7033" s="66"/>
      <c r="F7033" s="66"/>
    </row>
    <row r="7034" spans="4:6" x14ac:dyDescent="0.35">
      <c r="D7034" s="66"/>
      <c r="E7034" s="66"/>
      <c r="F7034" s="66"/>
    </row>
    <row r="7035" spans="4:6" x14ac:dyDescent="0.35">
      <c r="D7035" s="66"/>
      <c r="E7035" s="66"/>
      <c r="F7035" s="66"/>
    </row>
    <row r="7036" spans="4:6" x14ac:dyDescent="0.35">
      <c r="D7036" s="66"/>
      <c r="E7036" s="66"/>
      <c r="F7036" s="66"/>
    </row>
    <row r="7037" spans="4:6" x14ac:dyDescent="0.35">
      <c r="D7037" s="66"/>
      <c r="E7037" s="66"/>
      <c r="F7037" s="66"/>
    </row>
    <row r="7038" spans="4:6" x14ac:dyDescent="0.35">
      <c r="D7038" s="66"/>
      <c r="E7038" s="66"/>
      <c r="F7038" s="66"/>
    </row>
    <row r="7039" spans="4:6" x14ac:dyDescent="0.35">
      <c r="D7039" s="66"/>
      <c r="E7039" s="66"/>
      <c r="F7039" s="66"/>
    </row>
    <row r="7040" spans="4:6" x14ac:dyDescent="0.35">
      <c r="D7040" s="66"/>
      <c r="E7040" s="66"/>
      <c r="F7040" s="66"/>
    </row>
    <row r="7041" spans="4:6" x14ac:dyDescent="0.35">
      <c r="D7041" s="66"/>
      <c r="E7041" s="66"/>
      <c r="F7041" s="66"/>
    </row>
    <row r="7042" spans="4:6" x14ac:dyDescent="0.35">
      <c r="D7042" s="66"/>
      <c r="E7042" s="66"/>
      <c r="F7042" s="66"/>
    </row>
    <row r="7043" spans="4:6" x14ac:dyDescent="0.35">
      <c r="D7043" s="66"/>
      <c r="E7043" s="66"/>
      <c r="F7043" s="66"/>
    </row>
    <row r="7044" spans="4:6" x14ac:dyDescent="0.35">
      <c r="D7044" s="66"/>
      <c r="E7044" s="66"/>
      <c r="F7044" s="66"/>
    </row>
    <row r="7045" spans="4:6" x14ac:dyDescent="0.35">
      <c r="D7045" s="66"/>
      <c r="E7045" s="66"/>
      <c r="F7045" s="66"/>
    </row>
    <row r="7046" spans="4:6" x14ac:dyDescent="0.35">
      <c r="D7046" s="66"/>
      <c r="E7046" s="66"/>
      <c r="F7046" s="66"/>
    </row>
    <row r="7047" spans="4:6" x14ac:dyDescent="0.35">
      <c r="D7047" s="66"/>
      <c r="E7047" s="66"/>
      <c r="F7047" s="66"/>
    </row>
    <row r="7048" spans="4:6" x14ac:dyDescent="0.35">
      <c r="D7048" s="66"/>
      <c r="E7048" s="66"/>
      <c r="F7048" s="66"/>
    </row>
    <row r="7049" spans="4:6" x14ac:dyDescent="0.35">
      <c r="D7049" s="66"/>
      <c r="E7049" s="66"/>
      <c r="F7049" s="66"/>
    </row>
    <row r="7050" spans="4:6" x14ac:dyDescent="0.35">
      <c r="D7050" s="66"/>
      <c r="E7050" s="66"/>
      <c r="F7050" s="66"/>
    </row>
    <row r="7051" spans="4:6" x14ac:dyDescent="0.35">
      <c r="D7051" s="66"/>
      <c r="E7051" s="66"/>
      <c r="F7051" s="66"/>
    </row>
    <row r="7052" spans="4:6" x14ac:dyDescent="0.35">
      <c r="D7052" s="66"/>
      <c r="E7052" s="66"/>
      <c r="F7052" s="66"/>
    </row>
    <row r="7053" spans="4:6" x14ac:dyDescent="0.35">
      <c r="D7053" s="66"/>
      <c r="E7053" s="66"/>
      <c r="F7053" s="66"/>
    </row>
    <row r="7054" spans="4:6" x14ac:dyDescent="0.35">
      <c r="D7054" s="66"/>
      <c r="E7054" s="66"/>
      <c r="F7054" s="66"/>
    </row>
    <row r="7055" spans="4:6" x14ac:dyDescent="0.35">
      <c r="D7055" s="66"/>
      <c r="E7055" s="66"/>
      <c r="F7055" s="66"/>
    </row>
    <row r="7056" spans="4:6" x14ac:dyDescent="0.35">
      <c r="D7056" s="66"/>
      <c r="E7056" s="66"/>
      <c r="F7056" s="66"/>
    </row>
    <row r="7057" spans="4:6" x14ac:dyDescent="0.35">
      <c r="D7057" s="66"/>
      <c r="E7057" s="66"/>
      <c r="F7057" s="66"/>
    </row>
    <row r="7058" spans="4:6" x14ac:dyDescent="0.35">
      <c r="D7058" s="66"/>
      <c r="E7058" s="66"/>
      <c r="F7058" s="66"/>
    </row>
    <row r="7059" spans="4:6" x14ac:dyDescent="0.35">
      <c r="D7059" s="66"/>
      <c r="E7059" s="66"/>
      <c r="F7059" s="66"/>
    </row>
    <row r="7060" spans="4:6" x14ac:dyDescent="0.35">
      <c r="D7060" s="66"/>
      <c r="E7060" s="66"/>
      <c r="F7060" s="66"/>
    </row>
    <row r="7061" spans="4:6" x14ac:dyDescent="0.35">
      <c r="D7061" s="66"/>
      <c r="E7061" s="66"/>
      <c r="F7061" s="66"/>
    </row>
    <row r="7062" spans="4:6" x14ac:dyDescent="0.35">
      <c r="D7062" s="66"/>
      <c r="E7062" s="66"/>
      <c r="F7062" s="66"/>
    </row>
    <row r="7063" spans="4:6" x14ac:dyDescent="0.35">
      <c r="D7063" s="66"/>
      <c r="E7063" s="66"/>
      <c r="F7063" s="66"/>
    </row>
    <row r="7064" spans="4:6" x14ac:dyDescent="0.35">
      <c r="D7064" s="66"/>
      <c r="E7064" s="66"/>
      <c r="F7064" s="66"/>
    </row>
    <row r="7065" spans="4:6" x14ac:dyDescent="0.35">
      <c r="D7065" s="66"/>
      <c r="E7065" s="66"/>
      <c r="F7065" s="66"/>
    </row>
    <row r="7066" spans="4:6" x14ac:dyDescent="0.35">
      <c r="D7066" s="66"/>
      <c r="E7066" s="66"/>
      <c r="F7066" s="66"/>
    </row>
    <row r="7067" spans="4:6" x14ac:dyDescent="0.35">
      <c r="D7067" s="66"/>
      <c r="E7067" s="66"/>
      <c r="F7067" s="66"/>
    </row>
    <row r="7068" spans="4:6" x14ac:dyDescent="0.35">
      <c r="D7068" s="66"/>
      <c r="E7068" s="66"/>
      <c r="F7068" s="66"/>
    </row>
    <row r="7069" spans="4:6" x14ac:dyDescent="0.35">
      <c r="D7069" s="66"/>
      <c r="E7069" s="66"/>
      <c r="F7069" s="66"/>
    </row>
    <row r="7070" spans="4:6" x14ac:dyDescent="0.35">
      <c r="D7070" s="66"/>
      <c r="E7070" s="66"/>
      <c r="F7070" s="66"/>
    </row>
    <row r="7071" spans="4:6" x14ac:dyDescent="0.35">
      <c r="D7071" s="66"/>
      <c r="E7071" s="66"/>
      <c r="F7071" s="66"/>
    </row>
    <row r="7072" spans="4:6" x14ac:dyDescent="0.35">
      <c r="D7072" s="66"/>
      <c r="E7072" s="66"/>
      <c r="F7072" s="66"/>
    </row>
    <row r="7073" spans="4:6" x14ac:dyDescent="0.35">
      <c r="D7073" s="66"/>
      <c r="E7073" s="66"/>
      <c r="F7073" s="66"/>
    </row>
    <row r="7074" spans="4:6" x14ac:dyDescent="0.35">
      <c r="D7074" s="66"/>
      <c r="E7074" s="66"/>
      <c r="F7074" s="66"/>
    </row>
    <row r="7075" spans="4:6" x14ac:dyDescent="0.35">
      <c r="D7075" s="66"/>
      <c r="E7075" s="66"/>
      <c r="F7075" s="66"/>
    </row>
    <row r="7076" spans="4:6" x14ac:dyDescent="0.35">
      <c r="D7076" s="66"/>
      <c r="E7076" s="66"/>
      <c r="F7076" s="66"/>
    </row>
    <row r="7077" spans="4:6" x14ac:dyDescent="0.35">
      <c r="D7077" s="66"/>
      <c r="E7077" s="66"/>
      <c r="F7077" s="66"/>
    </row>
    <row r="7078" spans="4:6" x14ac:dyDescent="0.35">
      <c r="D7078" s="66"/>
      <c r="E7078" s="66"/>
      <c r="F7078" s="66"/>
    </row>
    <row r="7079" spans="4:6" x14ac:dyDescent="0.35">
      <c r="D7079" s="66"/>
      <c r="E7079" s="66"/>
      <c r="F7079" s="66"/>
    </row>
    <row r="7080" spans="4:6" x14ac:dyDescent="0.35">
      <c r="D7080" s="66"/>
      <c r="E7080" s="66"/>
      <c r="F7080" s="66"/>
    </row>
    <row r="7081" spans="4:6" x14ac:dyDescent="0.35">
      <c r="D7081" s="66"/>
      <c r="E7081" s="66"/>
      <c r="F7081" s="66"/>
    </row>
    <row r="7082" spans="4:6" x14ac:dyDescent="0.35">
      <c r="D7082" s="66"/>
      <c r="E7082" s="66"/>
      <c r="F7082" s="66"/>
    </row>
    <row r="7083" spans="4:6" x14ac:dyDescent="0.35">
      <c r="D7083" s="66"/>
      <c r="E7083" s="66"/>
      <c r="F7083" s="66"/>
    </row>
    <row r="7084" spans="4:6" x14ac:dyDescent="0.35">
      <c r="D7084" s="66"/>
      <c r="E7084" s="66"/>
      <c r="F7084" s="66"/>
    </row>
    <row r="7085" spans="4:6" x14ac:dyDescent="0.35">
      <c r="D7085" s="66"/>
      <c r="E7085" s="66"/>
      <c r="F7085" s="66"/>
    </row>
    <row r="7086" spans="4:6" x14ac:dyDescent="0.35">
      <c r="D7086" s="66"/>
      <c r="E7086" s="66"/>
      <c r="F7086" s="66"/>
    </row>
    <row r="7087" spans="4:6" x14ac:dyDescent="0.35">
      <c r="D7087" s="66"/>
      <c r="E7087" s="66"/>
      <c r="F7087" s="66"/>
    </row>
    <row r="7088" spans="4:6" x14ac:dyDescent="0.35">
      <c r="D7088" s="66"/>
      <c r="E7088" s="66"/>
      <c r="F7088" s="66"/>
    </row>
    <row r="7089" spans="4:6" x14ac:dyDescent="0.35">
      <c r="D7089" s="66"/>
      <c r="E7089" s="66"/>
      <c r="F7089" s="66"/>
    </row>
    <row r="7090" spans="4:6" x14ac:dyDescent="0.35">
      <c r="D7090" s="66"/>
      <c r="E7090" s="66"/>
      <c r="F7090" s="66"/>
    </row>
    <row r="7091" spans="4:6" x14ac:dyDescent="0.35">
      <c r="D7091" s="66"/>
      <c r="E7091" s="66"/>
      <c r="F7091" s="66"/>
    </row>
    <row r="7092" spans="4:6" x14ac:dyDescent="0.35">
      <c r="D7092" s="66"/>
      <c r="E7092" s="66"/>
      <c r="F7092" s="66"/>
    </row>
    <row r="7093" spans="4:6" x14ac:dyDescent="0.35">
      <c r="D7093" s="66"/>
      <c r="E7093" s="66"/>
      <c r="F7093" s="66"/>
    </row>
    <row r="7094" spans="4:6" x14ac:dyDescent="0.35">
      <c r="D7094" s="66"/>
      <c r="E7094" s="66"/>
      <c r="F7094" s="66"/>
    </row>
    <row r="7095" spans="4:6" x14ac:dyDescent="0.35">
      <c r="D7095" s="66"/>
      <c r="E7095" s="66"/>
      <c r="F7095" s="66"/>
    </row>
    <row r="7096" spans="4:6" x14ac:dyDescent="0.35">
      <c r="D7096" s="66"/>
      <c r="E7096" s="66"/>
      <c r="F7096" s="66"/>
    </row>
    <row r="7097" spans="4:6" x14ac:dyDescent="0.35">
      <c r="D7097" s="66"/>
      <c r="E7097" s="66"/>
      <c r="F7097" s="66"/>
    </row>
    <row r="7098" spans="4:6" x14ac:dyDescent="0.35">
      <c r="D7098" s="66"/>
      <c r="E7098" s="66"/>
      <c r="F7098" s="66"/>
    </row>
    <row r="7099" spans="4:6" x14ac:dyDescent="0.35">
      <c r="D7099" s="66"/>
      <c r="E7099" s="66"/>
      <c r="F7099" s="66"/>
    </row>
    <row r="7100" spans="4:6" x14ac:dyDescent="0.35">
      <c r="D7100" s="66"/>
      <c r="E7100" s="66"/>
      <c r="F7100" s="66"/>
    </row>
    <row r="7101" spans="4:6" x14ac:dyDescent="0.35">
      <c r="D7101" s="66"/>
      <c r="E7101" s="66"/>
      <c r="F7101" s="66"/>
    </row>
    <row r="7102" spans="4:6" x14ac:dyDescent="0.35">
      <c r="D7102" s="66"/>
      <c r="E7102" s="66"/>
      <c r="F7102" s="66"/>
    </row>
    <row r="7103" spans="4:6" x14ac:dyDescent="0.35">
      <c r="D7103" s="66"/>
      <c r="E7103" s="66"/>
      <c r="F7103" s="66"/>
    </row>
    <row r="7104" spans="4:6" x14ac:dyDescent="0.35">
      <c r="D7104" s="66"/>
      <c r="E7104" s="66"/>
      <c r="F7104" s="66"/>
    </row>
    <row r="7105" spans="4:6" x14ac:dyDescent="0.35">
      <c r="D7105" s="66"/>
      <c r="E7105" s="66"/>
      <c r="F7105" s="66"/>
    </row>
    <row r="7106" spans="4:6" x14ac:dyDescent="0.35">
      <c r="D7106" s="66"/>
      <c r="E7106" s="66"/>
      <c r="F7106" s="66"/>
    </row>
    <row r="7107" spans="4:6" x14ac:dyDescent="0.35">
      <c r="D7107" s="66"/>
      <c r="E7107" s="66"/>
      <c r="F7107" s="66"/>
    </row>
    <row r="7108" spans="4:6" x14ac:dyDescent="0.35">
      <c r="D7108" s="66"/>
      <c r="E7108" s="66"/>
      <c r="F7108" s="66"/>
    </row>
    <row r="7109" spans="4:6" x14ac:dyDescent="0.35">
      <c r="D7109" s="66"/>
      <c r="E7109" s="66"/>
      <c r="F7109" s="66"/>
    </row>
    <row r="7110" spans="4:6" x14ac:dyDescent="0.35">
      <c r="D7110" s="66"/>
      <c r="E7110" s="66"/>
      <c r="F7110" s="66"/>
    </row>
    <row r="7111" spans="4:6" x14ac:dyDescent="0.35">
      <c r="D7111" s="66"/>
      <c r="E7111" s="66"/>
      <c r="F7111" s="66"/>
    </row>
    <row r="7112" spans="4:6" x14ac:dyDescent="0.35">
      <c r="D7112" s="66"/>
      <c r="E7112" s="66"/>
      <c r="F7112" s="66"/>
    </row>
    <row r="7113" spans="4:6" x14ac:dyDescent="0.35">
      <c r="D7113" s="66"/>
      <c r="E7113" s="66"/>
      <c r="F7113" s="66"/>
    </row>
    <row r="7114" spans="4:6" x14ac:dyDescent="0.35">
      <c r="D7114" s="66"/>
      <c r="E7114" s="66"/>
      <c r="F7114" s="66"/>
    </row>
    <row r="7115" spans="4:6" x14ac:dyDescent="0.35">
      <c r="D7115" s="66"/>
      <c r="E7115" s="66"/>
      <c r="F7115" s="66"/>
    </row>
    <row r="7116" spans="4:6" x14ac:dyDescent="0.35">
      <c r="D7116" s="66"/>
      <c r="E7116" s="66"/>
      <c r="F7116" s="66"/>
    </row>
    <row r="7117" spans="4:6" x14ac:dyDescent="0.35">
      <c r="D7117" s="66"/>
      <c r="E7117" s="66"/>
      <c r="F7117" s="66"/>
    </row>
    <row r="7118" spans="4:6" x14ac:dyDescent="0.35">
      <c r="D7118" s="66"/>
      <c r="E7118" s="66"/>
      <c r="F7118" s="66"/>
    </row>
    <row r="7119" spans="4:6" x14ac:dyDescent="0.35">
      <c r="D7119" s="66"/>
      <c r="E7119" s="66"/>
      <c r="F7119" s="66"/>
    </row>
    <row r="7120" spans="4:6" x14ac:dyDescent="0.35">
      <c r="D7120" s="66"/>
      <c r="E7120" s="66"/>
      <c r="F7120" s="66"/>
    </row>
    <row r="7121" spans="4:6" x14ac:dyDescent="0.35">
      <c r="D7121" s="66"/>
      <c r="E7121" s="66"/>
      <c r="F7121" s="66"/>
    </row>
    <row r="7122" spans="4:6" x14ac:dyDescent="0.35">
      <c r="D7122" s="66"/>
      <c r="E7122" s="66"/>
      <c r="F7122" s="66"/>
    </row>
    <row r="7123" spans="4:6" x14ac:dyDescent="0.35">
      <c r="D7123" s="66"/>
      <c r="E7123" s="66"/>
      <c r="F7123" s="66"/>
    </row>
    <row r="7124" spans="4:6" x14ac:dyDescent="0.35">
      <c r="D7124" s="66"/>
      <c r="E7124" s="66"/>
      <c r="F7124" s="66"/>
    </row>
    <row r="7125" spans="4:6" x14ac:dyDescent="0.35">
      <c r="D7125" s="66"/>
      <c r="E7125" s="66"/>
      <c r="F7125" s="66"/>
    </row>
    <row r="7126" spans="4:6" x14ac:dyDescent="0.35">
      <c r="D7126" s="66"/>
      <c r="E7126" s="66"/>
      <c r="F7126" s="66"/>
    </row>
    <row r="7127" spans="4:6" x14ac:dyDescent="0.35">
      <c r="D7127" s="66"/>
      <c r="E7127" s="66"/>
      <c r="F7127" s="66"/>
    </row>
    <row r="7128" spans="4:6" x14ac:dyDescent="0.35">
      <c r="D7128" s="66"/>
      <c r="E7128" s="66"/>
      <c r="F7128" s="66"/>
    </row>
    <row r="7129" spans="4:6" x14ac:dyDescent="0.35">
      <c r="D7129" s="66"/>
      <c r="E7129" s="66"/>
      <c r="F7129" s="66"/>
    </row>
    <row r="7130" spans="4:6" x14ac:dyDescent="0.35">
      <c r="D7130" s="66"/>
      <c r="E7130" s="66"/>
      <c r="F7130" s="66"/>
    </row>
    <row r="7131" spans="4:6" x14ac:dyDescent="0.35">
      <c r="D7131" s="66"/>
      <c r="E7131" s="66"/>
      <c r="F7131" s="66"/>
    </row>
    <row r="7132" spans="4:6" x14ac:dyDescent="0.35">
      <c r="D7132" s="66"/>
      <c r="E7132" s="66"/>
      <c r="F7132" s="66"/>
    </row>
    <row r="7133" spans="4:6" x14ac:dyDescent="0.35">
      <c r="D7133" s="66"/>
      <c r="E7133" s="66"/>
      <c r="F7133" s="66"/>
    </row>
    <row r="7134" spans="4:6" x14ac:dyDescent="0.35">
      <c r="D7134" s="66"/>
      <c r="E7134" s="66"/>
      <c r="F7134" s="66"/>
    </row>
    <row r="7135" spans="4:6" x14ac:dyDescent="0.35">
      <c r="D7135" s="66"/>
      <c r="E7135" s="66"/>
      <c r="F7135" s="66"/>
    </row>
    <row r="7136" spans="4:6" x14ac:dyDescent="0.35">
      <c r="D7136" s="66"/>
      <c r="E7136" s="66"/>
      <c r="F7136" s="66"/>
    </row>
    <row r="7137" spans="4:6" x14ac:dyDescent="0.35">
      <c r="D7137" s="66"/>
      <c r="E7137" s="66"/>
      <c r="F7137" s="66"/>
    </row>
    <row r="7138" spans="4:6" x14ac:dyDescent="0.35">
      <c r="D7138" s="66"/>
      <c r="E7138" s="66"/>
      <c r="F7138" s="66"/>
    </row>
    <row r="7139" spans="4:6" x14ac:dyDescent="0.35">
      <c r="D7139" s="66"/>
      <c r="E7139" s="66"/>
      <c r="F7139" s="66"/>
    </row>
    <row r="7140" spans="4:6" x14ac:dyDescent="0.35">
      <c r="D7140" s="66"/>
      <c r="E7140" s="66"/>
      <c r="F7140" s="66"/>
    </row>
    <row r="7141" spans="4:6" x14ac:dyDescent="0.35">
      <c r="D7141" s="66"/>
      <c r="E7141" s="66"/>
      <c r="F7141" s="66"/>
    </row>
    <row r="7142" spans="4:6" x14ac:dyDescent="0.35">
      <c r="D7142" s="66"/>
      <c r="E7142" s="66"/>
      <c r="F7142" s="66"/>
    </row>
    <row r="7143" spans="4:6" x14ac:dyDescent="0.35">
      <c r="D7143" s="66"/>
      <c r="E7143" s="66"/>
      <c r="F7143" s="66"/>
    </row>
    <row r="7144" spans="4:6" x14ac:dyDescent="0.35">
      <c r="D7144" s="66"/>
      <c r="E7144" s="66"/>
      <c r="F7144" s="66"/>
    </row>
    <row r="7145" spans="4:6" x14ac:dyDescent="0.35">
      <c r="D7145" s="66"/>
      <c r="E7145" s="66"/>
      <c r="F7145" s="66"/>
    </row>
    <row r="7146" spans="4:6" x14ac:dyDescent="0.35">
      <c r="D7146" s="66"/>
      <c r="E7146" s="66"/>
      <c r="F7146" s="66"/>
    </row>
    <row r="7147" spans="4:6" x14ac:dyDescent="0.35">
      <c r="D7147" s="66"/>
      <c r="E7147" s="66"/>
      <c r="F7147" s="66"/>
    </row>
    <row r="7148" spans="4:6" x14ac:dyDescent="0.35">
      <c r="D7148" s="66"/>
      <c r="E7148" s="66"/>
      <c r="F7148" s="66"/>
    </row>
    <row r="7149" spans="4:6" x14ac:dyDescent="0.35">
      <c r="D7149" s="66"/>
      <c r="E7149" s="66"/>
      <c r="F7149" s="66"/>
    </row>
    <row r="7150" spans="4:6" x14ac:dyDescent="0.35">
      <c r="D7150" s="66"/>
      <c r="E7150" s="66"/>
      <c r="F7150" s="66"/>
    </row>
    <row r="7151" spans="4:6" x14ac:dyDescent="0.35">
      <c r="D7151" s="66"/>
      <c r="E7151" s="66"/>
      <c r="F7151" s="66"/>
    </row>
    <row r="7152" spans="4:6" x14ac:dyDescent="0.35">
      <c r="D7152" s="66"/>
      <c r="E7152" s="66"/>
      <c r="F7152" s="66"/>
    </row>
    <row r="7153" spans="4:6" x14ac:dyDescent="0.35">
      <c r="D7153" s="66"/>
      <c r="E7153" s="66"/>
      <c r="F7153" s="66"/>
    </row>
    <row r="7154" spans="4:6" x14ac:dyDescent="0.35">
      <c r="D7154" s="66"/>
      <c r="E7154" s="66"/>
      <c r="F7154" s="66"/>
    </row>
    <row r="7155" spans="4:6" x14ac:dyDescent="0.35">
      <c r="D7155" s="66"/>
      <c r="E7155" s="66"/>
      <c r="F7155" s="66"/>
    </row>
    <row r="7156" spans="4:6" x14ac:dyDescent="0.35">
      <c r="D7156" s="66"/>
      <c r="E7156" s="66"/>
      <c r="F7156" s="66"/>
    </row>
    <row r="7157" spans="4:6" x14ac:dyDescent="0.35">
      <c r="D7157" s="66"/>
      <c r="E7157" s="66"/>
      <c r="F7157" s="66"/>
    </row>
    <row r="7158" spans="4:6" x14ac:dyDescent="0.35">
      <c r="D7158" s="66"/>
      <c r="E7158" s="66"/>
      <c r="F7158" s="66"/>
    </row>
    <row r="7159" spans="4:6" x14ac:dyDescent="0.35">
      <c r="D7159" s="66"/>
      <c r="E7159" s="66"/>
      <c r="F7159" s="66"/>
    </row>
    <row r="7160" spans="4:6" x14ac:dyDescent="0.35">
      <c r="D7160" s="66"/>
      <c r="E7160" s="66"/>
      <c r="F7160" s="66"/>
    </row>
    <row r="7161" spans="4:6" x14ac:dyDescent="0.35">
      <c r="D7161" s="66"/>
      <c r="E7161" s="66"/>
      <c r="F7161" s="66"/>
    </row>
    <row r="7162" spans="4:6" x14ac:dyDescent="0.35">
      <c r="D7162" s="66"/>
      <c r="E7162" s="66"/>
      <c r="F7162" s="66"/>
    </row>
    <row r="7163" spans="4:6" x14ac:dyDescent="0.35">
      <c r="D7163" s="66"/>
      <c r="E7163" s="66"/>
      <c r="F7163" s="66"/>
    </row>
    <row r="7164" spans="4:6" x14ac:dyDescent="0.35">
      <c r="D7164" s="66"/>
      <c r="E7164" s="66"/>
      <c r="F7164" s="66"/>
    </row>
    <row r="7165" spans="4:6" x14ac:dyDescent="0.35">
      <c r="D7165" s="66"/>
      <c r="E7165" s="66"/>
      <c r="F7165" s="66"/>
    </row>
    <row r="7166" spans="4:6" x14ac:dyDescent="0.35">
      <c r="D7166" s="66"/>
      <c r="E7166" s="66"/>
      <c r="F7166" s="66"/>
    </row>
    <row r="7167" spans="4:6" x14ac:dyDescent="0.35">
      <c r="D7167" s="66"/>
      <c r="E7167" s="66"/>
      <c r="F7167" s="66"/>
    </row>
    <row r="7168" spans="4:6" x14ac:dyDescent="0.35">
      <c r="D7168" s="66"/>
      <c r="E7168" s="66"/>
      <c r="F7168" s="66"/>
    </row>
    <row r="7169" spans="4:6" x14ac:dyDescent="0.35">
      <c r="D7169" s="66"/>
      <c r="E7169" s="66"/>
      <c r="F7169" s="66"/>
    </row>
    <row r="7170" spans="4:6" x14ac:dyDescent="0.35">
      <c r="D7170" s="66"/>
      <c r="E7170" s="66"/>
      <c r="F7170" s="66"/>
    </row>
    <row r="7171" spans="4:6" x14ac:dyDescent="0.35">
      <c r="D7171" s="66"/>
      <c r="E7171" s="66"/>
      <c r="F7171" s="66"/>
    </row>
    <row r="7172" spans="4:6" x14ac:dyDescent="0.35">
      <c r="D7172" s="66"/>
      <c r="E7172" s="66"/>
      <c r="F7172" s="66"/>
    </row>
    <row r="7173" spans="4:6" x14ac:dyDescent="0.35">
      <c r="D7173" s="66"/>
      <c r="E7173" s="66"/>
      <c r="F7173" s="66"/>
    </row>
    <row r="7174" spans="4:6" x14ac:dyDescent="0.35">
      <c r="D7174" s="66"/>
      <c r="E7174" s="66"/>
      <c r="F7174" s="66"/>
    </row>
    <row r="7175" spans="4:6" x14ac:dyDescent="0.35">
      <c r="D7175" s="66"/>
      <c r="E7175" s="66"/>
      <c r="F7175" s="66"/>
    </row>
    <row r="7176" spans="4:6" x14ac:dyDescent="0.35">
      <c r="D7176" s="66"/>
      <c r="E7176" s="66"/>
      <c r="F7176" s="66"/>
    </row>
    <row r="7177" spans="4:6" x14ac:dyDescent="0.35">
      <c r="D7177" s="66"/>
      <c r="E7177" s="66"/>
      <c r="F7177" s="66"/>
    </row>
    <row r="7178" spans="4:6" x14ac:dyDescent="0.35">
      <c r="D7178" s="66"/>
      <c r="E7178" s="66"/>
      <c r="F7178" s="66"/>
    </row>
    <row r="7179" spans="4:6" x14ac:dyDescent="0.35">
      <c r="D7179" s="66"/>
      <c r="E7179" s="66"/>
      <c r="F7179" s="66"/>
    </row>
    <row r="7180" spans="4:6" x14ac:dyDescent="0.35">
      <c r="D7180" s="66"/>
      <c r="E7180" s="66"/>
      <c r="F7180" s="66"/>
    </row>
    <row r="7181" spans="4:6" x14ac:dyDescent="0.35">
      <c r="D7181" s="66"/>
      <c r="E7181" s="66"/>
      <c r="F7181" s="66"/>
    </row>
    <row r="7182" spans="4:6" x14ac:dyDescent="0.35">
      <c r="D7182" s="66"/>
      <c r="E7182" s="66"/>
      <c r="F7182" s="66"/>
    </row>
    <row r="7183" spans="4:6" x14ac:dyDescent="0.35">
      <c r="D7183" s="66"/>
      <c r="E7183" s="66"/>
      <c r="F7183" s="66"/>
    </row>
    <row r="7184" spans="4:6" x14ac:dyDescent="0.35">
      <c r="D7184" s="66"/>
      <c r="E7184" s="66"/>
      <c r="F7184" s="66"/>
    </row>
    <row r="7185" spans="4:6" x14ac:dyDescent="0.35">
      <c r="D7185" s="66"/>
      <c r="E7185" s="66"/>
      <c r="F7185" s="66"/>
    </row>
    <row r="7186" spans="4:6" x14ac:dyDescent="0.35">
      <c r="D7186" s="66"/>
      <c r="E7186" s="66"/>
      <c r="F7186" s="66"/>
    </row>
    <row r="7187" spans="4:6" x14ac:dyDescent="0.35">
      <c r="D7187" s="66"/>
      <c r="E7187" s="66"/>
      <c r="F7187" s="66"/>
    </row>
    <row r="7188" spans="4:6" x14ac:dyDescent="0.35">
      <c r="D7188" s="66"/>
      <c r="E7188" s="66"/>
      <c r="F7188" s="66"/>
    </row>
    <row r="7189" spans="4:6" x14ac:dyDescent="0.35">
      <c r="D7189" s="66"/>
      <c r="E7189" s="66"/>
      <c r="F7189" s="66"/>
    </row>
    <row r="7190" spans="4:6" x14ac:dyDescent="0.35">
      <c r="D7190" s="66"/>
      <c r="E7190" s="66"/>
      <c r="F7190" s="66"/>
    </row>
    <row r="7191" spans="4:6" x14ac:dyDescent="0.35">
      <c r="D7191" s="66"/>
      <c r="E7191" s="66"/>
      <c r="F7191" s="66"/>
    </row>
    <row r="7192" spans="4:6" x14ac:dyDescent="0.35">
      <c r="D7192" s="66"/>
      <c r="E7192" s="66"/>
      <c r="F7192" s="66"/>
    </row>
    <row r="7193" spans="4:6" x14ac:dyDescent="0.35">
      <c r="D7193" s="66"/>
      <c r="E7193" s="66"/>
      <c r="F7193" s="66"/>
    </row>
    <row r="7194" spans="4:6" x14ac:dyDescent="0.35">
      <c r="D7194" s="66"/>
      <c r="E7194" s="66"/>
      <c r="F7194" s="66"/>
    </row>
    <row r="7195" spans="4:6" x14ac:dyDescent="0.35">
      <c r="D7195" s="66"/>
      <c r="E7195" s="66"/>
      <c r="F7195" s="66"/>
    </row>
    <row r="7196" spans="4:6" x14ac:dyDescent="0.35">
      <c r="D7196" s="66"/>
      <c r="E7196" s="66"/>
      <c r="F7196" s="66"/>
    </row>
    <row r="7197" spans="4:6" x14ac:dyDescent="0.35">
      <c r="D7197" s="66"/>
      <c r="E7197" s="66"/>
      <c r="F7197" s="66"/>
    </row>
    <row r="7198" spans="4:6" x14ac:dyDescent="0.35">
      <c r="D7198" s="66"/>
      <c r="E7198" s="66"/>
      <c r="F7198" s="66"/>
    </row>
    <row r="7199" spans="4:6" x14ac:dyDescent="0.35">
      <c r="D7199" s="66"/>
      <c r="E7199" s="66"/>
      <c r="F7199" s="66"/>
    </row>
    <row r="7200" spans="4:6" x14ac:dyDescent="0.35">
      <c r="D7200" s="66"/>
      <c r="E7200" s="66"/>
      <c r="F7200" s="66"/>
    </row>
    <row r="7201" spans="4:6" x14ac:dyDescent="0.35">
      <c r="D7201" s="66"/>
      <c r="E7201" s="66"/>
      <c r="F7201" s="66"/>
    </row>
    <row r="7202" spans="4:6" x14ac:dyDescent="0.35">
      <c r="D7202" s="66"/>
      <c r="E7202" s="66"/>
      <c r="F7202" s="66"/>
    </row>
    <row r="7203" spans="4:6" x14ac:dyDescent="0.35">
      <c r="D7203" s="66"/>
      <c r="E7203" s="66"/>
      <c r="F7203" s="66"/>
    </row>
    <row r="7204" spans="4:6" x14ac:dyDescent="0.35">
      <c r="D7204" s="66"/>
      <c r="E7204" s="66"/>
      <c r="F7204" s="66"/>
    </row>
    <row r="7205" spans="4:6" x14ac:dyDescent="0.35">
      <c r="D7205" s="66"/>
      <c r="E7205" s="66"/>
      <c r="F7205" s="66"/>
    </row>
    <row r="7206" spans="4:6" x14ac:dyDescent="0.35">
      <c r="D7206" s="66"/>
      <c r="E7206" s="66"/>
      <c r="F7206" s="66"/>
    </row>
    <row r="7207" spans="4:6" x14ac:dyDescent="0.35">
      <c r="D7207" s="66"/>
      <c r="E7207" s="66"/>
      <c r="F7207" s="66"/>
    </row>
    <row r="7208" spans="4:6" x14ac:dyDescent="0.35">
      <c r="D7208" s="66"/>
      <c r="E7208" s="66"/>
      <c r="F7208" s="66"/>
    </row>
    <row r="7209" spans="4:6" x14ac:dyDescent="0.35">
      <c r="D7209" s="66"/>
      <c r="E7209" s="66"/>
      <c r="F7209" s="66"/>
    </row>
    <row r="7210" spans="4:6" x14ac:dyDescent="0.35">
      <c r="D7210" s="66"/>
      <c r="E7210" s="66"/>
      <c r="F7210" s="66"/>
    </row>
    <row r="7211" spans="4:6" x14ac:dyDescent="0.35">
      <c r="D7211" s="66"/>
      <c r="E7211" s="66"/>
      <c r="F7211" s="66"/>
    </row>
    <row r="7212" spans="4:6" x14ac:dyDescent="0.35">
      <c r="D7212" s="66"/>
      <c r="E7212" s="66"/>
      <c r="F7212" s="66"/>
    </row>
    <row r="7213" spans="4:6" x14ac:dyDescent="0.35">
      <c r="D7213" s="66"/>
      <c r="E7213" s="66"/>
      <c r="F7213" s="66"/>
    </row>
    <row r="7214" spans="4:6" x14ac:dyDescent="0.35">
      <c r="D7214" s="66"/>
      <c r="E7214" s="66"/>
      <c r="F7214" s="66"/>
    </row>
    <row r="7215" spans="4:6" x14ac:dyDescent="0.35">
      <c r="D7215" s="66"/>
      <c r="E7215" s="66"/>
      <c r="F7215" s="66"/>
    </row>
    <row r="7216" spans="4:6" x14ac:dyDescent="0.35">
      <c r="D7216" s="66"/>
      <c r="E7216" s="66"/>
      <c r="F7216" s="66"/>
    </row>
    <row r="7217" spans="4:6" x14ac:dyDescent="0.35">
      <c r="D7217" s="66"/>
      <c r="E7217" s="66"/>
      <c r="F7217" s="66"/>
    </row>
    <row r="7218" spans="4:6" x14ac:dyDescent="0.35">
      <c r="D7218" s="66"/>
      <c r="E7218" s="66"/>
      <c r="F7218" s="66"/>
    </row>
    <row r="7219" spans="4:6" x14ac:dyDescent="0.35">
      <c r="D7219" s="66"/>
      <c r="E7219" s="66"/>
      <c r="F7219" s="66"/>
    </row>
    <row r="7220" spans="4:6" x14ac:dyDescent="0.35">
      <c r="D7220" s="66"/>
      <c r="E7220" s="66"/>
      <c r="F7220" s="66"/>
    </row>
    <row r="7221" spans="4:6" x14ac:dyDescent="0.35">
      <c r="D7221" s="66"/>
      <c r="E7221" s="66"/>
      <c r="F7221" s="66"/>
    </row>
    <row r="7222" spans="4:6" x14ac:dyDescent="0.35">
      <c r="D7222" s="66"/>
      <c r="E7222" s="66"/>
      <c r="F7222" s="66"/>
    </row>
    <row r="7223" spans="4:6" x14ac:dyDescent="0.35">
      <c r="D7223" s="66"/>
      <c r="E7223" s="66"/>
      <c r="F7223" s="66"/>
    </row>
    <row r="7224" spans="4:6" x14ac:dyDescent="0.35">
      <c r="D7224" s="66"/>
      <c r="E7224" s="66"/>
      <c r="F7224" s="66"/>
    </row>
    <row r="7225" spans="4:6" x14ac:dyDescent="0.35">
      <c r="D7225" s="66"/>
      <c r="E7225" s="66"/>
      <c r="F7225" s="66"/>
    </row>
    <row r="7226" spans="4:6" x14ac:dyDescent="0.35">
      <c r="D7226" s="66"/>
      <c r="E7226" s="66"/>
      <c r="F7226" s="66"/>
    </row>
    <row r="7227" spans="4:6" x14ac:dyDescent="0.35">
      <c r="D7227" s="66"/>
      <c r="E7227" s="66"/>
      <c r="F7227" s="66"/>
    </row>
    <row r="7228" spans="4:6" x14ac:dyDescent="0.35">
      <c r="D7228" s="66"/>
      <c r="E7228" s="66"/>
      <c r="F7228" s="66"/>
    </row>
    <row r="7229" spans="4:6" x14ac:dyDescent="0.35">
      <c r="D7229" s="66"/>
      <c r="E7229" s="66"/>
      <c r="F7229" s="66"/>
    </row>
    <row r="7230" spans="4:6" x14ac:dyDescent="0.35">
      <c r="D7230" s="66"/>
      <c r="E7230" s="66"/>
      <c r="F7230" s="66"/>
    </row>
    <row r="7231" spans="4:6" x14ac:dyDescent="0.35">
      <c r="D7231" s="66"/>
      <c r="E7231" s="66"/>
      <c r="F7231" s="66"/>
    </row>
    <row r="7232" spans="4:6" x14ac:dyDescent="0.35">
      <c r="D7232" s="66"/>
      <c r="E7232" s="66"/>
      <c r="F7232" s="66"/>
    </row>
    <row r="7233" spans="4:6" x14ac:dyDescent="0.35">
      <c r="D7233" s="66"/>
      <c r="E7233" s="66"/>
      <c r="F7233" s="66"/>
    </row>
    <row r="7234" spans="4:6" x14ac:dyDescent="0.35">
      <c r="D7234" s="66"/>
      <c r="E7234" s="66"/>
      <c r="F7234" s="66"/>
    </row>
    <row r="7235" spans="4:6" x14ac:dyDescent="0.35">
      <c r="D7235" s="66"/>
      <c r="E7235" s="66"/>
      <c r="F7235" s="66"/>
    </row>
    <row r="7236" spans="4:6" x14ac:dyDescent="0.35">
      <c r="D7236" s="66"/>
      <c r="E7236" s="66"/>
      <c r="F7236" s="66"/>
    </row>
    <row r="7237" spans="4:6" x14ac:dyDescent="0.35">
      <c r="D7237" s="66"/>
      <c r="E7237" s="66"/>
      <c r="F7237" s="66"/>
    </row>
    <row r="7238" spans="4:6" x14ac:dyDescent="0.35">
      <c r="D7238" s="66"/>
      <c r="E7238" s="66"/>
      <c r="F7238" s="66"/>
    </row>
    <row r="7239" spans="4:6" x14ac:dyDescent="0.35">
      <c r="D7239" s="66"/>
      <c r="E7239" s="66"/>
      <c r="F7239" s="66"/>
    </row>
    <row r="7240" spans="4:6" x14ac:dyDescent="0.35">
      <c r="D7240" s="66"/>
      <c r="E7240" s="66"/>
      <c r="F7240" s="66"/>
    </row>
    <row r="7241" spans="4:6" x14ac:dyDescent="0.35">
      <c r="D7241" s="66"/>
      <c r="E7241" s="66"/>
      <c r="F7241" s="66"/>
    </row>
    <row r="7242" spans="4:6" x14ac:dyDescent="0.35">
      <c r="D7242" s="66"/>
      <c r="E7242" s="66"/>
      <c r="F7242" s="66"/>
    </row>
    <row r="7243" spans="4:6" x14ac:dyDescent="0.35">
      <c r="D7243" s="66"/>
      <c r="E7243" s="66"/>
      <c r="F7243" s="66"/>
    </row>
    <row r="7244" spans="4:6" x14ac:dyDescent="0.35">
      <c r="D7244" s="66"/>
      <c r="E7244" s="66"/>
      <c r="F7244" s="66"/>
    </row>
    <row r="7245" spans="4:6" x14ac:dyDescent="0.35">
      <c r="D7245" s="66"/>
      <c r="E7245" s="66"/>
      <c r="F7245" s="66"/>
    </row>
    <row r="7246" spans="4:6" x14ac:dyDescent="0.35">
      <c r="D7246" s="66"/>
      <c r="E7246" s="66"/>
      <c r="F7246" s="66"/>
    </row>
    <row r="7247" spans="4:6" x14ac:dyDescent="0.35">
      <c r="D7247" s="66"/>
      <c r="E7247" s="66"/>
      <c r="F7247" s="66"/>
    </row>
    <row r="7248" spans="4:6" x14ac:dyDescent="0.35">
      <c r="D7248" s="66"/>
      <c r="E7248" s="66"/>
      <c r="F7248" s="66"/>
    </row>
    <row r="7249" spans="4:6" x14ac:dyDescent="0.35">
      <c r="D7249" s="66"/>
      <c r="E7249" s="66"/>
      <c r="F7249" s="66"/>
    </row>
    <row r="7250" spans="4:6" x14ac:dyDescent="0.35">
      <c r="D7250" s="66"/>
      <c r="E7250" s="66"/>
      <c r="F7250" s="66"/>
    </row>
    <row r="7251" spans="4:6" x14ac:dyDescent="0.35">
      <c r="D7251" s="66"/>
      <c r="E7251" s="66"/>
      <c r="F7251" s="66"/>
    </row>
    <row r="7252" spans="4:6" x14ac:dyDescent="0.35">
      <c r="D7252" s="66"/>
      <c r="E7252" s="66"/>
      <c r="F7252" s="66"/>
    </row>
    <row r="7253" spans="4:6" x14ac:dyDescent="0.35">
      <c r="D7253" s="66"/>
      <c r="E7253" s="66"/>
      <c r="F7253" s="66"/>
    </row>
    <row r="7254" spans="4:6" x14ac:dyDescent="0.35">
      <c r="D7254" s="66"/>
      <c r="E7254" s="66"/>
      <c r="F7254" s="66"/>
    </row>
    <row r="7255" spans="4:6" x14ac:dyDescent="0.35">
      <c r="D7255" s="66"/>
      <c r="E7255" s="66"/>
      <c r="F7255" s="66"/>
    </row>
    <row r="7256" spans="4:6" x14ac:dyDescent="0.35">
      <c r="D7256" s="66"/>
      <c r="E7256" s="66"/>
      <c r="F7256" s="66"/>
    </row>
    <row r="7257" spans="4:6" x14ac:dyDescent="0.35">
      <c r="D7257" s="66"/>
      <c r="E7257" s="66"/>
      <c r="F7257" s="66"/>
    </row>
    <row r="7258" spans="4:6" x14ac:dyDescent="0.35">
      <c r="D7258" s="66"/>
      <c r="E7258" s="66"/>
      <c r="F7258" s="66"/>
    </row>
    <row r="7259" spans="4:6" x14ac:dyDescent="0.35">
      <c r="D7259" s="66"/>
      <c r="E7259" s="66"/>
      <c r="F7259" s="66"/>
    </row>
    <row r="7260" spans="4:6" x14ac:dyDescent="0.35">
      <c r="D7260" s="66"/>
      <c r="E7260" s="66"/>
      <c r="F7260" s="66"/>
    </row>
    <row r="7261" spans="4:6" x14ac:dyDescent="0.35">
      <c r="D7261" s="66"/>
      <c r="E7261" s="66"/>
      <c r="F7261" s="66"/>
    </row>
    <row r="7262" spans="4:6" x14ac:dyDescent="0.35">
      <c r="D7262" s="66"/>
      <c r="E7262" s="66"/>
      <c r="F7262" s="66"/>
    </row>
    <row r="7263" spans="4:6" x14ac:dyDescent="0.35">
      <c r="D7263" s="66"/>
      <c r="E7263" s="66"/>
      <c r="F7263" s="66"/>
    </row>
    <row r="7264" spans="4:6" x14ac:dyDescent="0.35">
      <c r="D7264" s="66"/>
      <c r="E7264" s="66"/>
      <c r="F7264" s="66"/>
    </row>
    <row r="7265" spans="4:6" x14ac:dyDescent="0.35">
      <c r="D7265" s="66"/>
      <c r="E7265" s="66"/>
      <c r="F7265" s="66"/>
    </row>
    <row r="7266" spans="4:6" x14ac:dyDescent="0.35">
      <c r="D7266" s="66"/>
      <c r="E7266" s="66"/>
      <c r="F7266" s="66"/>
    </row>
    <row r="7267" spans="4:6" x14ac:dyDescent="0.35">
      <c r="D7267" s="66"/>
      <c r="E7267" s="66"/>
      <c r="F7267" s="66"/>
    </row>
    <row r="7268" spans="4:6" x14ac:dyDescent="0.35">
      <c r="D7268" s="66"/>
      <c r="E7268" s="66"/>
      <c r="F7268" s="66"/>
    </row>
    <row r="7269" spans="4:6" x14ac:dyDescent="0.35">
      <c r="D7269" s="66"/>
      <c r="E7269" s="66"/>
      <c r="F7269" s="66"/>
    </row>
    <row r="7270" spans="4:6" x14ac:dyDescent="0.35">
      <c r="D7270" s="66"/>
      <c r="E7270" s="66"/>
      <c r="F7270" s="66"/>
    </row>
    <row r="7271" spans="4:6" x14ac:dyDescent="0.35">
      <c r="D7271" s="66"/>
      <c r="E7271" s="66"/>
      <c r="F7271" s="66"/>
    </row>
    <row r="7272" spans="4:6" x14ac:dyDescent="0.35">
      <c r="D7272" s="66"/>
      <c r="E7272" s="66"/>
      <c r="F7272" s="66"/>
    </row>
    <row r="7273" spans="4:6" x14ac:dyDescent="0.35">
      <c r="D7273" s="66"/>
      <c r="E7273" s="66"/>
      <c r="F7273" s="66"/>
    </row>
    <row r="7274" spans="4:6" x14ac:dyDescent="0.35">
      <c r="D7274" s="66"/>
      <c r="E7274" s="66"/>
      <c r="F7274" s="66"/>
    </row>
    <row r="7275" spans="4:6" x14ac:dyDescent="0.35">
      <c r="D7275" s="66"/>
      <c r="E7275" s="66"/>
      <c r="F7275" s="66"/>
    </row>
    <row r="7276" spans="4:6" x14ac:dyDescent="0.35">
      <c r="D7276" s="66"/>
      <c r="E7276" s="66"/>
      <c r="F7276" s="66"/>
    </row>
    <row r="7277" spans="4:6" x14ac:dyDescent="0.35">
      <c r="D7277" s="66"/>
      <c r="E7277" s="66"/>
      <c r="F7277" s="66"/>
    </row>
    <row r="7278" spans="4:6" x14ac:dyDescent="0.35">
      <c r="D7278" s="66"/>
      <c r="E7278" s="66"/>
      <c r="F7278" s="66"/>
    </row>
    <row r="7279" spans="4:6" x14ac:dyDescent="0.35">
      <c r="D7279" s="66"/>
      <c r="E7279" s="66"/>
      <c r="F7279" s="66"/>
    </row>
    <row r="7280" spans="4:6" x14ac:dyDescent="0.35">
      <c r="D7280" s="66"/>
      <c r="E7280" s="66"/>
      <c r="F7280" s="66"/>
    </row>
    <row r="7281" spans="4:6" x14ac:dyDescent="0.35">
      <c r="D7281" s="66"/>
      <c r="E7281" s="66"/>
      <c r="F7281" s="66"/>
    </row>
    <row r="7282" spans="4:6" x14ac:dyDescent="0.35">
      <c r="D7282" s="66"/>
      <c r="E7282" s="66"/>
      <c r="F7282" s="66"/>
    </row>
    <row r="7283" spans="4:6" x14ac:dyDescent="0.35">
      <c r="D7283" s="66"/>
      <c r="E7283" s="66"/>
      <c r="F7283" s="66"/>
    </row>
    <row r="7284" spans="4:6" x14ac:dyDescent="0.35">
      <c r="D7284" s="66"/>
      <c r="E7284" s="66"/>
      <c r="F7284" s="66"/>
    </row>
    <row r="7285" spans="4:6" x14ac:dyDescent="0.35">
      <c r="D7285" s="66"/>
      <c r="E7285" s="66"/>
      <c r="F7285" s="66"/>
    </row>
    <row r="7286" spans="4:6" x14ac:dyDescent="0.35">
      <c r="D7286" s="66"/>
      <c r="E7286" s="66"/>
      <c r="F7286" s="66"/>
    </row>
    <row r="7287" spans="4:6" x14ac:dyDescent="0.35">
      <c r="D7287" s="66"/>
      <c r="E7287" s="66"/>
      <c r="F7287" s="66"/>
    </row>
    <row r="7288" spans="4:6" x14ac:dyDescent="0.35">
      <c r="D7288" s="66"/>
      <c r="E7288" s="66"/>
      <c r="F7288" s="66"/>
    </row>
    <row r="7289" spans="4:6" x14ac:dyDescent="0.35">
      <c r="D7289" s="66"/>
      <c r="E7289" s="66"/>
      <c r="F7289" s="66"/>
    </row>
    <row r="7290" spans="4:6" x14ac:dyDescent="0.35">
      <c r="D7290" s="66"/>
      <c r="E7290" s="66"/>
      <c r="F7290" s="66"/>
    </row>
    <row r="7291" spans="4:6" x14ac:dyDescent="0.35">
      <c r="D7291" s="66"/>
      <c r="E7291" s="66"/>
      <c r="F7291" s="66"/>
    </row>
    <row r="7292" spans="4:6" x14ac:dyDescent="0.35">
      <c r="D7292" s="66"/>
      <c r="E7292" s="66"/>
      <c r="F7292" s="66"/>
    </row>
    <row r="7293" spans="4:6" x14ac:dyDescent="0.35">
      <c r="D7293" s="66"/>
      <c r="E7293" s="66"/>
      <c r="F7293" s="66"/>
    </row>
    <row r="7294" spans="4:6" x14ac:dyDescent="0.35">
      <c r="D7294" s="66"/>
      <c r="E7294" s="66"/>
      <c r="F7294" s="66"/>
    </row>
    <row r="7295" spans="4:6" x14ac:dyDescent="0.35">
      <c r="D7295" s="66"/>
      <c r="E7295" s="66"/>
      <c r="F7295" s="66"/>
    </row>
    <row r="7296" spans="4:6" x14ac:dyDescent="0.35">
      <c r="D7296" s="66"/>
      <c r="E7296" s="66"/>
      <c r="F7296" s="66"/>
    </row>
    <row r="7297" spans="4:6" x14ac:dyDescent="0.35">
      <c r="D7297" s="66"/>
      <c r="E7297" s="66"/>
      <c r="F7297" s="66"/>
    </row>
    <row r="7298" spans="4:6" x14ac:dyDescent="0.35">
      <c r="D7298" s="66"/>
      <c r="E7298" s="66"/>
      <c r="F7298" s="66"/>
    </row>
    <row r="7299" spans="4:6" x14ac:dyDescent="0.35">
      <c r="D7299" s="66"/>
      <c r="E7299" s="66"/>
      <c r="F7299" s="66"/>
    </row>
    <row r="7300" spans="4:6" x14ac:dyDescent="0.35">
      <c r="D7300" s="66"/>
      <c r="E7300" s="66"/>
      <c r="F7300" s="66"/>
    </row>
    <row r="7301" spans="4:6" x14ac:dyDescent="0.35">
      <c r="D7301" s="66"/>
      <c r="E7301" s="66"/>
      <c r="F7301" s="66"/>
    </row>
    <row r="7302" spans="4:6" x14ac:dyDescent="0.35">
      <c r="D7302" s="66"/>
      <c r="E7302" s="66"/>
      <c r="F7302" s="66"/>
    </row>
    <row r="7303" spans="4:6" x14ac:dyDescent="0.35">
      <c r="D7303" s="66"/>
      <c r="E7303" s="66"/>
      <c r="F7303" s="66"/>
    </row>
    <row r="7304" spans="4:6" x14ac:dyDescent="0.35">
      <c r="D7304" s="66"/>
      <c r="E7304" s="66"/>
      <c r="F7304" s="66"/>
    </row>
    <row r="7305" spans="4:6" x14ac:dyDescent="0.35">
      <c r="D7305" s="66"/>
      <c r="E7305" s="66"/>
      <c r="F7305" s="66"/>
    </row>
    <row r="7306" spans="4:6" x14ac:dyDescent="0.35">
      <c r="D7306" s="66"/>
      <c r="E7306" s="66"/>
      <c r="F7306" s="66"/>
    </row>
    <row r="7307" spans="4:6" x14ac:dyDescent="0.35">
      <c r="D7307" s="66"/>
      <c r="E7307" s="66"/>
      <c r="F7307" s="66"/>
    </row>
    <row r="7308" spans="4:6" x14ac:dyDescent="0.35">
      <c r="D7308" s="66"/>
      <c r="E7308" s="66"/>
      <c r="F7308" s="66"/>
    </row>
    <row r="7309" spans="4:6" x14ac:dyDescent="0.35">
      <c r="D7309" s="66"/>
      <c r="E7309" s="66"/>
      <c r="F7309" s="66"/>
    </row>
    <row r="7310" spans="4:6" x14ac:dyDescent="0.35">
      <c r="D7310" s="66"/>
      <c r="E7310" s="66"/>
      <c r="F7310" s="66"/>
    </row>
    <row r="7311" spans="4:6" x14ac:dyDescent="0.35">
      <c r="D7311" s="66"/>
      <c r="E7311" s="66"/>
      <c r="F7311" s="66"/>
    </row>
    <row r="7312" spans="4:6" x14ac:dyDescent="0.35">
      <c r="D7312" s="66"/>
      <c r="E7312" s="66"/>
      <c r="F7312" s="66"/>
    </row>
    <row r="7313" spans="4:6" x14ac:dyDescent="0.35">
      <c r="D7313" s="66"/>
      <c r="E7313" s="66"/>
      <c r="F7313" s="66"/>
    </row>
    <row r="7314" spans="4:6" x14ac:dyDescent="0.35">
      <c r="D7314" s="66"/>
      <c r="E7314" s="66"/>
      <c r="F7314" s="66"/>
    </row>
    <row r="7315" spans="4:6" x14ac:dyDescent="0.35">
      <c r="D7315" s="66"/>
      <c r="E7315" s="66"/>
      <c r="F7315" s="66"/>
    </row>
    <row r="7316" spans="4:6" x14ac:dyDescent="0.35">
      <c r="D7316" s="66"/>
      <c r="E7316" s="66"/>
      <c r="F7316" s="66"/>
    </row>
    <row r="7317" spans="4:6" x14ac:dyDescent="0.35">
      <c r="D7317" s="66"/>
      <c r="E7317" s="66"/>
      <c r="F7317" s="66"/>
    </row>
    <row r="7318" spans="4:6" x14ac:dyDescent="0.35">
      <c r="D7318" s="66"/>
      <c r="E7318" s="66"/>
      <c r="F7318" s="66"/>
    </row>
    <row r="7319" spans="4:6" x14ac:dyDescent="0.35">
      <c r="D7319" s="66"/>
      <c r="E7319" s="66"/>
      <c r="F7319" s="66"/>
    </row>
    <row r="7320" spans="4:6" x14ac:dyDescent="0.35">
      <c r="D7320" s="66"/>
      <c r="E7320" s="66"/>
      <c r="F7320" s="66"/>
    </row>
    <row r="7321" spans="4:6" x14ac:dyDescent="0.35">
      <c r="D7321" s="66"/>
      <c r="E7321" s="66"/>
      <c r="F7321" s="66"/>
    </row>
    <row r="7322" spans="4:6" x14ac:dyDescent="0.35">
      <c r="D7322" s="66"/>
      <c r="E7322" s="66"/>
      <c r="F7322" s="66"/>
    </row>
    <row r="7323" spans="4:6" x14ac:dyDescent="0.35">
      <c r="D7323" s="66"/>
      <c r="E7323" s="66"/>
      <c r="F7323" s="66"/>
    </row>
    <row r="7324" spans="4:6" x14ac:dyDescent="0.35">
      <c r="D7324" s="66"/>
      <c r="E7324" s="66"/>
      <c r="F7324" s="66"/>
    </row>
    <row r="7325" spans="4:6" x14ac:dyDescent="0.35">
      <c r="D7325" s="66"/>
      <c r="E7325" s="66"/>
      <c r="F7325" s="66"/>
    </row>
    <row r="7326" spans="4:6" x14ac:dyDescent="0.35">
      <c r="D7326" s="66"/>
      <c r="E7326" s="66"/>
      <c r="F7326" s="66"/>
    </row>
    <row r="7327" spans="4:6" x14ac:dyDescent="0.35">
      <c r="D7327" s="66"/>
      <c r="E7327" s="66"/>
      <c r="F7327" s="66"/>
    </row>
    <row r="7328" spans="4:6" x14ac:dyDescent="0.35">
      <c r="D7328" s="66"/>
      <c r="E7328" s="66"/>
      <c r="F7328" s="66"/>
    </row>
    <row r="7329" spans="4:6" x14ac:dyDescent="0.35">
      <c r="D7329" s="66"/>
      <c r="E7329" s="66"/>
      <c r="F7329" s="66"/>
    </row>
    <row r="7330" spans="4:6" x14ac:dyDescent="0.35">
      <c r="D7330" s="66"/>
      <c r="E7330" s="66"/>
      <c r="F7330" s="66"/>
    </row>
    <row r="7331" spans="4:6" x14ac:dyDescent="0.35">
      <c r="D7331" s="66"/>
      <c r="E7331" s="66"/>
      <c r="F7331" s="66"/>
    </row>
    <row r="7332" spans="4:6" x14ac:dyDescent="0.35">
      <c r="D7332" s="66"/>
      <c r="E7332" s="66"/>
      <c r="F7332" s="66"/>
    </row>
    <row r="7333" spans="4:6" x14ac:dyDescent="0.35">
      <c r="D7333" s="66"/>
      <c r="E7333" s="66"/>
      <c r="F7333" s="66"/>
    </row>
    <row r="7334" spans="4:6" x14ac:dyDescent="0.35">
      <c r="D7334" s="66"/>
      <c r="E7334" s="66"/>
      <c r="F7334" s="66"/>
    </row>
    <row r="7335" spans="4:6" x14ac:dyDescent="0.35">
      <c r="D7335" s="66"/>
      <c r="E7335" s="66"/>
      <c r="F7335" s="66"/>
    </row>
    <row r="7336" spans="4:6" x14ac:dyDescent="0.35">
      <c r="D7336" s="66"/>
      <c r="E7336" s="66"/>
      <c r="F7336" s="66"/>
    </row>
    <row r="7337" spans="4:6" x14ac:dyDescent="0.35">
      <c r="D7337" s="66"/>
      <c r="E7337" s="66"/>
      <c r="F7337" s="66"/>
    </row>
    <row r="7338" spans="4:6" x14ac:dyDescent="0.35">
      <c r="D7338" s="66"/>
      <c r="E7338" s="66"/>
      <c r="F7338" s="66"/>
    </row>
    <row r="7339" spans="4:6" x14ac:dyDescent="0.35">
      <c r="D7339" s="66"/>
      <c r="E7339" s="66"/>
      <c r="F7339" s="66"/>
    </row>
    <row r="7340" spans="4:6" x14ac:dyDescent="0.35">
      <c r="D7340" s="66"/>
      <c r="E7340" s="66"/>
      <c r="F7340" s="66"/>
    </row>
    <row r="7341" spans="4:6" x14ac:dyDescent="0.35">
      <c r="D7341" s="66"/>
      <c r="E7341" s="66"/>
      <c r="F7341" s="66"/>
    </row>
    <row r="7342" spans="4:6" x14ac:dyDescent="0.35">
      <c r="D7342" s="66"/>
      <c r="E7342" s="66"/>
      <c r="F7342" s="66"/>
    </row>
    <row r="7343" spans="4:6" x14ac:dyDescent="0.35">
      <c r="D7343" s="66"/>
      <c r="E7343" s="66"/>
      <c r="F7343" s="66"/>
    </row>
    <row r="7344" spans="4:6" x14ac:dyDescent="0.35">
      <c r="D7344" s="66"/>
      <c r="E7344" s="66"/>
      <c r="F7344" s="66"/>
    </row>
    <row r="7345" spans="4:6" x14ac:dyDescent="0.35">
      <c r="D7345" s="66"/>
      <c r="E7345" s="66"/>
      <c r="F7345" s="66"/>
    </row>
    <row r="7346" spans="4:6" x14ac:dyDescent="0.35">
      <c r="D7346" s="66"/>
      <c r="E7346" s="66"/>
      <c r="F7346" s="66"/>
    </row>
    <row r="7347" spans="4:6" x14ac:dyDescent="0.35">
      <c r="D7347" s="66"/>
      <c r="E7347" s="66"/>
      <c r="F7347" s="66"/>
    </row>
    <row r="7348" spans="4:6" x14ac:dyDescent="0.35">
      <c r="D7348" s="66"/>
      <c r="E7348" s="66"/>
      <c r="F7348" s="66"/>
    </row>
    <row r="7349" spans="4:6" x14ac:dyDescent="0.35">
      <c r="D7349" s="66"/>
      <c r="E7349" s="66"/>
      <c r="F7349" s="66"/>
    </row>
    <row r="7350" spans="4:6" x14ac:dyDescent="0.35">
      <c r="D7350" s="66"/>
      <c r="E7350" s="66"/>
      <c r="F7350" s="66"/>
    </row>
    <row r="7351" spans="4:6" x14ac:dyDescent="0.35">
      <c r="D7351" s="66"/>
      <c r="E7351" s="66"/>
      <c r="F7351" s="66"/>
    </row>
    <row r="7352" spans="4:6" x14ac:dyDescent="0.35">
      <c r="D7352" s="66"/>
      <c r="E7352" s="66"/>
      <c r="F7352" s="66"/>
    </row>
    <row r="7353" spans="4:6" x14ac:dyDescent="0.35">
      <c r="D7353" s="66"/>
      <c r="E7353" s="66"/>
      <c r="F7353" s="66"/>
    </row>
    <row r="7354" spans="4:6" x14ac:dyDescent="0.35">
      <c r="D7354" s="66"/>
      <c r="E7354" s="66"/>
      <c r="F7354" s="66"/>
    </row>
    <row r="7355" spans="4:6" x14ac:dyDescent="0.35">
      <c r="D7355" s="66"/>
      <c r="E7355" s="66"/>
      <c r="F7355" s="66"/>
    </row>
    <row r="7356" spans="4:6" x14ac:dyDescent="0.35">
      <c r="D7356" s="66"/>
      <c r="E7356" s="66"/>
      <c r="F7356" s="66"/>
    </row>
    <row r="7357" spans="4:6" x14ac:dyDescent="0.35">
      <c r="D7357" s="66"/>
      <c r="E7357" s="66"/>
      <c r="F7357" s="66"/>
    </row>
    <row r="7358" spans="4:6" x14ac:dyDescent="0.35">
      <c r="D7358" s="66"/>
      <c r="E7358" s="66"/>
      <c r="F7358" s="66"/>
    </row>
    <row r="7359" spans="4:6" x14ac:dyDescent="0.35">
      <c r="D7359" s="66"/>
      <c r="E7359" s="66"/>
      <c r="F7359" s="66"/>
    </row>
    <row r="7360" spans="4:6" x14ac:dyDescent="0.35">
      <c r="D7360" s="66"/>
      <c r="E7360" s="66"/>
      <c r="F7360" s="66"/>
    </row>
    <row r="7361" spans="4:6" x14ac:dyDescent="0.35">
      <c r="D7361" s="66"/>
      <c r="E7361" s="66"/>
      <c r="F7361" s="66"/>
    </row>
    <row r="7362" spans="4:6" x14ac:dyDescent="0.35">
      <c r="D7362" s="66"/>
      <c r="E7362" s="66"/>
      <c r="F7362" s="66"/>
    </row>
    <row r="7363" spans="4:6" x14ac:dyDescent="0.35">
      <c r="D7363" s="66"/>
      <c r="E7363" s="66"/>
      <c r="F7363" s="66"/>
    </row>
    <row r="7364" spans="4:6" x14ac:dyDescent="0.35">
      <c r="D7364" s="66"/>
      <c r="E7364" s="66"/>
      <c r="F7364" s="66"/>
    </row>
    <row r="7365" spans="4:6" x14ac:dyDescent="0.35">
      <c r="D7365" s="66"/>
      <c r="E7365" s="66"/>
      <c r="F7365" s="66"/>
    </row>
    <row r="7366" spans="4:6" x14ac:dyDescent="0.35">
      <c r="D7366" s="66"/>
      <c r="E7366" s="66"/>
      <c r="F7366" s="66"/>
    </row>
    <row r="7367" spans="4:6" x14ac:dyDescent="0.35">
      <c r="D7367" s="66"/>
      <c r="E7367" s="66"/>
      <c r="F7367" s="66"/>
    </row>
    <row r="7368" spans="4:6" x14ac:dyDescent="0.35">
      <c r="D7368" s="66"/>
      <c r="E7368" s="66"/>
      <c r="F7368" s="66"/>
    </row>
    <row r="7369" spans="4:6" x14ac:dyDescent="0.35">
      <c r="D7369" s="66"/>
      <c r="E7369" s="66"/>
      <c r="F7369" s="66"/>
    </row>
    <row r="7370" spans="4:6" x14ac:dyDescent="0.35">
      <c r="D7370" s="66"/>
      <c r="E7370" s="66"/>
      <c r="F7370" s="66"/>
    </row>
    <row r="7371" spans="4:6" x14ac:dyDescent="0.35">
      <c r="D7371" s="66"/>
      <c r="E7371" s="66"/>
      <c r="F7371" s="66"/>
    </row>
    <row r="7372" spans="4:6" x14ac:dyDescent="0.35">
      <c r="D7372" s="66"/>
      <c r="E7372" s="66"/>
      <c r="F7372" s="66"/>
    </row>
    <row r="7373" spans="4:6" x14ac:dyDescent="0.35">
      <c r="D7373" s="66"/>
      <c r="E7373" s="66"/>
      <c r="F7373" s="66"/>
    </row>
    <row r="7374" spans="4:6" x14ac:dyDescent="0.35">
      <c r="D7374" s="66"/>
      <c r="E7374" s="66"/>
      <c r="F7374" s="66"/>
    </row>
    <row r="7375" spans="4:6" x14ac:dyDescent="0.35">
      <c r="D7375" s="66"/>
      <c r="E7375" s="66"/>
      <c r="F7375" s="66"/>
    </row>
    <row r="7376" spans="4:6" x14ac:dyDescent="0.35">
      <c r="D7376" s="66"/>
      <c r="E7376" s="66"/>
      <c r="F7376" s="66"/>
    </row>
    <row r="7377" spans="4:6" x14ac:dyDescent="0.35">
      <c r="D7377" s="66"/>
      <c r="E7377" s="66"/>
      <c r="F7377" s="66"/>
    </row>
    <row r="7378" spans="4:6" x14ac:dyDescent="0.35">
      <c r="D7378" s="66"/>
      <c r="E7378" s="66"/>
      <c r="F7378" s="66"/>
    </row>
    <row r="7379" spans="4:6" x14ac:dyDescent="0.35">
      <c r="D7379" s="66"/>
      <c r="E7379" s="66"/>
      <c r="F7379" s="66"/>
    </row>
    <row r="7380" spans="4:6" x14ac:dyDescent="0.35">
      <c r="D7380" s="66"/>
      <c r="E7380" s="66"/>
      <c r="F7380" s="66"/>
    </row>
    <row r="7381" spans="4:6" x14ac:dyDescent="0.35">
      <c r="D7381" s="66"/>
      <c r="E7381" s="66"/>
      <c r="F7381" s="66"/>
    </row>
    <row r="7382" spans="4:6" x14ac:dyDescent="0.35">
      <c r="D7382" s="66"/>
      <c r="E7382" s="66"/>
      <c r="F7382" s="66"/>
    </row>
    <row r="7383" spans="4:6" x14ac:dyDescent="0.35">
      <c r="D7383" s="66"/>
      <c r="E7383" s="66"/>
      <c r="F7383" s="66"/>
    </row>
    <row r="7384" spans="4:6" x14ac:dyDescent="0.35">
      <c r="D7384" s="66"/>
      <c r="E7384" s="66"/>
      <c r="F7384" s="66"/>
    </row>
    <row r="7385" spans="4:6" x14ac:dyDescent="0.35">
      <c r="D7385" s="66"/>
      <c r="E7385" s="66"/>
      <c r="F7385" s="66"/>
    </row>
    <row r="7386" spans="4:6" x14ac:dyDescent="0.35">
      <c r="D7386" s="66"/>
      <c r="E7386" s="66"/>
      <c r="F7386" s="66"/>
    </row>
    <row r="7387" spans="4:6" x14ac:dyDescent="0.35">
      <c r="D7387" s="66"/>
      <c r="E7387" s="66"/>
      <c r="F7387" s="66"/>
    </row>
    <row r="7388" spans="4:6" x14ac:dyDescent="0.35">
      <c r="D7388" s="66"/>
      <c r="E7388" s="66"/>
      <c r="F7388" s="66"/>
    </row>
    <row r="7389" spans="4:6" x14ac:dyDescent="0.35">
      <c r="D7389" s="66"/>
      <c r="E7389" s="66"/>
      <c r="F7389" s="66"/>
    </row>
    <row r="7390" spans="4:6" x14ac:dyDescent="0.35">
      <c r="D7390" s="66"/>
      <c r="E7390" s="66"/>
      <c r="F7390" s="66"/>
    </row>
    <row r="7391" spans="4:6" x14ac:dyDescent="0.35">
      <c r="D7391" s="66"/>
      <c r="E7391" s="66"/>
      <c r="F7391" s="66"/>
    </row>
    <row r="7392" spans="4:6" x14ac:dyDescent="0.35">
      <c r="D7392" s="66"/>
      <c r="E7392" s="66"/>
      <c r="F7392" s="66"/>
    </row>
    <row r="7393" spans="4:6" x14ac:dyDescent="0.35">
      <c r="D7393" s="66"/>
      <c r="E7393" s="66"/>
      <c r="F7393" s="66"/>
    </row>
    <row r="7394" spans="4:6" x14ac:dyDescent="0.35">
      <c r="D7394" s="66"/>
      <c r="E7394" s="66"/>
      <c r="F7394" s="66"/>
    </row>
    <row r="7395" spans="4:6" x14ac:dyDescent="0.35">
      <c r="D7395" s="66"/>
      <c r="E7395" s="66"/>
      <c r="F7395" s="66"/>
    </row>
    <row r="7396" spans="4:6" x14ac:dyDescent="0.35">
      <c r="D7396" s="66"/>
      <c r="E7396" s="66"/>
      <c r="F7396" s="66"/>
    </row>
    <row r="7397" spans="4:6" x14ac:dyDescent="0.35">
      <c r="D7397" s="66"/>
      <c r="E7397" s="66"/>
      <c r="F7397" s="66"/>
    </row>
    <row r="7398" spans="4:6" x14ac:dyDescent="0.35">
      <c r="D7398" s="66"/>
      <c r="E7398" s="66"/>
      <c r="F7398" s="66"/>
    </row>
    <row r="7399" spans="4:6" x14ac:dyDescent="0.35">
      <c r="D7399" s="66"/>
      <c r="E7399" s="66"/>
      <c r="F7399" s="66"/>
    </row>
    <row r="7400" spans="4:6" x14ac:dyDescent="0.35">
      <c r="D7400" s="66"/>
      <c r="E7400" s="66"/>
      <c r="F7400" s="66"/>
    </row>
    <row r="7401" spans="4:6" x14ac:dyDescent="0.35">
      <c r="D7401" s="66"/>
      <c r="E7401" s="66"/>
      <c r="F7401" s="66"/>
    </row>
    <row r="7402" spans="4:6" x14ac:dyDescent="0.35">
      <c r="D7402" s="66"/>
      <c r="E7402" s="66"/>
      <c r="F7402" s="66"/>
    </row>
    <row r="7403" spans="4:6" x14ac:dyDescent="0.35">
      <c r="D7403" s="66"/>
      <c r="E7403" s="66"/>
      <c r="F7403" s="66"/>
    </row>
    <row r="7404" spans="4:6" x14ac:dyDescent="0.35">
      <c r="D7404" s="66"/>
      <c r="E7404" s="66"/>
      <c r="F7404" s="66"/>
    </row>
    <row r="7405" spans="4:6" x14ac:dyDescent="0.35">
      <c r="D7405" s="66"/>
      <c r="E7405" s="66"/>
      <c r="F7405" s="66"/>
    </row>
    <row r="7406" spans="4:6" x14ac:dyDescent="0.35">
      <c r="D7406" s="66"/>
      <c r="E7406" s="66"/>
      <c r="F7406" s="66"/>
    </row>
    <row r="7407" spans="4:6" x14ac:dyDescent="0.35">
      <c r="D7407" s="66"/>
      <c r="E7407" s="66"/>
      <c r="F7407" s="66"/>
    </row>
    <row r="7408" spans="4:6" x14ac:dyDescent="0.35">
      <c r="D7408" s="66"/>
      <c r="E7408" s="66"/>
      <c r="F7408" s="66"/>
    </row>
    <row r="7409" spans="4:6" x14ac:dyDescent="0.35">
      <c r="D7409" s="66"/>
      <c r="E7409" s="66"/>
      <c r="F7409" s="66"/>
    </row>
    <row r="7410" spans="4:6" x14ac:dyDescent="0.35">
      <c r="D7410" s="66"/>
      <c r="E7410" s="66"/>
      <c r="F7410" s="66"/>
    </row>
    <row r="7411" spans="4:6" x14ac:dyDescent="0.35">
      <c r="D7411" s="66"/>
      <c r="E7411" s="66"/>
      <c r="F7411" s="66"/>
    </row>
    <row r="7412" spans="4:6" x14ac:dyDescent="0.35">
      <c r="D7412" s="66"/>
      <c r="E7412" s="66"/>
      <c r="F7412" s="66"/>
    </row>
    <row r="7413" spans="4:6" x14ac:dyDescent="0.35">
      <c r="D7413" s="66"/>
      <c r="E7413" s="66"/>
      <c r="F7413" s="66"/>
    </row>
    <row r="7414" spans="4:6" x14ac:dyDescent="0.35">
      <c r="D7414" s="66"/>
      <c r="E7414" s="66"/>
      <c r="F7414" s="66"/>
    </row>
    <row r="7415" spans="4:6" x14ac:dyDescent="0.35">
      <c r="D7415" s="66"/>
      <c r="E7415" s="66"/>
      <c r="F7415" s="66"/>
    </row>
    <row r="7416" spans="4:6" x14ac:dyDescent="0.35">
      <c r="D7416" s="66"/>
      <c r="E7416" s="66"/>
      <c r="F7416" s="66"/>
    </row>
    <row r="7417" spans="4:6" x14ac:dyDescent="0.35">
      <c r="D7417" s="66"/>
      <c r="E7417" s="66"/>
      <c r="F7417" s="66"/>
    </row>
    <row r="7418" spans="4:6" x14ac:dyDescent="0.35">
      <c r="D7418" s="66"/>
      <c r="E7418" s="66"/>
      <c r="F7418" s="66"/>
    </row>
    <row r="7419" spans="4:6" x14ac:dyDescent="0.35">
      <c r="D7419" s="66"/>
      <c r="E7419" s="66"/>
      <c r="F7419" s="66"/>
    </row>
    <row r="7420" spans="4:6" x14ac:dyDescent="0.35">
      <c r="D7420" s="66"/>
      <c r="E7420" s="66"/>
      <c r="F7420" s="66"/>
    </row>
    <row r="7421" spans="4:6" x14ac:dyDescent="0.35">
      <c r="D7421" s="66"/>
      <c r="E7421" s="66"/>
      <c r="F7421" s="66"/>
    </row>
    <row r="7422" spans="4:6" x14ac:dyDescent="0.35">
      <c r="D7422" s="66"/>
      <c r="E7422" s="66"/>
      <c r="F7422" s="66"/>
    </row>
    <row r="7423" spans="4:6" x14ac:dyDescent="0.35">
      <c r="D7423" s="66"/>
      <c r="E7423" s="66"/>
      <c r="F7423" s="66"/>
    </row>
    <row r="7424" spans="4:6" x14ac:dyDescent="0.35">
      <c r="D7424" s="66"/>
      <c r="E7424" s="66"/>
      <c r="F7424" s="66"/>
    </row>
    <row r="7425" spans="4:6" x14ac:dyDescent="0.35">
      <c r="D7425" s="66"/>
      <c r="E7425" s="66"/>
      <c r="F7425" s="66"/>
    </row>
    <row r="7426" spans="4:6" x14ac:dyDescent="0.35">
      <c r="D7426" s="66"/>
      <c r="E7426" s="66"/>
      <c r="F7426" s="66"/>
    </row>
    <row r="7427" spans="4:6" x14ac:dyDescent="0.35">
      <c r="D7427" s="66"/>
      <c r="E7427" s="66"/>
      <c r="F7427" s="66"/>
    </row>
    <row r="7428" spans="4:6" x14ac:dyDescent="0.35">
      <c r="D7428" s="66"/>
      <c r="E7428" s="66"/>
      <c r="F7428" s="66"/>
    </row>
    <row r="7429" spans="4:6" x14ac:dyDescent="0.35">
      <c r="D7429" s="66"/>
      <c r="E7429" s="66"/>
      <c r="F7429" s="66"/>
    </row>
    <row r="7430" spans="4:6" x14ac:dyDescent="0.35">
      <c r="D7430" s="66"/>
      <c r="E7430" s="66"/>
      <c r="F7430" s="66"/>
    </row>
    <row r="7431" spans="4:6" x14ac:dyDescent="0.35">
      <c r="D7431" s="66"/>
      <c r="E7431" s="66"/>
      <c r="F7431" s="66"/>
    </row>
    <row r="7432" spans="4:6" x14ac:dyDescent="0.35">
      <c r="D7432" s="66"/>
      <c r="E7432" s="66"/>
      <c r="F7432" s="66"/>
    </row>
    <row r="7433" spans="4:6" x14ac:dyDescent="0.35">
      <c r="D7433" s="66"/>
      <c r="E7433" s="66"/>
      <c r="F7433" s="66"/>
    </row>
    <row r="7434" spans="4:6" x14ac:dyDescent="0.35">
      <c r="D7434" s="66"/>
      <c r="E7434" s="66"/>
      <c r="F7434" s="66"/>
    </row>
    <row r="7435" spans="4:6" x14ac:dyDescent="0.35">
      <c r="D7435" s="66"/>
      <c r="E7435" s="66"/>
      <c r="F7435" s="66"/>
    </row>
    <row r="7436" spans="4:6" x14ac:dyDescent="0.35">
      <c r="D7436" s="66"/>
      <c r="E7436" s="66"/>
      <c r="F7436" s="66"/>
    </row>
    <row r="7437" spans="4:6" x14ac:dyDescent="0.35">
      <c r="D7437" s="66"/>
      <c r="E7437" s="66"/>
      <c r="F7437" s="66"/>
    </row>
    <row r="7438" spans="4:6" x14ac:dyDescent="0.35">
      <c r="D7438" s="66"/>
      <c r="E7438" s="66"/>
      <c r="F7438" s="66"/>
    </row>
    <row r="7439" spans="4:6" x14ac:dyDescent="0.35">
      <c r="D7439" s="66"/>
      <c r="E7439" s="66"/>
      <c r="F7439" s="66"/>
    </row>
    <row r="7440" spans="4:6" x14ac:dyDescent="0.35">
      <c r="D7440" s="66"/>
      <c r="E7440" s="66"/>
      <c r="F7440" s="66"/>
    </row>
    <row r="7441" spans="4:6" x14ac:dyDescent="0.35">
      <c r="D7441" s="66"/>
      <c r="E7441" s="66"/>
      <c r="F7441" s="66"/>
    </row>
    <row r="7442" spans="4:6" x14ac:dyDescent="0.35">
      <c r="D7442" s="66"/>
      <c r="E7442" s="66"/>
      <c r="F7442" s="66"/>
    </row>
    <row r="7443" spans="4:6" x14ac:dyDescent="0.35">
      <c r="D7443" s="66"/>
      <c r="E7443" s="66"/>
      <c r="F7443" s="66"/>
    </row>
    <row r="7444" spans="4:6" x14ac:dyDescent="0.35">
      <c r="D7444" s="66"/>
      <c r="E7444" s="66"/>
      <c r="F7444" s="66"/>
    </row>
    <row r="7445" spans="4:6" x14ac:dyDescent="0.35">
      <c r="D7445" s="66"/>
      <c r="E7445" s="66"/>
      <c r="F7445" s="66"/>
    </row>
    <row r="7446" spans="4:6" x14ac:dyDescent="0.35">
      <c r="D7446" s="66"/>
      <c r="E7446" s="66"/>
      <c r="F7446" s="66"/>
    </row>
    <row r="7447" spans="4:6" x14ac:dyDescent="0.35">
      <c r="D7447" s="66"/>
      <c r="E7447" s="66"/>
      <c r="F7447" s="66"/>
    </row>
    <row r="7448" spans="4:6" x14ac:dyDescent="0.35">
      <c r="D7448" s="66"/>
      <c r="E7448" s="66"/>
      <c r="F7448" s="66"/>
    </row>
    <row r="7449" spans="4:6" x14ac:dyDescent="0.35">
      <c r="D7449" s="66"/>
      <c r="E7449" s="66"/>
      <c r="F7449" s="66"/>
    </row>
    <row r="7450" spans="4:6" x14ac:dyDescent="0.35">
      <c r="D7450" s="66"/>
      <c r="E7450" s="66"/>
      <c r="F7450" s="66"/>
    </row>
    <row r="7451" spans="4:6" x14ac:dyDescent="0.35">
      <c r="D7451" s="66"/>
      <c r="E7451" s="66"/>
      <c r="F7451" s="66"/>
    </row>
    <row r="7452" spans="4:6" x14ac:dyDescent="0.35">
      <c r="D7452" s="66"/>
      <c r="E7452" s="66"/>
      <c r="F7452" s="66"/>
    </row>
    <row r="7453" spans="4:6" x14ac:dyDescent="0.35">
      <c r="D7453" s="66"/>
      <c r="E7453" s="66"/>
      <c r="F7453" s="66"/>
    </row>
    <row r="7454" spans="4:6" x14ac:dyDescent="0.35">
      <c r="D7454" s="66"/>
      <c r="E7454" s="66"/>
      <c r="F7454" s="66"/>
    </row>
    <row r="7455" spans="4:6" x14ac:dyDescent="0.35">
      <c r="D7455" s="66"/>
      <c r="E7455" s="66"/>
      <c r="F7455" s="66"/>
    </row>
    <row r="7456" spans="4:6" x14ac:dyDescent="0.35">
      <c r="D7456" s="66"/>
      <c r="E7456" s="66"/>
      <c r="F7456" s="66"/>
    </row>
    <row r="7457" spans="4:6" x14ac:dyDescent="0.35">
      <c r="D7457" s="66"/>
      <c r="E7457" s="66"/>
      <c r="F7457" s="66"/>
    </row>
    <row r="7458" spans="4:6" x14ac:dyDescent="0.35">
      <c r="D7458" s="66"/>
      <c r="E7458" s="66"/>
      <c r="F7458" s="66"/>
    </row>
    <row r="7459" spans="4:6" x14ac:dyDescent="0.35">
      <c r="D7459" s="66"/>
      <c r="E7459" s="66"/>
      <c r="F7459" s="66"/>
    </row>
    <row r="7460" spans="4:6" x14ac:dyDescent="0.35">
      <c r="D7460" s="66"/>
      <c r="E7460" s="66"/>
      <c r="F7460" s="66"/>
    </row>
    <row r="7461" spans="4:6" x14ac:dyDescent="0.35">
      <c r="D7461" s="66"/>
      <c r="E7461" s="66"/>
      <c r="F7461" s="66"/>
    </row>
    <row r="7462" spans="4:6" x14ac:dyDescent="0.35">
      <c r="D7462" s="66"/>
      <c r="E7462" s="66"/>
      <c r="F7462" s="66"/>
    </row>
    <row r="7463" spans="4:6" x14ac:dyDescent="0.35">
      <c r="D7463" s="66"/>
      <c r="E7463" s="66"/>
      <c r="F7463" s="66"/>
    </row>
    <row r="7464" spans="4:6" x14ac:dyDescent="0.35">
      <c r="D7464" s="66"/>
      <c r="E7464" s="66"/>
      <c r="F7464" s="66"/>
    </row>
    <row r="7465" spans="4:6" x14ac:dyDescent="0.35">
      <c r="D7465" s="66"/>
      <c r="E7465" s="66"/>
      <c r="F7465" s="66"/>
    </row>
    <row r="7466" spans="4:6" x14ac:dyDescent="0.35">
      <c r="D7466" s="66"/>
      <c r="E7466" s="66"/>
      <c r="F7466" s="66"/>
    </row>
    <row r="7467" spans="4:6" x14ac:dyDescent="0.35">
      <c r="D7467" s="66"/>
      <c r="E7467" s="66"/>
      <c r="F7467" s="66"/>
    </row>
    <row r="7468" spans="4:6" x14ac:dyDescent="0.35">
      <c r="D7468" s="66"/>
      <c r="E7468" s="66"/>
      <c r="F7468" s="66"/>
    </row>
    <row r="7469" spans="4:6" x14ac:dyDescent="0.35">
      <c r="D7469" s="66"/>
      <c r="E7469" s="66"/>
      <c r="F7469" s="66"/>
    </row>
    <row r="7470" spans="4:6" x14ac:dyDescent="0.35">
      <c r="D7470" s="66"/>
      <c r="E7470" s="66"/>
      <c r="F7470" s="66"/>
    </row>
    <row r="7471" spans="4:6" x14ac:dyDescent="0.35">
      <c r="D7471" s="66"/>
      <c r="E7471" s="66"/>
      <c r="F7471" s="66"/>
    </row>
    <row r="7472" spans="4:6" x14ac:dyDescent="0.35">
      <c r="D7472" s="66"/>
      <c r="E7472" s="66"/>
      <c r="F7472" s="66"/>
    </row>
    <row r="7473" spans="4:6" x14ac:dyDescent="0.35">
      <c r="D7473" s="66"/>
      <c r="E7473" s="66"/>
      <c r="F7473" s="66"/>
    </row>
    <row r="7474" spans="4:6" x14ac:dyDescent="0.35">
      <c r="D7474" s="66"/>
      <c r="E7474" s="66"/>
      <c r="F7474" s="66"/>
    </row>
    <row r="7475" spans="4:6" x14ac:dyDescent="0.35">
      <c r="D7475" s="66"/>
      <c r="E7475" s="66"/>
      <c r="F7475" s="66"/>
    </row>
    <row r="7476" spans="4:6" x14ac:dyDescent="0.35">
      <c r="D7476" s="66"/>
      <c r="E7476" s="66"/>
      <c r="F7476" s="66"/>
    </row>
    <row r="7477" spans="4:6" x14ac:dyDescent="0.35">
      <c r="D7477" s="66"/>
      <c r="E7477" s="66"/>
      <c r="F7477" s="66"/>
    </row>
    <row r="7478" spans="4:6" x14ac:dyDescent="0.35">
      <c r="D7478" s="66"/>
      <c r="E7478" s="66"/>
      <c r="F7478" s="66"/>
    </row>
    <row r="7479" spans="4:6" x14ac:dyDescent="0.35">
      <c r="D7479" s="66"/>
      <c r="E7479" s="66"/>
      <c r="F7479" s="66"/>
    </row>
    <row r="7480" spans="4:6" x14ac:dyDescent="0.35">
      <c r="D7480" s="66"/>
      <c r="E7480" s="66"/>
      <c r="F7480" s="66"/>
    </row>
    <row r="7481" spans="4:6" x14ac:dyDescent="0.35">
      <c r="D7481" s="66"/>
      <c r="E7481" s="66"/>
      <c r="F7481" s="66"/>
    </row>
    <row r="7482" spans="4:6" x14ac:dyDescent="0.35">
      <c r="D7482" s="66"/>
      <c r="E7482" s="66"/>
      <c r="F7482" s="66"/>
    </row>
    <row r="7483" spans="4:6" x14ac:dyDescent="0.35">
      <c r="D7483" s="66"/>
      <c r="E7483" s="66"/>
      <c r="F7483" s="66"/>
    </row>
    <row r="7484" spans="4:6" x14ac:dyDescent="0.35">
      <c r="D7484" s="66"/>
      <c r="E7484" s="66"/>
      <c r="F7484" s="66"/>
    </row>
    <row r="7485" spans="4:6" x14ac:dyDescent="0.35">
      <c r="D7485" s="66"/>
      <c r="E7485" s="66"/>
      <c r="F7485" s="66"/>
    </row>
    <row r="7486" spans="4:6" x14ac:dyDescent="0.35">
      <c r="D7486" s="66"/>
      <c r="E7486" s="66"/>
      <c r="F7486" s="66"/>
    </row>
    <row r="7487" spans="4:6" x14ac:dyDescent="0.35">
      <c r="D7487" s="66"/>
      <c r="E7487" s="66"/>
      <c r="F7487" s="66"/>
    </row>
    <row r="7488" spans="4:6" x14ac:dyDescent="0.35">
      <c r="D7488" s="66"/>
      <c r="E7488" s="66"/>
      <c r="F7488" s="66"/>
    </row>
    <row r="7489" spans="4:6" x14ac:dyDescent="0.35">
      <c r="D7489" s="66"/>
      <c r="E7489" s="66"/>
      <c r="F7489" s="66"/>
    </row>
    <row r="7490" spans="4:6" x14ac:dyDescent="0.35">
      <c r="D7490" s="66"/>
      <c r="E7490" s="66"/>
      <c r="F7490" s="66"/>
    </row>
    <row r="7491" spans="4:6" x14ac:dyDescent="0.35">
      <c r="D7491" s="66"/>
      <c r="E7491" s="66"/>
      <c r="F7491" s="66"/>
    </row>
    <row r="7492" spans="4:6" x14ac:dyDescent="0.35">
      <c r="D7492" s="66"/>
      <c r="E7492" s="66"/>
      <c r="F7492" s="66"/>
    </row>
    <row r="7493" spans="4:6" x14ac:dyDescent="0.35">
      <c r="D7493" s="66"/>
      <c r="E7493" s="66"/>
      <c r="F7493" s="66"/>
    </row>
    <row r="7494" spans="4:6" x14ac:dyDescent="0.35">
      <c r="D7494" s="66"/>
      <c r="E7494" s="66"/>
      <c r="F7494" s="66"/>
    </row>
    <row r="7495" spans="4:6" x14ac:dyDescent="0.35">
      <c r="D7495" s="66"/>
      <c r="E7495" s="66"/>
      <c r="F7495" s="66"/>
    </row>
    <row r="7496" spans="4:6" x14ac:dyDescent="0.35">
      <c r="D7496" s="66"/>
      <c r="E7496" s="66"/>
      <c r="F7496" s="66"/>
    </row>
    <row r="7497" spans="4:6" x14ac:dyDescent="0.35">
      <c r="D7497" s="66"/>
      <c r="E7497" s="66"/>
      <c r="F7497" s="66"/>
    </row>
    <row r="7498" spans="4:6" x14ac:dyDescent="0.35">
      <c r="D7498" s="66"/>
      <c r="E7498" s="66"/>
      <c r="F7498" s="66"/>
    </row>
    <row r="7499" spans="4:6" x14ac:dyDescent="0.35">
      <c r="D7499" s="66"/>
      <c r="E7499" s="66"/>
      <c r="F7499" s="66"/>
    </row>
    <row r="7500" spans="4:6" x14ac:dyDescent="0.35">
      <c r="D7500" s="66"/>
      <c r="E7500" s="66"/>
      <c r="F7500" s="66"/>
    </row>
    <row r="7501" spans="4:6" x14ac:dyDescent="0.35">
      <c r="D7501" s="66"/>
      <c r="E7501" s="66"/>
      <c r="F7501" s="66"/>
    </row>
    <row r="7502" spans="4:6" x14ac:dyDescent="0.35">
      <c r="D7502" s="66"/>
      <c r="E7502" s="66"/>
      <c r="F7502" s="66"/>
    </row>
    <row r="7503" spans="4:6" x14ac:dyDescent="0.35">
      <c r="D7503" s="66"/>
      <c r="E7503" s="66"/>
      <c r="F7503" s="66"/>
    </row>
    <row r="7504" spans="4:6" x14ac:dyDescent="0.35">
      <c r="D7504" s="66"/>
      <c r="E7504" s="66"/>
      <c r="F7504" s="66"/>
    </row>
    <row r="7505" spans="4:6" x14ac:dyDescent="0.35">
      <c r="D7505" s="66"/>
      <c r="E7505" s="66"/>
      <c r="F7505" s="66"/>
    </row>
    <row r="7506" spans="4:6" x14ac:dyDescent="0.35">
      <c r="D7506" s="66"/>
      <c r="E7506" s="66"/>
      <c r="F7506" s="66"/>
    </row>
    <row r="7507" spans="4:6" x14ac:dyDescent="0.35">
      <c r="D7507" s="66"/>
      <c r="E7507" s="66"/>
      <c r="F7507" s="66"/>
    </row>
    <row r="7508" spans="4:6" x14ac:dyDescent="0.35">
      <c r="D7508" s="66"/>
      <c r="E7508" s="66"/>
      <c r="F7508" s="66"/>
    </row>
    <row r="7509" spans="4:6" x14ac:dyDescent="0.35">
      <c r="D7509" s="66"/>
      <c r="E7509" s="66"/>
      <c r="F7509" s="66"/>
    </row>
    <row r="7510" spans="4:6" x14ac:dyDescent="0.35">
      <c r="D7510" s="66"/>
      <c r="E7510" s="66"/>
      <c r="F7510" s="66"/>
    </row>
    <row r="7511" spans="4:6" x14ac:dyDescent="0.35">
      <c r="D7511" s="66"/>
      <c r="E7511" s="66"/>
      <c r="F7511" s="66"/>
    </row>
    <row r="7512" spans="4:6" x14ac:dyDescent="0.35">
      <c r="D7512" s="66"/>
      <c r="E7512" s="66"/>
      <c r="F7512" s="66"/>
    </row>
    <row r="7513" spans="4:6" x14ac:dyDescent="0.35">
      <c r="D7513" s="66"/>
      <c r="E7513" s="66"/>
      <c r="F7513" s="66"/>
    </row>
    <row r="7514" spans="4:6" x14ac:dyDescent="0.35">
      <c r="D7514" s="66"/>
      <c r="E7514" s="66"/>
      <c r="F7514" s="66"/>
    </row>
    <row r="7515" spans="4:6" x14ac:dyDescent="0.35">
      <c r="D7515" s="66"/>
      <c r="E7515" s="66"/>
      <c r="F7515" s="66"/>
    </row>
    <row r="7516" spans="4:6" x14ac:dyDescent="0.35">
      <c r="D7516" s="66"/>
      <c r="E7516" s="66"/>
      <c r="F7516" s="66"/>
    </row>
    <row r="7517" spans="4:6" x14ac:dyDescent="0.35">
      <c r="D7517" s="66"/>
      <c r="E7517" s="66"/>
      <c r="F7517" s="66"/>
    </row>
    <row r="7518" spans="4:6" x14ac:dyDescent="0.35">
      <c r="D7518" s="66"/>
      <c r="E7518" s="66"/>
      <c r="F7518" s="66"/>
    </row>
    <row r="7519" spans="4:6" x14ac:dyDescent="0.35">
      <c r="D7519" s="66"/>
      <c r="E7519" s="66"/>
      <c r="F7519" s="66"/>
    </row>
    <row r="7520" spans="4:6" x14ac:dyDescent="0.35">
      <c r="D7520" s="66"/>
      <c r="E7520" s="66"/>
      <c r="F7520" s="66"/>
    </row>
    <row r="7521" spans="4:6" x14ac:dyDescent="0.35">
      <c r="D7521" s="66"/>
      <c r="E7521" s="66"/>
      <c r="F7521" s="66"/>
    </row>
    <row r="7522" spans="4:6" x14ac:dyDescent="0.35">
      <c r="D7522" s="66"/>
      <c r="E7522" s="66"/>
      <c r="F7522" s="66"/>
    </row>
    <row r="7523" spans="4:6" x14ac:dyDescent="0.35">
      <c r="D7523" s="66"/>
      <c r="E7523" s="66"/>
      <c r="F7523" s="66"/>
    </row>
    <row r="7524" spans="4:6" x14ac:dyDescent="0.35">
      <c r="D7524" s="66"/>
      <c r="E7524" s="66"/>
      <c r="F7524" s="66"/>
    </row>
    <row r="7525" spans="4:6" x14ac:dyDescent="0.35">
      <c r="D7525" s="66"/>
      <c r="E7525" s="66"/>
      <c r="F7525" s="66"/>
    </row>
    <row r="7526" spans="4:6" x14ac:dyDescent="0.35">
      <c r="D7526" s="66"/>
      <c r="E7526" s="66"/>
      <c r="F7526" s="66"/>
    </row>
    <row r="7527" spans="4:6" x14ac:dyDescent="0.35">
      <c r="D7527" s="66"/>
      <c r="E7527" s="66"/>
      <c r="F7527" s="66"/>
    </row>
    <row r="7528" spans="4:6" x14ac:dyDescent="0.35">
      <c r="D7528" s="66"/>
      <c r="E7528" s="66"/>
      <c r="F7528" s="66"/>
    </row>
    <row r="7529" spans="4:6" x14ac:dyDescent="0.35">
      <c r="D7529" s="66"/>
      <c r="E7529" s="66"/>
      <c r="F7529" s="66"/>
    </row>
    <row r="7530" spans="4:6" x14ac:dyDescent="0.35">
      <c r="D7530" s="66"/>
      <c r="E7530" s="66"/>
      <c r="F7530" s="66"/>
    </row>
    <row r="7531" spans="4:6" x14ac:dyDescent="0.35">
      <c r="D7531" s="66"/>
      <c r="E7531" s="66"/>
      <c r="F7531" s="66"/>
    </row>
    <row r="7532" spans="4:6" x14ac:dyDescent="0.35">
      <c r="D7532" s="66"/>
      <c r="E7532" s="66"/>
      <c r="F7532" s="66"/>
    </row>
    <row r="7533" spans="4:6" x14ac:dyDescent="0.35">
      <c r="D7533" s="66"/>
      <c r="E7533" s="66"/>
      <c r="F7533" s="66"/>
    </row>
    <row r="7534" spans="4:6" x14ac:dyDescent="0.35">
      <c r="D7534" s="66"/>
      <c r="E7534" s="66"/>
      <c r="F7534" s="66"/>
    </row>
    <row r="7535" spans="4:6" x14ac:dyDescent="0.35">
      <c r="D7535" s="66"/>
      <c r="E7535" s="66"/>
      <c r="F7535" s="66"/>
    </row>
    <row r="7536" spans="4:6" x14ac:dyDescent="0.35">
      <c r="D7536" s="66"/>
      <c r="E7536" s="66"/>
      <c r="F7536" s="66"/>
    </row>
    <row r="7537" spans="4:6" x14ac:dyDescent="0.35">
      <c r="D7537" s="66"/>
      <c r="E7537" s="66"/>
      <c r="F7537" s="66"/>
    </row>
    <row r="7538" spans="4:6" x14ac:dyDescent="0.35">
      <c r="D7538" s="66"/>
      <c r="E7538" s="66"/>
      <c r="F7538" s="66"/>
    </row>
    <row r="7539" spans="4:6" x14ac:dyDescent="0.35">
      <c r="D7539" s="66"/>
      <c r="E7539" s="66"/>
      <c r="F7539" s="66"/>
    </row>
    <row r="7540" spans="4:6" x14ac:dyDescent="0.35">
      <c r="D7540" s="66"/>
      <c r="E7540" s="66"/>
      <c r="F7540" s="66"/>
    </row>
    <row r="7541" spans="4:6" x14ac:dyDescent="0.35">
      <c r="D7541" s="66"/>
      <c r="E7541" s="66"/>
      <c r="F7541" s="66"/>
    </row>
    <row r="7542" spans="4:6" x14ac:dyDescent="0.35">
      <c r="D7542" s="66"/>
      <c r="E7542" s="66"/>
      <c r="F7542" s="66"/>
    </row>
    <row r="7543" spans="4:6" x14ac:dyDescent="0.35">
      <c r="D7543" s="66"/>
      <c r="E7543" s="66"/>
      <c r="F7543" s="66"/>
    </row>
    <row r="7544" spans="4:6" x14ac:dyDescent="0.35">
      <c r="D7544" s="66"/>
      <c r="E7544" s="66"/>
      <c r="F7544" s="66"/>
    </row>
    <row r="7545" spans="4:6" x14ac:dyDescent="0.35">
      <c r="D7545" s="66"/>
      <c r="E7545" s="66"/>
      <c r="F7545" s="66"/>
    </row>
    <row r="7546" spans="4:6" x14ac:dyDescent="0.35">
      <c r="D7546" s="66"/>
      <c r="E7546" s="66"/>
      <c r="F7546" s="66"/>
    </row>
    <row r="7547" spans="4:6" x14ac:dyDescent="0.35">
      <c r="D7547" s="66"/>
      <c r="E7547" s="66"/>
      <c r="F7547" s="66"/>
    </row>
    <row r="7548" spans="4:6" x14ac:dyDescent="0.35">
      <c r="D7548" s="66"/>
      <c r="E7548" s="66"/>
      <c r="F7548" s="66"/>
    </row>
    <row r="7549" spans="4:6" x14ac:dyDescent="0.35">
      <c r="D7549" s="66"/>
      <c r="E7549" s="66"/>
      <c r="F7549" s="66"/>
    </row>
    <row r="7550" spans="4:6" x14ac:dyDescent="0.35">
      <c r="D7550" s="66"/>
      <c r="E7550" s="66"/>
      <c r="F7550" s="66"/>
    </row>
    <row r="7551" spans="4:6" x14ac:dyDescent="0.35">
      <c r="D7551" s="66"/>
      <c r="E7551" s="66"/>
      <c r="F7551" s="66"/>
    </row>
    <row r="7552" spans="4:6" x14ac:dyDescent="0.35">
      <c r="D7552" s="66"/>
      <c r="E7552" s="66"/>
      <c r="F7552" s="66"/>
    </row>
    <row r="7553" spans="4:6" x14ac:dyDescent="0.35">
      <c r="D7553" s="66"/>
      <c r="E7553" s="66"/>
      <c r="F7553" s="66"/>
    </row>
    <row r="7554" spans="4:6" x14ac:dyDescent="0.35">
      <c r="D7554" s="66"/>
      <c r="E7554" s="66"/>
      <c r="F7554" s="66"/>
    </row>
    <row r="7555" spans="4:6" x14ac:dyDescent="0.35">
      <c r="D7555" s="66"/>
      <c r="E7555" s="66"/>
      <c r="F7555" s="66"/>
    </row>
    <row r="7556" spans="4:6" x14ac:dyDescent="0.35">
      <c r="D7556" s="66"/>
      <c r="E7556" s="66"/>
      <c r="F7556" s="66"/>
    </row>
    <row r="7557" spans="4:6" x14ac:dyDescent="0.35">
      <c r="D7557" s="66"/>
      <c r="E7557" s="66"/>
      <c r="F7557" s="66"/>
    </row>
    <row r="7558" spans="4:6" x14ac:dyDescent="0.35">
      <c r="D7558" s="66"/>
      <c r="E7558" s="66"/>
      <c r="F7558" s="66"/>
    </row>
    <row r="7559" spans="4:6" x14ac:dyDescent="0.35">
      <c r="D7559" s="66"/>
      <c r="E7559" s="66"/>
      <c r="F7559" s="66"/>
    </row>
    <row r="7560" spans="4:6" x14ac:dyDescent="0.35">
      <c r="D7560" s="66"/>
      <c r="E7560" s="66"/>
      <c r="F7560" s="66"/>
    </row>
    <row r="7561" spans="4:6" x14ac:dyDescent="0.35">
      <c r="D7561" s="66"/>
      <c r="E7561" s="66"/>
      <c r="F7561" s="66"/>
    </row>
    <row r="7562" spans="4:6" x14ac:dyDescent="0.35">
      <c r="D7562" s="66"/>
      <c r="E7562" s="66"/>
      <c r="F7562" s="66"/>
    </row>
    <row r="7563" spans="4:6" x14ac:dyDescent="0.35">
      <c r="D7563" s="66"/>
      <c r="E7563" s="66"/>
      <c r="F7563" s="66"/>
    </row>
    <row r="7564" spans="4:6" x14ac:dyDescent="0.35">
      <c r="D7564" s="66"/>
      <c r="E7564" s="66"/>
      <c r="F7564" s="66"/>
    </row>
    <row r="7565" spans="4:6" x14ac:dyDescent="0.35">
      <c r="D7565" s="66"/>
      <c r="E7565" s="66"/>
      <c r="F7565" s="66"/>
    </row>
    <row r="7566" spans="4:6" x14ac:dyDescent="0.35">
      <c r="D7566" s="66"/>
      <c r="E7566" s="66"/>
      <c r="F7566" s="66"/>
    </row>
    <row r="7567" spans="4:6" x14ac:dyDescent="0.35">
      <c r="D7567" s="66"/>
      <c r="E7567" s="66"/>
      <c r="F7567" s="66"/>
    </row>
    <row r="7568" spans="4:6" x14ac:dyDescent="0.35">
      <c r="D7568" s="66"/>
      <c r="E7568" s="66"/>
      <c r="F7568" s="66"/>
    </row>
    <row r="7569" spans="4:6" x14ac:dyDescent="0.35">
      <c r="D7569" s="66"/>
      <c r="E7569" s="66"/>
      <c r="F7569" s="66"/>
    </row>
    <row r="7570" spans="4:6" x14ac:dyDescent="0.35">
      <c r="D7570" s="66"/>
      <c r="E7570" s="66"/>
      <c r="F7570" s="66"/>
    </row>
    <row r="7571" spans="4:6" x14ac:dyDescent="0.35">
      <c r="D7571" s="66"/>
      <c r="E7571" s="66"/>
      <c r="F7571" s="66"/>
    </row>
    <row r="7572" spans="4:6" x14ac:dyDescent="0.35">
      <c r="D7572" s="66"/>
      <c r="E7572" s="66"/>
      <c r="F7572" s="66"/>
    </row>
    <row r="7573" spans="4:6" x14ac:dyDescent="0.35">
      <c r="D7573" s="66"/>
      <c r="E7573" s="66"/>
      <c r="F7573" s="66"/>
    </row>
    <row r="7574" spans="4:6" x14ac:dyDescent="0.35">
      <c r="D7574" s="66"/>
      <c r="E7574" s="66"/>
      <c r="F7574" s="66"/>
    </row>
    <row r="7575" spans="4:6" x14ac:dyDescent="0.35">
      <c r="D7575" s="66"/>
      <c r="E7575" s="66"/>
      <c r="F7575" s="66"/>
    </row>
    <row r="7576" spans="4:6" x14ac:dyDescent="0.35">
      <c r="D7576" s="66"/>
      <c r="E7576" s="66"/>
      <c r="F7576" s="66"/>
    </row>
    <row r="7577" spans="4:6" x14ac:dyDescent="0.35">
      <c r="D7577" s="66"/>
      <c r="E7577" s="66"/>
      <c r="F7577" s="66"/>
    </row>
    <row r="7578" spans="4:6" x14ac:dyDescent="0.35">
      <c r="D7578" s="66"/>
      <c r="E7578" s="66"/>
      <c r="F7578" s="66"/>
    </row>
    <row r="7579" spans="4:6" x14ac:dyDescent="0.35">
      <c r="D7579" s="66"/>
      <c r="E7579" s="66"/>
      <c r="F7579" s="66"/>
    </row>
    <row r="7580" spans="4:6" x14ac:dyDescent="0.35">
      <c r="D7580" s="66"/>
      <c r="E7580" s="66"/>
      <c r="F7580" s="66"/>
    </row>
    <row r="7581" spans="4:6" x14ac:dyDescent="0.35">
      <c r="D7581" s="66"/>
      <c r="E7581" s="66"/>
      <c r="F7581" s="66"/>
    </row>
    <row r="7582" spans="4:6" x14ac:dyDescent="0.35">
      <c r="D7582" s="66"/>
      <c r="E7582" s="66"/>
      <c r="F7582" s="66"/>
    </row>
    <row r="7583" spans="4:6" x14ac:dyDescent="0.35">
      <c r="D7583" s="66"/>
      <c r="E7583" s="66"/>
      <c r="F7583" s="66"/>
    </row>
    <row r="7584" spans="4:6" x14ac:dyDescent="0.35">
      <c r="D7584" s="66"/>
      <c r="E7584" s="66"/>
      <c r="F7584" s="66"/>
    </row>
    <row r="7585" spans="4:6" x14ac:dyDescent="0.35">
      <c r="D7585" s="66"/>
      <c r="E7585" s="66"/>
      <c r="F7585" s="66"/>
    </row>
    <row r="7586" spans="4:6" x14ac:dyDescent="0.35">
      <c r="D7586" s="66"/>
      <c r="E7586" s="66"/>
      <c r="F7586" s="66"/>
    </row>
    <row r="7587" spans="4:6" x14ac:dyDescent="0.35">
      <c r="D7587" s="66"/>
      <c r="E7587" s="66"/>
      <c r="F7587" s="66"/>
    </row>
    <row r="7588" spans="4:6" x14ac:dyDescent="0.35">
      <c r="D7588" s="66"/>
      <c r="E7588" s="66"/>
      <c r="F7588" s="66"/>
    </row>
    <row r="7589" spans="4:6" x14ac:dyDescent="0.35">
      <c r="D7589" s="66"/>
      <c r="E7589" s="66"/>
      <c r="F7589" s="66"/>
    </row>
    <row r="7590" spans="4:6" x14ac:dyDescent="0.35">
      <c r="D7590" s="66"/>
      <c r="E7590" s="66"/>
      <c r="F7590" s="66"/>
    </row>
    <row r="7591" spans="4:6" x14ac:dyDescent="0.35">
      <c r="D7591" s="66"/>
      <c r="E7591" s="66"/>
      <c r="F7591" s="66"/>
    </row>
    <row r="7592" spans="4:6" x14ac:dyDescent="0.35">
      <c r="D7592" s="66"/>
      <c r="E7592" s="66"/>
      <c r="F7592" s="66"/>
    </row>
    <row r="7593" spans="4:6" x14ac:dyDescent="0.35">
      <c r="D7593" s="66"/>
      <c r="E7593" s="66"/>
      <c r="F7593" s="66"/>
    </row>
    <row r="7594" spans="4:6" x14ac:dyDescent="0.35">
      <c r="D7594" s="66"/>
      <c r="E7594" s="66"/>
      <c r="F7594" s="66"/>
    </row>
    <row r="7595" spans="4:6" x14ac:dyDescent="0.35">
      <c r="D7595" s="66"/>
      <c r="E7595" s="66"/>
      <c r="F7595" s="66"/>
    </row>
    <row r="7596" spans="4:6" x14ac:dyDescent="0.35">
      <c r="D7596" s="66"/>
      <c r="E7596" s="66"/>
      <c r="F7596" s="66"/>
    </row>
    <row r="7597" spans="4:6" x14ac:dyDescent="0.35">
      <c r="D7597" s="66"/>
      <c r="E7597" s="66"/>
      <c r="F7597" s="66"/>
    </row>
    <row r="7598" spans="4:6" x14ac:dyDescent="0.35">
      <c r="D7598" s="66"/>
      <c r="E7598" s="66"/>
      <c r="F7598" s="66"/>
    </row>
    <row r="7599" spans="4:6" x14ac:dyDescent="0.35">
      <c r="D7599" s="66"/>
      <c r="E7599" s="66"/>
      <c r="F7599" s="66"/>
    </row>
    <row r="7600" spans="4:6" x14ac:dyDescent="0.35">
      <c r="D7600" s="66"/>
      <c r="E7600" s="66"/>
      <c r="F7600" s="66"/>
    </row>
    <row r="7601" spans="4:6" x14ac:dyDescent="0.35">
      <c r="D7601" s="66"/>
      <c r="E7601" s="66"/>
      <c r="F7601" s="66"/>
    </row>
    <row r="7602" spans="4:6" x14ac:dyDescent="0.35">
      <c r="D7602" s="66"/>
      <c r="E7602" s="66"/>
      <c r="F7602" s="66"/>
    </row>
    <row r="7603" spans="4:6" x14ac:dyDescent="0.35">
      <c r="D7603" s="66"/>
      <c r="E7603" s="66"/>
      <c r="F7603" s="66"/>
    </row>
    <row r="7604" spans="4:6" x14ac:dyDescent="0.35">
      <c r="D7604" s="66"/>
      <c r="E7604" s="66"/>
      <c r="F7604" s="66"/>
    </row>
    <row r="7605" spans="4:6" x14ac:dyDescent="0.35">
      <c r="D7605" s="66"/>
      <c r="E7605" s="66"/>
      <c r="F7605" s="66"/>
    </row>
    <row r="7606" spans="4:6" x14ac:dyDescent="0.35">
      <c r="D7606" s="66"/>
      <c r="E7606" s="66"/>
      <c r="F7606" s="66"/>
    </row>
    <row r="7607" spans="4:6" x14ac:dyDescent="0.35">
      <c r="D7607" s="66"/>
      <c r="E7607" s="66"/>
      <c r="F7607" s="66"/>
    </row>
    <row r="7608" spans="4:6" x14ac:dyDescent="0.35">
      <c r="D7608" s="66"/>
      <c r="E7608" s="66"/>
      <c r="F7608" s="66"/>
    </row>
    <row r="7609" spans="4:6" x14ac:dyDescent="0.35">
      <c r="D7609" s="66"/>
      <c r="E7609" s="66"/>
      <c r="F7609" s="66"/>
    </row>
    <row r="7610" spans="4:6" x14ac:dyDescent="0.35">
      <c r="D7610" s="66"/>
      <c r="E7610" s="66"/>
      <c r="F7610" s="66"/>
    </row>
    <row r="7611" spans="4:6" x14ac:dyDescent="0.35">
      <c r="D7611" s="66"/>
      <c r="E7611" s="66"/>
      <c r="F7611" s="66"/>
    </row>
    <row r="7612" spans="4:6" x14ac:dyDescent="0.35">
      <c r="D7612" s="66"/>
      <c r="E7612" s="66"/>
      <c r="F7612" s="66"/>
    </row>
    <row r="7613" spans="4:6" x14ac:dyDescent="0.35">
      <c r="D7613" s="66"/>
      <c r="E7613" s="66"/>
      <c r="F7613" s="66"/>
    </row>
    <row r="7614" spans="4:6" x14ac:dyDescent="0.35">
      <c r="D7614" s="66"/>
      <c r="E7614" s="66"/>
      <c r="F7614" s="66"/>
    </row>
    <row r="7615" spans="4:6" x14ac:dyDescent="0.35">
      <c r="D7615" s="66"/>
      <c r="E7615" s="66"/>
      <c r="F7615" s="66"/>
    </row>
    <row r="7616" spans="4:6" x14ac:dyDescent="0.35">
      <c r="D7616" s="66"/>
      <c r="E7616" s="66"/>
      <c r="F7616" s="66"/>
    </row>
    <row r="7617" spans="4:6" x14ac:dyDescent="0.35">
      <c r="D7617" s="66"/>
      <c r="E7617" s="66"/>
      <c r="F7617" s="66"/>
    </row>
    <row r="7618" spans="4:6" x14ac:dyDescent="0.35">
      <c r="D7618" s="66"/>
      <c r="E7618" s="66"/>
      <c r="F7618" s="66"/>
    </row>
    <row r="7619" spans="4:6" x14ac:dyDescent="0.35">
      <c r="D7619" s="66"/>
      <c r="E7619" s="66"/>
      <c r="F7619" s="66"/>
    </row>
    <row r="7620" spans="4:6" x14ac:dyDescent="0.35">
      <c r="D7620" s="66"/>
      <c r="E7620" s="66"/>
      <c r="F7620" s="66"/>
    </row>
    <row r="7621" spans="4:6" x14ac:dyDescent="0.35">
      <c r="D7621" s="66"/>
      <c r="E7621" s="66"/>
      <c r="F7621" s="66"/>
    </row>
    <row r="7622" spans="4:6" x14ac:dyDescent="0.35">
      <c r="D7622" s="66"/>
      <c r="E7622" s="66"/>
      <c r="F7622" s="66"/>
    </row>
    <row r="7623" spans="4:6" x14ac:dyDescent="0.35">
      <c r="D7623" s="66"/>
      <c r="E7623" s="66"/>
      <c r="F7623" s="66"/>
    </row>
    <row r="7624" spans="4:6" x14ac:dyDescent="0.35">
      <c r="D7624" s="66"/>
      <c r="E7624" s="66"/>
      <c r="F7624" s="66"/>
    </row>
    <row r="7625" spans="4:6" x14ac:dyDescent="0.35">
      <c r="D7625" s="66"/>
      <c r="E7625" s="66"/>
      <c r="F7625" s="66"/>
    </row>
    <row r="7626" spans="4:6" x14ac:dyDescent="0.35">
      <c r="D7626" s="66"/>
      <c r="E7626" s="66"/>
      <c r="F7626" s="66"/>
    </row>
    <row r="7627" spans="4:6" x14ac:dyDescent="0.35">
      <c r="D7627" s="66"/>
      <c r="E7627" s="66"/>
      <c r="F7627" s="66"/>
    </row>
    <row r="7628" spans="4:6" x14ac:dyDescent="0.35">
      <c r="D7628" s="66"/>
      <c r="E7628" s="66"/>
      <c r="F7628" s="66"/>
    </row>
    <row r="7629" spans="4:6" x14ac:dyDescent="0.35">
      <c r="D7629" s="66"/>
      <c r="E7629" s="66"/>
      <c r="F7629" s="66"/>
    </row>
    <row r="7630" spans="4:6" x14ac:dyDescent="0.35">
      <c r="D7630" s="66"/>
      <c r="E7630" s="66"/>
      <c r="F7630" s="66"/>
    </row>
    <row r="7631" spans="4:6" x14ac:dyDescent="0.35">
      <c r="D7631" s="66"/>
      <c r="E7631" s="66"/>
      <c r="F7631" s="66"/>
    </row>
    <row r="7632" spans="4:6" x14ac:dyDescent="0.35">
      <c r="D7632" s="66"/>
      <c r="E7632" s="66"/>
      <c r="F7632" s="66"/>
    </row>
    <row r="7633" spans="4:6" x14ac:dyDescent="0.35">
      <c r="D7633" s="66"/>
      <c r="E7633" s="66"/>
      <c r="F7633" s="66"/>
    </row>
    <row r="7634" spans="4:6" x14ac:dyDescent="0.35">
      <c r="D7634" s="66"/>
      <c r="E7634" s="66"/>
      <c r="F7634" s="66"/>
    </row>
    <row r="7635" spans="4:6" x14ac:dyDescent="0.35">
      <c r="D7635" s="66"/>
      <c r="E7635" s="66"/>
      <c r="F7635" s="66"/>
    </row>
    <row r="7636" spans="4:6" x14ac:dyDescent="0.35">
      <c r="D7636" s="66"/>
      <c r="E7636" s="66"/>
      <c r="F7636" s="66"/>
    </row>
    <row r="7637" spans="4:6" x14ac:dyDescent="0.35">
      <c r="D7637" s="66"/>
      <c r="E7637" s="66"/>
      <c r="F7637" s="66"/>
    </row>
    <row r="7638" spans="4:6" x14ac:dyDescent="0.35">
      <c r="D7638" s="66"/>
      <c r="E7638" s="66"/>
      <c r="F7638" s="66"/>
    </row>
    <row r="7639" spans="4:6" x14ac:dyDescent="0.35">
      <c r="D7639" s="66"/>
      <c r="E7639" s="66"/>
      <c r="F7639" s="66"/>
    </row>
    <row r="7640" spans="4:6" x14ac:dyDescent="0.35">
      <c r="D7640" s="66"/>
      <c r="E7640" s="66"/>
      <c r="F7640" s="66"/>
    </row>
    <row r="7641" spans="4:6" x14ac:dyDescent="0.35">
      <c r="D7641" s="66"/>
      <c r="E7641" s="66"/>
      <c r="F7641" s="66"/>
    </row>
    <row r="7642" spans="4:6" x14ac:dyDescent="0.35">
      <c r="D7642" s="66"/>
      <c r="E7642" s="66"/>
      <c r="F7642" s="66"/>
    </row>
    <row r="7643" spans="4:6" x14ac:dyDescent="0.35">
      <c r="D7643" s="66"/>
      <c r="E7643" s="66"/>
      <c r="F7643" s="66"/>
    </row>
    <row r="7644" spans="4:6" x14ac:dyDescent="0.35">
      <c r="D7644" s="66"/>
      <c r="E7644" s="66"/>
      <c r="F7644" s="66"/>
    </row>
    <row r="7645" spans="4:6" x14ac:dyDescent="0.35">
      <c r="D7645" s="66"/>
      <c r="E7645" s="66"/>
      <c r="F7645" s="66"/>
    </row>
    <row r="7646" spans="4:6" x14ac:dyDescent="0.35">
      <c r="D7646" s="66"/>
      <c r="E7646" s="66"/>
      <c r="F7646" s="66"/>
    </row>
    <row r="7647" spans="4:6" x14ac:dyDescent="0.35">
      <c r="D7647" s="66"/>
      <c r="E7647" s="66"/>
      <c r="F7647" s="66"/>
    </row>
    <row r="7648" spans="4:6" x14ac:dyDescent="0.35">
      <c r="D7648" s="66"/>
      <c r="E7648" s="66"/>
      <c r="F7648" s="66"/>
    </row>
    <row r="7649" spans="4:6" x14ac:dyDescent="0.35">
      <c r="D7649" s="66"/>
      <c r="E7649" s="66"/>
      <c r="F7649" s="66"/>
    </row>
    <row r="7650" spans="4:6" x14ac:dyDescent="0.35">
      <c r="D7650" s="66"/>
      <c r="E7650" s="66"/>
      <c r="F7650" s="66"/>
    </row>
    <row r="7651" spans="4:6" x14ac:dyDescent="0.35">
      <c r="D7651" s="66"/>
      <c r="E7651" s="66"/>
      <c r="F7651" s="66"/>
    </row>
    <row r="7652" spans="4:6" x14ac:dyDescent="0.35">
      <c r="D7652" s="66"/>
      <c r="E7652" s="66"/>
      <c r="F7652" s="66"/>
    </row>
    <row r="7653" spans="4:6" x14ac:dyDescent="0.35">
      <c r="D7653" s="66"/>
      <c r="E7653" s="66"/>
      <c r="F7653" s="66"/>
    </row>
    <row r="7654" spans="4:6" x14ac:dyDescent="0.35">
      <c r="D7654" s="66"/>
      <c r="E7654" s="66"/>
      <c r="F7654" s="66"/>
    </row>
    <row r="7655" spans="4:6" x14ac:dyDescent="0.35">
      <c r="D7655" s="66"/>
      <c r="E7655" s="66"/>
      <c r="F7655" s="66"/>
    </row>
    <row r="7656" spans="4:6" x14ac:dyDescent="0.35">
      <c r="D7656" s="66"/>
      <c r="E7656" s="66"/>
      <c r="F7656" s="66"/>
    </row>
    <row r="7657" spans="4:6" x14ac:dyDescent="0.35">
      <c r="D7657" s="66"/>
      <c r="E7657" s="66"/>
      <c r="F7657" s="66"/>
    </row>
    <row r="7658" spans="4:6" x14ac:dyDescent="0.35">
      <c r="D7658" s="66"/>
      <c r="E7658" s="66"/>
      <c r="F7658" s="66"/>
    </row>
    <row r="7659" spans="4:6" x14ac:dyDescent="0.35">
      <c r="D7659" s="66"/>
      <c r="E7659" s="66"/>
      <c r="F7659" s="66"/>
    </row>
    <row r="7660" spans="4:6" x14ac:dyDescent="0.35">
      <c r="D7660" s="66"/>
      <c r="E7660" s="66"/>
      <c r="F7660" s="66"/>
    </row>
    <row r="7661" spans="4:6" x14ac:dyDescent="0.35">
      <c r="D7661" s="66"/>
      <c r="E7661" s="66"/>
      <c r="F7661" s="66"/>
    </row>
    <row r="7662" spans="4:6" x14ac:dyDescent="0.35">
      <c r="D7662" s="66"/>
      <c r="E7662" s="66"/>
      <c r="F7662" s="66"/>
    </row>
    <row r="7663" spans="4:6" x14ac:dyDescent="0.35">
      <c r="D7663" s="66"/>
      <c r="E7663" s="66"/>
      <c r="F7663" s="66"/>
    </row>
    <row r="7664" spans="4:6" x14ac:dyDescent="0.35">
      <c r="D7664" s="66"/>
      <c r="E7664" s="66"/>
      <c r="F7664" s="66"/>
    </row>
    <row r="7665" spans="4:6" x14ac:dyDescent="0.35">
      <c r="D7665" s="66"/>
      <c r="E7665" s="66"/>
      <c r="F7665" s="66"/>
    </row>
    <row r="7666" spans="4:6" x14ac:dyDescent="0.35">
      <c r="D7666" s="66"/>
      <c r="E7666" s="66"/>
      <c r="F7666" s="66"/>
    </row>
    <row r="7667" spans="4:6" x14ac:dyDescent="0.35">
      <c r="D7667" s="66"/>
      <c r="E7667" s="66"/>
      <c r="F7667" s="66"/>
    </row>
    <row r="7668" spans="4:6" x14ac:dyDescent="0.35">
      <c r="D7668" s="66"/>
      <c r="E7668" s="66"/>
      <c r="F7668" s="66"/>
    </row>
    <row r="7669" spans="4:6" x14ac:dyDescent="0.35">
      <c r="D7669" s="66"/>
      <c r="E7669" s="66"/>
      <c r="F7669" s="66"/>
    </row>
    <row r="7670" spans="4:6" x14ac:dyDescent="0.35">
      <c r="D7670" s="66"/>
      <c r="E7670" s="66"/>
      <c r="F7670" s="66"/>
    </row>
    <row r="7671" spans="4:6" x14ac:dyDescent="0.35">
      <c r="D7671" s="66"/>
      <c r="E7671" s="66"/>
      <c r="F7671" s="66"/>
    </row>
    <row r="7672" spans="4:6" x14ac:dyDescent="0.35">
      <c r="D7672" s="66"/>
      <c r="E7672" s="66"/>
      <c r="F7672" s="66"/>
    </row>
    <row r="7673" spans="4:6" x14ac:dyDescent="0.35">
      <c r="D7673" s="66"/>
      <c r="E7673" s="66"/>
      <c r="F7673" s="66"/>
    </row>
    <row r="7674" spans="4:6" x14ac:dyDescent="0.35">
      <c r="D7674" s="66"/>
      <c r="E7674" s="66"/>
      <c r="F7674" s="66"/>
    </row>
    <row r="7675" spans="4:6" x14ac:dyDescent="0.35">
      <c r="D7675" s="66"/>
      <c r="E7675" s="66"/>
      <c r="F7675" s="66"/>
    </row>
    <row r="7676" spans="4:6" x14ac:dyDescent="0.35">
      <c r="D7676" s="66"/>
      <c r="E7676" s="66"/>
      <c r="F7676" s="66"/>
    </row>
    <row r="7677" spans="4:6" x14ac:dyDescent="0.35">
      <c r="D7677" s="66"/>
      <c r="E7677" s="66"/>
      <c r="F7677" s="66"/>
    </row>
    <row r="7678" spans="4:6" x14ac:dyDescent="0.35">
      <c r="D7678" s="66"/>
      <c r="E7678" s="66"/>
      <c r="F7678" s="66"/>
    </row>
    <row r="7679" spans="4:6" x14ac:dyDescent="0.35">
      <c r="D7679" s="66"/>
      <c r="E7679" s="66"/>
      <c r="F7679" s="66"/>
    </row>
    <row r="7680" spans="4:6" x14ac:dyDescent="0.35">
      <c r="D7680" s="66"/>
      <c r="E7680" s="66"/>
      <c r="F7680" s="66"/>
    </row>
    <row r="7681" spans="4:6" x14ac:dyDescent="0.35">
      <c r="D7681" s="66"/>
      <c r="E7681" s="66"/>
      <c r="F7681" s="66"/>
    </row>
    <row r="7682" spans="4:6" x14ac:dyDescent="0.35">
      <c r="D7682" s="66"/>
      <c r="E7682" s="66"/>
      <c r="F7682" s="66"/>
    </row>
    <row r="7683" spans="4:6" x14ac:dyDescent="0.35">
      <c r="D7683" s="66"/>
      <c r="E7683" s="66"/>
      <c r="F7683" s="66"/>
    </row>
    <row r="7684" spans="4:6" x14ac:dyDescent="0.35">
      <c r="D7684" s="66"/>
      <c r="E7684" s="66"/>
      <c r="F7684" s="66"/>
    </row>
    <row r="7685" spans="4:6" x14ac:dyDescent="0.35">
      <c r="D7685" s="66"/>
      <c r="E7685" s="66"/>
      <c r="F7685" s="66"/>
    </row>
    <row r="7686" spans="4:6" x14ac:dyDescent="0.35">
      <c r="D7686" s="66"/>
      <c r="E7686" s="66"/>
      <c r="F7686" s="66"/>
    </row>
    <row r="7687" spans="4:6" x14ac:dyDescent="0.35">
      <c r="D7687" s="66"/>
      <c r="E7687" s="66"/>
      <c r="F7687" s="66"/>
    </row>
    <row r="7688" spans="4:6" x14ac:dyDescent="0.35">
      <c r="D7688" s="66"/>
      <c r="E7688" s="66"/>
      <c r="F7688" s="66"/>
    </row>
    <row r="7689" spans="4:6" x14ac:dyDescent="0.35">
      <c r="D7689" s="66"/>
      <c r="E7689" s="66"/>
      <c r="F7689" s="66"/>
    </row>
    <row r="7690" spans="4:6" x14ac:dyDescent="0.35">
      <c r="D7690" s="66"/>
      <c r="E7690" s="66"/>
      <c r="F7690" s="66"/>
    </row>
    <row r="7691" spans="4:6" x14ac:dyDescent="0.35">
      <c r="D7691" s="66"/>
      <c r="E7691" s="66"/>
      <c r="F7691" s="66"/>
    </row>
    <row r="7692" spans="4:6" x14ac:dyDescent="0.35">
      <c r="D7692" s="66"/>
      <c r="E7692" s="66"/>
      <c r="F7692" s="66"/>
    </row>
    <row r="7693" spans="4:6" x14ac:dyDescent="0.35">
      <c r="D7693" s="66"/>
      <c r="E7693" s="66"/>
      <c r="F7693" s="66"/>
    </row>
    <row r="7694" spans="4:6" x14ac:dyDescent="0.35">
      <c r="D7694" s="66"/>
      <c r="E7694" s="66"/>
      <c r="F7694" s="66"/>
    </row>
    <row r="7695" spans="4:6" x14ac:dyDescent="0.35">
      <c r="D7695" s="66"/>
      <c r="E7695" s="66"/>
      <c r="F7695" s="66"/>
    </row>
    <row r="7696" spans="4:6" x14ac:dyDescent="0.35">
      <c r="D7696" s="66"/>
      <c r="E7696" s="66"/>
      <c r="F7696" s="66"/>
    </row>
    <row r="7697" spans="4:6" x14ac:dyDescent="0.35">
      <c r="D7697" s="66"/>
      <c r="E7697" s="66"/>
      <c r="F7697" s="66"/>
    </row>
    <row r="7698" spans="4:6" x14ac:dyDescent="0.35">
      <c r="D7698" s="66"/>
      <c r="E7698" s="66"/>
      <c r="F7698" s="66"/>
    </row>
    <row r="7699" spans="4:6" x14ac:dyDescent="0.35">
      <c r="D7699" s="66"/>
      <c r="E7699" s="66"/>
      <c r="F7699" s="66"/>
    </row>
    <row r="7700" spans="4:6" x14ac:dyDescent="0.35">
      <c r="D7700" s="66"/>
      <c r="E7700" s="66"/>
      <c r="F7700" s="66"/>
    </row>
    <row r="7701" spans="4:6" x14ac:dyDescent="0.35">
      <c r="D7701" s="66"/>
      <c r="E7701" s="66"/>
      <c r="F7701" s="66"/>
    </row>
    <row r="7702" spans="4:6" x14ac:dyDescent="0.35">
      <c r="D7702" s="66"/>
      <c r="E7702" s="66"/>
      <c r="F7702" s="66"/>
    </row>
    <row r="7703" spans="4:6" x14ac:dyDescent="0.35">
      <c r="D7703" s="66"/>
      <c r="E7703" s="66"/>
      <c r="F7703" s="66"/>
    </row>
    <row r="7704" spans="4:6" x14ac:dyDescent="0.35">
      <c r="D7704" s="66"/>
      <c r="E7704" s="66"/>
      <c r="F7704" s="66"/>
    </row>
    <row r="7705" spans="4:6" x14ac:dyDescent="0.35">
      <c r="D7705" s="66"/>
      <c r="E7705" s="66"/>
      <c r="F7705" s="66"/>
    </row>
    <row r="7706" spans="4:6" x14ac:dyDescent="0.35">
      <c r="D7706" s="66"/>
      <c r="E7706" s="66"/>
      <c r="F7706" s="66"/>
    </row>
    <row r="7707" spans="4:6" x14ac:dyDescent="0.35">
      <c r="D7707" s="66"/>
      <c r="E7707" s="66"/>
      <c r="F7707" s="66"/>
    </row>
    <row r="7708" spans="4:6" x14ac:dyDescent="0.35">
      <c r="D7708" s="66"/>
      <c r="E7708" s="66"/>
      <c r="F7708" s="66"/>
    </row>
    <row r="7709" spans="4:6" x14ac:dyDescent="0.35">
      <c r="D7709" s="66"/>
      <c r="E7709" s="66"/>
      <c r="F7709" s="66"/>
    </row>
    <row r="7710" spans="4:6" x14ac:dyDescent="0.35">
      <c r="D7710" s="66"/>
      <c r="E7710" s="66"/>
      <c r="F7710" s="66"/>
    </row>
    <row r="7711" spans="4:6" x14ac:dyDescent="0.35">
      <c r="D7711" s="66"/>
      <c r="E7711" s="66"/>
      <c r="F7711" s="66"/>
    </row>
    <row r="7712" spans="4:6" x14ac:dyDescent="0.35">
      <c r="D7712" s="66"/>
      <c r="E7712" s="66"/>
      <c r="F7712" s="66"/>
    </row>
    <row r="7713" spans="4:6" x14ac:dyDescent="0.35">
      <c r="D7713" s="66"/>
      <c r="E7713" s="66"/>
      <c r="F7713" s="66"/>
    </row>
    <row r="7714" spans="4:6" x14ac:dyDescent="0.35">
      <c r="D7714" s="66"/>
      <c r="E7714" s="66"/>
      <c r="F7714" s="66"/>
    </row>
    <row r="7715" spans="4:6" x14ac:dyDescent="0.35">
      <c r="D7715" s="66"/>
      <c r="E7715" s="66"/>
      <c r="F7715" s="66"/>
    </row>
    <row r="7716" spans="4:6" x14ac:dyDescent="0.35">
      <c r="D7716" s="66"/>
      <c r="E7716" s="66"/>
      <c r="F7716" s="66"/>
    </row>
    <row r="7717" spans="4:6" x14ac:dyDescent="0.35">
      <c r="D7717" s="66"/>
      <c r="E7717" s="66"/>
      <c r="F7717" s="66"/>
    </row>
    <row r="7718" spans="4:6" x14ac:dyDescent="0.35">
      <c r="D7718" s="66"/>
      <c r="E7718" s="66"/>
      <c r="F7718" s="66"/>
    </row>
    <row r="7719" spans="4:6" x14ac:dyDescent="0.35">
      <c r="D7719" s="66"/>
      <c r="E7719" s="66"/>
      <c r="F7719" s="66"/>
    </row>
    <row r="7720" spans="4:6" x14ac:dyDescent="0.35">
      <c r="D7720" s="66"/>
      <c r="E7720" s="66"/>
      <c r="F7720" s="66"/>
    </row>
    <row r="7721" spans="4:6" x14ac:dyDescent="0.35">
      <c r="D7721" s="66"/>
      <c r="E7721" s="66"/>
      <c r="F7721" s="66"/>
    </row>
    <row r="7722" spans="4:6" x14ac:dyDescent="0.35">
      <c r="D7722" s="66"/>
      <c r="E7722" s="66"/>
      <c r="F7722" s="66"/>
    </row>
    <row r="7723" spans="4:6" x14ac:dyDescent="0.35">
      <c r="D7723" s="66"/>
      <c r="E7723" s="66"/>
      <c r="F7723" s="66"/>
    </row>
    <row r="7724" spans="4:6" x14ac:dyDescent="0.35">
      <c r="D7724" s="66"/>
      <c r="E7724" s="66"/>
      <c r="F7724" s="66"/>
    </row>
    <row r="7725" spans="4:6" x14ac:dyDescent="0.35">
      <c r="D7725" s="66"/>
      <c r="E7725" s="66"/>
      <c r="F7725" s="66"/>
    </row>
    <row r="7726" spans="4:6" x14ac:dyDescent="0.35">
      <c r="D7726" s="66"/>
      <c r="E7726" s="66"/>
      <c r="F7726" s="66"/>
    </row>
    <row r="7727" spans="4:6" x14ac:dyDescent="0.35">
      <c r="D7727" s="66"/>
      <c r="E7727" s="66"/>
      <c r="F7727" s="66"/>
    </row>
    <row r="7728" spans="4:6" x14ac:dyDescent="0.35">
      <c r="D7728" s="66"/>
      <c r="E7728" s="66"/>
      <c r="F7728" s="66"/>
    </row>
    <row r="7729" spans="4:6" x14ac:dyDescent="0.35">
      <c r="D7729" s="66"/>
      <c r="E7729" s="66"/>
      <c r="F7729" s="66"/>
    </row>
    <row r="7730" spans="4:6" x14ac:dyDescent="0.35">
      <c r="D7730" s="66"/>
      <c r="E7730" s="66"/>
      <c r="F7730" s="66"/>
    </row>
    <row r="7731" spans="4:6" x14ac:dyDescent="0.35">
      <c r="D7731" s="66"/>
      <c r="E7731" s="66"/>
      <c r="F7731" s="66"/>
    </row>
    <row r="7732" spans="4:6" x14ac:dyDescent="0.35">
      <c r="D7732" s="66"/>
      <c r="E7732" s="66"/>
      <c r="F7732" s="66"/>
    </row>
    <row r="7733" spans="4:6" x14ac:dyDescent="0.35">
      <c r="D7733" s="66"/>
      <c r="E7733" s="66"/>
      <c r="F7733" s="66"/>
    </row>
    <row r="7734" spans="4:6" x14ac:dyDescent="0.35">
      <c r="D7734" s="66"/>
      <c r="E7734" s="66"/>
      <c r="F7734" s="66"/>
    </row>
    <row r="7735" spans="4:6" x14ac:dyDescent="0.35">
      <c r="D7735" s="66"/>
      <c r="E7735" s="66"/>
      <c r="F7735" s="66"/>
    </row>
    <row r="7736" spans="4:6" x14ac:dyDescent="0.35">
      <c r="D7736" s="66"/>
      <c r="E7736" s="66"/>
      <c r="F7736" s="66"/>
    </row>
    <row r="7737" spans="4:6" x14ac:dyDescent="0.35">
      <c r="D7737" s="66"/>
      <c r="E7737" s="66"/>
      <c r="F7737" s="66"/>
    </row>
    <row r="7738" spans="4:6" x14ac:dyDescent="0.35">
      <c r="D7738" s="66"/>
      <c r="E7738" s="66"/>
      <c r="F7738" s="66"/>
    </row>
    <row r="7739" spans="4:6" x14ac:dyDescent="0.35">
      <c r="D7739" s="66"/>
      <c r="E7739" s="66"/>
      <c r="F7739" s="66"/>
    </row>
    <row r="7740" spans="4:6" x14ac:dyDescent="0.35">
      <c r="D7740" s="66"/>
      <c r="E7740" s="66"/>
      <c r="F7740" s="66"/>
    </row>
    <row r="7741" spans="4:6" x14ac:dyDescent="0.35">
      <c r="D7741" s="66"/>
      <c r="E7741" s="66"/>
      <c r="F7741" s="66"/>
    </row>
    <row r="7742" spans="4:6" x14ac:dyDescent="0.35">
      <c r="D7742" s="66"/>
      <c r="E7742" s="66"/>
      <c r="F7742" s="66"/>
    </row>
    <row r="7743" spans="4:6" x14ac:dyDescent="0.35">
      <c r="D7743" s="66"/>
      <c r="E7743" s="66"/>
      <c r="F7743" s="66"/>
    </row>
    <row r="7744" spans="4:6" x14ac:dyDescent="0.35">
      <c r="D7744" s="66"/>
      <c r="E7744" s="66"/>
      <c r="F7744" s="66"/>
    </row>
    <row r="7745" spans="4:6" x14ac:dyDescent="0.35">
      <c r="D7745" s="66"/>
      <c r="E7745" s="66"/>
      <c r="F7745" s="66"/>
    </row>
    <row r="7746" spans="4:6" x14ac:dyDescent="0.35">
      <c r="D7746" s="66"/>
      <c r="E7746" s="66"/>
      <c r="F7746" s="66"/>
    </row>
    <row r="7747" spans="4:6" x14ac:dyDescent="0.35">
      <c r="D7747" s="66"/>
      <c r="E7747" s="66"/>
      <c r="F7747" s="66"/>
    </row>
    <row r="7748" spans="4:6" x14ac:dyDescent="0.35">
      <c r="D7748" s="66"/>
      <c r="E7748" s="66"/>
      <c r="F7748" s="66"/>
    </row>
    <row r="7749" spans="4:6" x14ac:dyDescent="0.35">
      <c r="D7749" s="66"/>
      <c r="E7749" s="66"/>
      <c r="F7749" s="66"/>
    </row>
    <row r="7750" spans="4:6" x14ac:dyDescent="0.35">
      <c r="D7750" s="66"/>
      <c r="E7750" s="66"/>
      <c r="F7750" s="66"/>
    </row>
    <row r="7751" spans="4:6" x14ac:dyDescent="0.35">
      <c r="D7751" s="66"/>
      <c r="E7751" s="66"/>
      <c r="F7751" s="66"/>
    </row>
    <row r="7752" spans="4:6" x14ac:dyDescent="0.35">
      <c r="D7752" s="66"/>
      <c r="E7752" s="66"/>
      <c r="F7752" s="66"/>
    </row>
    <row r="7753" spans="4:6" x14ac:dyDescent="0.35">
      <c r="D7753" s="66"/>
      <c r="E7753" s="66"/>
      <c r="F7753" s="66"/>
    </row>
    <row r="7754" spans="4:6" x14ac:dyDescent="0.35">
      <c r="D7754" s="66"/>
      <c r="E7754" s="66"/>
      <c r="F7754" s="66"/>
    </row>
    <row r="7755" spans="4:6" x14ac:dyDescent="0.35">
      <c r="D7755" s="66"/>
      <c r="E7755" s="66"/>
      <c r="F7755" s="66"/>
    </row>
    <row r="7756" spans="4:6" x14ac:dyDescent="0.35">
      <c r="D7756" s="66"/>
      <c r="E7756" s="66"/>
      <c r="F7756" s="66"/>
    </row>
    <row r="7757" spans="4:6" x14ac:dyDescent="0.35">
      <c r="D7757" s="66"/>
      <c r="E7757" s="66"/>
      <c r="F7757" s="66"/>
    </row>
    <row r="7758" spans="4:6" x14ac:dyDescent="0.35">
      <c r="D7758" s="66"/>
      <c r="E7758" s="66"/>
      <c r="F7758" s="66"/>
    </row>
    <row r="7759" spans="4:6" x14ac:dyDescent="0.35">
      <c r="D7759" s="66"/>
      <c r="E7759" s="66"/>
      <c r="F7759" s="66"/>
    </row>
    <row r="7760" spans="4:6" x14ac:dyDescent="0.35">
      <c r="D7760" s="66"/>
      <c r="E7760" s="66"/>
      <c r="F7760" s="66"/>
    </row>
    <row r="7761" spans="4:6" x14ac:dyDescent="0.35">
      <c r="D7761" s="66"/>
      <c r="E7761" s="66"/>
      <c r="F7761" s="66"/>
    </row>
    <row r="7762" spans="4:6" x14ac:dyDescent="0.35">
      <c r="D7762" s="66"/>
      <c r="E7762" s="66"/>
      <c r="F7762" s="66"/>
    </row>
    <row r="7763" spans="4:6" x14ac:dyDescent="0.35">
      <c r="D7763" s="66"/>
      <c r="E7763" s="66"/>
      <c r="F7763" s="66"/>
    </row>
    <row r="7764" spans="4:6" x14ac:dyDescent="0.35">
      <c r="D7764" s="66"/>
      <c r="E7764" s="66"/>
      <c r="F7764" s="66"/>
    </row>
    <row r="7765" spans="4:6" x14ac:dyDescent="0.35">
      <c r="D7765" s="66"/>
      <c r="E7765" s="66"/>
      <c r="F7765" s="66"/>
    </row>
    <row r="7766" spans="4:6" x14ac:dyDescent="0.35">
      <c r="D7766" s="66"/>
      <c r="E7766" s="66"/>
      <c r="F7766" s="66"/>
    </row>
    <row r="7767" spans="4:6" x14ac:dyDescent="0.35">
      <c r="D7767" s="66"/>
      <c r="E7767" s="66"/>
      <c r="F7767" s="66"/>
    </row>
    <row r="7768" spans="4:6" x14ac:dyDescent="0.35">
      <c r="D7768" s="66"/>
      <c r="E7768" s="66"/>
      <c r="F7768" s="66"/>
    </row>
    <row r="7769" spans="4:6" x14ac:dyDescent="0.35">
      <c r="D7769" s="66"/>
      <c r="E7769" s="66"/>
      <c r="F7769" s="66"/>
    </row>
    <row r="7770" spans="4:6" x14ac:dyDescent="0.35">
      <c r="D7770" s="66"/>
      <c r="E7770" s="66"/>
      <c r="F7770" s="66"/>
    </row>
    <row r="7771" spans="4:6" x14ac:dyDescent="0.35">
      <c r="D7771" s="66"/>
      <c r="E7771" s="66"/>
      <c r="F7771" s="66"/>
    </row>
    <row r="7772" spans="4:6" x14ac:dyDescent="0.35">
      <c r="D7772" s="66"/>
      <c r="E7772" s="66"/>
      <c r="F7772" s="66"/>
    </row>
    <row r="7773" spans="4:6" x14ac:dyDescent="0.35">
      <c r="D7773" s="66"/>
      <c r="E7773" s="66"/>
      <c r="F7773" s="66"/>
    </row>
    <row r="7774" spans="4:6" x14ac:dyDescent="0.35">
      <c r="D7774" s="66"/>
      <c r="E7774" s="66"/>
      <c r="F7774" s="66"/>
    </row>
    <row r="7775" spans="4:6" x14ac:dyDescent="0.35">
      <c r="D7775" s="66"/>
      <c r="E7775" s="66"/>
      <c r="F7775" s="66"/>
    </row>
    <row r="7776" spans="4:6" x14ac:dyDescent="0.35">
      <c r="D7776" s="66"/>
      <c r="E7776" s="66"/>
      <c r="F7776" s="66"/>
    </row>
    <row r="7777" spans="4:6" x14ac:dyDescent="0.35">
      <c r="D7777" s="66"/>
      <c r="E7777" s="66"/>
      <c r="F7777" s="66"/>
    </row>
    <row r="7778" spans="4:6" x14ac:dyDescent="0.35">
      <c r="D7778" s="66"/>
      <c r="E7778" s="66"/>
      <c r="F7778" s="66"/>
    </row>
    <row r="7779" spans="4:6" x14ac:dyDescent="0.35">
      <c r="D7779" s="66"/>
      <c r="E7779" s="66"/>
      <c r="F7779" s="66"/>
    </row>
    <row r="7780" spans="4:6" x14ac:dyDescent="0.35">
      <c r="D7780" s="66"/>
      <c r="E7780" s="66"/>
      <c r="F7780" s="66"/>
    </row>
    <row r="7781" spans="4:6" x14ac:dyDescent="0.35">
      <c r="D7781" s="66"/>
      <c r="E7781" s="66"/>
      <c r="F7781" s="66"/>
    </row>
    <row r="7782" spans="4:6" x14ac:dyDescent="0.35">
      <c r="D7782" s="66"/>
      <c r="E7782" s="66"/>
      <c r="F7782" s="66"/>
    </row>
    <row r="7783" spans="4:6" x14ac:dyDescent="0.35">
      <c r="D7783" s="66"/>
      <c r="E7783" s="66"/>
      <c r="F7783" s="66"/>
    </row>
    <row r="7784" spans="4:6" x14ac:dyDescent="0.35">
      <c r="D7784" s="66"/>
      <c r="E7784" s="66"/>
      <c r="F7784" s="66"/>
    </row>
    <row r="7785" spans="4:6" x14ac:dyDescent="0.35">
      <c r="D7785" s="66"/>
      <c r="E7785" s="66"/>
      <c r="F7785" s="66"/>
    </row>
    <row r="7786" spans="4:6" x14ac:dyDescent="0.35">
      <c r="D7786" s="66"/>
      <c r="E7786" s="66"/>
      <c r="F7786" s="66"/>
    </row>
    <row r="7787" spans="4:6" x14ac:dyDescent="0.35">
      <c r="D7787" s="66"/>
      <c r="E7787" s="66"/>
      <c r="F7787" s="66"/>
    </row>
    <row r="7788" spans="4:6" x14ac:dyDescent="0.35">
      <c r="D7788" s="66"/>
      <c r="E7788" s="66"/>
      <c r="F7788" s="66"/>
    </row>
    <row r="7789" spans="4:6" x14ac:dyDescent="0.35">
      <c r="D7789" s="66"/>
      <c r="E7789" s="66"/>
      <c r="F7789" s="66"/>
    </row>
    <row r="7790" spans="4:6" x14ac:dyDescent="0.35">
      <c r="D7790" s="66"/>
      <c r="E7790" s="66"/>
      <c r="F7790" s="66"/>
    </row>
    <row r="7791" spans="4:6" x14ac:dyDescent="0.35">
      <c r="D7791" s="66"/>
      <c r="E7791" s="66"/>
      <c r="F7791" s="66"/>
    </row>
    <row r="7792" spans="4:6" x14ac:dyDescent="0.35">
      <c r="D7792" s="66"/>
      <c r="E7792" s="66"/>
      <c r="F7792" s="66"/>
    </row>
    <row r="7793" spans="4:6" x14ac:dyDescent="0.35">
      <c r="D7793" s="66"/>
      <c r="E7793" s="66"/>
      <c r="F7793" s="66"/>
    </row>
    <row r="7794" spans="4:6" x14ac:dyDescent="0.35">
      <c r="D7794" s="66"/>
      <c r="E7794" s="66"/>
      <c r="F7794" s="66"/>
    </row>
    <row r="7795" spans="4:6" x14ac:dyDescent="0.35">
      <c r="D7795" s="66"/>
      <c r="E7795" s="66"/>
      <c r="F7795" s="66"/>
    </row>
    <row r="7796" spans="4:6" x14ac:dyDescent="0.35">
      <c r="D7796" s="66"/>
      <c r="E7796" s="66"/>
      <c r="F7796" s="66"/>
    </row>
    <row r="7797" spans="4:6" x14ac:dyDescent="0.35">
      <c r="D7797" s="66"/>
      <c r="E7797" s="66"/>
      <c r="F7797" s="66"/>
    </row>
    <row r="7798" spans="4:6" x14ac:dyDescent="0.35">
      <c r="D7798" s="66"/>
      <c r="E7798" s="66"/>
      <c r="F7798" s="66"/>
    </row>
    <row r="7799" spans="4:6" x14ac:dyDescent="0.35">
      <c r="D7799" s="66"/>
      <c r="E7799" s="66"/>
      <c r="F7799" s="66"/>
    </row>
    <row r="7800" spans="4:6" x14ac:dyDescent="0.35">
      <c r="D7800" s="66"/>
      <c r="E7800" s="66"/>
      <c r="F7800" s="66"/>
    </row>
    <row r="7801" spans="4:6" x14ac:dyDescent="0.35">
      <c r="D7801" s="66"/>
      <c r="E7801" s="66"/>
      <c r="F7801" s="66"/>
    </row>
    <row r="7802" spans="4:6" x14ac:dyDescent="0.35">
      <c r="D7802" s="66"/>
      <c r="E7802" s="66"/>
      <c r="F7802" s="66"/>
    </row>
    <row r="7803" spans="4:6" x14ac:dyDescent="0.35">
      <c r="D7803" s="66"/>
      <c r="E7803" s="66"/>
      <c r="F7803" s="66"/>
    </row>
    <row r="7804" spans="4:6" x14ac:dyDescent="0.35">
      <c r="D7804" s="66"/>
      <c r="E7804" s="66"/>
      <c r="F7804" s="66"/>
    </row>
    <row r="7805" spans="4:6" x14ac:dyDescent="0.35">
      <c r="D7805" s="66"/>
      <c r="E7805" s="66"/>
      <c r="F7805" s="66"/>
    </row>
    <row r="7806" spans="4:6" x14ac:dyDescent="0.35">
      <c r="D7806" s="66"/>
      <c r="E7806" s="66"/>
      <c r="F7806" s="66"/>
    </row>
    <row r="7807" spans="4:6" x14ac:dyDescent="0.35">
      <c r="D7807" s="66"/>
      <c r="E7807" s="66"/>
      <c r="F7807" s="66"/>
    </row>
    <row r="7808" spans="4:6" x14ac:dyDescent="0.35">
      <c r="D7808" s="66"/>
      <c r="E7808" s="66"/>
      <c r="F7808" s="66"/>
    </row>
    <row r="7809" spans="4:6" x14ac:dyDescent="0.35">
      <c r="D7809" s="66"/>
      <c r="E7809" s="66"/>
      <c r="F7809" s="66"/>
    </row>
    <row r="7810" spans="4:6" x14ac:dyDescent="0.35">
      <c r="D7810" s="66"/>
      <c r="E7810" s="66"/>
      <c r="F7810" s="66"/>
    </row>
    <row r="7811" spans="4:6" x14ac:dyDescent="0.35">
      <c r="D7811" s="66"/>
      <c r="E7811" s="66"/>
      <c r="F7811" s="66"/>
    </row>
    <row r="7812" spans="4:6" x14ac:dyDescent="0.35">
      <c r="D7812" s="66"/>
      <c r="E7812" s="66"/>
      <c r="F7812" s="66"/>
    </row>
    <row r="7813" spans="4:6" x14ac:dyDescent="0.35">
      <c r="D7813" s="66"/>
      <c r="E7813" s="66"/>
      <c r="F7813" s="66"/>
    </row>
    <row r="7814" spans="4:6" x14ac:dyDescent="0.35">
      <c r="D7814" s="66"/>
      <c r="E7814" s="66"/>
      <c r="F7814" s="66"/>
    </row>
    <row r="7815" spans="4:6" x14ac:dyDescent="0.35">
      <c r="D7815" s="66"/>
      <c r="E7815" s="66"/>
      <c r="F7815" s="66"/>
    </row>
    <row r="7816" spans="4:6" x14ac:dyDescent="0.35">
      <c r="D7816" s="66"/>
      <c r="E7816" s="66"/>
      <c r="F7816" s="66"/>
    </row>
    <row r="7817" spans="4:6" x14ac:dyDescent="0.35">
      <c r="D7817" s="66"/>
      <c r="E7817" s="66"/>
      <c r="F7817" s="66"/>
    </row>
    <row r="7818" spans="4:6" x14ac:dyDescent="0.35">
      <c r="D7818" s="66"/>
      <c r="E7818" s="66"/>
      <c r="F7818" s="66"/>
    </row>
    <row r="7819" spans="4:6" x14ac:dyDescent="0.35">
      <c r="D7819" s="66"/>
      <c r="E7819" s="66"/>
      <c r="F7819" s="66"/>
    </row>
    <row r="7820" spans="4:6" x14ac:dyDescent="0.35">
      <c r="D7820" s="66"/>
      <c r="E7820" s="66"/>
      <c r="F7820" s="66"/>
    </row>
    <row r="7821" spans="4:6" x14ac:dyDescent="0.35">
      <c r="D7821" s="66"/>
      <c r="E7821" s="66"/>
      <c r="F7821" s="66"/>
    </row>
    <row r="7822" spans="4:6" x14ac:dyDescent="0.35">
      <c r="D7822" s="66"/>
      <c r="E7822" s="66"/>
      <c r="F7822" s="66"/>
    </row>
    <row r="7823" spans="4:6" x14ac:dyDescent="0.35">
      <c r="D7823" s="66"/>
      <c r="E7823" s="66"/>
      <c r="F7823" s="66"/>
    </row>
    <row r="7824" spans="4:6" x14ac:dyDescent="0.35">
      <c r="D7824" s="66"/>
      <c r="E7824" s="66"/>
      <c r="F7824" s="66"/>
    </row>
    <row r="7825" spans="4:6" x14ac:dyDescent="0.35">
      <c r="D7825" s="66"/>
      <c r="E7825" s="66"/>
      <c r="F7825" s="66"/>
    </row>
    <row r="7826" spans="4:6" x14ac:dyDescent="0.35">
      <c r="D7826" s="66"/>
      <c r="E7826" s="66"/>
      <c r="F7826" s="66"/>
    </row>
    <row r="7827" spans="4:6" x14ac:dyDescent="0.35">
      <c r="D7827" s="66"/>
      <c r="E7827" s="66"/>
      <c r="F7827" s="66"/>
    </row>
    <row r="7828" spans="4:6" x14ac:dyDescent="0.35">
      <c r="D7828" s="66"/>
      <c r="E7828" s="66"/>
      <c r="F7828" s="66"/>
    </row>
    <row r="7829" spans="4:6" x14ac:dyDescent="0.35">
      <c r="D7829" s="66"/>
      <c r="E7829" s="66"/>
      <c r="F7829" s="66"/>
    </row>
    <row r="7830" spans="4:6" x14ac:dyDescent="0.35">
      <c r="D7830" s="66"/>
      <c r="E7830" s="66"/>
      <c r="F7830" s="66"/>
    </row>
    <row r="7831" spans="4:6" x14ac:dyDescent="0.35">
      <c r="D7831" s="66"/>
      <c r="E7831" s="66"/>
      <c r="F7831" s="66"/>
    </row>
    <row r="7832" spans="4:6" x14ac:dyDescent="0.35">
      <c r="D7832" s="66"/>
      <c r="E7832" s="66"/>
      <c r="F7832" s="66"/>
    </row>
    <row r="7833" spans="4:6" x14ac:dyDescent="0.35">
      <c r="D7833" s="66"/>
      <c r="E7833" s="66"/>
      <c r="F7833" s="66"/>
    </row>
    <row r="7834" spans="4:6" x14ac:dyDescent="0.35">
      <c r="D7834" s="66"/>
      <c r="E7834" s="66"/>
      <c r="F7834" s="66"/>
    </row>
    <row r="7835" spans="4:6" x14ac:dyDescent="0.35">
      <c r="D7835" s="66"/>
      <c r="E7835" s="66"/>
      <c r="F7835" s="66"/>
    </row>
    <row r="7836" spans="4:6" x14ac:dyDescent="0.35">
      <c r="D7836" s="66"/>
      <c r="E7836" s="66"/>
      <c r="F7836" s="66"/>
    </row>
    <row r="7837" spans="4:6" x14ac:dyDescent="0.35">
      <c r="D7837" s="66"/>
      <c r="E7837" s="66"/>
      <c r="F7837" s="66"/>
    </row>
    <row r="7838" spans="4:6" x14ac:dyDescent="0.35">
      <c r="D7838" s="66"/>
      <c r="E7838" s="66"/>
      <c r="F7838" s="66"/>
    </row>
    <row r="7839" spans="4:6" x14ac:dyDescent="0.35">
      <c r="D7839" s="66"/>
      <c r="E7839" s="66"/>
      <c r="F7839" s="66"/>
    </row>
    <row r="7840" spans="4:6" x14ac:dyDescent="0.35">
      <c r="D7840" s="66"/>
      <c r="E7840" s="66"/>
      <c r="F7840" s="66"/>
    </row>
    <row r="7841" spans="4:6" x14ac:dyDescent="0.35">
      <c r="D7841" s="66"/>
      <c r="E7841" s="66"/>
      <c r="F7841" s="66"/>
    </row>
    <row r="7842" spans="4:6" x14ac:dyDescent="0.35">
      <c r="D7842" s="66"/>
      <c r="E7842" s="66"/>
      <c r="F7842" s="66"/>
    </row>
    <row r="7843" spans="4:6" x14ac:dyDescent="0.35">
      <c r="D7843" s="66"/>
      <c r="E7843" s="66"/>
      <c r="F7843" s="66"/>
    </row>
    <row r="7844" spans="4:6" x14ac:dyDescent="0.35">
      <c r="D7844" s="66"/>
      <c r="E7844" s="66"/>
      <c r="F7844" s="66"/>
    </row>
    <row r="7845" spans="4:6" x14ac:dyDescent="0.35">
      <c r="D7845" s="66"/>
      <c r="E7845" s="66"/>
      <c r="F7845" s="66"/>
    </row>
    <row r="7846" spans="4:6" x14ac:dyDescent="0.35">
      <c r="D7846" s="66"/>
      <c r="E7846" s="66"/>
      <c r="F7846" s="66"/>
    </row>
    <row r="7847" spans="4:6" x14ac:dyDescent="0.35">
      <c r="D7847" s="66"/>
      <c r="E7847" s="66"/>
      <c r="F7847" s="66"/>
    </row>
    <row r="7848" spans="4:6" x14ac:dyDescent="0.35">
      <c r="D7848" s="66"/>
      <c r="E7848" s="66"/>
      <c r="F7848" s="66"/>
    </row>
    <row r="7849" spans="4:6" x14ac:dyDescent="0.35">
      <c r="D7849" s="66"/>
      <c r="E7849" s="66"/>
      <c r="F7849" s="66"/>
    </row>
    <row r="7850" spans="4:6" x14ac:dyDescent="0.35">
      <c r="D7850" s="66"/>
      <c r="E7850" s="66"/>
      <c r="F7850" s="66"/>
    </row>
    <row r="7851" spans="4:6" x14ac:dyDescent="0.35">
      <c r="D7851" s="66"/>
      <c r="E7851" s="66"/>
      <c r="F7851" s="66"/>
    </row>
    <row r="7852" spans="4:6" x14ac:dyDescent="0.35">
      <c r="D7852" s="66"/>
      <c r="E7852" s="66"/>
      <c r="F7852" s="66"/>
    </row>
    <row r="7853" spans="4:6" x14ac:dyDescent="0.35">
      <c r="D7853" s="66"/>
      <c r="E7853" s="66"/>
      <c r="F7853" s="66"/>
    </row>
    <row r="7854" spans="4:6" x14ac:dyDescent="0.35">
      <c r="D7854" s="66"/>
      <c r="E7854" s="66"/>
      <c r="F7854" s="66"/>
    </row>
    <row r="7855" spans="4:6" x14ac:dyDescent="0.35">
      <c r="D7855" s="66"/>
      <c r="E7855" s="66"/>
      <c r="F7855" s="66"/>
    </row>
    <row r="7856" spans="4:6" x14ac:dyDescent="0.35">
      <c r="D7856" s="66"/>
      <c r="E7856" s="66"/>
      <c r="F7856" s="66"/>
    </row>
    <row r="7857" spans="4:6" x14ac:dyDescent="0.35">
      <c r="D7857" s="66"/>
      <c r="E7857" s="66"/>
      <c r="F7857" s="66"/>
    </row>
    <row r="7858" spans="4:6" x14ac:dyDescent="0.35">
      <c r="D7858" s="66"/>
      <c r="E7858" s="66"/>
      <c r="F7858" s="66"/>
    </row>
    <row r="7859" spans="4:6" x14ac:dyDescent="0.35">
      <c r="D7859" s="66"/>
      <c r="E7859" s="66"/>
      <c r="F7859" s="66"/>
    </row>
    <row r="7860" spans="4:6" x14ac:dyDescent="0.35">
      <c r="D7860" s="66"/>
      <c r="E7860" s="66"/>
      <c r="F7860" s="66"/>
    </row>
    <row r="7861" spans="4:6" x14ac:dyDescent="0.35">
      <c r="D7861" s="66"/>
      <c r="E7861" s="66"/>
      <c r="F7861" s="66"/>
    </row>
    <row r="7862" spans="4:6" x14ac:dyDescent="0.35">
      <c r="D7862" s="66"/>
      <c r="E7862" s="66"/>
      <c r="F7862" s="66"/>
    </row>
    <row r="7863" spans="4:6" x14ac:dyDescent="0.35">
      <c r="D7863" s="66"/>
      <c r="E7863" s="66"/>
      <c r="F7863" s="66"/>
    </row>
    <row r="7864" spans="4:6" x14ac:dyDescent="0.35">
      <c r="D7864" s="66"/>
      <c r="E7864" s="66"/>
      <c r="F7864" s="66"/>
    </row>
    <row r="7865" spans="4:6" x14ac:dyDescent="0.35">
      <c r="D7865" s="66"/>
      <c r="E7865" s="66"/>
      <c r="F7865" s="66"/>
    </row>
    <row r="7866" spans="4:6" x14ac:dyDescent="0.35">
      <c r="D7866" s="66"/>
      <c r="E7866" s="66"/>
      <c r="F7866" s="66"/>
    </row>
    <row r="7867" spans="4:6" x14ac:dyDescent="0.35">
      <c r="D7867" s="66"/>
      <c r="E7867" s="66"/>
      <c r="F7867" s="66"/>
    </row>
    <row r="7868" spans="4:6" x14ac:dyDescent="0.35">
      <c r="D7868" s="66"/>
      <c r="E7868" s="66"/>
      <c r="F7868" s="66"/>
    </row>
    <row r="7869" spans="4:6" x14ac:dyDescent="0.35">
      <c r="D7869" s="66"/>
      <c r="E7869" s="66"/>
      <c r="F7869" s="66"/>
    </row>
    <row r="7870" spans="4:6" x14ac:dyDescent="0.35">
      <c r="D7870" s="66"/>
      <c r="E7870" s="66"/>
      <c r="F7870" s="66"/>
    </row>
    <row r="7871" spans="4:6" x14ac:dyDescent="0.35">
      <c r="D7871" s="66"/>
      <c r="E7871" s="66"/>
      <c r="F7871" s="66"/>
    </row>
    <row r="7872" spans="4:6" x14ac:dyDescent="0.35">
      <c r="D7872" s="66"/>
      <c r="E7872" s="66"/>
      <c r="F7872" s="66"/>
    </row>
    <row r="7873" spans="4:6" x14ac:dyDescent="0.35">
      <c r="D7873" s="66"/>
      <c r="E7873" s="66"/>
      <c r="F7873" s="66"/>
    </row>
    <row r="7874" spans="4:6" x14ac:dyDescent="0.35">
      <c r="D7874" s="66"/>
      <c r="E7874" s="66"/>
      <c r="F7874" s="66"/>
    </row>
    <row r="7875" spans="4:6" x14ac:dyDescent="0.35">
      <c r="D7875" s="66"/>
      <c r="E7875" s="66"/>
      <c r="F7875" s="66"/>
    </row>
    <row r="7876" spans="4:6" x14ac:dyDescent="0.35">
      <c r="D7876" s="66"/>
      <c r="E7876" s="66"/>
      <c r="F7876" s="66"/>
    </row>
    <row r="7877" spans="4:6" x14ac:dyDescent="0.35">
      <c r="D7877" s="66"/>
      <c r="E7877" s="66"/>
      <c r="F7877" s="66"/>
    </row>
    <row r="7878" spans="4:6" x14ac:dyDescent="0.35">
      <c r="D7878" s="66"/>
      <c r="E7878" s="66"/>
      <c r="F7878" s="66"/>
    </row>
    <row r="7879" spans="4:6" x14ac:dyDescent="0.35">
      <c r="D7879" s="66"/>
      <c r="E7879" s="66"/>
      <c r="F7879" s="66"/>
    </row>
    <row r="7880" spans="4:6" x14ac:dyDescent="0.35">
      <c r="D7880" s="66"/>
      <c r="E7880" s="66"/>
      <c r="F7880" s="66"/>
    </row>
    <row r="7881" spans="4:6" x14ac:dyDescent="0.35">
      <c r="D7881" s="66"/>
      <c r="E7881" s="66"/>
      <c r="F7881" s="66"/>
    </row>
    <row r="7882" spans="4:6" x14ac:dyDescent="0.35">
      <c r="D7882" s="66"/>
      <c r="E7882" s="66"/>
      <c r="F7882" s="66"/>
    </row>
    <row r="7883" spans="4:6" x14ac:dyDescent="0.35">
      <c r="D7883" s="66"/>
      <c r="E7883" s="66"/>
      <c r="F7883" s="66"/>
    </row>
    <row r="7884" spans="4:6" x14ac:dyDescent="0.35">
      <c r="D7884" s="66"/>
      <c r="E7884" s="66"/>
      <c r="F7884" s="66"/>
    </row>
    <row r="7885" spans="4:6" x14ac:dyDescent="0.35">
      <c r="D7885" s="66"/>
      <c r="E7885" s="66"/>
      <c r="F7885" s="66"/>
    </row>
    <row r="7886" spans="4:6" x14ac:dyDescent="0.35">
      <c r="D7886" s="66"/>
      <c r="E7886" s="66"/>
      <c r="F7886" s="66"/>
    </row>
    <row r="7887" spans="4:6" x14ac:dyDescent="0.35">
      <c r="D7887" s="66"/>
      <c r="E7887" s="66"/>
      <c r="F7887" s="66"/>
    </row>
    <row r="7888" spans="4:6" x14ac:dyDescent="0.35">
      <c r="D7888" s="66"/>
      <c r="E7888" s="66"/>
      <c r="F7888" s="66"/>
    </row>
    <row r="7889" spans="4:6" x14ac:dyDescent="0.35">
      <c r="D7889" s="66"/>
      <c r="E7889" s="66"/>
      <c r="F7889" s="66"/>
    </row>
    <row r="7890" spans="4:6" x14ac:dyDescent="0.35">
      <c r="D7890" s="66"/>
      <c r="E7890" s="66"/>
      <c r="F7890" s="66"/>
    </row>
    <row r="7891" spans="4:6" x14ac:dyDescent="0.35">
      <c r="D7891" s="66"/>
      <c r="E7891" s="66"/>
      <c r="F7891" s="66"/>
    </row>
    <row r="7892" spans="4:6" x14ac:dyDescent="0.35">
      <c r="D7892" s="66"/>
      <c r="E7892" s="66"/>
      <c r="F7892" s="66"/>
    </row>
    <row r="7893" spans="4:6" x14ac:dyDescent="0.35">
      <c r="D7893" s="66"/>
      <c r="E7893" s="66"/>
      <c r="F7893" s="66"/>
    </row>
    <row r="7894" spans="4:6" x14ac:dyDescent="0.35">
      <c r="D7894" s="66"/>
      <c r="E7894" s="66"/>
      <c r="F7894" s="66"/>
    </row>
    <row r="7895" spans="4:6" x14ac:dyDescent="0.35">
      <c r="D7895" s="66"/>
      <c r="E7895" s="66"/>
      <c r="F7895" s="66"/>
    </row>
    <row r="7896" spans="4:6" x14ac:dyDescent="0.35">
      <c r="D7896" s="66"/>
      <c r="E7896" s="66"/>
      <c r="F7896" s="66"/>
    </row>
    <row r="7897" spans="4:6" x14ac:dyDescent="0.35">
      <c r="D7897" s="66"/>
      <c r="E7897" s="66"/>
      <c r="F7897" s="66"/>
    </row>
    <row r="7898" spans="4:6" x14ac:dyDescent="0.35">
      <c r="D7898" s="66"/>
      <c r="E7898" s="66"/>
      <c r="F7898" s="66"/>
    </row>
    <row r="7899" spans="4:6" x14ac:dyDescent="0.35">
      <c r="D7899" s="66"/>
      <c r="E7899" s="66"/>
      <c r="F7899" s="66"/>
    </row>
    <row r="7900" spans="4:6" x14ac:dyDescent="0.35">
      <c r="D7900" s="66"/>
      <c r="E7900" s="66"/>
      <c r="F7900" s="66"/>
    </row>
    <row r="7901" spans="4:6" x14ac:dyDescent="0.35">
      <c r="D7901" s="66"/>
      <c r="E7901" s="66"/>
      <c r="F7901" s="66"/>
    </row>
    <row r="7902" spans="4:6" x14ac:dyDescent="0.35">
      <c r="D7902" s="66"/>
      <c r="E7902" s="66"/>
      <c r="F7902" s="66"/>
    </row>
    <row r="7903" spans="4:6" x14ac:dyDescent="0.35">
      <c r="D7903" s="66"/>
      <c r="E7903" s="66"/>
      <c r="F7903" s="66"/>
    </row>
    <row r="7904" spans="4:6" x14ac:dyDescent="0.35">
      <c r="D7904" s="66"/>
      <c r="E7904" s="66"/>
      <c r="F7904" s="66"/>
    </row>
    <row r="7905" spans="4:6" x14ac:dyDescent="0.35">
      <c r="D7905" s="66"/>
      <c r="E7905" s="66"/>
      <c r="F7905" s="66"/>
    </row>
    <row r="7906" spans="4:6" x14ac:dyDescent="0.35">
      <c r="D7906" s="66"/>
      <c r="E7906" s="66"/>
      <c r="F7906" s="66"/>
    </row>
    <row r="7907" spans="4:6" x14ac:dyDescent="0.35">
      <c r="D7907" s="66"/>
      <c r="E7907" s="66"/>
      <c r="F7907" s="66"/>
    </row>
    <row r="7908" spans="4:6" x14ac:dyDescent="0.35">
      <c r="D7908" s="66"/>
      <c r="E7908" s="66"/>
      <c r="F7908" s="66"/>
    </row>
    <row r="7909" spans="4:6" x14ac:dyDescent="0.35">
      <c r="D7909" s="66"/>
      <c r="E7909" s="66"/>
      <c r="F7909" s="66"/>
    </row>
    <row r="7910" spans="4:6" x14ac:dyDescent="0.35">
      <c r="D7910" s="66"/>
      <c r="E7910" s="66"/>
      <c r="F7910" s="66"/>
    </row>
    <row r="7911" spans="4:6" x14ac:dyDescent="0.35">
      <c r="D7911" s="66"/>
      <c r="E7911" s="66"/>
      <c r="F7911" s="66"/>
    </row>
    <row r="7912" spans="4:6" x14ac:dyDescent="0.35">
      <c r="D7912" s="66"/>
      <c r="E7912" s="66"/>
      <c r="F7912" s="66"/>
    </row>
    <row r="7913" spans="4:6" x14ac:dyDescent="0.35">
      <c r="D7913" s="66"/>
      <c r="E7913" s="66"/>
      <c r="F7913" s="66"/>
    </row>
    <row r="7914" spans="4:6" x14ac:dyDescent="0.35">
      <c r="D7914" s="66"/>
      <c r="E7914" s="66"/>
      <c r="F7914" s="66"/>
    </row>
    <row r="7915" spans="4:6" x14ac:dyDescent="0.35">
      <c r="D7915" s="66"/>
      <c r="E7915" s="66"/>
      <c r="F7915" s="66"/>
    </row>
    <row r="7916" spans="4:6" x14ac:dyDescent="0.35">
      <c r="D7916" s="66"/>
      <c r="E7916" s="66"/>
      <c r="F7916" s="66"/>
    </row>
    <row r="7917" spans="4:6" x14ac:dyDescent="0.35">
      <c r="D7917" s="66"/>
      <c r="E7917" s="66"/>
      <c r="F7917" s="66"/>
    </row>
    <row r="7918" spans="4:6" x14ac:dyDescent="0.35">
      <c r="D7918" s="66"/>
      <c r="E7918" s="66"/>
      <c r="F7918" s="66"/>
    </row>
    <row r="7919" spans="4:6" x14ac:dyDescent="0.35">
      <c r="D7919" s="66"/>
      <c r="E7919" s="66"/>
      <c r="F7919" s="66"/>
    </row>
    <row r="7920" spans="4:6" x14ac:dyDescent="0.35">
      <c r="D7920" s="66"/>
      <c r="E7920" s="66"/>
      <c r="F7920" s="66"/>
    </row>
    <row r="7921" spans="4:6" x14ac:dyDescent="0.35">
      <c r="D7921" s="66"/>
      <c r="E7921" s="66"/>
      <c r="F7921" s="66"/>
    </row>
    <row r="7922" spans="4:6" x14ac:dyDescent="0.35">
      <c r="D7922" s="66"/>
      <c r="E7922" s="66"/>
      <c r="F7922" s="66"/>
    </row>
    <row r="7923" spans="4:6" x14ac:dyDescent="0.35">
      <c r="D7923" s="66"/>
      <c r="E7923" s="66"/>
      <c r="F7923" s="66"/>
    </row>
    <row r="7924" spans="4:6" x14ac:dyDescent="0.35">
      <c r="D7924" s="66"/>
      <c r="E7924" s="66"/>
      <c r="F7924" s="66"/>
    </row>
    <row r="7925" spans="4:6" x14ac:dyDescent="0.35">
      <c r="D7925" s="66"/>
      <c r="E7925" s="66"/>
      <c r="F7925" s="66"/>
    </row>
    <row r="7926" spans="4:6" x14ac:dyDescent="0.35">
      <c r="D7926" s="66"/>
      <c r="E7926" s="66"/>
      <c r="F7926" s="66"/>
    </row>
    <row r="7927" spans="4:6" x14ac:dyDescent="0.35">
      <c r="D7927" s="66"/>
      <c r="E7927" s="66"/>
      <c r="F7927" s="66"/>
    </row>
    <row r="7928" spans="4:6" x14ac:dyDescent="0.35">
      <c r="D7928" s="66"/>
      <c r="E7928" s="66"/>
      <c r="F7928" s="66"/>
    </row>
    <row r="7929" spans="4:6" x14ac:dyDescent="0.35">
      <c r="D7929" s="66"/>
      <c r="E7929" s="66"/>
      <c r="F7929" s="66"/>
    </row>
    <row r="7930" spans="4:6" x14ac:dyDescent="0.35">
      <c r="D7930" s="66"/>
      <c r="E7930" s="66"/>
      <c r="F7930" s="66"/>
    </row>
    <row r="7931" spans="4:6" x14ac:dyDescent="0.35">
      <c r="D7931" s="66"/>
      <c r="E7931" s="66"/>
      <c r="F7931" s="66"/>
    </row>
    <row r="7932" spans="4:6" x14ac:dyDescent="0.35">
      <c r="D7932" s="66"/>
      <c r="E7932" s="66"/>
      <c r="F7932" s="66"/>
    </row>
    <row r="7933" spans="4:6" x14ac:dyDescent="0.35">
      <c r="D7933" s="66"/>
      <c r="E7933" s="66"/>
      <c r="F7933" s="66"/>
    </row>
    <row r="7934" spans="4:6" x14ac:dyDescent="0.35">
      <c r="D7934" s="66"/>
      <c r="E7934" s="66"/>
      <c r="F7934" s="66"/>
    </row>
    <row r="7935" spans="4:6" x14ac:dyDescent="0.35">
      <c r="D7935" s="66"/>
      <c r="E7935" s="66"/>
      <c r="F7935" s="66"/>
    </row>
    <row r="7936" spans="4:6" x14ac:dyDescent="0.35">
      <c r="D7936" s="66"/>
      <c r="E7936" s="66"/>
      <c r="F7936" s="66"/>
    </row>
    <row r="7937" spans="4:6" x14ac:dyDescent="0.35">
      <c r="D7937" s="66"/>
      <c r="E7937" s="66"/>
      <c r="F7937" s="66"/>
    </row>
    <row r="7938" spans="4:6" x14ac:dyDescent="0.35">
      <c r="D7938" s="66"/>
      <c r="E7938" s="66"/>
      <c r="F7938" s="66"/>
    </row>
    <row r="7939" spans="4:6" x14ac:dyDescent="0.35">
      <c r="D7939" s="66"/>
      <c r="E7939" s="66"/>
      <c r="F7939" s="66"/>
    </row>
    <row r="7940" spans="4:6" x14ac:dyDescent="0.35">
      <c r="D7940" s="66"/>
      <c r="E7940" s="66"/>
      <c r="F7940" s="66"/>
    </row>
    <row r="7941" spans="4:6" x14ac:dyDescent="0.35">
      <c r="D7941" s="66"/>
      <c r="E7941" s="66"/>
      <c r="F7941" s="66"/>
    </row>
    <row r="7942" spans="4:6" x14ac:dyDescent="0.35">
      <c r="D7942" s="66"/>
      <c r="E7942" s="66"/>
      <c r="F7942" s="66"/>
    </row>
    <row r="7943" spans="4:6" x14ac:dyDescent="0.35">
      <c r="D7943" s="66"/>
      <c r="E7943" s="66"/>
      <c r="F7943" s="66"/>
    </row>
    <row r="7944" spans="4:6" x14ac:dyDescent="0.35">
      <c r="D7944" s="66"/>
      <c r="E7944" s="66"/>
      <c r="F7944" s="66"/>
    </row>
    <row r="7945" spans="4:6" x14ac:dyDescent="0.35">
      <c r="D7945" s="66"/>
      <c r="E7945" s="66"/>
      <c r="F7945" s="66"/>
    </row>
    <row r="7946" spans="4:6" x14ac:dyDescent="0.35">
      <c r="D7946" s="66"/>
      <c r="E7946" s="66"/>
      <c r="F7946" s="66"/>
    </row>
    <row r="7947" spans="4:6" x14ac:dyDescent="0.35">
      <c r="D7947" s="66"/>
      <c r="E7947" s="66"/>
      <c r="F7947" s="66"/>
    </row>
    <row r="7948" spans="4:6" x14ac:dyDescent="0.35">
      <c r="D7948" s="66"/>
      <c r="E7948" s="66"/>
      <c r="F7948" s="66"/>
    </row>
    <row r="7949" spans="4:6" x14ac:dyDescent="0.35">
      <c r="D7949" s="66"/>
      <c r="E7949" s="66"/>
      <c r="F7949" s="66"/>
    </row>
    <row r="7950" spans="4:6" x14ac:dyDescent="0.35">
      <c r="D7950" s="66"/>
      <c r="E7950" s="66"/>
      <c r="F7950" s="66"/>
    </row>
    <row r="7951" spans="4:6" x14ac:dyDescent="0.35">
      <c r="D7951" s="66"/>
      <c r="E7951" s="66"/>
      <c r="F7951" s="66"/>
    </row>
    <row r="7952" spans="4:6" x14ac:dyDescent="0.35">
      <c r="D7952" s="66"/>
      <c r="E7952" s="66"/>
      <c r="F7952" s="66"/>
    </row>
    <row r="7953" spans="4:6" x14ac:dyDescent="0.35">
      <c r="D7953" s="66"/>
      <c r="E7953" s="66"/>
      <c r="F7953" s="66"/>
    </row>
    <row r="7954" spans="4:6" x14ac:dyDescent="0.35">
      <c r="D7954" s="66"/>
      <c r="E7954" s="66"/>
      <c r="F7954" s="66"/>
    </row>
    <row r="7955" spans="4:6" x14ac:dyDescent="0.35">
      <c r="D7955" s="66"/>
      <c r="E7955" s="66"/>
      <c r="F7955" s="66"/>
    </row>
    <row r="7956" spans="4:6" x14ac:dyDescent="0.35">
      <c r="D7956" s="66"/>
      <c r="E7956" s="66"/>
      <c r="F7956" s="66"/>
    </row>
    <row r="7957" spans="4:6" x14ac:dyDescent="0.35">
      <c r="D7957" s="66"/>
      <c r="E7957" s="66"/>
      <c r="F7957" s="66"/>
    </row>
    <row r="7958" spans="4:6" x14ac:dyDescent="0.35">
      <c r="D7958" s="66"/>
      <c r="E7958" s="66"/>
      <c r="F7958" s="66"/>
    </row>
    <row r="7959" spans="4:6" x14ac:dyDescent="0.35">
      <c r="D7959" s="66"/>
      <c r="E7959" s="66"/>
      <c r="F7959" s="66"/>
    </row>
    <row r="7960" spans="4:6" x14ac:dyDescent="0.35">
      <c r="D7960" s="66"/>
      <c r="E7960" s="66"/>
      <c r="F7960" s="66"/>
    </row>
    <row r="7961" spans="4:6" x14ac:dyDescent="0.35">
      <c r="D7961" s="66"/>
      <c r="E7961" s="66"/>
      <c r="F7961" s="66"/>
    </row>
    <row r="7962" spans="4:6" x14ac:dyDescent="0.35">
      <c r="D7962" s="66"/>
      <c r="E7962" s="66"/>
      <c r="F7962" s="66"/>
    </row>
    <row r="7963" spans="4:6" x14ac:dyDescent="0.35">
      <c r="D7963" s="66"/>
      <c r="E7963" s="66"/>
      <c r="F7963" s="66"/>
    </row>
    <row r="7964" spans="4:6" x14ac:dyDescent="0.35">
      <c r="D7964" s="66"/>
      <c r="E7964" s="66"/>
      <c r="F7964" s="66"/>
    </row>
    <row r="7965" spans="4:6" x14ac:dyDescent="0.35">
      <c r="D7965" s="66"/>
      <c r="E7965" s="66"/>
      <c r="F7965" s="66"/>
    </row>
    <row r="7966" spans="4:6" x14ac:dyDescent="0.35">
      <c r="D7966" s="66"/>
      <c r="E7966" s="66"/>
      <c r="F7966" s="66"/>
    </row>
    <row r="7967" spans="4:6" x14ac:dyDescent="0.35">
      <c r="D7967" s="66"/>
      <c r="E7967" s="66"/>
      <c r="F7967" s="66"/>
    </row>
    <row r="7968" spans="4:6" x14ac:dyDescent="0.35">
      <c r="D7968" s="66"/>
      <c r="E7968" s="66"/>
      <c r="F7968" s="66"/>
    </row>
    <row r="7969" spans="4:6" x14ac:dyDescent="0.35">
      <c r="D7969" s="66"/>
      <c r="E7969" s="66"/>
      <c r="F7969" s="66"/>
    </row>
    <row r="7970" spans="4:6" x14ac:dyDescent="0.35">
      <c r="D7970" s="66"/>
      <c r="E7970" s="66"/>
      <c r="F7970" s="66"/>
    </row>
    <row r="7971" spans="4:6" x14ac:dyDescent="0.35">
      <c r="D7971" s="66"/>
      <c r="E7971" s="66"/>
      <c r="F7971" s="66"/>
    </row>
    <row r="7972" spans="4:6" x14ac:dyDescent="0.35">
      <c r="D7972" s="66"/>
      <c r="E7972" s="66"/>
      <c r="F7972" s="66"/>
    </row>
    <row r="7973" spans="4:6" x14ac:dyDescent="0.35">
      <c r="D7973" s="66"/>
      <c r="E7973" s="66"/>
      <c r="F7973" s="66"/>
    </row>
    <row r="7974" spans="4:6" x14ac:dyDescent="0.35">
      <c r="D7974" s="66"/>
      <c r="E7974" s="66"/>
      <c r="F7974" s="66"/>
    </row>
    <row r="7975" spans="4:6" x14ac:dyDescent="0.35">
      <c r="D7975" s="66"/>
      <c r="E7975" s="66"/>
      <c r="F7975" s="66"/>
    </row>
    <row r="7976" spans="4:6" x14ac:dyDescent="0.35">
      <c r="D7976" s="66"/>
      <c r="E7976" s="66"/>
      <c r="F7976" s="66"/>
    </row>
    <row r="7977" spans="4:6" x14ac:dyDescent="0.35">
      <c r="D7977" s="66"/>
      <c r="E7977" s="66"/>
      <c r="F7977" s="66"/>
    </row>
    <row r="7978" spans="4:6" x14ac:dyDescent="0.35">
      <c r="D7978" s="66"/>
      <c r="E7978" s="66"/>
      <c r="F7978" s="66"/>
    </row>
    <row r="7979" spans="4:6" x14ac:dyDescent="0.35">
      <c r="D7979" s="66"/>
      <c r="E7979" s="66"/>
      <c r="F7979" s="66"/>
    </row>
    <row r="7980" spans="4:6" x14ac:dyDescent="0.35">
      <c r="D7980" s="66"/>
      <c r="E7980" s="66"/>
      <c r="F7980" s="66"/>
    </row>
    <row r="7981" spans="4:6" x14ac:dyDescent="0.35">
      <c r="D7981" s="66"/>
      <c r="E7981" s="66"/>
      <c r="F7981" s="66"/>
    </row>
    <row r="7982" spans="4:6" x14ac:dyDescent="0.35">
      <c r="D7982" s="66"/>
      <c r="E7982" s="66"/>
      <c r="F7982" s="66"/>
    </row>
    <row r="7983" spans="4:6" x14ac:dyDescent="0.35">
      <c r="D7983" s="66"/>
      <c r="E7983" s="66"/>
      <c r="F7983" s="66"/>
    </row>
    <row r="7984" spans="4:6" x14ac:dyDescent="0.35">
      <c r="D7984" s="66"/>
      <c r="E7984" s="66"/>
      <c r="F7984" s="66"/>
    </row>
    <row r="7985" spans="4:6" x14ac:dyDescent="0.35">
      <c r="D7985" s="66"/>
      <c r="E7985" s="66"/>
      <c r="F7985" s="66"/>
    </row>
    <row r="7986" spans="4:6" x14ac:dyDescent="0.35">
      <c r="D7986" s="66"/>
      <c r="E7986" s="66"/>
      <c r="F7986" s="66"/>
    </row>
    <row r="7987" spans="4:6" x14ac:dyDescent="0.35">
      <c r="D7987" s="66"/>
      <c r="E7987" s="66"/>
      <c r="F7987" s="66"/>
    </row>
    <row r="7988" spans="4:6" x14ac:dyDescent="0.35">
      <c r="D7988" s="66"/>
      <c r="E7988" s="66"/>
      <c r="F7988" s="66"/>
    </row>
    <row r="7989" spans="4:6" x14ac:dyDescent="0.35">
      <c r="D7989" s="66"/>
      <c r="E7989" s="66"/>
      <c r="F7989" s="66"/>
    </row>
    <row r="7990" spans="4:6" x14ac:dyDescent="0.35">
      <c r="D7990" s="66"/>
      <c r="E7990" s="66"/>
      <c r="F7990" s="66"/>
    </row>
    <row r="7991" spans="4:6" x14ac:dyDescent="0.35">
      <c r="D7991" s="66"/>
      <c r="E7991" s="66"/>
      <c r="F7991" s="66"/>
    </row>
    <row r="7992" spans="4:6" x14ac:dyDescent="0.35">
      <c r="D7992" s="66"/>
      <c r="E7992" s="66"/>
      <c r="F7992" s="66"/>
    </row>
    <row r="7993" spans="4:6" x14ac:dyDescent="0.35">
      <c r="D7993" s="66"/>
      <c r="E7993" s="66"/>
      <c r="F7993" s="66"/>
    </row>
    <row r="7994" spans="4:6" x14ac:dyDescent="0.35">
      <c r="D7994" s="66"/>
      <c r="E7994" s="66"/>
      <c r="F7994" s="66"/>
    </row>
    <row r="7995" spans="4:6" x14ac:dyDescent="0.35">
      <c r="D7995" s="66"/>
      <c r="E7995" s="66"/>
      <c r="F7995" s="66"/>
    </row>
    <row r="7996" spans="4:6" x14ac:dyDescent="0.35">
      <c r="D7996" s="66"/>
      <c r="E7996" s="66"/>
      <c r="F7996" s="66"/>
    </row>
    <row r="7997" spans="4:6" x14ac:dyDescent="0.35">
      <c r="D7997" s="66"/>
      <c r="E7997" s="66"/>
      <c r="F7997" s="66"/>
    </row>
    <row r="7998" spans="4:6" x14ac:dyDescent="0.35">
      <c r="D7998" s="66"/>
      <c r="E7998" s="66"/>
      <c r="F7998" s="66"/>
    </row>
    <row r="7999" spans="4:6" x14ac:dyDescent="0.35">
      <c r="D7999" s="66"/>
      <c r="E7999" s="66"/>
      <c r="F7999" s="66"/>
    </row>
    <row r="8000" spans="4:6" x14ac:dyDescent="0.35">
      <c r="D8000" s="66"/>
      <c r="E8000" s="66"/>
      <c r="F8000" s="66"/>
    </row>
    <row r="8001" spans="4:6" x14ac:dyDescent="0.35">
      <c r="D8001" s="66"/>
      <c r="E8001" s="66"/>
      <c r="F8001" s="66"/>
    </row>
    <row r="8002" spans="4:6" x14ac:dyDescent="0.35">
      <c r="D8002" s="66"/>
      <c r="E8002" s="66"/>
      <c r="F8002" s="66"/>
    </row>
    <row r="8003" spans="4:6" x14ac:dyDescent="0.35">
      <c r="D8003" s="66"/>
      <c r="E8003" s="66"/>
      <c r="F8003" s="66"/>
    </row>
    <row r="8004" spans="4:6" x14ac:dyDescent="0.35">
      <c r="D8004" s="66"/>
      <c r="E8004" s="66"/>
      <c r="F8004" s="66"/>
    </row>
    <row r="8005" spans="4:6" x14ac:dyDescent="0.35">
      <c r="D8005" s="66"/>
      <c r="E8005" s="66"/>
      <c r="F8005" s="66"/>
    </row>
    <row r="8006" spans="4:6" x14ac:dyDescent="0.35">
      <c r="D8006" s="66"/>
      <c r="E8006" s="66"/>
      <c r="F8006" s="66"/>
    </row>
    <row r="8007" spans="4:6" x14ac:dyDescent="0.35">
      <c r="D8007" s="66"/>
      <c r="E8007" s="66"/>
      <c r="F8007" s="66"/>
    </row>
    <row r="8008" spans="4:6" x14ac:dyDescent="0.35">
      <c r="D8008" s="66"/>
      <c r="E8008" s="66"/>
      <c r="F8008" s="66"/>
    </row>
    <row r="8009" spans="4:6" x14ac:dyDescent="0.35">
      <c r="D8009" s="66"/>
      <c r="E8009" s="66"/>
      <c r="F8009" s="66"/>
    </row>
    <row r="8010" spans="4:6" x14ac:dyDescent="0.35">
      <c r="D8010" s="66"/>
      <c r="E8010" s="66"/>
      <c r="F8010" s="66"/>
    </row>
    <row r="8011" spans="4:6" x14ac:dyDescent="0.35">
      <c r="D8011" s="66"/>
      <c r="E8011" s="66"/>
      <c r="F8011" s="66"/>
    </row>
    <row r="8012" spans="4:6" x14ac:dyDescent="0.35">
      <c r="D8012" s="66"/>
      <c r="E8012" s="66"/>
      <c r="F8012" s="66"/>
    </row>
    <row r="8013" spans="4:6" x14ac:dyDescent="0.35">
      <c r="D8013" s="66"/>
      <c r="E8013" s="66"/>
      <c r="F8013" s="66"/>
    </row>
    <row r="8014" spans="4:6" x14ac:dyDescent="0.35">
      <c r="D8014" s="66"/>
      <c r="E8014" s="66"/>
      <c r="F8014" s="66"/>
    </row>
    <row r="8015" spans="4:6" x14ac:dyDescent="0.35">
      <c r="D8015" s="66"/>
      <c r="E8015" s="66"/>
      <c r="F8015" s="66"/>
    </row>
    <row r="8016" spans="4:6" x14ac:dyDescent="0.35">
      <c r="D8016" s="66"/>
      <c r="E8016" s="66"/>
      <c r="F8016" s="66"/>
    </row>
    <row r="8017" spans="4:6" x14ac:dyDescent="0.35">
      <c r="D8017" s="66"/>
      <c r="E8017" s="66"/>
      <c r="F8017" s="66"/>
    </row>
    <row r="8018" spans="4:6" x14ac:dyDescent="0.35">
      <c r="D8018" s="66"/>
      <c r="E8018" s="66"/>
      <c r="F8018" s="66"/>
    </row>
    <row r="8019" spans="4:6" x14ac:dyDescent="0.35">
      <c r="D8019" s="66"/>
      <c r="E8019" s="66"/>
      <c r="F8019" s="66"/>
    </row>
    <row r="8020" spans="4:6" x14ac:dyDescent="0.35">
      <c r="D8020" s="66"/>
      <c r="E8020" s="66"/>
      <c r="F8020" s="66"/>
    </row>
    <row r="8021" spans="4:6" x14ac:dyDescent="0.35">
      <c r="D8021" s="66"/>
      <c r="E8021" s="66"/>
      <c r="F8021" s="66"/>
    </row>
    <row r="8022" spans="4:6" x14ac:dyDescent="0.35">
      <c r="D8022" s="66"/>
      <c r="E8022" s="66"/>
      <c r="F8022" s="66"/>
    </row>
    <row r="8023" spans="4:6" x14ac:dyDescent="0.35">
      <c r="D8023" s="66"/>
      <c r="E8023" s="66"/>
      <c r="F8023" s="66"/>
    </row>
    <row r="8024" spans="4:6" x14ac:dyDescent="0.35">
      <c r="D8024" s="66"/>
      <c r="E8024" s="66"/>
      <c r="F8024" s="66"/>
    </row>
    <row r="8025" spans="4:6" x14ac:dyDescent="0.35">
      <c r="D8025" s="66"/>
      <c r="E8025" s="66"/>
      <c r="F8025" s="66"/>
    </row>
    <row r="8026" spans="4:6" x14ac:dyDescent="0.35">
      <c r="D8026" s="66"/>
      <c r="E8026" s="66"/>
      <c r="F8026" s="66"/>
    </row>
    <row r="8027" spans="4:6" x14ac:dyDescent="0.35">
      <c r="D8027" s="66"/>
      <c r="E8027" s="66"/>
      <c r="F8027" s="66"/>
    </row>
    <row r="8028" spans="4:6" x14ac:dyDescent="0.35">
      <c r="D8028" s="66"/>
      <c r="E8028" s="66"/>
      <c r="F8028" s="66"/>
    </row>
    <row r="8029" spans="4:6" x14ac:dyDescent="0.35">
      <c r="D8029" s="66"/>
      <c r="E8029" s="66"/>
      <c r="F8029" s="66"/>
    </row>
    <row r="8030" spans="4:6" x14ac:dyDescent="0.35">
      <c r="D8030" s="66"/>
      <c r="E8030" s="66"/>
      <c r="F8030" s="66"/>
    </row>
    <row r="8031" spans="4:6" x14ac:dyDescent="0.35">
      <c r="D8031" s="66"/>
      <c r="E8031" s="66"/>
      <c r="F8031" s="66"/>
    </row>
    <row r="8032" spans="4:6" x14ac:dyDescent="0.35">
      <c r="D8032" s="66"/>
      <c r="E8032" s="66"/>
      <c r="F8032" s="66"/>
    </row>
    <row r="8033" spans="4:6" x14ac:dyDescent="0.35">
      <c r="D8033" s="66"/>
      <c r="E8033" s="66"/>
      <c r="F8033" s="66"/>
    </row>
    <row r="8034" spans="4:6" x14ac:dyDescent="0.35">
      <c r="D8034" s="66"/>
      <c r="E8034" s="66"/>
      <c r="F8034" s="66"/>
    </row>
    <row r="8035" spans="4:6" x14ac:dyDescent="0.35">
      <c r="D8035" s="66"/>
      <c r="E8035" s="66"/>
      <c r="F8035" s="66"/>
    </row>
    <row r="8036" spans="4:6" x14ac:dyDescent="0.35">
      <c r="D8036" s="66"/>
      <c r="E8036" s="66"/>
      <c r="F8036" s="66"/>
    </row>
    <row r="8037" spans="4:6" x14ac:dyDescent="0.35">
      <c r="D8037" s="66"/>
      <c r="E8037" s="66"/>
      <c r="F8037" s="66"/>
    </row>
    <row r="8038" spans="4:6" x14ac:dyDescent="0.35">
      <c r="D8038" s="66"/>
      <c r="E8038" s="66"/>
      <c r="F8038" s="66"/>
    </row>
    <row r="8039" spans="4:6" x14ac:dyDescent="0.35">
      <c r="D8039" s="66"/>
      <c r="E8039" s="66"/>
      <c r="F8039" s="66"/>
    </row>
    <row r="8040" spans="4:6" x14ac:dyDescent="0.35">
      <c r="D8040" s="66"/>
      <c r="E8040" s="66"/>
      <c r="F8040" s="66"/>
    </row>
    <row r="8041" spans="4:6" x14ac:dyDescent="0.35">
      <c r="D8041" s="66"/>
      <c r="E8041" s="66"/>
      <c r="F8041" s="66"/>
    </row>
    <row r="8042" spans="4:6" x14ac:dyDescent="0.35">
      <c r="D8042" s="66"/>
      <c r="E8042" s="66"/>
      <c r="F8042" s="66"/>
    </row>
    <row r="8043" spans="4:6" x14ac:dyDescent="0.35">
      <c r="D8043" s="66"/>
      <c r="E8043" s="66"/>
      <c r="F8043" s="66"/>
    </row>
    <row r="8044" spans="4:6" x14ac:dyDescent="0.35">
      <c r="D8044" s="66"/>
      <c r="E8044" s="66"/>
      <c r="F8044" s="66"/>
    </row>
    <row r="8045" spans="4:6" x14ac:dyDescent="0.35">
      <c r="D8045" s="66"/>
      <c r="E8045" s="66"/>
      <c r="F8045" s="66"/>
    </row>
    <row r="8046" spans="4:6" x14ac:dyDescent="0.35">
      <c r="D8046" s="66"/>
      <c r="E8046" s="66"/>
      <c r="F8046" s="66"/>
    </row>
    <row r="8047" spans="4:6" x14ac:dyDescent="0.35">
      <c r="D8047" s="66"/>
      <c r="E8047" s="66"/>
      <c r="F8047" s="66"/>
    </row>
    <row r="8048" spans="4:6" x14ac:dyDescent="0.35">
      <c r="D8048" s="66"/>
      <c r="E8048" s="66"/>
      <c r="F8048" s="66"/>
    </row>
    <row r="8049" spans="4:6" x14ac:dyDescent="0.35">
      <c r="D8049" s="66"/>
      <c r="E8049" s="66"/>
      <c r="F8049" s="66"/>
    </row>
    <row r="8050" spans="4:6" x14ac:dyDescent="0.35">
      <c r="D8050" s="66"/>
      <c r="E8050" s="66"/>
      <c r="F8050" s="66"/>
    </row>
    <row r="8051" spans="4:6" x14ac:dyDescent="0.35">
      <c r="D8051" s="66"/>
      <c r="E8051" s="66"/>
      <c r="F8051" s="66"/>
    </row>
    <row r="8052" spans="4:6" x14ac:dyDescent="0.35">
      <c r="D8052" s="66"/>
      <c r="E8052" s="66"/>
      <c r="F8052" s="66"/>
    </row>
    <row r="8053" spans="4:6" x14ac:dyDescent="0.35">
      <c r="D8053" s="66"/>
      <c r="E8053" s="66"/>
      <c r="F8053" s="66"/>
    </row>
    <row r="8054" spans="4:6" x14ac:dyDescent="0.35">
      <c r="D8054" s="66"/>
      <c r="E8054" s="66"/>
      <c r="F8054" s="66"/>
    </row>
    <row r="8055" spans="4:6" x14ac:dyDescent="0.35">
      <c r="D8055" s="66"/>
      <c r="E8055" s="66"/>
      <c r="F8055" s="66"/>
    </row>
    <row r="8056" spans="4:6" x14ac:dyDescent="0.35">
      <c r="D8056" s="66"/>
      <c r="E8056" s="66"/>
      <c r="F8056" s="66"/>
    </row>
    <row r="8057" spans="4:6" x14ac:dyDescent="0.35">
      <c r="D8057" s="66"/>
      <c r="E8057" s="66"/>
      <c r="F8057" s="66"/>
    </row>
    <row r="8058" spans="4:6" x14ac:dyDescent="0.35">
      <c r="D8058" s="66"/>
      <c r="E8058" s="66"/>
      <c r="F8058" s="66"/>
    </row>
    <row r="8059" spans="4:6" x14ac:dyDescent="0.35">
      <c r="D8059" s="66"/>
      <c r="E8059" s="66"/>
      <c r="F8059" s="66"/>
    </row>
    <row r="8060" spans="4:6" x14ac:dyDescent="0.35">
      <c r="D8060" s="66"/>
      <c r="E8060" s="66"/>
      <c r="F8060" s="66"/>
    </row>
    <row r="8061" spans="4:6" x14ac:dyDescent="0.35">
      <c r="D8061" s="66"/>
      <c r="E8061" s="66"/>
      <c r="F8061" s="66"/>
    </row>
    <row r="8062" spans="4:6" x14ac:dyDescent="0.35">
      <c r="D8062" s="66"/>
      <c r="E8062" s="66"/>
      <c r="F8062" s="66"/>
    </row>
    <row r="8063" spans="4:6" x14ac:dyDescent="0.35">
      <c r="D8063" s="66"/>
      <c r="E8063" s="66"/>
      <c r="F8063" s="66"/>
    </row>
    <row r="8064" spans="4:6" x14ac:dyDescent="0.35">
      <c r="D8064" s="66"/>
      <c r="E8064" s="66"/>
      <c r="F8064" s="66"/>
    </row>
    <row r="8065" spans="4:6" x14ac:dyDescent="0.35">
      <c r="D8065" s="66"/>
      <c r="E8065" s="66"/>
      <c r="F8065" s="66"/>
    </row>
    <row r="8066" spans="4:6" x14ac:dyDescent="0.35">
      <c r="D8066" s="66"/>
      <c r="E8066" s="66"/>
      <c r="F8066" s="66"/>
    </row>
    <row r="8067" spans="4:6" x14ac:dyDescent="0.35">
      <c r="D8067" s="66"/>
      <c r="E8067" s="66"/>
      <c r="F8067" s="66"/>
    </row>
    <row r="8068" spans="4:6" x14ac:dyDescent="0.35">
      <c r="D8068" s="66"/>
      <c r="E8068" s="66"/>
      <c r="F8068" s="66"/>
    </row>
    <row r="8069" spans="4:6" x14ac:dyDescent="0.35">
      <c r="D8069" s="66"/>
      <c r="E8069" s="66"/>
      <c r="F8069" s="66"/>
    </row>
    <row r="8070" spans="4:6" x14ac:dyDescent="0.35">
      <c r="D8070" s="66"/>
      <c r="E8070" s="66"/>
      <c r="F8070" s="66"/>
    </row>
    <row r="8071" spans="4:6" x14ac:dyDescent="0.35">
      <c r="D8071" s="66"/>
      <c r="E8071" s="66"/>
      <c r="F8071" s="66"/>
    </row>
    <row r="8072" spans="4:6" x14ac:dyDescent="0.35">
      <c r="D8072" s="66"/>
      <c r="E8072" s="66"/>
      <c r="F8072" s="66"/>
    </row>
    <row r="8073" spans="4:6" x14ac:dyDescent="0.35">
      <c r="D8073" s="66"/>
      <c r="E8073" s="66"/>
      <c r="F8073" s="66"/>
    </row>
    <row r="8074" spans="4:6" x14ac:dyDescent="0.35">
      <c r="D8074" s="66"/>
      <c r="E8074" s="66"/>
      <c r="F8074" s="66"/>
    </row>
    <row r="8075" spans="4:6" x14ac:dyDescent="0.35">
      <c r="D8075" s="66"/>
      <c r="E8075" s="66"/>
      <c r="F8075" s="66"/>
    </row>
    <row r="8076" spans="4:6" x14ac:dyDescent="0.35">
      <c r="D8076" s="66"/>
      <c r="E8076" s="66"/>
      <c r="F8076" s="66"/>
    </row>
    <row r="8077" spans="4:6" x14ac:dyDescent="0.35">
      <c r="D8077" s="66"/>
      <c r="E8077" s="66"/>
      <c r="F8077" s="66"/>
    </row>
    <row r="8078" spans="4:6" x14ac:dyDescent="0.35">
      <c r="D8078" s="66"/>
      <c r="E8078" s="66"/>
      <c r="F8078" s="66"/>
    </row>
    <row r="8079" spans="4:6" x14ac:dyDescent="0.35">
      <c r="D8079" s="66"/>
      <c r="E8079" s="66"/>
      <c r="F8079" s="66"/>
    </row>
    <row r="8080" spans="4:6" x14ac:dyDescent="0.35">
      <c r="D8080" s="66"/>
      <c r="E8080" s="66"/>
      <c r="F8080" s="66"/>
    </row>
    <row r="8081" spans="4:6" x14ac:dyDescent="0.35">
      <c r="D8081" s="66"/>
      <c r="E8081" s="66"/>
      <c r="F8081" s="66"/>
    </row>
    <row r="8082" spans="4:6" x14ac:dyDescent="0.35">
      <c r="D8082" s="66"/>
      <c r="E8082" s="66"/>
      <c r="F8082" s="66"/>
    </row>
    <row r="8083" spans="4:6" x14ac:dyDescent="0.35">
      <c r="D8083" s="66"/>
      <c r="E8083" s="66"/>
      <c r="F8083" s="66"/>
    </row>
    <row r="8084" spans="4:6" x14ac:dyDescent="0.35">
      <c r="D8084" s="66"/>
      <c r="E8084" s="66"/>
      <c r="F8084" s="66"/>
    </row>
    <row r="8085" spans="4:6" x14ac:dyDescent="0.35">
      <c r="D8085" s="66"/>
      <c r="E8085" s="66"/>
      <c r="F8085" s="66"/>
    </row>
    <row r="8086" spans="4:6" x14ac:dyDescent="0.35">
      <c r="D8086" s="66"/>
      <c r="E8086" s="66"/>
      <c r="F8086" s="66"/>
    </row>
    <row r="8087" spans="4:6" x14ac:dyDescent="0.35">
      <c r="D8087" s="66"/>
      <c r="E8087" s="66"/>
      <c r="F8087" s="66"/>
    </row>
    <row r="8088" spans="4:6" x14ac:dyDescent="0.35">
      <c r="D8088" s="66"/>
      <c r="E8088" s="66"/>
      <c r="F8088" s="66"/>
    </row>
    <row r="8089" spans="4:6" x14ac:dyDescent="0.35">
      <c r="D8089" s="66"/>
      <c r="E8089" s="66"/>
      <c r="F8089" s="66"/>
    </row>
    <row r="8090" spans="4:6" x14ac:dyDescent="0.35">
      <c r="D8090" s="66"/>
      <c r="E8090" s="66"/>
      <c r="F8090" s="66"/>
    </row>
    <row r="8091" spans="4:6" x14ac:dyDescent="0.35">
      <c r="D8091" s="66"/>
      <c r="E8091" s="66"/>
      <c r="F8091" s="66"/>
    </row>
    <row r="8092" spans="4:6" x14ac:dyDescent="0.35">
      <c r="D8092" s="66"/>
      <c r="E8092" s="66"/>
      <c r="F8092" s="66"/>
    </row>
    <row r="8093" spans="4:6" x14ac:dyDescent="0.35">
      <c r="D8093" s="66"/>
      <c r="E8093" s="66"/>
      <c r="F8093" s="66"/>
    </row>
    <row r="8094" spans="4:6" x14ac:dyDescent="0.35">
      <c r="D8094" s="66"/>
      <c r="E8094" s="66"/>
      <c r="F8094" s="66"/>
    </row>
    <row r="8095" spans="4:6" x14ac:dyDescent="0.35">
      <c r="D8095" s="66"/>
      <c r="E8095" s="66"/>
      <c r="F8095" s="66"/>
    </row>
    <row r="8096" spans="4:6" x14ac:dyDescent="0.35">
      <c r="D8096" s="66"/>
      <c r="E8096" s="66"/>
      <c r="F8096" s="66"/>
    </row>
    <row r="8097" spans="4:6" x14ac:dyDescent="0.35">
      <c r="D8097" s="66"/>
      <c r="E8097" s="66"/>
      <c r="F8097" s="66"/>
    </row>
    <row r="8098" spans="4:6" x14ac:dyDescent="0.35">
      <c r="D8098" s="66"/>
      <c r="E8098" s="66"/>
      <c r="F8098" s="66"/>
    </row>
    <row r="8099" spans="4:6" x14ac:dyDescent="0.35">
      <c r="D8099" s="66"/>
      <c r="E8099" s="66"/>
      <c r="F8099" s="66"/>
    </row>
    <row r="8100" spans="4:6" x14ac:dyDescent="0.35">
      <c r="D8100" s="66"/>
      <c r="E8100" s="66"/>
      <c r="F8100" s="66"/>
    </row>
    <row r="8101" spans="4:6" x14ac:dyDescent="0.35">
      <c r="D8101" s="66"/>
      <c r="E8101" s="66"/>
      <c r="F8101" s="66"/>
    </row>
    <row r="8102" spans="4:6" x14ac:dyDescent="0.35">
      <c r="D8102" s="66"/>
      <c r="E8102" s="66"/>
      <c r="F8102" s="66"/>
    </row>
    <row r="8103" spans="4:6" x14ac:dyDescent="0.35">
      <c r="D8103" s="66"/>
      <c r="E8103" s="66"/>
      <c r="F8103" s="66"/>
    </row>
    <row r="8104" spans="4:6" x14ac:dyDescent="0.35">
      <c r="D8104" s="66"/>
      <c r="E8104" s="66"/>
      <c r="F8104" s="66"/>
    </row>
    <row r="8105" spans="4:6" x14ac:dyDescent="0.35">
      <c r="D8105" s="66"/>
      <c r="E8105" s="66"/>
      <c r="F8105" s="66"/>
    </row>
    <row r="8106" spans="4:6" x14ac:dyDescent="0.35">
      <c r="D8106" s="66"/>
      <c r="E8106" s="66"/>
      <c r="F8106" s="66"/>
    </row>
    <row r="8107" spans="4:6" x14ac:dyDescent="0.35">
      <c r="D8107" s="66"/>
      <c r="E8107" s="66"/>
      <c r="F8107" s="66"/>
    </row>
    <row r="8108" spans="4:6" x14ac:dyDescent="0.35">
      <c r="D8108" s="66"/>
      <c r="E8108" s="66"/>
      <c r="F8108" s="66"/>
    </row>
    <row r="8109" spans="4:6" x14ac:dyDescent="0.35">
      <c r="D8109" s="66"/>
      <c r="E8109" s="66"/>
      <c r="F8109" s="66"/>
    </row>
    <row r="8110" spans="4:6" x14ac:dyDescent="0.35">
      <c r="D8110" s="66"/>
      <c r="E8110" s="66"/>
      <c r="F8110" s="66"/>
    </row>
    <row r="8111" spans="4:6" x14ac:dyDescent="0.35">
      <c r="D8111" s="66"/>
      <c r="E8111" s="66"/>
      <c r="F8111" s="66"/>
    </row>
    <row r="8112" spans="4:6" x14ac:dyDescent="0.35">
      <c r="D8112" s="66"/>
      <c r="E8112" s="66"/>
      <c r="F8112" s="66"/>
    </row>
    <row r="8113" spans="4:6" x14ac:dyDescent="0.35">
      <c r="D8113" s="66"/>
      <c r="E8113" s="66"/>
      <c r="F8113" s="66"/>
    </row>
    <row r="8114" spans="4:6" x14ac:dyDescent="0.35">
      <c r="D8114" s="66"/>
      <c r="E8114" s="66"/>
      <c r="F8114" s="66"/>
    </row>
    <row r="8115" spans="4:6" x14ac:dyDescent="0.35">
      <c r="D8115" s="66"/>
      <c r="E8115" s="66"/>
      <c r="F8115" s="66"/>
    </row>
    <row r="8116" spans="4:6" x14ac:dyDescent="0.35">
      <c r="D8116" s="66"/>
      <c r="E8116" s="66"/>
      <c r="F8116" s="66"/>
    </row>
    <row r="8117" spans="4:6" x14ac:dyDescent="0.35">
      <c r="D8117" s="66"/>
      <c r="E8117" s="66"/>
      <c r="F8117" s="66"/>
    </row>
    <row r="8118" spans="4:6" x14ac:dyDescent="0.35">
      <c r="D8118" s="66"/>
      <c r="E8118" s="66"/>
      <c r="F8118" s="66"/>
    </row>
    <row r="8119" spans="4:6" x14ac:dyDescent="0.35">
      <c r="D8119" s="66"/>
      <c r="E8119" s="66"/>
      <c r="F8119" s="66"/>
    </row>
    <row r="8120" spans="4:6" x14ac:dyDescent="0.35">
      <c r="D8120" s="66"/>
      <c r="E8120" s="66"/>
      <c r="F8120" s="66"/>
    </row>
    <row r="8121" spans="4:6" x14ac:dyDescent="0.35">
      <c r="D8121" s="66"/>
      <c r="E8121" s="66"/>
      <c r="F8121" s="66"/>
    </row>
    <row r="8122" spans="4:6" x14ac:dyDescent="0.35">
      <c r="D8122" s="66"/>
      <c r="E8122" s="66"/>
      <c r="F8122" s="66"/>
    </row>
    <row r="8123" spans="4:6" x14ac:dyDescent="0.35">
      <c r="D8123" s="66"/>
      <c r="E8123" s="66"/>
      <c r="F8123" s="66"/>
    </row>
    <row r="8124" spans="4:6" x14ac:dyDescent="0.35">
      <c r="D8124" s="66"/>
      <c r="E8124" s="66"/>
      <c r="F8124" s="66"/>
    </row>
    <row r="8125" spans="4:6" x14ac:dyDescent="0.35">
      <c r="D8125" s="66"/>
      <c r="E8125" s="66"/>
      <c r="F8125" s="66"/>
    </row>
    <row r="8126" spans="4:6" x14ac:dyDescent="0.35">
      <c r="D8126" s="66"/>
      <c r="E8126" s="66"/>
      <c r="F8126" s="66"/>
    </row>
    <row r="8127" spans="4:6" x14ac:dyDescent="0.35">
      <c r="D8127" s="66"/>
      <c r="E8127" s="66"/>
      <c r="F8127" s="66"/>
    </row>
    <row r="8128" spans="4:6" x14ac:dyDescent="0.35">
      <c r="D8128" s="66"/>
      <c r="E8128" s="66"/>
      <c r="F8128" s="66"/>
    </row>
    <row r="8129" spans="4:6" x14ac:dyDescent="0.35">
      <c r="D8129" s="66"/>
      <c r="E8129" s="66"/>
      <c r="F8129" s="66"/>
    </row>
    <row r="8130" spans="4:6" x14ac:dyDescent="0.35">
      <c r="D8130" s="66"/>
      <c r="E8130" s="66"/>
      <c r="F8130" s="66"/>
    </row>
    <row r="8131" spans="4:6" x14ac:dyDescent="0.35">
      <c r="D8131" s="66"/>
      <c r="E8131" s="66"/>
      <c r="F8131" s="66"/>
    </row>
    <row r="8132" spans="4:6" x14ac:dyDescent="0.35">
      <c r="D8132" s="66"/>
      <c r="E8132" s="66"/>
      <c r="F8132" s="66"/>
    </row>
    <row r="8133" spans="4:6" x14ac:dyDescent="0.35">
      <c r="D8133" s="66"/>
      <c r="E8133" s="66"/>
      <c r="F8133" s="66"/>
    </row>
    <row r="8134" spans="4:6" x14ac:dyDescent="0.35">
      <c r="D8134" s="66"/>
      <c r="E8134" s="66"/>
      <c r="F8134" s="66"/>
    </row>
    <row r="8135" spans="4:6" x14ac:dyDescent="0.35">
      <c r="D8135" s="66"/>
      <c r="E8135" s="66"/>
      <c r="F8135" s="66"/>
    </row>
    <row r="8136" spans="4:6" x14ac:dyDescent="0.35">
      <c r="D8136" s="66"/>
      <c r="E8136" s="66"/>
      <c r="F8136" s="66"/>
    </row>
    <row r="8137" spans="4:6" x14ac:dyDescent="0.35">
      <c r="D8137" s="66"/>
      <c r="E8137" s="66"/>
      <c r="F8137" s="66"/>
    </row>
    <row r="8138" spans="4:6" x14ac:dyDescent="0.35">
      <c r="D8138" s="66"/>
      <c r="E8138" s="66"/>
      <c r="F8138" s="66"/>
    </row>
    <row r="8139" spans="4:6" x14ac:dyDescent="0.35">
      <c r="D8139" s="66"/>
      <c r="E8139" s="66"/>
      <c r="F8139" s="66"/>
    </row>
    <row r="8140" spans="4:6" x14ac:dyDescent="0.35">
      <c r="D8140" s="66"/>
      <c r="E8140" s="66"/>
      <c r="F8140" s="66"/>
    </row>
    <row r="8141" spans="4:6" x14ac:dyDescent="0.35">
      <c r="D8141" s="66"/>
      <c r="E8141" s="66"/>
      <c r="F8141" s="66"/>
    </row>
    <row r="8142" spans="4:6" x14ac:dyDescent="0.35">
      <c r="D8142" s="66"/>
      <c r="E8142" s="66"/>
      <c r="F8142" s="66"/>
    </row>
    <row r="8143" spans="4:6" x14ac:dyDescent="0.35">
      <c r="D8143" s="66"/>
      <c r="E8143" s="66"/>
      <c r="F8143" s="66"/>
    </row>
    <row r="8144" spans="4:6" x14ac:dyDescent="0.35">
      <c r="D8144" s="66"/>
      <c r="E8144" s="66"/>
      <c r="F8144" s="66"/>
    </row>
    <row r="8145" spans="4:6" x14ac:dyDescent="0.35">
      <c r="D8145" s="66"/>
      <c r="E8145" s="66"/>
      <c r="F8145" s="66"/>
    </row>
    <row r="8146" spans="4:6" x14ac:dyDescent="0.35">
      <c r="D8146" s="66"/>
      <c r="E8146" s="66"/>
      <c r="F8146" s="66"/>
    </row>
    <row r="8147" spans="4:6" x14ac:dyDescent="0.35">
      <c r="D8147" s="66"/>
      <c r="E8147" s="66"/>
      <c r="F8147" s="66"/>
    </row>
    <row r="8148" spans="4:6" x14ac:dyDescent="0.35">
      <c r="D8148" s="66"/>
      <c r="E8148" s="66"/>
      <c r="F8148" s="66"/>
    </row>
    <row r="8149" spans="4:6" x14ac:dyDescent="0.35">
      <c r="D8149" s="66"/>
      <c r="E8149" s="66"/>
      <c r="F8149" s="66"/>
    </row>
    <row r="8150" spans="4:6" x14ac:dyDescent="0.35">
      <c r="D8150" s="66"/>
      <c r="E8150" s="66"/>
      <c r="F8150" s="66"/>
    </row>
    <row r="8151" spans="4:6" x14ac:dyDescent="0.35">
      <c r="D8151" s="66"/>
      <c r="E8151" s="66"/>
      <c r="F8151" s="66"/>
    </row>
    <row r="8152" spans="4:6" x14ac:dyDescent="0.35">
      <c r="D8152" s="66"/>
      <c r="E8152" s="66"/>
      <c r="F8152" s="66"/>
    </row>
    <row r="8153" spans="4:6" x14ac:dyDescent="0.35">
      <c r="D8153" s="66"/>
      <c r="E8153" s="66"/>
      <c r="F8153" s="66"/>
    </row>
    <row r="8154" spans="4:6" x14ac:dyDescent="0.35">
      <c r="D8154" s="66"/>
      <c r="E8154" s="66"/>
      <c r="F8154" s="66"/>
    </row>
    <row r="8155" spans="4:6" x14ac:dyDescent="0.35">
      <c r="D8155" s="66"/>
      <c r="E8155" s="66"/>
      <c r="F8155" s="66"/>
    </row>
    <row r="8156" spans="4:6" x14ac:dyDescent="0.35">
      <c r="D8156" s="66"/>
      <c r="E8156" s="66"/>
      <c r="F8156" s="66"/>
    </row>
    <row r="8157" spans="4:6" x14ac:dyDescent="0.35">
      <c r="D8157" s="66"/>
      <c r="E8157" s="66"/>
      <c r="F8157" s="66"/>
    </row>
    <row r="8158" spans="4:6" x14ac:dyDescent="0.35">
      <c r="D8158" s="66"/>
      <c r="E8158" s="66"/>
      <c r="F8158" s="66"/>
    </row>
    <row r="8159" spans="4:6" x14ac:dyDescent="0.35">
      <c r="D8159" s="66"/>
      <c r="E8159" s="66"/>
      <c r="F8159" s="66"/>
    </row>
    <row r="8160" spans="4:6" x14ac:dyDescent="0.35">
      <c r="D8160" s="66"/>
      <c r="E8160" s="66"/>
      <c r="F8160" s="66"/>
    </row>
    <row r="8161" spans="4:6" x14ac:dyDescent="0.35">
      <c r="D8161" s="66"/>
      <c r="E8161" s="66"/>
      <c r="F8161" s="66"/>
    </row>
    <row r="8162" spans="4:6" x14ac:dyDescent="0.35">
      <c r="D8162" s="66"/>
      <c r="E8162" s="66"/>
      <c r="F8162" s="66"/>
    </row>
    <row r="8163" spans="4:6" x14ac:dyDescent="0.35">
      <c r="D8163" s="66"/>
      <c r="E8163" s="66"/>
      <c r="F8163" s="66"/>
    </row>
    <row r="8164" spans="4:6" x14ac:dyDescent="0.35">
      <c r="D8164" s="66"/>
      <c r="E8164" s="66"/>
      <c r="F8164" s="66"/>
    </row>
    <row r="8165" spans="4:6" x14ac:dyDescent="0.35">
      <c r="D8165" s="66"/>
      <c r="E8165" s="66"/>
      <c r="F8165" s="66"/>
    </row>
    <row r="8166" spans="4:6" x14ac:dyDescent="0.35">
      <c r="D8166" s="66"/>
      <c r="E8166" s="66"/>
      <c r="F8166" s="66"/>
    </row>
    <row r="8167" spans="4:6" x14ac:dyDescent="0.35">
      <c r="D8167" s="66"/>
      <c r="E8167" s="66"/>
      <c r="F8167" s="66"/>
    </row>
    <row r="8168" spans="4:6" x14ac:dyDescent="0.35">
      <c r="D8168" s="66"/>
      <c r="E8168" s="66"/>
      <c r="F8168" s="66"/>
    </row>
    <row r="8169" spans="4:6" x14ac:dyDescent="0.35">
      <c r="D8169" s="66"/>
      <c r="E8169" s="66"/>
      <c r="F8169" s="66"/>
    </row>
    <row r="8170" spans="4:6" x14ac:dyDescent="0.35">
      <c r="D8170" s="66"/>
      <c r="E8170" s="66"/>
      <c r="F8170" s="66"/>
    </row>
    <row r="8171" spans="4:6" x14ac:dyDescent="0.35">
      <c r="D8171" s="66"/>
      <c r="E8171" s="66"/>
      <c r="F8171" s="66"/>
    </row>
    <row r="8172" spans="4:6" x14ac:dyDescent="0.35">
      <c r="D8172" s="66"/>
      <c r="E8172" s="66"/>
      <c r="F8172" s="66"/>
    </row>
    <row r="8173" spans="4:6" x14ac:dyDescent="0.35">
      <c r="D8173" s="66"/>
      <c r="E8173" s="66"/>
      <c r="F8173" s="66"/>
    </row>
    <row r="8174" spans="4:6" x14ac:dyDescent="0.35">
      <c r="D8174" s="66"/>
      <c r="E8174" s="66"/>
      <c r="F8174" s="66"/>
    </row>
    <row r="8175" spans="4:6" x14ac:dyDescent="0.35">
      <c r="D8175" s="66"/>
      <c r="E8175" s="66"/>
      <c r="F8175" s="66"/>
    </row>
    <row r="8176" spans="4:6" x14ac:dyDescent="0.35">
      <c r="D8176" s="66"/>
      <c r="E8176" s="66"/>
      <c r="F8176" s="66"/>
    </row>
    <row r="8177" spans="4:6" x14ac:dyDescent="0.35">
      <c r="D8177" s="66"/>
      <c r="E8177" s="66"/>
      <c r="F8177" s="66"/>
    </row>
    <row r="8178" spans="4:6" x14ac:dyDescent="0.35">
      <c r="D8178" s="66"/>
      <c r="E8178" s="66"/>
      <c r="F8178" s="66"/>
    </row>
    <row r="8179" spans="4:6" x14ac:dyDescent="0.35">
      <c r="D8179" s="66"/>
      <c r="E8179" s="66"/>
      <c r="F8179" s="66"/>
    </row>
    <row r="8180" spans="4:6" x14ac:dyDescent="0.35">
      <c r="D8180" s="66"/>
      <c r="E8180" s="66"/>
      <c r="F8180" s="66"/>
    </row>
    <row r="8181" spans="4:6" x14ac:dyDescent="0.35">
      <c r="D8181" s="66"/>
      <c r="E8181" s="66"/>
      <c r="F8181" s="66"/>
    </row>
    <row r="8182" spans="4:6" x14ac:dyDescent="0.35">
      <c r="D8182" s="66"/>
      <c r="E8182" s="66"/>
      <c r="F8182" s="66"/>
    </row>
    <row r="8183" spans="4:6" x14ac:dyDescent="0.35">
      <c r="D8183" s="66"/>
      <c r="E8183" s="66"/>
      <c r="F8183" s="66"/>
    </row>
    <row r="8184" spans="4:6" x14ac:dyDescent="0.35">
      <c r="D8184" s="66"/>
      <c r="E8184" s="66"/>
      <c r="F8184" s="66"/>
    </row>
    <row r="8185" spans="4:6" x14ac:dyDescent="0.35">
      <c r="D8185" s="66"/>
      <c r="E8185" s="66"/>
      <c r="F8185" s="66"/>
    </row>
    <row r="8186" spans="4:6" x14ac:dyDescent="0.35">
      <c r="D8186" s="66"/>
      <c r="E8186" s="66"/>
      <c r="F8186" s="66"/>
    </row>
    <row r="8187" spans="4:6" x14ac:dyDescent="0.35">
      <c r="D8187" s="66"/>
      <c r="E8187" s="66"/>
      <c r="F8187" s="66"/>
    </row>
    <row r="8188" spans="4:6" x14ac:dyDescent="0.35">
      <c r="D8188" s="66"/>
      <c r="E8188" s="66"/>
      <c r="F8188" s="66"/>
    </row>
    <row r="8189" spans="4:6" x14ac:dyDescent="0.35">
      <c r="D8189" s="66"/>
      <c r="E8189" s="66"/>
      <c r="F8189" s="66"/>
    </row>
    <row r="8190" spans="4:6" x14ac:dyDescent="0.35">
      <c r="D8190" s="66"/>
      <c r="E8190" s="66"/>
      <c r="F8190" s="66"/>
    </row>
    <row r="8191" spans="4:6" x14ac:dyDescent="0.35">
      <c r="D8191" s="66"/>
      <c r="E8191" s="66"/>
      <c r="F8191" s="66"/>
    </row>
    <row r="8192" spans="4:6" x14ac:dyDescent="0.35">
      <c r="D8192" s="66"/>
      <c r="E8192" s="66"/>
      <c r="F8192" s="66"/>
    </row>
    <row r="8193" spans="4:6" x14ac:dyDescent="0.35">
      <c r="D8193" s="66"/>
      <c r="E8193" s="66"/>
      <c r="F8193" s="66"/>
    </row>
    <row r="8194" spans="4:6" x14ac:dyDescent="0.35">
      <c r="D8194" s="66"/>
      <c r="E8194" s="66"/>
      <c r="F8194" s="66"/>
    </row>
    <row r="8195" spans="4:6" x14ac:dyDescent="0.35">
      <c r="D8195" s="66"/>
      <c r="E8195" s="66"/>
      <c r="F8195" s="66"/>
    </row>
    <row r="8196" spans="4:6" x14ac:dyDescent="0.35">
      <c r="D8196" s="66"/>
      <c r="E8196" s="66"/>
      <c r="F8196" s="66"/>
    </row>
    <row r="8197" spans="4:6" x14ac:dyDescent="0.35">
      <c r="D8197" s="66"/>
      <c r="E8197" s="66"/>
      <c r="F8197" s="66"/>
    </row>
    <row r="8198" spans="4:6" x14ac:dyDescent="0.35">
      <c r="D8198" s="66"/>
      <c r="E8198" s="66"/>
      <c r="F8198" s="66"/>
    </row>
    <row r="8199" spans="4:6" x14ac:dyDescent="0.35">
      <c r="D8199" s="66"/>
      <c r="E8199" s="66"/>
      <c r="F8199" s="66"/>
    </row>
    <row r="8200" spans="4:6" x14ac:dyDescent="0.35">
      <c r="D8200" s="66"/>
      <c r="E8200" s="66"/>
      <c r="F8200" s="66"/>
    </row>
    <row r="8201" spans="4:6" x14ac:dyDescent="0.35">
      <c r="D8201" s="66"/>
      <c r="E8201" s="66"/>
      <c r="F8201" s="66"/>
    </row>
    <row r="8202" spans="4:6" x14ac:dyDescent="0.35">
      <c r="D8202" s="66"/>
      <c r="E8202" s="66"/>
      <c r="F8202" s="66"/>
    </row>
    <row r="8203" spans="4:6" x14ac:dyDescent="0.35">
      <c r="D8203" s="66"/>
      <c r="E8203" s="66"/>
      <c r="F8203" s="66"/>
    </row>
    <row r="8204" spans="4:6" x14ac:dyDescent="0.35">
      <c r="D8204" s="66"/>
      <c r="E8204" s="66"/>
      <c r="F8204" s="66"/>
    </row>
    <row r="8205" spans="4:6" x14ac:dyDescent="0.35">
      <c r="D8205" s="66"/>
      <c r="E8205" s="66"/>
      <c r="F8205" s="66"/>
    </row>
    <row r="8206" spans="4:6" x14ac:dyDescent="0.35">
      <c r="D8206" s="66"/>
      <c r="E8206" s="66"/>
      <c r="F8206" s="66"/>
    </row>
    <row r="8207" spans="4:6" x14ac:dyDescent="0.35">
      <c r="D8207" s="66"/>
      <c r="E8207" s="66"/>
      <c r="F8207" s="66"/>
    </row>
    <row r="8208" spans="4:6" x14ac:dyDescent="0.35">
      <c r="D8208" s="66"/>
      <c r="E8208" s="66"/>
      <c r="F8208" s="66"/>
    </row>
    <row r="8209" spans="4:6" x14ac:dyDescent="0.35">
      <c r="D8209" s="66"/>
      <c r="E8209" s="66"/>
      <c r="F8209" s="66"/>
    </row>
    <row r="8210" spans="4:6" x14ac:dyDescent="0.35">
      <c r="D8210" s="66"/>
      <c r="E8210" s="66"/>
      <c r="F8210" s="66"/>
    </row>
    <row r="8211" spans="4:6" x14ac:dyDescent="0.35">
      <c r="D8211" s="66"/>
      <c r="E8211" s="66"/>
      <c r="F8211" s="66"/>
    </row>
    <row r="8212" spans="4:6" x14ac:dyDescent="0.35">
      <c r="D8212" s="66"/>
      <c r="E8212" s="66"/>
      <c r="F8212" s="66"/>
    </row>
    <row r="8213" spans="4:6" x14ac:dyDescent="0.35">
      <c r="D8213" s="66"/>
      <c r="E8213" s="66"/>
      <c r="F8213" s="66"/>
    </row>
    <row r="8214" spans="4:6" x14ac:dyDescent="0.35">
      <c r="D8214" s="66"/>
      <c r="E8214" s="66"/>
      <c r="F8214" s="66"/>
    </row>
    <row r="8215" spans="4:6" x14ac:dyDescent="0.35">
      <c r="D8215" s="66"/>
      <c r="E8215" s="66"/>
      <c r="F8215" s="66"/>
    </row>
    <row r="8216" spans="4:6" x14ac:dyDescent="0.35">
      <c r="D8216" s="66"/>
      <c r="E8216" s="66"/>
      <c r="F8216" s="66"/>
    </row>
    <row r="8217" spans="4:6" x14ac:dyDescent="0.35">
      <c r="D8217" s="66"/>
      <c r="E8217" s="66"/>
      <c r="F8217" s="66"/>
    </row>
    <row r="8218" spans="4:6" x14ac:dyDescent="0.35">
      <c r="D8218" s="66"/>
      <c r="E8218" s="66"/>
      <c r="F8218" s="66"/>
    </row>
    <row r="8219" spans="4:6" x14ac:dyDescent="0.35">
      <c r="D8219" s="66"/>
      <c r="E8219" s="66"/>
      <c r="F8219" s="66"/>
    </row>
    <row r="8220" spans="4:6" x14ac:dyDescent="0.35">
      <c r="D8220" s="66"/>
      <c r="E8220" s="66"/>
      <c r="F8220" s="66"/>
    </row>
    <row r="8221" spans="4:6" x14ac:dyDescent="0.35">
      <c r="D8221" s="66"/>
      <c r="E8221" s="66"/>
      <c r="F8221" s="66"/>
    </row>
    <row r="8222" spans="4:6" x14ac:dyDescent="0.35">
      <c r="D8222" s="66"/>
      <c r="E8222" s="66"/>
      <c r="F8222" s="66"/>
    </row>
    <row r="8223" spans="4:6" x14ac:dyDescent="0.35">
      <c r="D8223" s="66"/>
      <c r="E8223" s="66"/>
      <c r="F8223" s="66"/>
    </row>
    <row r="8224" spans="4:6" x14ac:dyDescent="0.35">
      <c r="D8224" s="66"/>
      <c r="E8224" s="66"/>
      <c r="F8224" s="66"/>
    </row>
    <row r="8225" spans="4:6" x14ac:dyDescent="0.35">
      <c r="D8225" s="66"/>
      <c r="E8225" s="66"/>
      <c r="F8225" s="66"/>
    </row>
    <row r="8226" spans="4:6" x14ac:dyDescent="0.35">
      <c r="D8226" s="66"/>
      <c r="E8226" s="66"/>
      <c r="F8226" s="66"/>
    </row>
    <row r="8227" spans="4:6" x14ac:dyDescent="0.35">
      <c r="D8227" s="66"/>
      <c r="E8227" s="66"/>
      <c r="F8227" s="66"/>
    </row>
    <row r="8228" spans="4:6" x14ac:dyDescent="0.35">
      <c r="D8228" s="66"/>
      <c r="E8228" s="66"/>
      <c r="F8228" s="66"/>
    </row>
    <row r="8229" spans="4:6" x14ac:dyDescent="0.35">
      <c r="D8229" s="66"/>
      <c r="E8229" s="66"/>
      <c r="F8229" s="66"/>
    </row>
    <row r="8230" spans="4:6" x14ac:dyDescent="0.35">
      <c r="D8230" s="66"/>
      <c r="E8230" s="66"/>
      <c r="F8230" s="66"/>
    </row>
    <row r="8231" spans="4:6" x14ac:dyDescent="0.35">
      <c r="D8231" s="66"/>
      <c r="E8231" s="66"/>
      <c r="F8231" s="66"/>
    </row>
    <row r="8232" spans="4:6" x14ac:dyDescent="0.35">
      <c r="D8232" s="66"/>
      <c r="E8232" s="66"/>
      <c r="F8232" s="66"/>
    </row>
    <row r="8233" spans="4:6" x14ac:dyDescent="0.35">
      <c r="D8233" s="66"/>
      <c r="E8233" s="66"/>
      <c r="F8233" s="66"/>
    </row>
    <row r="8234" spans="4:6" x14ac:dyDescent="0.35">
      <c r="D8234" s="66"/>
      <c r="E8234" s="66"/>
      <c r="F8234" s="66"/>
    </row>
    <row r="8235" spans="4:6" x14ac:dyDescent="0.35">
      <c r="D8235" s="66"/>
      <c r="E8235" s="66"/>
      <c r="F8235" s="66"/>
    </row>
    <row r="8236" spans="4:6" x14ac:dyDescent="0.35">
      <c r="D8236" s="66"/>
      <c r="E8236" s="66"/>
      <c r="F8236" s="66"/>
    </row>
    <row r="8237" spans="4:6" x14ac:dyDescent="0.35">
      <c r="D8237" s="66"/>
      <c r="E8237" s="66"/>
      <c r="F8237" s="66"/>
    </row>
    <row r="8238" spans="4:6" x14ac:dyDescent="0.35">
      <c r="D8238" s="66"/>
      <c r="E8238" s="66"/>
      <c r="F8238" s="66"/>
    </row>
    <row r="8239" spans="4:6" x14ac:dyDescent="0.35">
      <c r="D8239" s="66"/>
      <c r="E8239" s="66"/>
      <c r="F8239" s="66"/>
    </row>
    <row r="8240" spans="4:6" x14ac:dyDescent="0.35">
      <c r="D8240" s="66"/>
      <c r="E8240" s="66"/>
      <c r="F8240" s="66"/>
    </row>
    <row r="8241" spans="4:6" x14ac:dyDescent="0.35">
      <c r="D8241" s="66"/>
      <c r="E8241" s="66"/>
      <c r="F8241" s="66"/>
    </row>
    <row r="8242" spans="4:6" x14ac:dyDescent="0.35">
      <c r="D8242" s="66"/>
      <c r="E8242" s="66"/>
      <c r="F8242" s="66"/>
    </row>
    <row r="8243" spans="4:6" x14ac:dyDescent="0.35">
      <c r="D8243" s="66"/>
      <c r="E8243" s="66"/>
      <c r="F8243" s="66"/>
    </row>
    <row r="8244" spans="4:6" x14ac:dyDescent="0.35">
      <c r="D8244" s="66"/>
      <c r="E8244" s="66"/>
      <c r="F8244" s="66"/>
    </row>
    <row r="8245" spans="4:6" x14ac:dyDescent="0.35">
      <c r="D8245" s="66"/>
      <c r="E8245" s="66"/>
      <c r="F8245" s="66"/>
    </row>
    <row r="8246" spans="4:6" x14ac:dyDescent="0.35">
      <c r="D8246" s="66"/>
      <c r="E8246" s="66"/>
      <c r="F8246" s="66"/>
    </row>
    <row r="8247" spans="4:6" x14ac:dyDescent="0.35">
      <c r="D8247" s="66"/>
      <c r="E8247" s="66"/>
      <c r="F8247" s="66"/>
    </row>
    <row r="8248" spans="4:6" x14ac:dyDescent="0.35">
      <c r="D8248" s="66"/>
      <c r="E8248" s="66"/>
      <c r="F8248" s="66"/>
    </row>
    <row r="8249" spans="4:6" x14ac:dyDescent="0.35">
      <c r="D8249" s="66"/>
      <c r="E8249" s="66"/>
      <c r="F8249" s="66"/>
    </row>
    <row r="8250" spans="4:6" x14ac:dyDescent="0.35">
      <c r="D8250" s="66"/>
      <c r="E8250" s="66"/>
      <c r="F8250" s="66"/>
    </row>
    <row r="8251" spans="4:6" x14ac:dyDescent="0.35">
      <c r="D8251" s="66"/>
      <c r="E8251" s="66"/>
      <c r="F8251" s="66"/>
    </row>
    <row r="8252" spans="4:6" x14ac:dyDescent="0.35">
      <c r="D8252" s="66"/>
      <c r="E8252" s="66"/>
      <c r="F8252" s="66"/>
    </row>
    <row r="8253" spans="4:6" x14ac:dyDescent="0.35">
      <c r="D8253" s="66"/>
      <c r="E8253" s="66"/>
      <c r="F8253" s="66"/>
    </row>
    <row r="8254" spans="4:6" x14ac:dyDescent="0.35">
      <c r="D8254" s="66"/>
      <c r="E8254" s="66"/>
      <c r="F8254" s="66"/>
    </row>
    <row r="8255" spans="4:6" x14ac:dyDescent="0.35">
      <c r="D8255" s="66"/>
      <c r="E8255" s="66"/>
      <c r="F8255" s="66"/>
    </row>
    <row r="8256" spans="4:6" x14ac:dyDescent="0.35">
      <c r="D8256" s="66"/>
      <c r="E8256" s="66"/>
      <c r="F8256" s="66"/>
    </row>
    <row r="8257" spans="4:6" x14ac:dyDescent="0.35">
      <c r="D8257" s="66"/>
      <c r="E8257" s="66"/>
      <c r="F8257" s="66"/>
    </row>
    <row r="8258" spans="4:6" x14ac:dyDescent="0.35">
      <c r="D8258" s="66"/>
      <c r="E8258" s="66"/>
      <c r="F8258" s="66"/>
    </row>
    <row r="8259" spans="4:6" x14ac:dyDescent="0.35">
      <c r="D8259" s="66"/>
      <c r="E8259" s="66"/>
      <c r="F8259" s="66"/>
    </row>
    <row r="8260" spans="4:6" x14ac:dyDescent="0.35">
      <c r="D8260" s="66"/>
      <c r="E8260" s="66"/>
      <c r="F8260" s="66"/>
    </row>
    <row r="8261" spans="4:6" x14ac:dyDescent="0.35">
      <c r="D8261" s="66"/>
      <c r="E8261" s="66"/>
      <c r="F8261" s="66"/>
    </row>
    <row r="8262" spans="4:6" x14ac:dyDescent="0.35">
      <c r="D8262" s="66"/>
      <c r="E8262" s="66"/>
      <c r="F8262" s="66"/>
    </row>
    <row r="8263" spans="4:6" x14ac:dyDescent="0.35">
      <c r="D8263" s="66"/>
      <c r="E8263" s="66"/>
      <c r="F8263" s="66"/>
    </row>
    <row r="8264" spans="4:6" x14ac:dyDescent="0.35">
      <c r="D8264" s="66"/>
      <c r="E8264" s="66"/>
      <c r="F8264" s="66"/>
    </row>
    <row r="8265" spans="4:6" x14ac:dyDescent="0.35">
      <c r="D8265" s="66"/>
      <c r="E8265" s="66"/>
      <c r="F8265" s="66"/>
    </row>
    <row r="8266" spans="4:6" x14ac:dyDescent="0.35">
      <c r="D8266" s="66"/>
      <c r="E8266" s="66"/>
      <c r="F8266" s="66"/>
    </row>
    <row r="8267" spans="4:6" x14ac:dyDescent="0.35">
      <c r="D8267" s="66"/>
      <c r="E8267" s="66"/>
      <c r="F8267" s="66"/>
    </row>
    <row r="8268" spans="4:6" x14ac:dyDescent="0.35">
      <c r="D8268" s="66"/>
      <c r="E8268" s="66"/>
      <c r="F8268" s="66"/>
    </row>
    <row r="8269" spans="4:6" x14ac:dyDescent="0.35">
      <c r="D8269" s="66"/>
      <c r="E8269" s="66"/>
      <c r="F8269" s="66"/>
    </row>
    <row r="8270" spans="4:6" x14ac:dyDescent="0.35">
      <c r="D8270" s="66"/>
      <c r="E8270" s="66"/>
      <c r="F8270" s="66"/>
    </row>
    <row r="8271" spans="4:6" x14ac:dyDescent="0.35">
      <c r="D8271" s="66"/>
      <c r="E8271" s="66"/>
      <c r="F8271" s="66"/>
    </row>
    <row r="8272" spans="4:6" x14ac:dyDescent="0.35">
      <c r="D8272" s="66"/>
      <c r="E8272" s="66"/>
      <c r="F8272" s="66"/>
    </row>
    <row r="8273" spans="4:6" x14ac:dyDescent="0.35">
      <c r="D8273" s="66"/>
      <c r="E8273" s="66"/>
      <c r="F8273" s="66"/>
    </row>
    <row r="8274" spans="4:6" x14ac:dyDescent="0.35">
      <c r="D8274" s="66"/>
      <c r="E8274" s="66"/>
      <c r="F8274" s="66"/>
    </row>
    <row r="8275" spans="4:6" x14ac:dyDescent="0.35">
      <c r="D8275" s="66"/>
      <c r="E8275" s="66"/>
      <c r="F8275" s="66"/>
    </row>
    <row r="8276" spans="4:6" x14ac:dyDescent="0.35">
      <c r="D8276" s="66"/>
      <c r="E8276" s="66"/>
      <c r="F8276" s="66"/>
    </row>
    <row r="8277" spans="4:6" x14ac:dyDescent="0.35">
      <c r="D8277" s="66"/>
      <c r="E8277" s="66"/>
      <c r="F8277" s="66"/>
    </row>
    <row r="8278" spans="4:6" x14ac:dyDescent="0.35">
      <c r="D8278" s="66"/>
      <c r="E8278" s="66"/>
      <c r="F8278" s="66"/>
    </row>
    <row r="8279" spans="4:6" x14ac:dyDescent="0.35">
      <c r="D8279" s="66"/>
      <c r="E8279" s="66"/>
      <c r="F8279" s="66"/>
    </row>
    <row r="8280" spans="4:6" x14ac:dyDescent="0.35">
      <c r="D8280" s="66"/>
      <c r="E8280" s="66"/>
      <c r="F8280" s="66"/>
    </row>
    <row r="8281" spans="4:6" x14ac:dyDescent="0.35">
      <c r="D8281" s="66"/>
      <c r="E8281" s="66"/>
      <c r="F8281" s="66"/>
    </row>
    <row r="8282" spans="4:6" x14ac:dyDescent="0.35">
      <c r="D8282" s="66"/>
      <c r="E8282" s="66"/>
      <c r="F8282" s="66"/>
    </row>
    <row r="8283" spans="4:6" x14ac:dyDescent="0.35">
      <c r="D8283" s="66"/>
      <c r="E8283" s="66"/>
      <c r="F8283" s="66"/>
    </row>
    <row r="8284" spans="4:6" x14ac:dyDescent="0.35">
      <c r="D8284" s="66"/>
      <c r="E8284" s="66"/>
      <c r="F8284" s="66"/>
    </row>
    <row r="8285" spans="4:6" x14ac:dyDescent="0.35">
      <c r="D8285" s="66"/>
      <c r="E8285" s="66"/>
      <c r="F8285" s="66"/>
    </row>
    <row r="8286" spans="4:6" x14ac:dyDescent="0.35">
      <c r="D8286" s="66"/>
      <c r="E8286" s="66"/>
      <c r="F8286" s="66"/>
    </row>
    <row r="8287" spans="4:6" x14ac:dyDescent="0.35">
      <c r="D8287" s="66"/>
      <c r="E8287" s="66"/>
      <c r="F8287" s="66"/>
    </row>
    <row r="8288" spans="4:6" x14ac:dyDescent="0.35">
      <c r="D8288" s="66"/>
      <c r="E8288" s="66"/>
      <c r="F8288" s="66"/>
    </row>
    <row r="8289" spans="4:6" x14ac:dyDescent="0.35">
      <c r="D8289" s="66"/>
      <c r="E8289" s="66"/>
      <c r="F8289" s="66"/>
    </row>
    <row r="8290" spans="4:6" x14ac:dyDescent="0.35">
      <c r="D8290" s="66"/>
      <c r="E8290" s="66"/>
      <c r="F8290" s="66"/>
    </row>
    <row r="8291" spans="4:6" x14ac:dyDescent="0.35">
      <c r="D8291" s="66"/>
      <c r="E8291" s="66"/>
      <c r="F8291" s="66"/>
    </row>
    <row r="8292" spans="4:6" x14ac:dyDescent="0.35">
      <c r="D8292" s="66"/>
      <c r="E8292" s="66"/>
      <c r="F8292" s="66"/>
    </row>
    <row r="8293" spans="4:6" x14ac:dyDescent="0.35">
      <c r="D8293" s="66"/>
      <c r="E8293" s="66"/>
      <c r="F8293" s="66"/>
    </row>
    <row r="8294" spans="4:6" x14ac:dyDescent="0.35">
      <c r="D8294" s="66"/>
      <c r="E8294" s="66"/>
      <c r="F8294" s="66"/>
    </row>
    <row r="8295" spans="4:6" x14ac:dyDescent="0.35">
      <c r="D8295" s="66"/>
      <c r="E8295" s="66"/>
      <c r="F8295" s="66"/>
    </row>
    <row r="8296" spans="4:6" x14ac:dyDescent="0.35">
      <c r="D8296" s="66"/>
      <c r="E8296" s="66"/>
      <c r="F8296" s="66"/>
    </row>
    <row r="8297" spans="4:6" x14ac:dyDescent="0.35">
      <c r="D8297" s="66"/>
      <c r="E8297" s="66"/>
      <c r="F8297" s="66"/>
    </row>
    <row r="8298" spans="4:6" x14ac:dyDescent="0.35">
      <c r="D8298" s="66"/>
      <c r="E8298" s="66"/>
      <c r="F8298" s="66"/>
    </row>
    <row r="8299" spans="4:6" x14ac:dyDescent="0.35">
      <c r="D8299" s="66"/>
      <c r="E8299" s="66"/>
      <c r="F8299" s="66"/>
    </row>
    <row r="8300" spans="4:6" x14ac:dyDescent="0.35">
      <c r="D8300" s="66"/>
      <c r="E8300" s="66"/>
      <c r="F8300" s="66"/>
    </row>
    <row r="8301" spans="4:6" x14ac:dyDescent="0.35">
      <c r="D8301" s="66"/>
      <c r="E8301" s="66"/>
      <c r="F8301" s="66"/>
    </row>
    <row r="8302" spans="4:6" x14ac:dyDescent="0.35">
      <c r="D8302" s="66"/>
      <c r="E8302" s="66"/>
      <c r="F8302" s="66"/>
    </row>
    <row r="8303" spans="4:6" x14ac:dyDescent="0.35">
      <c r="D8303" s="66"/>
      <c r="E8303" s="66"/>
      <c r="F8303" s="66"/>
    </row>
    <row r="8304" spans="4:6" x14ac:dyDescent="0.35">
      <c r="D8304" s="66"/>
      <c r="E8304" s="66"/>
      <c r="F8304" s="66"/>
    </row>
    <row r="8305" spans="4:6" x14ac:dyDescent="0.35">
      <c r="D8305" s="66"/>
      <c r="E8305" s="66"/>
      <c r="F8305" s="66"/>
    </row>
    <row r="8306" spans="4:6" x14ac:dyDescent="0.35">
      <c r="D8306" s="66"/>
      <c r="E8306" s="66"/>
      <c r="F8306" s="66"/>
    </row>
    <row r="8307" spans="4:6" x14ac:dyDescent="0.35">
      <c r="D8307" s="66"/>
      <c r="E8307" s="66"/>
      <c r="F8307" s="66"/>
    </row>
    <row r="8308" spans="4:6" x14ac:dyDescent="0.35">
      <c r="D8308" s="66"/>
      <c r="E8308" s="66"/>
      <c r="F8308" s="66"/>
    </row>
    <row r="8309" spans="4:6" x14ac:dyDescent="0.35">
      <c r="D8309" s="66"/>
      <c r="E8309" s="66"/>
      <c r="F8309" s="66"/>
    </row>
    <row r="8310" spans="4:6" x14ac:dyDescent="0.35">
      <c r="D8310" s="66"/>
      <c r="E8310" s="66"/>
      <c r="F8310" s="66"/>
    </row>
    <row r="8311" spans="4:6" x14ac:dyDescent="0.35">
      <c r="D8311" s="66"/>
      <c r="E8311" s="66"/>
      <c r="F8311" s="66"/>
    </row>
    <row r="8312" spans="4:6" x14ac:dyDescent="0.35">
      <c r="D8312" s="66"/>
      <c r="E8312" s="66"/>
      <c r="F8312" s="66"/>
    </row>
    <row r="8313" spans="4:6" x14ac:dyDescent="0.35">
      <c r="D8313" s="66"/>
      <c r="E8313" s="66"/>
      <c r="F8313" s="66"/>
    </row>
    <row r="8314" spans="4:6" x14ac:dyDescent="0.35">
      <c r="D8314" s="66"/>
      <c r="E8314" s="66"/>
      <c r="F8314" s="66"/>
    </row>
    <row r="8315" spans="4:6" x14ac:dyDescent="0.35">
      <c r="D8315" s="66"/>
      <c r="E8315" s="66"/>
      <c r="F8315" s="66"/>
    </row>
    <row r="8316" spans="4:6" x14ac:dyDescent="0.35">
      <c r="D8316" s="66"/>
      <c r="E8316" s="66"/>
      <c r="F8316" s="66"/>
    </row>
    <row r="8317" spans="4:6" x14ac:dyDescent="0.35">
      <c r="D8317" s="66"/>
      <c r="E8317" s="66"/>
      <c r="F8317" s="66"/>
    </row>
    <row r="8318" spans="4:6" x14ac:dyDescent="0.35">
      <c r="D8318" s="66"/>
      <c r="E8318" s="66"/>
      <c r="F8318" s="66"/>
    </row>
    <row r="8319" spans="4:6" x14ac:dyDescent="0.35">
      <c r="D8319" s="66"/>
      <c r="E8319" s="66"/>
      <c r="F8319" s="66"/>
    </row>
    <row r="8320" spans="4:6" x14ac:dyDescent="0.35">
      <c r="D8320" s="66"/>
      <c r="E8320" s="66"/>
      <c r="F8320" s="66"/>
    </row>
    <row r="8321" spans="4:6" x14ac:dyDescent="0.35">
      <c r="D8321" s="66"/>
      <c r="E8321" s="66"/>
      <c r="F8321" s="66"/>
    </row>
    <row r="8322" spans="4:6" x14ac:dyDescent="0.35">
      <c r="D8322" s="66"/>
      <c r="E8322" s="66"/>
      <c r="F8322" s="66"/>
    </row>
    <row r="8323" spans="4:6" x14ac:dyDescent="0.35">
      <c r="D8323" s="66"/>
      <c r="E8323" s="66"/>
      <c r="F8323" s="66"/>
    </row>
    <row r="8324" spans="4:6" x14ac:dyDescent="0.35">
      <c r="D8324" s="66"/>
      <c r="E8324" s="66"/>
      <c r="F8324" s="66"/>
    </row>
    <row r="8325" spans="4:6" x14ac:dyDescent="0.35">
      <c r="D8325" s="66"/>
      <c r="E8325" s="66"/>
      <c r="F8325" s="66"/>
    </row>
    <row r="8326" spans="4:6" x14ac:dyDescent="0.35">
      <c r="D8326" s="66"/>
      <c r="E8326" s="66"/>
      <c r="F8326" s="66"/>
    </row>
    <row r="8327" spans="4:6" x14ac:dyDescent="0.35">
      <c r="D8327" s="66"/>
      <c r="E8327" s="66"/>
      <c r="F8327" s="66"/>
    </row>
    <row r="8328" spans="4:6" x14ac:dyDescent="0.35">
      <c r="D8328" s="66"/>
      <c r="E8328" s="66"/>
      <c r="F8328" s="66"/>
    </row>
    <row r="8329" spans="4:6" x14ac:dyDescent="0.35">
      <c r="D8329" s="66"/>
      <c r="E8329" s="66"/>
      <c r="F8329" s="66"/>
    </row>
    <row r="8330" spans="4:6" x14ac:dyDescent="0.35">
      <c r="D8330" s="66"/>
      <c r="E8330" s="66"/>
      <c r="F8330" s="66"/>
    </row>
    <row r="8331" spans="4:6" x14ac:dyDescent="0.35">
      <c r="D8331" s="66"/>
      <c r="E8331" s="66"/>
      <c r="F8331" s="66"/>
    </row>
    <row r="8332" spans="4:6" x14ac:dyDescent="0.35">
      <c r="D8332" s="66"/>
      <c r="E8332" s="66"/>
      <c r="F8332" s="66"/>
    </row>
    <row r="8333" spans="4:6" x14ac:dyDescent="0.35">
      <c r="D8333" s="66"/>
      <c r="E8333" s="66"/>
      <c r="F8333" s="66"/>
    </row>
    <row r="8334" spans="4:6" x14ac:dyDescent="0.35">
      <c r="D8334" s="66"/>
      <c r="E8334" s="66"/>
      <c r="F8334" s="66"/>
    </row>
    <row r="8335" spans="4:6" x14ac:dyDescent="0.35">
      <c r="D8335" s="66"/>
      <c r="E8335" s="66"/>
      <c r="F8335" s="66"/>
    </row>
    <row r="8336" spans="4:6" x14ac:dyDescent="0.35">
      <c r="D8336" s="66"/>
      <c r="E8336" s="66"/>
      <c r="F8336" s="66"/>
    </row>
    <row r="8337" spans="4:6" x14ac:dyDescent="0.35">
      <c r="D8337" s="66"/>
      <c r="E8337" s="66"/>
      <c r="F8337" s="66"/>
    </row>
    <row r="8338" spans="4:6" x14ac:dyDescent="0.35">
      <c r="D8338" s="66"/>
      <c r="E8338" s="66"/>
      <c r="F8338" s="66"/>
    </row>
    <row r="8339" spans="4:6" x14ac:dyDescent="0.35">
      <c r="D8339" s="66"/>
      <c r="E8339" s="66"/>
      <c r="F8339" s="66"/>
    </row>
    <row r="8340" spans="4:6" x14ac:dyDescent="0.35">
      <c r="D8340" s="66"/>
      <c r="E8340" s="66"/>
      <c r="F8340" s="66"/>
    </row>
    <row r="8341" spans="4:6" x14ac:dyDescent="0.35">
      <c r="D8341" s="66"/>
      <c r="E8341" s="66"/>
      <c r="F8341" s="66"/>
    </row>
    <row r="8342" spans="4:6" x14ac:dyDescent="0.35">
      <c r="D8342" s="66"/>
      <c r="E8342" s="66"/>
      <c r="F8342" s="66"/>
    </row>
    <row r="8343" spans="4:6" x14ac:dyDescent="0.35">
      <c r="D8343" s="66"/>
      <c r="E8343" s="66"/>
      <c r="F8343" s="66"/>
    </row>
    <row r="8344" spans="4:6" x14ac:dyDescent="0.35">
      <c r="D8344" s="66"/>
      <c r="E8344" s="66"/>
      <c r="F8344" s="66"/>
    </row>
    <row r="8345" spans="4:6" x14ac:dyDescent="0.35">
      <c r="D8345" s="66"/>
      <c r="E8345" s="66"/>
      <c r="F8345" s="66"/>
    </row>
    <row r="8346" spans="4:6" x14ac:dyDescent="0.35">
      <c r="D8346" s="66"/>
      <c r="E8346" s="66"/>
      <c r="F8346" s="66"/>
    </row>
    <row r="8347" spans="4:6" x14ac:dyDescent="0.35">
      <c r="D8347" s="66"/>
      <c r="E8347" s="66"/>
      <c r="F8347" s="66"/>
    </row>
    <row r="8348" spans="4:6" x14ac:dyDescent="0.35">
      <c r="D8348" s="66"/>
      <c r="E8348" s="66"/>
      <c r="F8348" s="66"/>
    </row>
    <row r="8349" spans="4:6" x14ac:dyDescent="0.35">
      <c r="D8349" s="66"/>
      <c r="E8349" s="66"/>
      <c r="F8349" s="66"/>
    </row>
    <row r="8350" spans="4:6" x14ac:dyDescent="0.35">
      <c r="D8350" s="66"/>
      <c r="E8350" s="66"/>
      <c r="F8350" s="66"/>
    </row>
    <row r="8351" spans="4:6" x14ac:dyDescent="0.35">
      <c r="D8351" s="66"/>
      <c r="E8351" s="66"/>
      <c r="F8351" s="66"/>
    </row>
    <row r="8352" spans="4:6" x14ac:dyDescent="0.35">
      <c r="D8352" s="66"/>
      <c r="E8352" s="66"/>
      <c r="F8352" s="66"/>
    </row>
    <row r="8353" spans="4:6" x14ac:dyDescent="0.35">
      <c r="D8353" s="66"/>
      <c r="E8353" s="66"/>
      <c r="F8353" s="66"/>
    </row>
    <row r="8354" spans="4:6" x14ac:dyDescent="0.35">
      <c r="D8354" s="66"/>
      <c r="E8354" s="66"/>
      <c r="F8354" s="66"/>
    </row>
    <row r="8355" spans="4:6" x14ac:dyDescent="0.35">
      <c r="D8355" s="66"/>
      <c r="E8355" s="66"/>
      <c r="F8355" s="66"/>
    </row>
    <row r="8356" spans="4:6" x14ac:dyDescent="0.35">
      <c r="D8356" s="66"/>
      <c r="E8356" s="66"/>
      <c r="F8356" s="66"/>
    </row>
    <row r="8357" spans="4:6" x14ac:dyDescent="0.35">
      <c r="D8357" s="66"/>
      <c r="E8357" s="66"/>
      <c r="F8357" s="66"/>
    </row>
    <row r="8358" spans="4:6" x14ac:dyDescent="0.35">
      <c r="D8358" s="66"/>
      <c r="E8358" s="66"/>
      <c r="F8358" s="66"/>
    </row>
    <row r="8359" spans="4:6" x14ac:dyDescent="0.35">
      <c r="D8359" s="66"/>
      <c r="E8359" s="66"/>
      <c r="F8359" s="66"/>
    </row>
    <row r="8360" spans="4:6" x14ac:dyDescent="0.35">
      <c r="D8360" s="66"/>
      <c r="E8360" s="66"/>
      <c r="F8360" s="66"/>
    </row>
    <row r="8361" spans="4:6" x14ac:dyDescent="0.35">
      <c r="D8361" s="66"/>
      <c r="E8361" s="66"/>
      <c r="F8361" s="66"/>
    </row>
    <row r="8362" spans="4:6" x14ac:dyDescent="0.35">
      <c r="D8362" s="66"/>
      <c r="E8362" s="66"/>
      <c r="F8362" s="66"/>
    </row>
    <row r="8363" spans="4:6" x14ac:dyDescent="0.35">
      <c r="D8363" s="66"/>
      <c r="E8363" s="66"/>
      <c r="F8363" s="66"/>
    </row>
    <row r="8364" spans="4:6" x14ac:dyDescent="0.35">
      <c r="D8364" s="66"/>
      <c r="E8364" s="66"/>
      <c r="F8364" s="66"/>
    </row>
    <row r="8365" spans="4:6" x14ac:dyDescent="0.35">
      <c r="D8365" s="66"/>
      <c r="E8365" s="66"/>
      <c r="F8365" s="66"/>
    </row>
    <row r="8366" spans="4:6" x14ac:dyDescent="0.35">
      <c r="D8366" s="66"/>
      <c r="E8366" s="66"/>
      <c r="F8366" s="66"/>
    </row>
    <row r="8367" spans="4:6" x14ac:dyDescent="0.35">
      <c r="D8367" s="66"/>
      <c r="E8367" s="66"/>
      <c r="F8367" s="66"/>
    </row>
    <row r="8368" spans="4:6" x14ac:dyDescent="0.35">
      <c r="D8368" s="66"/>
      <c r="E8368" s="66"/>
      <c r="F8368" s="66"/>
    </row>
    <row r="8369" spans="4:6" x14ac:dyDescent="0.35">
      <c r="D8369" s="66"/>
      <c r="E8369" s="66"/>
      <c r="F8369" s="66"/>
    </row>
    <row r="8370" spans="4:6" x14ac:dyDescent="0.35">
      <c r="D8370" s="66"/>
      <c r="E8370" s="66"/>
      <c r="F8370" s="66"/>
    </row>
    <row r="8371" spans="4:6" x14ac:dyDescent="0.35">
      <c r="D8371" s="66"/>
      <c r="E8371" s="66"/>
      <c r="F8371" s="66"/>
    </row>
    <row r="8372" spans="4:6" x14ac:dyDescent="0.35">
      <c r="D8372" s="66"/>
      <c r="E8372" s="66"/>
      <c r="F8372" s="66"/>
    </row>
    <row r="8373" spans="4:6" x14ac:dyDescent="0.35">
      <c r="D8373" s="66"/>
      <c r="E8373" s="66"/>
      <c r="F8373" s="66"/>
    </row>
    <row r="8374" spans="4:6" x14ac:dyDescent="0.35">
      <c r="D8374" s="66"/>
      <c r="E8374" s="66"/>
      <c r="F8374" s="66"/>
    </row>
    <row r="8375" spans="4:6" x14ac:dyDescent="0.35">
      <c r="D8375" s="66"/>
      <c r="E8375" s="66"/>
      <c r="F8375" s="66"/>
    </row>
    <row r="8376" spans="4:6" x14ac:dyDescent="0.35">
      <c r="D8376" s="66"/>
      <c r="E8376" s="66"/>
      <c r="F8376" s="66"/>
    </row>
    <row r="8377" spans="4:6" x14ac:dyDescent="0.35">
      <c r="D8377" s="66"/>
      <c r="E8377" s="66"/>
      <c r="F8377" s="66"/>
    </row>
    <row r="8378" spans="4:6" x14ac:dyDescent="0.35">
      <c r="D8378" s="66"/>
      <c r="E8378" s="66"/>
      <c r="F8378" s="66"/>
    </row>
    <row r="8379" spans="4:6" x14ac:dyDescent="0.35">
      <c r="D8379" s="66"/>
      <c r="E8379" s="66"/>
      <c r="F8379" s="66"/>
    </row>
    <row r="8380" spans="4:6" x14ac:dyDescent="0.35">
      <c r="D8380" s="66"/>
      <c r="E8380" s="66"/>
      <c r="F8380" s="66"/>
    </row>
    <row r="8381" spans="4:6" x14ac:dyDescent="0.35">
      <c r="D8381" s="66"/>
      <c r="E8381" s="66"/>
      <c r="F8381" s="66"/>
    </row>
    <row r="8382" spans="4:6" x14ac:dyDescent="0.35">
      <c r="D8382" s="66"/>
      <c r="E8382" s="66"/>
      <c r="F8382" s="66"/>
    </row>
    <row r="8383" spans="4:6" x14ac:dyDescent="0.35">
      <c r="D8383" s="66"/>
      <c r="E8383" s="66"/>
      <c r="F8383" s="66"/>
    </row>
    <row r="8384" spans="4:6" x14ac:dyDescent="0.35">
      <c r="D8384" s="66"/>
      <c r="E8384" s="66"/>
      <c r="F8384" s="66"/>
    </row>
    <row r="8385" spans="4:6" x14ac:dyDescent="0.35">
      <c r="D8385" s="66"/>
      <c r="E8385" s="66"/>
      <c r="F8385" s="66"/>
    </row>
    <row r="8386" spans="4:6" x14ac:dyDescent="0.35">
      <c r="D8386" s="66"/>
      <c r="E8386" s="66"/>
      <c r="F8386" s="66"/>
    </row>
    <row r="8387" spans="4:6" x14ac:dyDescent="0.35">
      <c r="D8387" s="66"/>
      <c r="E8387" s="66"/>
      <c r="F8387" s="66"/>
    </row>
    <row r="8388" spans="4:6" x14ac:dyDescent="0.35">
      <c r="D8388" s="66"/>
      <c r="E8388" s="66"/>
      <c r="F8388" s="66"/>
    </row>
    <row r="8389" spans="4:6" x14ac:dyDescent="0.35">
      <c r="D8389" s="66"/>
      <c r="E8389" s="66"/>
      <c r="F8389" s="66"/>
    </row>
    <row r="8390" spans="4:6" x14ac:dyDescent="0.35">
      <c r="D8390" s="66"/>
      <c r="E8390" s="66"/>
      <c r="F8390" s="66"/>
    </row>
    <row r="8391" spans="4:6" x14ac:dyDescent="0.35">
      <c r="D8391" s="66"/>
      <c r="E8391" s="66"/>
      <c r="F8391" s="66"/>
    </row>
    <row r="8392" spans="4:6" x14ac:dyDescent="0.35">
      <c r="D8392" s="66"/>
      <c r="E8392" s="66"/>
      <c r="F8392" s="66"/>
    </row>
    <row r="8393" spans="4:6" x14ac:dyDescent="0.35">
      <c r="D8393" s="66"/>
      <c r="E8393" s="66"/>
      <c r="F8393" s="66"/>
    </row>
    <row r="8394" spans="4:6" x14ac:dyDescent="0.35">
      <c r="D8394" s="66"/>
      <c r="E8394" s="66"/>
      <c r="F8394" s="66"/>
    </row>
    <row r="8395" spans="4:6" x14ac:dyDescent="0.35">
      <c r="D8395" s="66"/>
      <c r="E8395" s="66"/>
      <c r="F8395" s="66"/>
    </row>
    <row r="8396" spans="4:6" x14ac:dyDescent="0.35">
      <c r="D8396" s="66"/>
      <c r="E8396" s="66"/>
      <c r="F8396" s="66"/>
    </row>
    <row r="8397" spans="4:6" x14ac:dyDescent="0.35">
      <c r="D8397" s="66"/>
      <c r="E8397" s="66"/>
      <c r="F8397" s="66"/>
    </row>
    <row r="8398" spans="4:6" x14ac:dyDescent="0.35">
      <c r="D8398" s="66"/>
      <c r="E8398" s="66"/>
      <c r="F8398" s="66"/>
    </row>
    <row r="8399" spans="4:6" x14ac:dyDescent="0.35">
      <c r="D8399" s="66"/>
      <c r="E8399" s="66"/>
      <c r="F8399" s="66"/>
    </row>
    <row r="8400" spans="4:6" x14ac:dyDescent="0.35">
      <c r="D8400" s="66"/>
      <c r="E8400" s="66"/>
      <c r="F8400" s="66"/>
    </row>
    <row r="8401" spans="4:6" x14ac:dyDescent="0.35">
      <c r="D8401" s="66"/>
      <c r="E8401" s="66"/>
      <c r="F8401" s="66"/>
    </row>
    <row r="8402" spans="4:6" x14ac:dyDescent="0.35">
      <c r="D8402" s="66"/>
      <c r="E8402" s="66"/>
      <c r="F8402" s="66"/>
    </row>
    <row r="8403" spans="4:6" x14ac:dyDescent="0.35">
      <c r="D8403" s="66"/>
      <c r="E8403" s="66"/>
      <c r="F8403" s="66"/>
    </row>
    <row r="8404" spans="4:6" x14ac:dyDescent="0.35">
      <c r="D8404" s="66"/>
      <c r="E8404" s="66"/>
      <c r="F8404" s="66"/>
    </row>
    <row r="8405" spans="4:6" x14ac:dyDescent="0.35">
      <c r="D8405" s="66"/>
      <c r="E8405" s="66"/>
      <c r="F8405" s="66"/>
    </row>
    <row r="8406" spans="4:6" x14ac:dyDescent="0.35">
      <c r="D8406" s="66"/>
      <c r="E8406" s="66"/>
      <c r="F8406" s="66"/>
    </row>
    <row r="8407" spans="4:6" x14ac:dyDescent="0.35">
      <c r="D8407" s="66"/>
      <c r="E8407" s="66"/>
      <c r="F8407" s="66"/>
    </row>
    <row r="8408" spans="4:6" x14ac:dyDescent="0.35">
      <c r="D8408" s="66"/>
      <c r="E8408" s="66"/>
      <c r="F8408" s="66"/>
    </row>
    <row r="8409" spans="4:6" x14ac:dyDescent="0.35">
      <c r="D8409" s="66"/>
      <c r="E8409" s="66"/>
      <c r="F8409" s="66"/>
    </row>
    <row r="8410" spans="4:6" x14ac:dyDescent="0.35">
      <c r="D8410" s="66"/>
      <c r="E8410" s="66"/>
      <c r="F8410" s="66"/>
    </row>
    <row r="8411" spans="4:6" x14ac:dyDescent="0.35">
      <c r="D8411" s="66"/>
      <c r="E8411" s="66"/>
      <c r="F8411" s="66"/>
    </row>
    <row r="8412" spans="4:6" x14ac:dyDescent="0.35">
      <c r="D8412" s="66"/>
      <c r="E8412" s="66"/>
      <c r="F8412" s="66"/>
    </row>
    <row r="8413" spans="4:6" x14ac:dyDescent="0.35">
      <c r="D8413" s="66"/>
      <c r="E8413" s="66"/>
      <c r="F8413" s="66"/>
    </row>
    <row r="8414" spans="4:6" x14ac:dyDescent="0.35">
      <c r="D8414" s="66"/>
      <c r="E8414" s="66"/>
      <c r="F8414" s="66"/>
    </row>
    <row r="8415" spans="4:6" x14ac:dyDescent="0.35">
      <c r="D8415" s="66"/>
      <c r="E8415" s="66"/>
      <c r="F8415" s="66"/>
    </row>
    <row r="8416" spans="4:6" x14ac:dyDescent="0.35">
      <c r="D8416" s="66"/>
      <c r="E8416" s="66"/>
      <c r="F8416" s="66"/>
    </row>
    <row r="8417" spans="4:6" x14ac:dyDescent="0.35">
      <c r="D8417" s="66"/>
      <c r="E8417" s="66"/>
      <c r="F8417" s="66"/>
    </row>
    <row r="8418" spans="4:6" x14ac:dyDescent="0.35">
      <c r="D8418" s="66"/>
      <c r="E8418" s="66"/>
      <c r="F8418" s="66"/>
    </row>
    <row r="8419" spans="4:6" x14ac:dyDescent="0.35">
      <c r="D8419" s="66"/>
      <c r="E8419" s="66"/>
      <c r="F8419" s="66"/>
    </row>
    <row r="8420" spans="4:6" x14ac:dyDescent="0.35">
      <c r="D8420" s="66"/>
      <c r="E8420" s="66"/>
      <c r="F8420" s="66"/>
    </row>
    <row r="8421" spans="4:6" x14ac:dyDescent="0.35">
      <c r="D8421" s="66"/>
      <c r="E8421" s="66"/>
      <c r="F8421" s="66"/>
    </row>
    <row r="8422" spans="4:6" x14ac:dyDescent="0.35">
      <c r="D8422" s="66"/>
      <c r="E8422" s="66"/>
      <c r="F8422" s="66"/>
    </row>
    <row r="8423" spans="4:6" x14ac:dyDescent="0.35">
      <c r="D8423" s="66"/>
      <c r="E8423" s="66"/>
      <c r="F8423" s="66"/>
    </row>
    <row r="8424" spans="4:6" x14ac:dyDescent="0.35">
      <c r="D8424" s="66"/>
      <c r="E8424" s="66"/>
      <c r="F8424" s="66"/>
    </row>
    <row r="8425" spans="4:6" x14ac:dyDescent="0.35">
      <c r="D8425" s="66"/>
      <c r="E8425" s="66"/>
      <c r="F8425" s="66"/>
    </row>
    <row r="8426" spans="4:6" x14ac:dyDescent="0.35">
      <c r="D8426" s="66"/>
      <c r="E8426" s="66"/>
      <c r="F8426" s="66"/>
    </row>
    <row r="8427" spans="4:6" x14ac:dyDescent="0.35">
      <c r="D8427" s="66"/>
      <c r="E8427" s="66"/>
      <c r="F8427" s="66"/>
    </row>
    <row r="8428" spans="4:6" x14ac:dyDescent="0.35">
      <c r="D8428" s="66"/>
      <c r="E8428" s="66"/>
      <c r="F8428" s="66"/>
    </row>
    <row r="8429" spans="4:6" x14ac:dyDescent="0.35">
      <c r="D8429" s="66"/>
      <c r="E8429" s="66"/>
      <c r="F8429" s="66"/>
    </row>
    <row r="8430" spans="4:6" x14ac:dyDescent="0.35">
      <c r="D8430" s="66"/>
      <c r="E8430" s="66"/>
      <c r="F8430" s="66"/>
    </row>
    <row r="8431" spans="4:6" x14ac:dyDescent="0.35">
      <c r="D8431" s="66"/>
      <c r="E8431" s="66"/>
      <c r="F8431" s="66"/>
    </row>
    <row r="8432" spans="4:6" x14ac:dyDescent="0.35">
      <c r="D8432" s="66"/>
      <c r="E8432" s="66"/>
      <c r="F8432" s="66"/>
    </row>
    <row r="8433" spans="4:6" x14ac:dyDescent="0.35">
      <c r="D8433" s="66"/>
      <c r="E8433" s="66"/>
      <c r="F8433" s="66"/>
    </row>
    <row r="8434" spans="4:6" x14ac:dyDescent="0.35">
      <c r="D8434" s="66"/>
      <c r="E8434" s="66"/>
      <c r="F8434" s="66"/>
    </row>
    <row r="8435" spans="4:6" x14ac:dyDescent="0.35">
      <c r="D8435" s="66"/>
      <c r="E8435" s="66"/>
      <c r="F8435" s="66"/>
    </row>
    <row r="8436" spans="4:6" x14ac:dyDescent="0.35">
      <c r="D8436" s="66"/>
      <c r="E8436" s="66"/>
      <c r="F8436" s="66"/>
    </row>
    <row r="8437" spans="4:6" x14ac:dyDescent="0.35">
      <c r="D8437" s="66"/>
      <c r="E8437" s="66"/>
      <c r="F8437" s="66"/>
    </row>
    <row r="8438" spans="4:6" x14ac:dyDescent="0.35">
      <c r="D8438" s="66"/>
      <c r="E8438" s="66"/>
      <c r="F8438" s="66"/>
    </row>
    <row r="8439" spans="4:6" x14ac:dyDescent="0.35">
      <c r="D8439" s="66"/>
      <c r="E8439" s="66"/>
      <c r="F8439" s="66"/>
    </row>
    <row r="8440" spans="4:6" x14ac:dyDescent="0.35">
      <c r="D8440" s="66"/>
      <c r="E8440" s="66"/>
      <c r="F8440" s="66"/>
    </row>
    <row r="8441" spans="4:6" x14ac:dyDescent="0.35">
      <c r="D8441" s="66"/>
      <c r="E8441" s="66"/>
      <c r="F8441" s="66"/>
    </row>
    <row r="8442" spans="4:6" x14ac:dyDescent="0.35">
      <c r="D8442" s="66"/>
      <c r="E8442" s="66"/>
      <c r="F8442" s="66"/>
    </row>
    <row r="8443" spans="4:6" x14ac:dyDescent="0.35">
      <c r="D8443" s="66"/>
      <c r="E8443" s="66"/>
      <c r="F8443" s="66"/>
    </row>
    <row r="8444" spans="4:6" x14ac:dyDescent="0.35">
      <c r="D8444" s="66"/>
      <c r="E8444" s="66"/>
      <c r="F8444" s="66"/>
    </row>
    <row r="8445" spans="4:6" x14ac:dyDescent="0.35">
      <c r="D8445" s="66"/>
      <c r="E8445" s="66"/>
      <c r="F8445" s="66"/>
    </row>
    <row r="8446" spans="4:6" x14ac:dyDescent="0.35">
      <c r="D8446" s="66"/>
      <c r="E8446" s="66"/>
      <c r="F8446" s="66"/>
    </row>
    <row r="8447" spans="4:6" x14ac:dyDescent="0.35">
      <c r="D8447" s="66"/>
      <c r="E8447" s="66"/>
      <c r="F8447" s="66"/>
    </row>
    <row r="8448" spans="4:6" x14ac:dyDescent="0.35">
      <c r="D8448" s="66"/>
      <c r="E8448" s="66"/>
      <c r="F8448" s="66"/>
    </row>
    <row r="8449" spans="4:6" x14ac:dyDescent="0.35">
      <c r="D8449" s="66"/>
      <c r="E8449" s="66"/>
      <c r="F8449" s="66"/>
    </row>
    <row r="8450" spans="4:6" x14ac:dyDescent="0.35">
      <c r="D8450" s="66"/>
      <c r="E8450" s="66"/>
      <c r="F8450" s="66"/>
    </row>
    <row r="8451" spans="4:6" x14ac:dyDescent="0.35">
      <c r="D8451" s="66"/>
      <c r="E8451" s="66"/>
      <c r="F8451" s="66"/>
    </row>
    <row r="8452" spans="4:6" x14ac:dyDescent="0.35">
      <c r="D8452" s="66"/>
      <c r="E8452" s="66"/>
      <c r="F8452" s="66"/>
    </row>
    <row r="8453" spans="4:6" x14ac:dyDescent="0.35">
      <c r="D8453" s="66"/>
      <c r="E8453" s="66"/>
      <c r="F8453" s="66"/>
    </row>
    <row r="8454" spans="4:6" x14ac:dyDescent="0.35">
      <c r="D8454" s="66"/>
      <c r="E8454" s="66"/>
      <c r="F8454" s="66"/>
    </row>
    <row r="8455" spans="4:6" x14ac:dyDescent="0.35">
      <c r="D8455" s="66"/>
      <c r="E8455" s="66"/>
      <c r="F8455" s="66"/>
    </row>
    <row r="8456" spans="4:6" x14ac:dyDescent="0.35">
      <c r="D8456" s="66"/>
      <c r="E8456" s="66"/>
      <c r="F8456" s="66"/>
    </row>
    <row r="8457" spans="4:6" x14ac:dyDescent="0.35">
      <c r="D8457" s="66"/>
      <c r="E8457" s="66"/>
      <c r="F8457" s="66"/>
    </row>
    <row r="8458" spans="4:6" x14ac:dyDescent="0.35">
      <c r="D8458" s="66"/>
      <c r="E8458" s="66"/>
      <c r="F8458" s="66"/>
    </row>
    <row r="8459" spans="4:6" x14ac:dyDescent="0.35">
      <c r="D8459" s="66"/>
      <c r="E8459" s="66"/>
      <c r="F8459" s="66"/>
    </row>
    <row r="8460" spans="4:6" x14ac:dyDescent="0.35">
      <c r="D8460" s="66"/>
      <c r="E8460" s="66"/>
      <c r="F8460" s="66"/>
    </row>
    <row r="8461" spans="4:6" x14ac:dyDescent="0.35">
      <c r="D8461" s="66"/>
      <c r="E8461" s="66"/>
      <c r="F8461" s="66"/>
    </row>
    <row r="8462" spans="4:6" x14ac:dyDescent="0.35">
      <c r="D8462" s="66"/>
      <c r="E8462" s="66"/>
      <c r="F8462" s="66"/>
    </row>
    <row r="8463" spans="4:6" x14ac:dyDescent="0.35">
      <c r="D8463" s="66"/>
      <c r="E8463" s="66"/>
      <c r="F8463" s="66"/>
    </row>
    <row r="8464" spans="4:6" x14ac:dyDescent="0.35">
      <c r="D8464" s="66"/>
      <c r="E8464" s="66"/>
      <c r="F8464" s="66"/>
    </row>
    <row r="8465" spans="4:6" x14ac:dyDescent="0.35">
      <c r="D8465" s="66"/>
      <c r="E8465" s="66"/>
      <c r="F8465" s="66"/>
    </row>
    <row r="8466" spans="4:6" x14ac:dyDescent="0.35">
      <c r="D8466" s="66"/>
      <c r="E8466" s="66"/>
      <c r="F8466" s="66"/>
    </row>
    <row r="8467" spans="4:6" x14ac:dyDescent="0.35">
      <c r="D8467" s="66"/>
      <c r="E8467" s="66"/>
      <c r="F8467" s="66"/>
    </row>
    <row r="8468" spans="4:6" x14ac:dyDescent="0.35">
      <c r="D8468" s="66"/>
      <c r="E8468" s="66"/>
      <c r="F8468" s="66"/>
    </row>
    <row r="8469" spans="4:6" x14ac:dyDescent="0.35">
      <c r="D8469" s="66"/>
      <c r="E8469" s="66"/>
      <c r="F8469" s="66"/>
    </row>
    <row r="8470" spans="4:6" x14ac:dyDescent="0.35">
      <c r="D8470" s="66"/>
      <c r="E8470" s="66"/>
      <c r="F8470" s="66"/>
    </row>
    <row r="8471" spans="4:6" x14ac:dyDescent="0.35">
      <c r="D8471" s="66"/>
      <c r="E8471" s="66"/>
      <c r="F8471" s="66"/>
    </row>
    <row r="8472" spans="4:6" x14ac:dyDescent="0.35">
      <c r="D8472" s="66"/>
      <c r="E8472" s="66"/>
      <c r="F8472" s="66"/>
    </row>
    <row r="8473" spans="4:6" x14ac:dyDescent="0.35">
      <c r="D8473" s="66"/>
      <c r="E8473" s="66"/>
      <c r="F8473" s="66"/>
    </row>
    <row r="8474" spans="4:6" x14ac:dyDescent="0.35">
      <c r="D8474" s="66"/>
      <c r="E8474" s="66"/>
      <c r="F8474" s="66"/>
    </row>
    <row r="8475" spans="4:6" x14ac:dyDescent="0.35">
      <c r="D8475" s="66"/>
      <c r="E8475" s="66"/>
      <c r="F8475" s="66"/>
    </row>
    <row r="8476" spans="4:6" x14ac:dyDescent="0.35">
      <c r="D8476" s="66"/>
      <c r="E8476" s="66"/>
      <c r="F8476" s="66"/>
    </row>
    <row r="8477" spans="4:6" x14ac:dyDescent="0.35">
      <c r="D8477" s="66"/>
      <c r="E8477" s="66"/>
      <c r="F8477" s="66"/>
    </row>
    <row r="8478" spans="4:6" x14ac:dyDescent="0.35">
      <c r="D8478" s="66"/>
      <c r="E8478" s="66"/>
      <c r="F8478" s="66"/>
    </row>
    <row r="8479" spans="4:6" x14ac:dyDescent="0.35">
      <c r="D8479" s="66"/>
      <c r="E8479" s="66"/>
      <c r="F8479" s="66"/>
    </row>
    <row r="8480" spans="4:6" x14ac:dyDescent="0.35">
      <c r="D8480" s="66"/>
      <c r="E8480" s="66"/>
      <c r="F8480" s="66"/>
    </row>
    <row r="8481" spans="4:6" x14ac:dyDescent="0.35">
      <c r="D8481" s="66"/>
      <c r="E8481" s="66"/>
      <c r="F8481" s="66"/>
    </row>
    <row r="8482" spans="4:6" x14ac:dyDescent="0.35">
      <c r="D8482" s="66"/>
      <c r="E8482" s="66"/>
      <c r="F8482" s="66"/>
    </row>
    <row r="8483" spans="4:6" x14ac:dyDescent="0.35">
      <c r="D8483" s="66"/>
      <c r="E8483" s="66"/>
      <c r="F8483" s="66"/>
    </row>
    <row r="8484" spans="4:6" x14ac:dyDescent="0.35">
      <c r="D8484" s="66"/>
      <c r="E8484" s="66"/>
      <c r="F8484" s="66"/>
    </row>
    <row r="8485" spans="4:6" x14ac:dyDescent="0.35">
      <c r="D8485" s="66"/>
      <c r="E8485" s="66"/>
      <c r="F8485" s="66"/>
    </row>
    <row r="8486" spans="4:6" x14ac:dyDescent="0.35">
      <c r="D8486" s="66"/>
      <c r="E8486" s="66"/>
      <c r="F8486" s="66"/>
    </row>
    <row r="8487" spans="4:6" x14ac:dyDescent="0.35">
      <c r="D8487" s="66"/>
      <c r="E8487" s="66"/>
      <c r="F8487" s="66"/>
    </row>
    <row r="8488" spans="4:6" x14ac:dyDescent="0.35">
      <c r="D8488" s="66"/>
      <c r="E8488" s="66"/>
      <c r="F8488" s="66"/>
    </row>
    <row r="8489" spans="4:6" x14ac:dyDescent="0.35">
      <c r="D8489" s="66"/>
      <c r="E8489" s="66"/>
      <c r="F8489" s="66"/>
    </row>
    <row r="8490" spans="4:6" x14ac:dyDescent="0.35">
      <c r="D8490" s="66"/>
      <c r="E8490" s="66"/>
      <c r="F8490" s="66"/>
    </row>
    <row r="8491" spans="4:6" x14ac:dyDescent="0.35">
      <c r="D8491" s="66"/>
      <c r="E8491" s="66"/>
      <c r="F8491" s="66"/>
    </row>
    <row r="8492" spans="4:6" x14ac:dyDescent="0.35">
      <c r="D8492" s="66"/>
      <c r="E8492" s="66"/>
      <c r="F8492" s="66"/>
    </row>
    <row r="8493" spans="4:6" x14ac:dyDescent="0.35">
      <c r="D8493" s="66"/>
      <c r="E8493" s="66"/>
      <c r="F8493" s="66"/>
    </row>
    <row r="8494" spans="4:6" x14ac:dyDescent="0.35">
      <c r="D8494" s="66"/>
      <c r="E8494" s="66"/>
      <c r="F8494" s="66"/>
    </row>
    <row r="8495" spans="4:6" x14ac:dyDescent="0.35">
      <c r="D8495" s="66"/>
      <c r="E8495" s="66"/>
      <c r="F8495" s="66"/>
    </row>
    <row r="8496" spans="4:6" x14ac:dyDescent="0.35">
      <c r="D8496" s="66"/>
      <c r="E8496" s="66"/>
      <c r="F8496" s="66"/>
    </row>
    <row r="8497" spans="4:6" x14ac:dyDescent="0.35">
      <c r="D8497" s="66"/>
      <c r="E8497" s="66"/>
      <c r="F8497" s="66"/>
    </row>
    <row r="8498" spans="4:6" x14ac:dyDescent="0.35">
      <c r="D8498" s="66"/>
      <c r="E8498" s="66"/>
      <c r="F8498" s="66"/>
    </row>
    <row r="8499" spans="4:6" x14ac:dyDescent="0.35">
      <c r="D8499" s="66"/>
      <c r="E8499" s="66"/>
      <c r="F8499" s="66"/>
    </row>
    <row r="8500" spans="4:6" x14ac:dyDescent="0.35">
      <c r="D8500" s="66"/>
      <c r="E8500" s="66"/>
      <c r="F8500" s="66"/>
    </row>
    <row r="8501" spans="4:6" x14ac:dyDescent="0.35">
      <c r="D8501" s="66"/>
      <c r="E8501" s="66"/>
      <c r="F8501" s="66"/>
    </row>
    <row r="8502" spans="4:6" x14ac:dyDescent="0.35">
      <c r="D8502" s="66"/>
      <c r="E8502" s="66"/>
      <c r="F8502" s="66"/>
    </row>
    <row r="8503" spans="4:6" x14ac:dyDescent="0.35">
      <c r="D8503" s="66"/>
      <c r="E8503" s="66"/>
      <c r="F8503" s="66"/>
    </row>
    <row r="8504" spans="4:6" x14ac:dyDescent="0.35">
      <c r="D8504" s="66"/>
      <c r="E8504" s="66"/>
      <c r="F8504" s="66"/>
    </row>
    <row r="8505" spans="4:6" x14ac:dyDescent="0.35">
      <c r="D8505" s="66"/>
      <c r="E8505" s="66"/>
      <c r="F8505" s="66"/>
    </row>
    <row r="8506" spans="4:6" x14ac:dyDescent="0.35">
      <c r="D8506" s="66"/>
      <c r="E8506" s="66"/>
      <c r="F8506" s="66"/>
    </row>
    <row r="8507" spans="4:6" x14ac:dyDescent="0.35">
      <c r="D8507" s="66"/>
      <c r="E8507" s="66"/>
      <c r="F8507" s="66"/>
    </row>
    <row r="8508" spans="4:6" x14ac:dyDescent="0.35">
      <c r="D8508" s="66"/>
      <c r="E8508" s="66"/>
      <c r="F8508" s="66"/>
    </row>
    <row r="8509" spans="4:6" x14ac:dyDescent="0.35">
      <c r="D8509" s="66"/>
      <c r="E8509" s="66"/>
      <c r="F8509" s="66"/>
    </row>
    <row r="8510" spans="4:6" x14ac:dyDescent="0.35">
      <c r="D8510" s="66"/>
      <c r="E8510" s="66"/>
      <c r="F8510" s="66"/>
    </row>
    <row r="8511" spans="4:6" x14ac:dyDescent="0.35">
      <c r="D8511" s="66"/>
      <c r="E8511" s="66"/>
      <c r="F8511" s="66"/>
    </row>
    <row r="8512" spans="4:6" x14ac:dyDescent="0.35">
      <c r="D8512" s="66"/>
      <c r="E8512" s="66"/>
      <c r="F8512" s="66"/>
    </row>
    <row r="8513" spans="4:6" x14ac:dyDescent="0.35">
      <c r="D8513" s="66"/>
      <c r="E8513" s="66"/>
      <c r="F8513" s="66"/>
    </row>
    <row r="8514" spans="4:6" x14ac:dyDescent="0.35">
      <c r="D8514" s="66"/>
      <c r="E8514" s="66"/>
      <c r="F8514" s="66"/>
    </row>
    <row r="8515" spans="4:6" x14ac:dyDescent="0.35">
      <c r="D8515" s="66"/>
      <c r="E8515" s="66"/>
      <c r="F8515" s="66"/>
    </row>
    <row r="8516" spans="4:6" x14ac:dyDescent="0.35">
      <c r="D8516" s="66"/>
      <c r="E8516" s="66"/>
      <c r="F8516" s="66"/>
    </row>
    <row r="8517" spans="4:6" x14ac:dyDescent="0.35">
      <c r="D8517" s="66"/>
      <c r="E8517" s="66"/>
      <c r="F8517" s="66"/>
    </row>
    <row r="8518" spans="4:6" x14ac:dyDescent="0.35">
      <c r="D8518" s="66"/>
      <c r="E8518" s="66"/>
      <c r="F8518" s="66"/>
    </row>
    <row r="8519" spans="4:6" x14ac:dyDescent="0.35">
      <c r="D8519" s="66"/>
      <c r="E8519" s="66"/>
      <c r="F8519" s="66"/>
    </row>
    <row r="8520" spans="4:6" x14ac:dyDescent="0.35">
      <c r="D8520" s="66"/>
      <c r="E8520" s="66"/>
      <c r="F8520" s="66"/>
    </row>
    <row r="8521" spans="4:6" x14ac:dyDescent="0.35">
      <c r="D8521" s="66"/>
      <c r="E8521" s="66"/>
      <c r="F8521" s="66"/>
    </row>
    <row r="8522" spans="4:6" x14ac:dyDescent="0.35">
      <c r="D8522" s="66"/>
      <c r="E8522" s="66"/>
      <c r="F8522" s="66"/>
    </row>
    <row r="8523" spans="4:6" x14ac:dyDescent="0.35">
      <c r="D8523" s="66"/>
      <c r="E8523" s="66"/>
      <c r="F8523" s="66"/>
    </row>
    <row r="8524" spans="4:6" x14ac:dyDescent="0.35">
      <c r="D8524" s="66"/>
      <c r="E8524" s="66"/>
      <c r="F8524" s="66"/>
    </row>
    <row r="8525" spans="4:6" x14ac:dyDescent="0.35">
      <c r="D8525" s="66"/>
      <c r="E8525" s="66"/>
      <c r="F8525" s="66"/>
    </row>
    <row r="8526" spans="4:6" x14ac:dyDescent="0.35">
      <c r="D8526" s="66"/>
      <c r="E8526" s="66"/>
      <c r="F8526" s="66"/>
    </row>
    <row r="8527" spans="4:6" x14ac:dyDescent="0.35">
      <c r="D8527" s="66"/>
      <c r="E8527" s="66"/>
      <c r="F8527" s="66"/>
    </row>
    <row r="8528" spans="4:6" x14ac:dyDescent="0.35">
      <c r="D8528" s="66"/>
      <c r="E8528" s="66"/>
      <c r="F8528" s="66"/>
    </row>
    <row r="8529" spans="4:6" x14ac:dyDescent="0.35">
      <c r="D8529" s="66"/>
      <c r="E8529" s="66"/>
      <c r="F8529" s="66"/>
    </row>
    <row r="8530" spans="4:6" x14ac:dyDescent="0.35">
      <c r="D8530" s="66"/>
      <c r="E8530" s="66"/>
      <c r="F8530" s="66"/>
    </row>
    <row r="8531" spans="4:6" x14ac:dyDescent="0.35">
      <c r="D8531" s="66"/>
      <c r="E8531" s="66"/>
      <c r="F8531" s="66"/>
    </row>
    <row r="8532" spans="4:6" x14ac:dyDescent="0.35">
      <c r="D8532" s="66"/>
      <c r="E8532" s="66"/>
      <c r="F8532" s="66"/>
    </row>
    <row r="8533" spans="4:6" x14ac:dyDescent="0.35">
      <c r="D8533" s="66"/>
      <c r="E8533" s="66"/>
      <c r="F8533" s="66"/>
    </row>
    <row r="8534" spans="4:6" x14ac:dyDescent="0.35">
      <c r="D8534" s="66"/>
      <c r="E8534" s="66"/>
      <c r="F8534" s="66"/>
    </row>
    <row r="8535" spans="4:6" x14ac:dyDescent="0.35">
      <c r="D8535" s="66"/>
      <c r="E8535" s="66"/>
      <c r="F8535" s="66"/>
    </row>
    <row r="8536" spans="4:6" x14ac:dyDescent="0.35">
      <c r="D8536" s="66"/>
      <c r="E8536" s="66"/>
      <c r="F8536" s="66"/>
    </row>
    <row r="8537" spans="4:6" x14ac:dyDescent="0.35">
      <c r="D8537" s="66"/>
      <c r="E8537" s="66"/>
      <c r="F8537" s="66"/>
    </row>
    <row r="8538" spans="4:6" x14ac:dyDescent="0.35">
      <c r="D8538" s="66"/>
      <c r="E8538" s="66"/>
      <c r="F8538" s="66"/>
    </row>
    <row r="8539" spans="4:6" x14ac:dyDescent="0.35">
      <c r="D8539" s="66"/>
      <c r="E8539" s="66"/>
      <c r="F8539" s="66"/>
    </row>
    <row r="8540" spans="4:6" x14ac:dyDescent="0.35">
      <c r="D8540" s="66"/>
      <c r="E8540" s="66"/>
      <c r="F8540" s="66"/>
    </row>
    <row r="8541" spans="4:6" x14ac:dyDescent="0.35">
      <c r="D8541" s="66"/>
      <c r="E8541" s="66"/>
      <c r="F8541" s="66"/>
    </row>
    <row r="8542" spans="4:6" x14ac:dyDescent="0.35">
      <c r="D8542" s="66"/>
      <c r="E8542" s="66"/>
      <c r="F8542" s="66"/>
    </row>
    <row r="8543" spans="4:6" x14ac:dyDescent="0.35">
      <c r="D8543" s="66"/>
      <c r="E8543" s="66"/>
      <c r="F8543" s="66"/>
    </row>
    <row r="8544" spans="4:6" x14ac:dyDescent="0.35">
      <c r="D8544" s="66"/>
      <c r="E8544" s="66"/>
      <c r="F8544" s="66"/>
    </row>
    <row r="8545" spans="4:6" x14ac:dyDescent="0.35">
      <c r="D8545" s="66"/>
      <c r="E8545" s="66"/>
      <c r="F8545" s="66"/>
    </row>
    <row r="8546" spans="4:6" x14ac:dyDescent="0.35">
      <c r="D8546" s="66"/>
      <c r="E8546" s="66"/>
      <c r="F8546" s="66"/>
    </row>
    <row r="8547" spans="4:6" x14ac:dyDescent="0.35">
      <c r="D8547" s="66"/>
      <c r="E8547" s="66"/>
      <c r="F8547" s="66"/>
    </row>
    <row r="8548" spans="4:6" x14ac:dyDescent="0.35">
      <c r="D8548" s="66"/>
      <c r="E8548" s="66"/>
      <c r="F8548" s="66"/>
    </row>
    <row r="8549" spans="4:6" x14ac:dyDescent="0.35">
      <c r="D8549" s="66"/>
      <c r="E8549" s="66"/>
      <c r="F8549" s="66"/>
    </row>
    <row r="8550" spans="4:6" x14ac:dyDescent="0.35">
      <c r="D8550" s="66"/>
      <c r="E8550" s="66"/>
      <c r="F8550" s="66"/>
    </row>
    <row r="8551" spans="4:6" x14ac:dyDescent="0.35">
      <c r="D8551" s="66"/>
      <c r="E8551" s="66"/>
      <c r="F8551" s="66"/>
    </row>
    <row r="8552" spans="4:6" x14ac:dyDescent="0.35">
      <c r="D8552" s="66"/>
      <c r="E8552" s="66"/>
      <c r="F8552" s="66"/>
    </row>
    <row r="8553" spans="4:6" x14ac:dyDescent="0.35">
      <c r="D8553" s="66"/>
      <c r="E8553" s="66"/>
      <c r="F8553" s="66"/>
    </row>
    <row r="8554" spans="4:6" x14ac:dyDescent="0.35">
      <c r="D8554" s="66"/>
      <c r="E8554" s="66"/>
      <c r="F8554" s="66"/>
    </row>
    <row r="8555" spans="4:6" x14ac:dyDescent="0.35">
      <c r="D8555" s="66"/>
      <c r="E8555" s="66"/>
      <c r="F8555" s="66"/>
    </row>
    <row r="8556" spans="4:6" x14ac:dyDescent="0.35">
      <c r="D8556" s="66"/>
      <c r="E8556" s="66"/>
      <c r="F8556" s="66"/>
    </row>
    <row r="8557" spans="4:6" x14ac:dyDescent="0.35">
      <c r="D8557" s="66"/>
      <c r="E8557" s="66"/>
      <c r="F8557" s="66"/>
    </row>
    <row r="8558" spans="4:6" x14ac:dyDescent="0.35">
      <c r="D8558" s="66"/>
      <c r="E8558" s="66"/>
      <c r="F8558" s="66"/>
    </row>
    <row r="8559" spans="4:6" x14ac:dyDescent="0.35">
      <c r="D8559" s="66"/>
      <c r="E8559" s="66"/>
      <c r="F8559" s="66"/>
    </row>
    <row r="8560" spans="4:6" x14ac:dyDescent="0.35">
      <c r="D8560" s="66"/>
      <c r="E8560" s="66"/>
      <c r="F8560" s="66"/>
    </row>
    <row r="8561" spans="4:6" x14ac:dyDescent="0.35">
      <c r="D8561" s="66"/>
      <c r="E8561" s="66"/>
      <c r="F8561" s="66"/>
    </row>
    <row r="8562" spans="4:6" x14ac:dyDescent="0.35">
      <c r="D8562" s="66"/>
      <c r="E8562" s="66"/>
      <c r="F8562" s="66"/>
    </row>
    <row r="8563" spans="4:6" x14ac:dyDescent="0.35">
      <c r="D8563" s="66"/>
      <c r="E8563" s="66"/>
      <c r="F8563" s="66"/>
    </row>
    <row r="8564" spans="4:6" x14ac:dyDescent="0.35">
      <c r="D8564" s="66"/>
      <c r="E8564" s="66"/>
      <c r="F8564" s="66"/>
    </row>
    <row r="8565" spans="4:6" x14ac:dyDescent="0.35">
      <c r="D8565" s="66"/>
      <c r="E8565" s="66"/>
      <c r="F8565" s="66"/>
    </row>
    <row r="8566" spans="4:6" x14ac:dyDescent="0.35">
      <c r="D8566" s="66"/>
      <c r="E8566" s="66"/>
      <c r="F8566" s="66"/>
    </row>
    <row r="8567" spans="4:6" x14ac:dyDescent="0.35">
      <c r="D8567" s="66"/>
      <c r="E8567" s="66"/>
      <c r="F8567" s="66"/>
    </row>
    <row r="8568" spans="4:6" x14ac:dyDescent="0.35">
      <c r="D8568" s="66"/>
      <c r="E8568" s="66"/>
      <c r="F8568" s="66"/>
    </row>
    <row r="8569" spans="4:6" x14ac:dyDescent="0.35">
      <c r="D8569" s="66"/>
      <c r="E8569" s="66"/>
      <c r="F8569" s="66"/>
    </row>
    <row r="8570" spans="4:6" x14ac:dyDescent="0.35">
      <c r="D8570" s="66"/>
      <c r="E8570" s="66"/>
      <c r="F8570" s="66"/>
    </row>
    <row r="8571" spans="4:6" x14ac:dyDescent="0.35">
      <c r="D8571" s="66"/>
      <c r="E8571" s="66"/>
      <c r="F8571" s="66"/>
    </row>
    <row r="8572" spans="4:6" x14ac:dyDescent="0.35">
      <c r="D8572" s="66"/>
      <c r="E8572" s="66"/>
      <c r="F8572" s="66"/>
    </row>
    <row r="8573" spans="4:6" x14ac:dyDescent="0.35">
      <c r="D8573" s="66"/>
      <c r="E8573" s="66"/>
      <c r="F8573" s="66"/>
    </row>
    <row r="8574" spans="4:6" x14ac:dyDescent="0.35">
      <c r="D8574" s="66"/>
      <c r="E8574" s="66"/>
      <c r="F8574" s="66"/>
    </row>
    <row r="8575" spans="4:6" x14ac:dyDescent="0.35">
      <c r="D8575" s="66"/>
      <c r="E8575" s="66"/>
      <c r="F8575" s="66"/>
    </row>
    <row r="8576" spans="4:6" x14ac:dyDescent="0.35">
      <c r="D8576" s="66"/>
      <c r="E8576" s="66"/>
      <c r="F8576" s="66"/>
    </row>
    <row r="8577" spans="4:6" x14ac:dyDescent="0.35">
      <c r="D8577" s="66"/>
      <c r="E8577" s="66"/>
      <c r="F8577" s="66"/>
    </row>
    <row r="8578" spans="4:6" x14ac:dyDescent="0.35">
      <c r="D8578" s="66"/>
      <c r="E8578" s="66"/>
      <c r="F8578" s="66"/>
    </row>
    <row r="8579" spans="4:6" x14ac:dyDescent="0.35">
      <c r="D8579" s="66"/>
      <c r="E8579" s="66"/>
      <c r="F8579" s="66"/>
    </row>
    <row r="8580" spans="4:6" x14ac:dyDescent="0.35">
      <c r="D8580" s="66"/>
      <c r="E8580" s="66"/>
      <c r="F8580" s="66"/>
    </row>
    <row r="8581" spans="4:6" x14ac:dyDescent="0.35">
      <c r="D8581" s="66"/>
      <c r="E8581" s="66"/>
      <c r="F8581" s="66"/>
    </row>
    <row r="8582" spans="4:6" x14ac:dyDescent="0.35">
      <c r="D8582" s="66"/>
      <c r="E8582" s="66"/>
      <c r="F8582" s="66"/>
    </row>
    <row r="8583" spans="4:6" x14ac:dyDescent="0.35">
      <c r="D8583" s="66"/>
      <c r="E8583" s="66"/>
      <c r="F8583" s="66"/>
    </row>
    <row r="8584" spans="4:6" x14ac:dyDescent="0.35">
      <c r="D8584" s="66"/>
      <c r="E8584" s="66"/>
      <c r="F8584" s="66"/>
    </row>
    <row r="8585" spans="4:6" x14ac:dyDescent="0.35">
      <c r="D8585" s="66"/>
      <c r="E8585" s="66"/>
      <c r="F8585" s="66"/>
    </row>
    <row r="8586" spans="4:6" x14ac:dyDescent="0.35">
      <c r="D8586" s="66"/>
      <c r="E8586" s="66"/>
      <c r="F8586" s="66"/>
    </row>
    <row r="8587" spans="4:6" x14ac:dyDescent="0.35">
      <c r="D8587" s="66"/>
      <c r="E8587" s="66"/>
      <c r="F8587" s="66"/>
    </row>
    <row r="8588" spans="4:6" x14ac:dyDescent="0.35">
      <c r="D8588" s="66"/>
      <c r="E8588" s="66"/>
      <c r="F8588" s="66"/>
    </row>
    <row r="8589" spans="4:6" x14ac:dyDescent="0.35">
      <c r="D8589" s="66"/>
      <c r="E8589" s="66"/>
      <c r="F8589" s="66"/>
    </row>
    <row r="8590" spans="4:6" x14ac:dyDescent="0.35">
      <c r="D8590" s="66"/>
      <c r="E8590" s="66"/>
      <c r="F8590" s="66"/>
    </row>
    <row r="8591" spans="4:6" x14ac:dyDescent="0.35">
      <c r="D8591" s="66"/>
      <c r="E8591" s="66"/>
      <c r="F8591" s="66"/>
    </row>
    <row r="8592" spans="4:6" x14ac:dyDescent="0.35">
      <c r="D8592" s="66"/>
      <c r="E8592" s="66"/>
      <c r="F8592" s="66"/>
    </row>
    <row r="8593" spans="4:6" x14ac:dyDescent="0.35">
      <c r="D8593" s="66"/>
      <c r="E8593" s="66"/>
      <c r="F8593" s="66"/>
    </row>
    <row r="8594" spans="4:6" x14ac:dyDescent="0.35">
      <c r="D8594" s="66"/>
      <c r="E8594" s="66"/>
      <c r="F8594" s="66"/>
    </row>
    <row r="8595" spans="4:6" x14ac:dyDescent="0.35">
      <c r="D8595" s="66"/>
      <c r="E8595" s="66"/>
      <c r="F8595" s="66"/>
    </row>
    <row r="8596" spans="4:6" x14ac:dyDescent="0.35">
      <c r="D8596" s="66"/>
      <c r="E8596" s="66"/>
      <c r="F8596" s="66"/>
    </row>
    <row r="8597" spans="4:6" x14ac:dyDescent="0.35">
      <c r="D8597" s="66"/>
      <c r="E8597" s="66"/>
      <c r="F8597" s="66"/>
    </row>
    <row r="8598" spans="4:6" x14ac:dyDescent="0.35">
      <c r="D8598" s="66"/>
      <c r="E8598" s="66"/>
      <c r="F8598" s="66"/>
    </row>
    <row r="8599" spans="4:6" x14ac:dyDescent="0.35">
      <c r="D8599" s="66"/>
      <c r="E8599" s="66"/>
      <c r="F8599" s="66"/>
    </row>
    <row r="8600" spans="4:6" x14ac:dyDescent="0.35">
      <c r="D8600" s="66"/>
      <c r="E8600" s="66"/>
      <c r="F8600" s="66"/>
    </row>
    <row r="8601" spans="4:6" x14ac:dyDescent="0.35">
      <c r="D8601" s="66"/>
      <c r="E8601" s="66"/>
      <c r="F8601" s="66"/>
    </row>
    <row r="8602" spans="4:6" x14ac:dyDescent="0.35">
      <c r="D8602" s="66"/>
      <c r="E8602" s="66"/>
      <c r="F8602" s="66"/>
    </row>
    <row r="8603" spans="4:6" x14ac:dyDescent="0.35">
      <c r="D8603" s="66"/>
      <c r="E8603" s="66"/>
      <c r="F8603" s="66"/>
    </row>
    <row r="8604" spans="4:6" x14ac:dyDescent="0.35">
      <c r="D8604" s="66"/>
      <c r="E8604" s="66"/>
      <c r="F8604" s="66"/>
    </row>
    <row r="8605" spans="4:6" x14ac:dyDescent="0.35">
      <c r="D8605" s="66"/>
      <c r="E8605" s="66"/>
      <c r="F8605" s="66"/>
    </row>
    <row r="8606" spans="4:6" x14ac:dyDescent="0.35">
      <c r="D8606" s="66"/>
      <c r="E8606" s="66"/>
      <c r="F8606" s="66"/>
    </row>
    <row r="8607" spans="4:6" x14ac:dyDescent="0.35">
      <c r="D8607" s="66"/>
      <c r="E8607" s="66"/>
      <c r="F8607" s="66"/>
    </row>
    <row r="8608" spans="4:6" x14ac:dyDescent="0.35">
      <c r="D8608" s="66"/>
      <c r="E8608" s="66"/>
      <c r="F8608" s="66"/>
    </row>
    <row r="8609" spans="4:6" x14ac:dyDescent="0.35">
      <c r="D8609" s="66"/>
      <c r="E8609" s="66"/>
      <c r="F8609" s="66"/>
    </row>
    <row r="8610" spans="4:6" x14ac:dyDescent="0.35">
      <c r="D8610" s="66"/>
      <c r="E8610" s="66"/>
      <c r="F8610" s="66"/>
    </row>
    <row r="8611" spans="4:6" x14ac:dyDescent="0.35">
      <c r="D8611" s="66"/>
      <c r="E8611" s="66"/>
      <c r="F8611" s="66"/>
    </row>
    <row r="8612" spans="4:6" x14ac:dyDescent="0.35">
      <c r="D8612" s="66"/>
      <c r="E8612" s="66"/>
      <c r="F8612" s="66"/>
    </row>
    <row r="8613" spans="4:6" x14ac:dyDescent="0.35">
      <c r="D8613" s="66"/>
      <c r="E8613" s="66"/>
      <c r="F8613" s="66"/>
    </row>
    <row r="8614" spans="4:6" x14ac:dyDescent="0.35">
      <c r="D8614" s="66"/>
      <c r="E8614" s="66"/>
      <c r="F8614" s="66"/>
    </row>
    <row r="8615" spans="4:6" x14ac:dyDescent="0.35">
      <c r="D8615" s="66"/>
      <c r="E8615" s="66"/>
      <c r="F8615" s="66"/>
    </row>
    <row r="8616" spans="4:6" x14ac:dyDescent="0.35">
      <c r="D8616" s="66"/>
      <c r="E8616" s="66"/>
      <c r="F8616" s="66"/>
    </row>
    <row r="8617" spans="4:6" x14ac:dyDescent="0.35">
      <c r="D8617" s="66"/>
      <c r="E8617" s="66"/>
      <c r="F8617" s="66"/>
    </row>
    <row r="8618" spans="4:6" x14ac:dyDescent="0.35">
      <c r="D8618" s="66"/>
      <c r="E8618" s="66"/>
      <c r="F8618" s="66"/>
    </row>
    <row r="8619" spans="4:6" x14ac:dyDescent="0.35">
      <c r="D8619" s="66"/>
      <c r="E8619" s="66"/>
      <c r="F8619" s="66"/>
    </row>
    <row r="8620" spans="4:6" x14ac:dyDescent="0.35">
      <c r="D8620" s="66"/>
      <c r="E8620" s="66"/>
      <c r="F8620" s="66"/>
    </row>
    <row r="8621" spans="4:6" x14ac:dyDescent="0.35">
      <c r="D8621" s="66"/>
      <c r="E8621" s="66"/>
      <c r="F8621" s="66"/>
    </row>
    <row r="8622" spans="4:6" x14ac:dyDescent="0.35">
      <c r="D8622" s="66"/>
      <c r="E8622" s="66"/>
      <c r="F8622" s="66"/>
    </row>
    <row r="8623" spans="4:6" x14ac:dyDescent="0.35">
      <c r="D8623" s="66"/>
      <c r="E8623" s="66"/>
      <c r="F8623" s="66"/>
    </row>
    <row r="8624" spans="4:6" x14ac:dyDescent="0.35">
      <c r="D8624" s="66"/>
      <c r="E8624" s="66"/>
      <c r="F8624" s="66"/>
    </row>
    <row r="8625" spans="4:6" x14ac:dyDescent="0.35">
      <c r="D8625" s="66"/>
      <c r="E8625" s="66"/>
      <c r="F8625" s="66"/>
    </row>
    <row r="8626" spans="4:6" x14ac:dyDescent="0.35">
      <c r="D8626" s="66"/>
      <c r="E8626" s="66"/>
      <c r="F8626" s="66"/>
    </row>
    <row r="8627" spans="4:6" x14ac:dyDescent="0.35">
      <c r="D8627" s="66"/>
      <c r="E8627" s="66"/>
      <c r="F8627" s="66"/>
    </row>
    <row r="8628" spans="4:6" x14ac:dyDescent="0.35">
      <c r="D8628" s="66"/>
      <c r="E8628" s="66"/>
      <c r="F8628" s="66"/>
    </row>
    <row r="8629" spans="4:6" x14ac:dyDescent="0.35">
      <c r="D8629" s="66"/>
      <c r="E8629" s="66"/>
      <c r="F8629" s="66"/>
    </row>
    <row r="8630" spans="4:6" x14ac:dyDescent="0.35">
      <c r="D8630" s="66"/>
      <c r="E8630" s="66"/>
      <c r="F8630" s="66"/>
    </row>
    <row r="8631" spans="4:6" x14ac:dyDescent="0.35">
      <c r="D8631" s="66"/>
      <c r="E8631" s="66"/>
      <c r="F8631" s="66"/>
    </row>
    <row r="8632" spans="4:6" x14ac:dyDescent="0.35">
      <c r="D8632" s="66"/>
      <c r="E8632" s="66"/>
      <c r="F8632" s="66"/>
    </row>
    <row r="8633" spans="4:6" x14ac:dyDescent="0.35">
      <c r="D8633" s="66"/>
      <c r="E8633" s="66"/>
      <c r="F8633" s="66"/>
    </row>
    <row r="8634" spans="4:6" x14ac:dyDescent="0.35">
      <c r="D8634" s="66"/>
      <c r="E8634" s="66"/>
      <c r="F8634" s="66"/>
    </row>
    <row r="8635" spans="4:6" x14ac:dyDescent="0.35">
      <c r="D8635" s="66"/>
      <c r="E8635" s="66"/>
      <c r="F8635" s="66"/>
    </row>
    <row r="8636" spans="4:6" x14ac:dyDescent="0.35">
      <c r="D8636" s="66"/>
      <c r="E8636" s="66"/>
      <c r="F8636" s="66"/>
    </row>
    <row r="8637" spans="4:6" x14ac:dyDescent="0.35">
      <c r="D8637" s="66"/>
      <c r="E8637" s="66"/>
      <c r="F8637" s="66"/>
    </row>
    <row r="8638" spans="4:6" x14ac:dyDescent="0.35">
      <c r="D8638" s="66"/>
      <c r="E8638" s="66"/>
      <c r="F8638" s="66"/>
    </row>
    <row r="8639" spans="4:6" x14ac:dyDescent="0.35">
      <c r="D8639" s="66"/>
      <c r="E8639" s="66"/>
      <c r="F8639" s="66"/>
    </row>
    <row r="8640" spans="4:6" x14ac:dyDescent="0.35">
      <c r="D8640" s="66"/>
      <c r="E8640" s="66"/>
      <c r="F8640" s="66"/>
    </row>
    <row r="8641" spans="4:6" x14ac:dyDescent="0.35">
      <c r="D8641" s="66"/>
      <c r="E8641" s="66"/>
      <c r="F8641" s="66"/>
    </row>
    <row r="8642" spans="4:6" x14ac:dyDescent="0.35">
      <c r="D8642" s="66"/>
      <c r="E8642" s="66"/>
      <c r="F8642" s="66"/>
    </row>
    <row r="8643" spans="4:6" x14ac:dyDescent="0.35">
      <c r="D8643" s="66"/>
      <c r="E8643" s="66"/>
      <c r="F8643" s="66"/>
    </row>
    <row r="8644" spans="4:6" x14ac:dyDescent="0.35">
      <c r="D8644" s="66"/>
      <c r="E8644" s="66"/>
      <c r="F8644" s="66"/>
    </row>
    <row r="8645" spans="4:6" x14ac:dyDescent="0.35">
      <c r="D8645" s="66"/>
      <c r="E8645" s="66"/>
      <c r="F8645" s="66"/>
    </row>
    <row r="8646" spans="4:6" x14ac:dyDescent="0.35">
      <c r="D8646" s="66"/>
      <c r="E8646" s="66"/>
      <c r="F8646" s="66"/>
    </row>
    <row r="8647" spans="4:6" x14ac:dyDescent="0.35">
      <c r="D8647" s="66"/>
      <c r="E8647" s="66"/>
      <c r="F8647" s="66"/>
    </row>
    <row r="8648" spans="4:6" x14ac:dyDescent="0.35">
      <c r="D8648" s="66"/>
      <c r="E8648" s="66"/>
      <c r="F8648" s="66"/>
    </row>
    <row r="8649" spans="4:6" x14ac:dyDescent="0.35">
      <c r="D8649" s="66"/>
      <c r="E8649" s="66"/>
      <c r="F8649" s="66"/>
    </row>
    <row r="8650" spans="4:6" x14ac:dyDescent="0.35">
      <c r="D8650" s="66"/>
      <c r="E8650" s="66"/>
      <c r="F8650" s="66"/>
    </row>
    <row r="8651" spans="4:6" x14ac:dyDescent="0.35">
      <c r="D8651" s="66"/>
      <c r="E8651" s="66"/>
      <c r="F8651" s="66"/>
    </row>
    <row r="8652" spans="4:6" x14ac:dyDescent="0.35">
      <c r="D8652" s="66"/>
      <c r="E8652" s="66"/>
      <c r="F8652" s="66"/>
    </row>
    <row r="8653" spans="4:6" x14ac:dyDescent="0.35">
      <c r="D8653" s="66"/>
      <c r="E8653" s="66"/>
      <c r="F8653" s="66"/>
    </row>
    <row r="8654" spans="4:6" x14ac:dyDescent="0.35">
      <c r="D8654" s="66"/>
      <c r="E8654" s="66"/>
      <c r="F8654" s="66"/>
    </row>
    <row r="8655" spans="4:6" x14ac:dyDescent="0.35">
      <c r="D8655" s="66"/>
      <c r="E8655" s="66"/>
      <c r="F8655" s="66"/>
    </row>
    <row r="8656" spans="4:6" x14ac:dyDescent="0.35">
      <c r="D8656" s="66"/>
      <c r="E8656" s="66"/>
      <c r="F8656" s="66"/>
    </row>
    <row r="8657" spans="4:6" x14ac:dyDescent="0.35">
      <c r="D8657" s="66"/>
      <c r="E8657" s="66"/>
      <c r="F8657" s="66"/>
    </row>
    <row r="8658" spans="4:6" x14ac:dyDescent="0.35">
      <c r="D8658" s="66"/>
      <c r="E8658" s="66"/>
      <c r="F8658" s="66"/>
    </row>
    <row r="8659" spans="4:6" x14ac:dyDescent="0.35">
      <c r="D8659" s="66"/>
      <c r="E8659" s="66"/>
      <c r="F8659" s="66"/>
    </row>
    <row r="8660" spans="4:6" x14ac:dyDescent="0.35">
      <c r="D8660" s="66"/>
      <c r="E8660" s="66"/>
      <c r="F8660" s="66"/>
    </row>
    <row r="8661" spans="4:6" x14ac:dyDescent="0.35">
      <c r="D8661" s="66"/>
      <c r="E8661" s="66"/>
      <c r="F8661" s="66"/>
    </row>
    <row r="8662" spans="4:6" x14ac:dyDescent="0.35">
      <c r="D8662" s="66"/>
      <c r="E8662" s="66"/>
      <c r="F8662" s="66"/>
    </row>
    <row r="8663" spans="4:6" x14ac:dyDescent="0.35">
      <c r="D8663" s="66"/>
      <c r="E8663" s="66"/>
      <c r="F8663" s="66"/>
    </row>
    <row r="8664" spans="4:6" x14ac:dyDescent="0.35">
      <c r="D8664" s="66"/>
      <c r="E8664" s="66"/>
      <c r="F8664" s="66"/>
    </row>
    <row r="8665" spans="4:6" x14ac:dyDescent="0.35">
      <c r="D8665" s="66"/>
      <c r="E8665" s="66"/>
      <c r="F8665" s="66"/>
    </row>
    <row r="8666" spans="4:6" x14ac:dyDescent="0.35">
      <c r="D8666" s="66"/>
      <c r="E8666" s="66"/>
      <c r="F8666" s="66"/>
    </row>
    <row r="8667" spans="4:6" x14ac:dyDescent="0.35">
      <c r="D8667" s="66"/>
      <c r="E8667" s="66"/>
      <c r="F8667" s="66"/>
    </row>
    <row r="8668" spans="4:6" x14ac:dyDescent="0.35">
      <c r="D8668" s="66"/>
      <c r="E8668" s="66"/>
      <c r="F8668" s="66"/>
    </row>
    <row r="8669" spans="4:6" x14ac:dyDescent="0.35">
      <c r="D8669" s="66"/>
      <c r="E8669" s="66"/>
      <c r="F8669" s="66"/>
    </row>
    <row r="8670" spans="4:6" x14ac:dyDescent="0.35">
      <c r="D8670" s="66"/>
      <c r="E8670" s="66"/>
      <c r="F8670" s="66"/>
    </row>
    <row r="8671" spans="4:6" x14ac:dyDescent="0.35">
      <c r="D8671" s="66"/>
      <c r="E8671" s="66"/>
      <c r="F8671" s="66"/>
    </row>
    <row r="8672" spans="4:6" x14ac:dyDescent="0.35">
      <c r="D8672" s="66"/>
      <c r="E8672" s="66"/>
      <c r="F8672" s="66"/>
    </row>
    <row r="8673" spans="4:6" x14ac:dyDescent="0.35">
      <c r="D8673" s="66"/>
      <c r="E8673" s="66"/>
      <c r="F8673" s="66"/>
    </row>
    <row r="8674" spans="4:6" x14ac:dyDescent="0.35">
      <c r="D8674" s="66"/>
      <c r="E8674" s="66"/>
      <c r="F8674" s="66"/>
    </row>
    <row r="8675" spans="4:6" x14ac:dyDescent="0.35">
      <c r="D8675" s="66"/>
      <c r="E8675" s="66"/>
      <c r="F8675" s="66"/>
    </row>
    <row r="8676" spans="4:6" x14ac:dyDescent="0.35">
      <c r="D8676" s="66"/>
      <c r="E8676" s="66"/>
      <c r="F8676" s="66"/>
    </row>
    <row r="8677" spans="4:6" x14ac:dyDescent="0.35">
      <c r="D8677" s="66"/>
      <c r="E8677" s="66"/>
      <c r="F8677" s="66"/>
    </row>
    <row r="8678" spans="4:6" x14ac:dyDescent="0.35">
      <c r="D8678" s="66"/>
      <c r="E8678" s="66"/>
      <c r="F8678" s="66"/>
    </row>
    <row r="8679" spans="4:6" x14ac:dyDescent="0.35">
      <c r="D8679" s="66"/>
      <c r="E8679" s="66"/>
      <c r="F8679" s="66"/>
    </row>
    <row r="8680" spans="4:6" x14ac:dyDescent="0.35">
      <c r="D8680" s="66"/>
      <c r="E8680" s="66"/>
      <c r="F8680" s="66"/>
    </row>
    <row r="8681" spans="4:6" x14ac:dyDescent="0.35">
      <c r="D8681" s="66"/>
      <c r="E8681" s="66"/>
      <c r="F8681" s="66"/>
    </row>
    <row r="8682" spans="4:6" x14ac:dyDescent="0.35">
      <c r="D8682" s="66"/>
      <c r="E8682" s="66"/>
      <c r="F8682" s="66"/>
    </row>
    <row r="8683" spans="4:6" x14ac:dyDescent="0.35">
      <c r="D8683" s="66"/>
      <c r="E8683" s="66"/>
      <c r="F8683" s="66"/>
    </row>
    <row r="8684" spans="4:6" x14ac:dyDescent="0.35">
      <c r="D8684" s="66"/>
      <c r="E8684" s="66"/>
      <c r="F8684" s="66"/>
    </row>
    <row r="8685" spans="4:6" x14ac:dyDescent="0.35">
      <c r="D8685" s="66"/>
      <c r="E8685" s="66"/>
      <c r="F8685" s="66"/>
    </row>
    <row r="8686" spans="4:6" x14ac:dyDescent="0.35">
      <c r="D8686" s="66"/>
      <c r="E8686" s="66"/>
      <c r="F8686" s="66"/>
    </row>
    <row r="8687" spans="4:6" x14ac:dyDescent="0.35">
      <c r="D8687" s="66"/>
      <c r="E8687" s="66"/>
      <c r="F8687" s="66"/>
    </row>
    <row r="8688" spans="4:6" x14ac:dyDescent="0.35">
      <c r="D8688" s="66"/>
      <c r="E8688" s="66"/>
      <c r="F8688" s="66"/>
    </row>
    <row r="8689" spans="4:6" x14ac:dyDescent="0.35">
      <c r="D8689" s="66"/>
      <c r="E8689" s="66"/>
      <c r="F8689" s="66"/>
    </row>
    <row r="8690" spans="4:6" x14ac:dyDescent="0.35">
      <c r="D8690" s="66"/>
      <c r="E8690" s="66"/>
      <c r="F8690" s="66"/>
    </row>
    <row r="8691" spans="4:6" x14ac:dyDescent="0.35">
      <c r="D8691" s="66"/>
      <c r="E8691" s="66"/>
      <c r="F8691" s="66"/>
    </row>
    <row r="8692" spans="4:6" x14ac:dyDescent="0.35">
      <c r="D8692" s="66"/>
      <c r="E8692" s="66"/>
      <c r="F8692" s="66"/>
    </row>
    <row r="8693" spans="4:6" x14ac:dyDescent="0.35">
      <c r="D8693" s="66"/>
      <c r="E8693" s="66"/>
      <c r="F8693" s="66"/>
    </row>
    <row r="8694" spans="4:6" x14ac:dyDescent="0.35">
      <c r="D8694" s="66"/>
      <c r="E8694" s="66"/>
      <c r="F8694" s="66"/>
    </row>
    <row r="8695" spans="4:6" x14ac:dyDescent="0.35">
      <c r="D8695" s="66"/>
      <c r="E8695" s="66"/>
      <c r="F8695" s="66"/>
    </row>
    <row r="8696" spans="4:6" x14ac:dyDescent="0.35">
      <c r="D8696" s="66"/>
      <c r="E8696" s="66"/>
      <c r="F8696" s="66"/>
    </row>
    <row r="8697" spans="4:6" x14ac:dyDescent="0.35">
      <c r="D8697" s="66"/>
      <c r="E8697" s="66"/>
      <c r="F8697" s="66"/>
    </row>
    <row r="8698" spans="4:6" x14ac:dyDescent="0.35">
      <c r="D8698" s="66"/>
      <c r="E8698" s="66"/>
      <c r="F8698" s="66"/>
    </row>
    <row r="8699" spans="4:6" x14ac:dyDescent="0.35">
      <c r="D8699" s="66"/>
      <c r="E8699" s="66"/>
      <c r="F8699" s="66"/>
    </row>
    <row r="8700" spans="4:6" x14ac:dyDescent="0.35">
      <c r="D8700" s="66"/>
      <c r="E8700" s="66"/>
      <c r="F8700" s="66"/>
    </row>
    <row r="8701" spans="4:6" x14ac:dyDescent="0.35">
      <c r="D8701" s="66"/>
      <c r="E8701" s="66"/>
      <c r="F8701" s="66"/>
    </row>
    <row r="8702" spans="4:6" x14ac:dyDescent="0.35">
      <c r="D8702" s="66"/>
      <c r="E8702" s="66"/>
      <c r="F8702" s="66"/>
    </row>
    <row r="8703" spans="4:6" x14ac:dyDescent="0.35">
      <c r="D8703" s="66"/>
      <c r="E8703" s="66"/>
      <c r="F8703" s="66"/>
    </row>
    <row r="8704" spans="4:6" x14ac:dyDescent="0.35">
      <c r="D8704" s="66"/>
      <c r="E8704" s="66"/>
      <c r="F8704" s="66"/>
    </row>
    <row r="8705" spans="4:6" x14ac:dyDescent="0.35">
      <c r="D8705" s="66"/>
      <c r="E8705" s="66"/>
      <c r="F8705" s="66"/>
    </row>
    <row r="8706" spans="4:6" x14ac:dyDescent="0.35">
      <c r="D8706" s="66"/>
      <c r="E8706" s="66"/>
      <c r="F8706" s="66"/>
    </row>
    <row r="8707" spans="4:6" x14ac:dyDescent="0.35">
      <c r="D8707" s="66"/>
      <c r="E8707" s="66"/>
      <c r="F8707" s="66"/>
    </row>
    <row r="8708" spans="4:6" x14ac:dyDescent="0.35">
      <c r="D8708" s="66"/>
      <c r="E8708" s="66"/>
      <c r="F8708" s="66"/>
    </row>
    <row r="8709" spans="4:6" x14ac:dyDescent="0.35">
      <c r="D8709" s="66"/>
      <c r="E8709" s="66"/>
      <c r="F8709" s="66"/>
    </row>
    <row r="8710" spans="4:6" x14ac:dyDescent="0.35">
      <c r="D8710" s="66"/>
      <c r="E8710" s="66"/>
      <c r="F8710" s="66"/>
    </row>
    <row r="8711" spans="4:6" x14ac:dyDescent="0.35">
      <c r="D8711" s="66"/>
      <c r="E8711" s="66"/>
      <c r="F8711" s="66"/>
    </row>
    <row r="8712" spans="4:6" x14ac:dyDescent="0.35">
      <c r="D8712" s="66"/>
      <c r="E8712" s="66"/>
      <c r="F8712" s="66"/>
    </row>
    <row r="8713" spans="4:6" x14ac:dyDescent="0.35">
      <c r="D8713" s="66"/>
      <c r="E8713" s="66"/>
      <c r="F8713" s="66"/>
    </row>
    <row r="8714" spans="4:6" x14ac:dyDescent="0.35">
      <c r="D8714" s="66"/>
      <c r="E8714" s="66"/>
      <c r="F8714" s="66"/>
    </row>
    <row r="8715" spans="4:6" x14ac:dyDescent="0.35">
      <c r="D8715" s="66"/>
      <c r="E8715" s="66"/>
      <c r="F8715" s="66"/>
    </row>
    <row r="8716" spans="4:6" x14ac:dyDescent="0.35">
      <c r="D8716" s="66"/>
      <c r="E8716" s="66"/>
      <c r="F8716" s="66"/>
    </row>
    <row r="8717" spans="4:6" x14ac:dyDescent="0.35">
      <c r="D8717" s="66"/>
      <c r="E8717" s="66"/>
      <c r="F8717" s="66"/>
    </row>
    <row r="8718" spans="4:6" x14ac:dyDescent="0.35">
      <c r="D8718" s="66"/>
      <c r="E8718" s="66"/>
      <c r="F8718" s="66"/>
    </row>
    <row r="8719" spans="4:6" x14ac:dyDescent="0.35">
      <c r="D8719" s="66"/>
      <c r="E8719" s="66"/>
      <c r="F8719" s="66"/>
    </row>
    <row r="8720" spans="4:6" x14ac:dyDescent="0.35">
      <c r="D8720" s="66"/>
      <c r="E8720" s="66"/>
      <c r="F8720" s="66"/>
    </row>
    <row r="8721" spans="4:6" x14ac:dyDescent="0.35">
      <c r="D8721" s="66"/>
      <c r="E8721" s="66"/>
      <c r="F8721" s="66"/>
    </row>
    <row r="8722" spans="4:6" x14ac:dyDescent="0.35">
      <c r="D8722" s="66"/>
      <c r="E8722" s="66"/>
      <c r="F8722" s="66"/>
    </row>
    <row r="8723" spans="4:6" x14ac:dyDescent="0.35">
      <c r="D8723" s="66"/>
      <c r="E8723" s="66"/>
      <c r="F8723" s="66"/>
    </row>
    <row r="8724" spans="4:6" x14ac:dyDescent="0.35">
      <c r="D8724" s="66"/>
      <c r="E8724" s="66"/>
      <c r="F8724" s="66"/>
    </row>
    <row r="8725" spans="4:6" x14ac:dyDescent="0.35">
      <c r="D8725" s="66"/>
      <c r="E8725" s="66"/>
      <c r="F8725" s="66"/>
    </row>
    <row r="8726" spans="4:6" x14ac:dyDescent="0.35">
      <c r="D8726" s="66"/>
      <c r="E8726" s="66"/>
      <c r="F8726" s="66"/>
    </row>
    <row r="8727" spans="4:6" x14ac:dyDescent="0.35">
      <c r="D8727" s="66"/>
      <c r="E8727" s="66"/>
      <c r="F8727" s="66"/>
    </row>
    <row r="8728" spans="4:6" x14ac:dyDescent="0.35">
      <c r="D8728" s="66"/>
      <c r="E8728" s="66"/>
      <c r="F8728" s="66"/>
    </row>
    <row r="8729" spans="4:6" x14ac:dyDescent="0.35">
      <c r="D8729" s="66"/>
      <c r="E8729" s="66"/>
      <c r="F8729" s="66"/>
    </row>
    <row r="8730" spans="4:6" x14ac:dyDescent="0.35">
      <c r="D8730" s="66"/>
      <c r="E8730" s="66"/>
      <c r="F8730" s="66"/>
    </row>
    <row r="8731" spans="4:6" x14ac:dyDescent="0.35">
      <c r="D8731" s="66"/>
      <c r="E8731" s="66"/>
      <c r="F8731" s="66"/>
    </row>
    <row r="8732" spans="4:6" x14ac:dyDescent="0.35">
      <c r="D8732" s="66"/>
      <c r="E8732" s="66"/>
      <c r="F8732" s="66"/>
    </row>
    <row r="8733" spans="4:6" x14ac:dyDescent="0.35">
      <c r="D8733" s="66"/>
      <c r="E8733" s="66"/>
      <c r="F8733" s="66"/>
    </row>
    <row r="8734" spans="4:6" x14ac:dyDescent="0.35">
      <c r="D8734" s="66"/>
      <c r="E8734" s="66"/>
      <c r="F8734" s="66"/>
    </row>
    <row r="8735" spans="4:6" x14ac:dyDescent="0.35">
      <c r="D8735" s="66"/>
      <c r="E8735" s="66"/>
      <c r="F8735" s="66"/>
    </row>
    <row r="8736" spans="4:6" x14ac:dyDescent="0.35">
      <c r="D8736" s="66"/>
      <c r="E8736" s="66"/>
      <c r="F8736" s="66"/>
    </row>
    <row r="8737" spans="4:6" x14ac:dyDescent="0.35">
      <c r="D8737" s="66"/>
      <c r="E8737" s="66"/>
      <c r="F8737" s="66"/>
    </row>
    <row r="8738" spans="4:6" x14ac:dyDescent="0.35">
      <c r="D8738" s="66"/>
      <c r="E8738" s="66"/>
      <c r="F8738" s="66"/>
    </row>
    <row r="8739" spans="4:6" x14ac:dyDescent="0.35">
      <c r="D8739" s="66"/>
      <c r="E8739" s="66"/>
      <c r="F8739" s="66"/>
    </row>
    <row r="8740" spans="4:6" x14ac:dyDescent="0.35">
      <c r="D8740" s="66"/>
      <c r="E8740" s="66"/>
      <c r="F8740" s="66"/>
    </row>
    <row r="8741" spans="4:6" x14ac:dyDescent="0.35">
      <c r="D8741" s="66"/>
      <c r="E8741" s="66"/>
      <c r="F8741" s="66"/>
    </row>
    <row r="8742" spans="4:6" x14ac:dyDescent="0.35">
      <c r="D8742" s="66"/>
      <c r="E8742" s="66"/>
      <c r="F8742" s="66"/>
    </row>
    <row r="8743" spans="4:6" x14ac:dyDescent="0.35">
      <c r="D8743" s="66"/>
      <c r="E8743" s="66"/>
      <c r="F8743" s="66"/>
    </row>
    <row r="8744" spans="4:6" x14ac:dyDescent="0.35">
      <c r="D8744" s="66"/>
      <c r="E8744" s="66"/>
      <c r="F8744" s="66"/>
    </row>
    <row r="8745" spans="4:6" x14ac:dyDescent="0.35">
      <c r="D8745" s="66"/>
      <c r="E8745" s="66"/>
      <c r="F8745" s="66"/>
    </row>
    <row r="8746" spans="4:6" x14ac:dyDescent="0.35">
      <c r="D8746" s="66"/>
      <c r="E8746" s="66"/>
      <c r="F8746" s="66"/>
    </row>
    <row r="8747" spans="4:6" x14ac:dyDescent="0.35">
      <c r="D8747" s="66"/>
      <c r="E8747" s="66"/>
      <c r="F8747" s="66"/>
    </row>
    <row r="8748" spans="4:6" x14ac:dyDescent="0.35">
      <c r="D8748" s="66"/>
      <c r="E8748" s="66"/>
      <c r="F8748" s="66"/>
    </row>
    <row r="8749" spans="4:6" x14ac:dyDescent="0.35">
      <c r="D8749" s="66"/>
      <c r="E8749" s="66"/>
      <c r="F8749" s="66"/>
    </row>
    <row r="8750" spans="4:6" x14ac:dyDescent="0.35">
      <c r="D8750" s="66"/>
      <c r="E8750" s="66"/>
      <c r="F8750" s="66"/>
    </row>
    <row r="8751" spans="4:6" x14ac:dyDescent="0.35">
      <c r="D8751" s="66"/>
      <c r="E8751" s="66"/>
      <c r="F8751" s="66"/>
    </row>
    <row r="8752" spans="4:6" x14ac:dyDescent="0.35">
      <c r="D8752" s="66"/>
      <c r="E8752" s="66"/>
      <c r="F8752" s="66"/>
    </row>
    <row r="8753" spans="4:6" x14ac:dyDescent="0.35">
      <c r="D8753" s="66"/>
      <c r="E8753" s="66"/>
      <c r="F8753" s="66"/>
    </row>
    <row r="8754" spans="4:6" x14ac:dyDescent="0.35">
      <c r="D8754" s="66"/>
      <c r="E8754" s="66"/>
      <c r="F8754" s="66"/>
    </row>
    <row r="8755" spans="4:6" x14ac:dyDescent="0.35">
      <c r="D8755" s="66"/>
      <c r="E8755" s="66"/>
      <c r="F8755" s="66"/>
    </row>
    <row r="8756" spans="4:6" x14ac:dyDescent="0.35">
      <c r="D8756" s="66"/>
      <c r="E8756" s="66"/>
      <c r="F8756" s="66"/>
    </row>
    <row r="8757" spans="4:6" x14ac:dyDescent="0.35">
      <c r="D8757" s="66"/>
      <c r="E8757" s="66"/>
      <c r="F8757" s="66"/>
    </row>
    <row r="8758" spans="4:6" x14ac:dyDescent="0.35">
      <c r="D8758" s="66"/>
      <c r="E8758" s="66"/>
      <c r="F8758" s="66"/>
    </row>
    <row r="8759" spans="4:6" x14ac:dyDescent="0.35">
      <c r="D8759" s="66"/>
      <c r="E8759" s="66"/>
      <c r="F8759" s="66"/>
    </row>
    <row r="8760" spans="4:6" x14ac:dyDescent="0.35">
      <c r="D8760" s="66"/>
      <c r="E8760" s="66"/>
      <c r="F8760" s="66"/>
    </row>
    <row r="8761" spans="4:6" x14ac:dyDescent="0.35">
      <c r="D8761" s="66"/>
      <c r="E8761" s="66"/>
      <c r="F8761" s="66"/>
    </row>
    <row r="8762" spans="4:6" x14ac:dyDescent="0.35">
      <c r="D8762" s="66"/>
      <c r="E8762" s="66"/>
      <c r="F8762" s="66"/>
    </row>
    <row r="8763" spans="4:6" x14ac:dyDescent="0.35">
      <c r="D8763" s="66"/>
      <c r="E8763" s="66"/>
      <c r="F8763" s="66"/>
    </row>
    <row r="8764" spans="4:6" x14ac:dyDescent="0.35">
      <c r="D8764" s="66"/>
      <c r="E8764" s="66"/>
      <c r="F8764" s="66"/>
    </row>
    <row r="8765" spans="4:6" x14ac:dyDescent="0.35">
      <c r="D8765" s="66"/>
      <c r="E8765" s="66"/>
      <c r="F8765" s="66"/>
    </row>
    <row r="8766" spans="4:6" x14ac:dyDescent="0.35">
      <c r="D8766" s="66"/>
      <c r="E8766" s="66"/>
      <c r="F8766" s="66"/>
    </row>
    <row r="8767" spans="4:6" x14ac:dyDescent="0.35">
      <c r="D8767" s="66"/>
      <c r="E8767" s="66"/>
      <c r="F8767" s="66"/>
    </row>
    <row r="8768" spans="4:6" x14ac:dyDescent="0.35">
      <c r="D8768" s="66"/>
      <c r="E8768" s="66"/>
      <c r="F8768" s="66"/>
    </row>
    <row r="8769" spans="4:6" x14ac:dyDescent="0.35">
      <c r="D8769" s="66"/>
      <c r="E8769" s="66"/>
      <c r="F8769" s="66"/>
    </row>
    <row r="8770" spans="4:6" x14ac:dyDescent="0.35">
      <c r="D8770" s="66"/>
      <c r="E8770" s="66"/>
      <c r="F8770" s="66"/>
    </row>
    <row r="8771" spans="4:6" x14ac:dyDescent="0.35">
      <c r="D8771" s="66"/>
      <c r="E8771" s="66"/>
      <c r="F8771" s="66"/>
    </row>
    <row r="8772" spans="4:6" x14ac:dyDescent="0.35">
      <c r="D8772" s="66"/>
      <c r="E8772" s="66"/>
      <c r="F8772" s="66"/>
    </row>
    <row r="8773" spans="4:6" x14ac:dyDescent="0.35">
      <c r="D8773" s="66"/>
      <c r="E8773" s="66"/>
      <c r="F8773" s="66"/>
    </row>
    <row r="8774" spans="4:6" x14ac:dyDescent="0.35">
      <c r="D8774" s="66"/>
      <c r="E8774" s="66"/>
      <c r="F8774" s="66"/>
    </row>
    <row r="8775" spans="4:6" x14ac:dyDescent="0.35">
      <c r="D8775" s="66"/>
      <c r="E8775" s="66"/>
      <c r="F8775" s="66"/>
    </row>
    <row r="8776" spans="4:6" x14ac:dyDescent="0.35">
      <c r="D8776" s="66"/>
      <c r="E8776" s="66"/>
      <c r="F8776" s="66"/>
    </row>
    <row r="8777" spans="4:6" x14ac:dyDescent="0.35">
      <c r="D8777" s="66"/>
      <c r="E8777" s="66"/>
      <c r="F8777" s="66"/>
    </row>
    <row r="8778" spans="4:6" x14ac:dyDescent="0.35">
      <c r="D8778" s="66"/>
      <c r="E8778" s="66"/>
      <c r="F8778" s="66"/>
    </row>
    <row r="8779" spans="4:6" x14ac:dyDescent="0.35">
      <c r="D8779" s="66"/>
      <c r="E8779" s="66"/>
      <c r="F8779" s="66"/>
    </row>
    <row r="8780" spans="4:6" x14ac:dyDescent="0.35">
      <c r="D8780" s="66"/>
      <c r="E8780" s="66"/>
      <c r="F8780" s="66"/>
    </row>
    <row r="8781" spans="4:6" x14ac:dyDescent="0.35">
      <c r="D8781" s="66"/>
      <c r="E8781" s="66"/>
      <c r="F8781" s="66"/>
    </row>
    <row r="8782" spans="4:6" x14ac:dyDescent="0.35">
      <c r="D8782" s="66"/>
      <c r="E8782" s="66"/>
      <c r="F8782" s="66"/>
    </row>
    <row r="8783" spans="4:6" x14ac:dyDescent="0.35">
      <c r="D8783" s="66"/>
      <c r="E8783" s="66"/>
      <c r="F8783" s="66"/>
    </row>
    <row r="8784" spans="4:6" x14ac:dyDescent="0.35">
      <c r="D8784" s="66"/>
      <c r="E8784" s="66"/>
      <c r="F8784" s="66"/>
    </row>
    <row r="8785" spans="4:6" x14ac:dyDescent="0.35">
      <c r="D8785" s="66"/>
      <c r="E8785" s="66"/>
      <c r="F8785" s="66"/>
    </row>
    <row r="8786" spans="4:6" x14ac:dyDescent="0.35">
      <c r="D8786" s="66"/>
      <c r="E8786" s="66"/>
      <c r="F8786" s="66"/>
    </row>
    <row r="8787" spans="4:6" x14ac:dyDescent="0.35">
      <c r="D8787" s="66"/>
      <c r="E8787" s="66"/>
      <c r="F8787" s="66"/>
    </row>
    <row r="8788" spans="4:6" x14ac:dyDescent="0.35">
      <c r="D8788" s="66"/>
      <c r="E8788" s="66"/>
      <c r="F8788" s="66"/>
    </row>
    <row r="8789" spans="4:6" x14ac:dyDescent="0.35">
      <c r="D8789" s="66"/>
      <c r="E8789" s="66"/>
      <c r="F8789" s="66"/>
    </row>
    <row r="8790" spans="4:6" x14ac:dyDescent="0.35">
      <c r="D8790" s="66"/>
      <c r="E8790" s="66"/>
      <c r="F8790" s="66"/>
    </row>
    <row r="8791" spans="4:6" x14ac:dyDescent="0.35">
      <c r="D8791" s="66"/>
      <c r="E8791" s="66"/>
      <c r="F8791" s="66"/>
    </row>
    <row r="8792" spans="4:6" x14ac:dyDescent="0.35">
      <c r="D8792" s="66"/>
      <c r="E8792" s="66"/>
      <c r="F8792" s="66"/>
    </row>
    <row r="8793" spans="4:6" x14ac:dyDescent="0.35">
      <c r="D8793" s="66"/>
      <c r="E8793" s="66"/>
      <c r="F8793" s="66"/>
    </row>
    <row r="8794" spans="4:6" x14ac:dyDescent="0.35">
      <c r="D8794" s="66"/>
      <c r="E8794" s="66"/>
      <c r="F8794" s="66"/>
    </row>
    <row r="8795" spans="4:6" x14ac:dyDescent="0.35">
      <c r="D8795" s="66"/>
      <c r="E8795" s="66"/>
      <c r="F8795" s="66"/>
    </row>
    <row r="8796" spans="4:6" x14ac:dyDescent="0.35">
      <c r="D8796" s="66"/>
      <c r="E8796" s="66"/>
      <c r="F8796" s="66"/>
    </row>
    <row r="8797" spans="4:6" x14ac:dyDescent="0.35">
      <c r="D8797" s="66"/>
      <c r="E8797" s="66"/>
      <c r="F8797" s="66"/>
    </row>
    <row r="8798" spans="4:6" x14ac:dyDescent="0.35">
      <c r="D8798" s="66"/>
      <c r="E8798" s="66"/>
      <c r="F8798" s="66"/>
    </row>
    <row r="8799" spans="4:6" x14ac:dyDescent="0.35">
      <c r="D8799" s="66"/>
      <c r="E8799" s="66"/>
      <c r="F8799" s="66"/>
    </row>
    <row r="8800" spans="4:6" x14ac:dyDescent="0.35">
      <c r="D8800" s="66"/>
      <c r="E8800" s="66"/>
      <c r="F8800" s="66"/>
    </row>
    <row r="8801" spans="4:6" x14ac:dyDescent="0.35">
      <c r="D8801" s="66"/>
      <c r="E8801" s="66"/>
      <c r="F8801" s="66"/>
    </row>
    <row r="8802" spans="4:6" x14ac:dyDescent="0.35">
      <c r="D8802" s="66"/>
      <c r="E8802" s="66"/>
      <c r="F8802" s="66"/>
    </row>
    <row r="8803" spans="4:6" x14ac:dyDescent="0.35">
      <c r="D8803" s="66"/>
      <c r="E8803" s="66"/>
      <c r="F8803" s="66"/>
    </row>
    <row r="8804" spans="4:6" x14ac:dyDescent="0.35">
      <c r="D8804" s="66"/>
      <c r="E8804" s="66"/>
      <c r="F8804" s="66"/>
    </row>
    <row r="8805" spans="4:6" x14ac:dyDescent="0.35">
      <c r="D8805" s="66"/>
      <c r="E8805" s="66"/>
      <c r="F8805" s="66"/>
    </row>
    <row r="8806" spans="4:6" x14ac:dyDescent="0.35">
      <c r="D8806" s="66"/>
      <c r="E8806" s="66"/>
      <c r="F8806" s="66"/>
    </row>
    <row r="8807" spans="4:6" x14ac:dyDescent="0.35">
      <c r="D8807" s="66"/>
      <c r="E8807" s="66"/>
      <c r="F8807" s="66"/>
    </row>
    <row r="8808" spans="4:6" x14ac:dyDescent="0.35">
      <c r="D8808" s="66"/>
      <c r="E8808" s="66"/>
      <c r="F8808" s="66"/>
    </row>
    <row r="8809" spans="4:6" x14ac:dyDescent="0.35">
      <c r="D8809" s="66"/>
      <c r="E8809" s="66"/>
      <c r="F8809" s="66"/>
    </row>
    <row r="8810" spans="4:6" x14ac:dyDescent="0.35">
      <c r="D8810" s="66"/>
      <c r="E8810" s="66"/>
      <c r="F8810" s="66"/>
    </row>
    <row r="8811" spans="4:6" x14ac:dyDescent="0.35">
      <c r="D8811" s="66"/>
      <c r="E8811" s="66"/>
      <c r="F8811" s="66"/>
    </row>
    <row r="8812" spans="4:6" x14ac:dyDescent="0.35">
      <c r="D8812" s="66"/>
      <c r="E8812" s="66"/>
      <c r="F8812" s="66"/>
    </row>
    <row r="8813" spans="4:6" x14ac:dyDescent="0.35">
      <c r="D8813" s="66"/>
      <c r="E8813" s="66"/>
      <c r="F8813" s="66"/>
    </row>
    <row r="8814" spans="4:6" x14ac:dyDescent="0.35">
      <c r="D8814" s="66"/>
      <c r="E8814" s="66"/>
      <c r="F8814" s="66"/>
    </row>
    <row r="8815" spans="4:6" x14ac:dyDescent="0.35">
      <c r="D8815" s="66"/>
      <c r="E8815" s="66"/>
      <c r="F8815" s="66"/>
    </row>
    <row r="8816" spans="4:6" x14ac:dyDescent="0.35">
      <c r="D8816" s="66"/>
      <c r="E8816" s="66"/>
      <c r="F8816" s="66"/>
    </row>
    <row r="8817" spans="4:6" x14ac:dyDescent="0.35">
      <c r="D8817" s="66"/>
      <c r="E8817" s="66"/>
      <c r="F8817" s="66"/>
    </row>
    <row r="8818" spans="4:6" x14ac:dyDescent="0.35">
      <c r="D8818" s="66"/>
      <c r="E8818" s="66"/>
      <c r="F8818" s="66"/>
    </row>
    <row r="8819" spans="4:6" x14ac:dyDescent="0.35">
      <c r="D8819" s="66"/>
      <c r="E8819" s="66"/>
      <c r="F8819" s="66"/>
    </row>
    <row r="8820" spans="4:6" x14ac:dyDescent="0.35">
      <c r="D8820" s="66"/>
      <c r="E8820" s="66"/>
      <c r="F8820" s="66"/>
    </row>
    <row r="8821" spans="4:6" x14ac:dyDescent="0.35">
      <c r="D8821" s="66"/>
      <c r="E8821" s="66"/>
      <c r="F8821" s="66"/>
    </row>
    <row r="8822" spans="4:6" x14ac:dyDescent="0.35">
      <c r="D8822" s="66"/>
      <c r="E8822" s="66"/>
      <c r="F8822" s="66"/>
    </row>
    <row r="8823" spans="4:6" x14ac:dyDescent="0.35">
      <c r="D8823" s="66"/>
      <c r="E8823" s="66"/>
      <c r="F8823" s="66"/>
    </row>
    <row r="8824" spans="4:6" x14ac:dyDescent="0.35">
      <c r="D8824" s="66"/>
      <c r="E8824" s="66"/>
      <c r="F8824" s="66"/>
    </row>
    <row r="8825" spans="4:6" x14ac:dyDescent="0.35">
      <c r="D8825" s="66"/>
      <c r="E8825" s="66"/>
      <c r="F8825" s="66"/>
    </row>
    <row r="8826" spans="4:6" x14ac:dyDescent="0.35">
      <c r="D8826" s="66"/>
      <c r="E8826" s="66"/>
      <c r="F8826" s="66"/>
    </row>
    <row r="8827" spans="4:6" x14ac:dyDescent="0.35">
      <c r="D8827" s="66"/>
      <c r="E8827" s="66"/>
      <c r="F8827" s="66"/>
    </row>
    <row r="8828" spans="4:6" x14ac:dyDescent="0.35">
      <c r="D8828" s="66"/>
      <c r="E8828" s="66"/>
      <c r="F8828" s="66"/>
    </row>
    <row r="8829" spans="4:6" x14ac:dyDescent="0.35">
      <c r="D8829" s="66"/>
      <c r="E8829" s="66"/>
      <c r="F8829" s="66"/>
    </row>
    <row r="8830" spans="4:6" x14ac:dyDescent="0.35">
      <c r="D8830" s="66"/>
      <c r="E8830" s="66"/>
      <c r="F8830" s="66"/>
    </row>
    <row r="8831" spans="4:6" x14ac:dyDescent="0.35">
      <c r="D8831" s="66"/>
      <c r="E8831" s="66"/>
      <c r="F8831" s="66"/>
    </row>
    <row r="8832" spans="4:6" x14ac:dyDescent="0.35">
      <c r="D8832" s="66"/>
      <c r="E8832" s="66"/>
      <c r="F8832" s="66"/>
    </row>
    <row r="8833" spans="4:6" x14ac:dyDescent="0.35">
      <c r="D8833" s="66"/>
      <c r="E8833" s="66"/>
      <c r="F8833" s="66"/>
    </row>
    <row r="8834" spans="4:6" x14ac:dyDescent="0.35">
      <c r="D8834" s="66"/>
      <c r="E8834" s="66"/>
      <c r="F8834" s="66"/>
    </row>
    <row r="8835" spans="4:6" x14ac:dyDescent="0.35">
      <c r="D8835" s="66"/>
      <c r="E8835" s="66"/>
      <c r="F8835" s="66"/>
    </row>
    <row r="8836" spans="4:6" x14ac:dyDescent="0.35">
      <c r="D8836" s="66"/>
      <c r="E8836" s="66"/>
      <c r="F8836" s="66"/>
    </row>
    <row r="8837" spans="4:6" x14ac:dyDescent="0.35">
      <c r="D8837" s="66"/>
      <c r="E8837" s="66"/>
      <c r="F8837" s="66"/>
    </row>
    <row r="8838" spans="4:6" x14ac:dyDescent="0.35">
      <c r="D8838" s="66"/>
      <c r="E8838" s="66"/>
      <c r="F8838" s="66"/>
    </row>
    <row r="8839" spans="4:6" x14ac:dyDescent="0.35">
      <c r="D8839" s="66"/>
      <c r="E8839" s="66"/>
      <c r="F8839" s="66"/>
    </row>
    <row r="8840" spans="4:6" x14ac:dyDescent="0.35">
      <c r="D8840" s="66"/>
      <c r="E8840" s="66"/>
      <c r="F8840" s="66"/>
    </row>
    <row r="8841" spans="4:6" x14ac:dyDescent="0.35">
      <c r="D8841" s="66"/>
      <c r="E8841" s="66"/>
      <c r="F8841" s="66"/>
    </row>
    <row r="8842" spans="4:6" x14ac:dyDescent="0.35">
      <c r="D8842" s="66"/>
      <c r="E8842" s="66"/>
      <c r="F8842" s="66"/>
    </row>
    <row r="8843" spans="4:6" x14ac:dyDescent="0.35">
      <c r="D8843" s="66"/>
      <c r="E8843" s="66"/>
      <c r="F8843" s="66"/>
    </row>
    <row r="8844" spans="4:6" x14ac:dyDescent="0.35">
      <c r="D8844" s="66"/>
      <c r="E8844" s="66"/>
      <c r="F8844" s="66"/>
    </row>
    <row r="8845" spans="4:6" x14ac:dyDescent="0.35">
      <c r="D8845" s="66"/>
      <c r="E8845" s="66"/>
      <c r="F8845" s="66"/>
    </row>
    <row r="8846" spans="4:6" x14ac:dyDescent="0.35">
      <c r="D8846" s="66"/>
      <c r="E8846" s="66"/>
      <c r="F8846" s="66"/>
    </row>
    <row r="8847" spans="4:6" x14ac:dyDescent="0.35">
      <c r="D8847" s="66"/>
      <c r="E8847" s="66"/>
      <c r="F8847" s="66"/>
    </row>
    <row r="8848" spans="4:6" x14ac:dyDescent="0.35">
      <c r="D8848" s="66"/>
      <c r="E8848" s="66"/>
      <c r="F8848" s="66"/>
    </row>
    <row r="8849" spans="4:6" x14ac:dyDescent="0.35">
      <c r="D8849" s="66"/>
      <c r="E8849" s="66"/>
      <c r="F8849" s="66"/>
    </row>
    <row r="8850" spans="4:6" x14ac:dyDescent="0.35">
      <c r="D8850" s="66"/>
      <c r="E8850" s="66"/>
      <c r="F8850" s="66"/>
    </row>
    <row r="8851" spans="4:6" x14ac:dyDescent="0.35">
      <c r="D8851" s="66"/>
      <c r="E8851" s="66"/>
      <c r="F8851" s="66"/>
    </row>
    <row r="8852" spans="4:6" x14ac:dyDescent="0.35">
      <c r="D8852" s="66"/>
      <c r="E8852" s="66"/>
      <c r="F8852" s="66"/>
    </row>
    <row r="8853" spans="4:6" x14ac:dyDescent="0.35">
      <c r="D8853" s="66"/>
      <c r="E8853" s="66"/>
      <c r="F8853" s="66"/>
    </row>
    <row r="8854" spans="4:6" x14ac:dyDescent="0.35">
      <c r="D8854" s="66"/>
      <c r="E8854" s="66"/>
      <c r="F8854" s="66"/>
    </row>
    <row r="8855" spans="4:6" x14ac:dyDescent="0.35">
      <c r="D8855" s="66"/>
      <c r="E8855" s="66"/>
      <c r="F8855" s="66"/>
    </row>
    <row r="8856" spans="4:6" x14ac:dyDescent="0.35">
      <c r="D8856" s="66"/>
      <c r="E8856" s="66"/>
      <c r="F8856" s="66"/>
    </row>
    <row r="8857" spans="4:6" x14ac:dyDescent="0.35">
      <c r="D8857" s="66"/>
      <c r="E8857" s="66"/>
      <c r="F8857" s="66"/>
    </row>
    <row r="8858" spans="4:6" x14ac:dyDescent="0.35">
      <c r="D8858" s="66"/>
      <c r="E8858" s="66"/>
      <c r="F8858" s="66"/>
    </row>
    <row r="8859" spans="4:6" x14ac:dyDescent="0.35">
      <c r="D8859" s="66"/>
      <c r="E8859" s="66"/>
      <c r="F8859" s="66"/>
    </row>
    <row r="8860" spans="4:6" x14ac:dyDescent="0.35">
      <c r="D8860" s="66"/>
      <c r="E8860" s="66"/>
      <c r="F8860" s="66"/>
    </row>
    <row r="8861" spans="4:6" x14ac:dyDescent="0.35">
      <c r="D8861" s="66"/>
      <c r="E8861" s="66"/>
      <c r="F8861" s="66"/>
    </row>
    <row r="8862" spans="4:6" x14ac:dyDescent="0.35">
      <c r="D8862" s="66"/>
      <c r="E8862" s="66"/>
      <c r="F8862" s="66"/>
    </row>
    <row r="8863" spans="4:6" x14ac:dyDescent="0.35">
      <c r="D8863" s="66"/>
      <c r="E8863" s="66"/>
      <c r="F8863" s="66"/>
    </row>
    <row r="8864" spans="4:6" x14ac:dyDescent="0.35">
      <c r="D8864" s="66"/>
      <c r="E8864" s="66"/>
      <c r="F8864" s="66"/>
    </row>
    <row r="8865" spans="4:6" x14ac:dyDescent="0.35">
      <c r="D8865" s="66"/>
      <c r="E8865" s="66"/>
      <c r="F8865" s="66"/>
    </row>
    <row r="8866" spans="4:6" x14ac:dyDescent="0.35">
      <c r="D8866" s="66"/>
      <c r="E8866" s="66"/>
      <c r="F8866" s="66"/>
    </row>
    <row r="8867" spans="4:6" x14ac:dyDescent="0.35">
      <c r="D8867" s="66"/>
      <c r="E8867" s="66"/>
      <c r="F8867" s="66"/>
    </row>
    <row r="8868" spans="4:6" x14ac:dyDescent="0.35">
      <c r="D8868" s="66"/>
      <c r="E8868" s="66"/>
      <c r="F8868" s="66"/>
    </row>
    <row r="8869" spans="4:6" x14ac:dyDescent="0.35">
      <c r="D8869" s="66"/>
      <c r="E8869" s="66"/>
      <c r="F8869" s="66"/>
    </row>
    <row r="8870" spans="4:6" x14ac:dyDescent="0.35">
      <c r="D8870" s="66"/>
      <c r="E8870" s="66"/>
      <c r="F8870" s="66"/>
    </row>
    <row r="8871" spans="4:6" x14ac:dyDescent="0.35">
      <c r="D8871" s="66"/>
      <c r="E8871" s="66"/>
      <c r="F8871" s="66"/>
    </row>
    <row r="8872" spans="4:6" x14ac:dyDescent="0.35">
      <c r="D8872" s="66"/>
      <c r="E8872" s="66"/>
      <c r="F8872" s="66"/>
    </row>
    <row r="8873" spans="4:6" x14ac:dyDescent="0.35">
      <c r="D8873" s="66"/>
      <c r="E8873" s="66"/>
      <c r="F8873" s="66"/>
    </row>
    <row r="8874" spans="4:6" x14ac:dyDescent="0.35">
      <c r="D8874" s="66"/>
      <c r="E8874" s="66"/>
      <c r="F8874" s="66"/>
    </row>
    <row r="8875" spans="4:6" x14ac:dyDescent="0.35">
      <c r="D8875" s="66"/>
      <c r="E8875" s="66"/>
      <c r="F8875" s="66"/>
    </row>
    <row r="8876" spans="4:6" x14ac:dyDescent="0.35">
      <c r="D8876" s="66"/>
      <c r="E8876" s="66"/>
      <c r="F8876" s="66"/>
    </row>
    <row r="8877" spans="4:6" x14ac:dyDescent="0.35">
      <c r="D8877" s="66"/>
      <c r="E8877" s="66"/>
      <c r="F8877" s="66"/>
    </row>
    <row r="8878" spans="4:6" x14ac:dyDescent="0.35">
      <c r="D8878" s="66"/>
      <c r="E8878" s="66"/>
      <c r="F8878" s="66"/>
    </row>
    <row r="8879" spans="4:6" x14ac:dyDescent="0.35">
      <c r="D8879" s="66"/>
      <c r="E8879" s="66"/>
      <c r="F8879" s="66"/>
    </row>
    <row r="8880" spans="4:6" x14ac:dyDescent="0.35">
      <c r="D8880" s="66"/>
      <c r="E8880" s="66"/>
      <c r="F8880" s="66"/>
    </row>
    <row r="8881" spans="4:6" x14ac:dyDescent="0.35">
      <c r="D8881" s="66"/>
      <c r="E8881" s="66"/>
      <c r="F8881" s="66"/>
    </row>
    <row r="8882" spans="4:6" x14ac:dyDescent="0.35">
      <c r="D8882" s="66"/>
      <c r="E8882" s="66"/>
      <c r="F8882" s="66"/>
    </row>
    <row r="8883" spans="4:6" x14ac:dyDescent="0.35">
      <c r="D8883" s="66"/>
      <c r="E8883" s="66"/>
      <c r="F8883" s="66"/>
    </row>
    <row r="8884" spans="4:6" x14ac:dyDescent="0.35">
      <c r="D8884" s="66"/>
      <c r="E8884" s="66"/>
      <c r="F8884" s="66"/>
    </row>
    <row r="8885" spans="4:6" x14ac:dyDescent="0.35">
      <c r="D8885" s="66"/>
      <c r="E8885" s="66"/>
      <c r="F8885" s="66"/>
    </row>
    <row r="8886" spans="4:6" x14ac:dyDescent="0.35">
      <c r="D8886" s="66"/>
      <c r="E8886" s="66"/>
      <c r="F8886" s="66"/>
    </row>
    <row r="8887" spans="4:6" x14ac:dyDescent="0.35">
      <c r="D8887" s="66"/>
      <c r="E8887" s="66"/>
      <c r="F8887" s="66"/>
    </row>
    <row r="8888" spans="4:6" x14ac:dyDescent="0.35">
      <c r="D8888" s="66"/>
      <c r="E8888" s="66"/>
      <c r="F8888" s="66"/>
    </row>
    <row r="8889" spans="4:6" x14ac:dyDescent="0.35">
      <c r="D8889" s="66"/>
      <c r="E8889" s="66"/>
      <c r="F8889" s="66"/>
    </row>
    <row r="8890" spans="4:6" x14ac:dyDescent="0.35">
      <c r="D8890" s="66"/>
      <c r="E8890" s="66"/>
      <c r="F8890" s="66"/>
    </row>
    <row r="8891" spans="4:6" x14ac:dyDescent="0.35">
      <c r="D8891" s="66"/>
      <c r="E8891" s="66"/>
      <c r="F8891" s="66"/>
    </row>
    <row r="8892" spans="4:6" x14ac:dyDescent="0.35">
      <c r="D8892" s="66"/>
      <c r="E8892" s="66"/>
      <c r="F8892" s="66"/>
    </row>
    <row r="8893" spans="4:6" x14ac:dyDescent="0.35">
      <c r="D8893" s="66"/>
      <c r="E8893" s="66"/>
      <c r="F8893" s="66"/>
    </row>
    <row r="8894" spans="4:6" x14ac:dyDescent="0.35">
      <c r="D8894" s="66"/>
      <c r="E8894" s="66"/>
      <c r="F8894" s="66"/>
    </row>
    <row r="8895" spans="4:6" x14ac:dyDescent="0.35">
      <c r="D8895" s="66"/>
      <c r="E8895" s="66"/>
      <c r="F8895" s="66"/>
    </row>
    <row r="8896" spans="4:6" x14ac:dyDescent="0.35">
      <c r="D8896" s="66"/>
      <c r="E8896" s="66"/>
      <c r="F8896" s="66"/>
    </row>
    <row r="8897" spans="4:6" x14ac:dyDescent="0.35">
      <c r="D8897" s="66"/>
      <c r="E8897" s="66"/>
      <c r="F8897" s="66"/>
    </row>
    <row r="8898" spans="4:6" x14ac:dyDescent="0.35">
      <c r="D8898" s="66"/>
      <c r="E8898" s="66"/>
      <c r="F8898" s="66"/>
    </row>
    <row r="8899" spans="4:6" x14ac:dyDescent="0.35">
      <c r="D8899" s="66"/>
      <c r="E8899" s="66"/>
      <c r="F8899" s="66"/>
    </row>
    <row r="8900" spans="4:6" x14ac:dyDescent="0.35">
      <c r="D8900" s="66"/>
      <c r="E8900" s="66"/>
      <c r="F8900" s="66"/>
    </row>
    <row r="8901" spans="4:6" x14ac:dyDescent="0.35">
      <c r="D8901" s="66"/>
      <c r="E8901" s="66"/>
      <c r="F8901" s="66"/>
    </row>
    <row r="8902" spans="4:6" x14ac:dyDescent="0.35">
      <c r="D8902" s="66"/>
      <c r="E8902" s="66"/>
      <c r="F8902" s="66"/>
    </row>
    <row r="8903" spans="4:6" x14ac:dyDescent="0.35">
      <c r="D8903" s="66"/>
      <c r="E8903" s="66"/>
      <c r="F8903" s="66"/>
    </row>
    <row r="8904" spans="4:6" x14ac:dyDescent="0.35">
      <c r="D8904" s="66"/>
      <c r="E8904" s="66"/>
      <c r="F8904" s="66"/>
    </row>
    <row r="8905" spans="4:6" x14ac:dyDescent="0.35">
      <c r="D8905" s="66"/>
      <c r="E8905" s="66"/>
      <c r="F8905" s="66"/>
    </row>
    <row r="8906" spans="4:6" x14ac:dyDescent="0.35">
      <c r="D8906" s="66"/>
      <c r="E8906" s="66"/>
      <c r="F8906" s="66"/>
    </row>
    <row r="8907" spans="4:6" x14ac:dyDescent="0.35">
      <c r="D8907" s="66"/>
      <c r="E8907" s="66"/>
      <c r="F8907" s="66"/>
    </row>
    <row r="8908" spans="4:6" x14ac:dyDescent="0.35">
      <c r="D8908" s="66"/>
      <c r="E8908" s="66"/>
      <c r="F8908" s="66"/>
    </row>
    <row r="8909" spans="4:6" x14ac:dyDescent="0.35">
      <c r="D8909" s="66"/>
      <c r="E8909" s="66"/>
      <c r="F8909" s="66"/>
    </row>
    <row r="8910" spans="4:6" x14ac:dyDescent="0.35">
      <c r="D8910" s="66"/>
      <c r="E8910" s="66"/>
      <c r="F8910" s="66"/>
    </row>
    <row r="8911" spans="4:6" x14ac:dyDescent="0.35">
      <c r="D8911" s="66"/>
      <c r="E8911" s="66"/>
      <c r="F8911" s="66"/>
    </row>
    <row r="8912" spans="4:6" x14ac:dyDescent="0.35">
      <c r="D8912" s="66"/>
      <c r="E8912" s="66"/>
      <c r="F8912" s="66"/>
    </row>
    <row r="8913" spans="4:6" x14ac:dyDescent="0.35">
      <c r="D8913" s="66"/>
      <c r="E8913" s="66"/>
      <c r="F8913" s="66"/>
    </row>
    <row r="8914" spans="4:6" x14ac:dyDescent="0.35">
      <c r="D8914" s="66"/>
      <c r="E8914" s="66"/>
      <c r="F8914" s="66"/>
    </row>
    <row r="8915" spans="4:6" x14ac:dyDescent="0.35">
      <c r="D8915" s="66"/>
      <c r="E8915" s="66"/>
      <c r="F8915" s="66"/>
    </row>
    <row r="8916" spans="4:6" x14ac:dyDescent="0.35">
      <c r="D8916" s="66"/>
      <c r="E8916" s="66"/>
      <c r="F8916" s="66"/>
    </row>
    <row r="8917" spans="4:6" x14ac:dyDescent="0.35">
      <c r="D8917" s="66"/>
      <c r="E8917" s="66"/>
      <c r="F8917" s="66"/>
    </row>
    <row r="8918" spans="4:6" x14ac:dyDescent="0.35">
      <c r="D8918" s="66"/>
      <c r="E8918" s="66"/>
      <c r="F8918" s="66"/>
    </row>
    <row r="8919" spans="4:6" x14ac:dyDescent="0.35">
      <c r="D8919" s="66"/>
      <c r="E8919" s="66"/>
      <c r="F8919" s="66"/>
    </row>
    <row r="8920" spans="4:6" x14ac:dyDescent="0.35">
      <c r="D8920" s="66"/>
      <c r="E8920" s="66"/>
      <c r="F8920" s="66"/>
    </row>
    <row r="8921" spans="4:6" x14ac:dyDescent="0.35">
      <c r="D8921" s="66"/>
      <c r="E8921" s="66"/>
      <c r="F8921" s="66"/>
    </row>
    <row r="8922" spans="4:6" x14ac:dyDescent="0.35">
      <c r="D8922" s="66"/>
      <c r="E8922" s="66"/>
      <c r="F8922" s="66"/>
    </row>
    <row r="8923" spans="4:6" x14ac:dyDescent="0.35">
      <c r="D8923" s="66"/>
      <c r="E8923" s="66"/>
      <c r="F8923" s="66"/>
    </row>
    <row r="8924" spans="4:6" x14ac:dyDescent="0.35">
      <c r="D8924" s="66"/>
      <c r="E8924" s="66"/>
      <c r="F8924" s="66"/>
    </row>
    <row r="8925" spans="4:6" x14ac:dyDescent="0.35">
      <c r="D8925" s="66"/>
      <c r="E8925" s="66"/>
      <c r="F8925" s="66"/>
    </row>
    <row r="8926" spans="4:6" x14ac:dyDescent="0.35">
      <c r="D8926" s="66"/>
      <c r="E8926" s="66"/>
      <c r="F8926" s="66"/>
    </row>
    <row r="8927" spans="4:6" x14ac:dyDescent="0.35">
      <c r="D8927" s="66"/>
      <c r="E8927" s="66"/>
      <c r="F8927" s="66"/>
    </row>
    <row r="8928" spans="4:6" x14ac:dyDescent="0.35">
      <c r="D8928" s="66"/>
      <c r="E8928" s="66"/>
      <c r="F8928" s="66"/>
    </row>
    <row r="8929" spans="4:6" x14ac:dyDescent="0.35">
      <c r="D8929" s="66"/>
      <c r="E8929" s="66"/>
      <c r="F8929" s="66"/>
    </row>
    <row r="8930" spans="4:6" x14ac:dyDescent="0.35">
      <c r="D8930" s="66"/>
      <c r="E8930" s="66"/>
      <c r="F8930" s="66"/>
    </row>
    <row r="8931" spans="4:6" x14ac:dyDescent="0.35">
      <c r="D8931" s="66"/>
      <c r="E8931" s="66"/>
      <c r="F8931" s="66"/>
    </row>
    <row r="8932" spans="4:6" x14ac:dyDescent="0.35">
      <c r="D8932" s="66"/>
      <c r="E8932" s="66"/>
      <c r="F8932" s="66"/>
    </row>
    <row r="8933" spans="4:6" x14ac:dyDescent="0.35">
      <c r="D8933" s="66"/>
      <c r="E8933" s="66"/>
      <c r="F8933" s="66"/>
    </row>
    <row r="8934" spans="4:6" x14ac:dyDescent="0.35">
      <c r="D8934" s="66"/>
      <c r="E8934" s="66"/>
      <c r="F8934" s="66"/>
    </row>
    <row r="8935" spans="4:6" x14ac:dyDescent="0.35">
      <c r="D8935" s="66"/>
      <c r="E8935" s="66"/>
      <c r="F8935" s="66"/>
    </row>
    <row r="8936" spans="4:6" x14ac:dyDescent="0.35">
      <c r="D8936" s="66"/>
      <c r="E8936" s="66"/>
      <c r="F8936" s="66"/>
    </row>
    <row r="8937" spans="4:6" x14ac:dyDescent="0.35">
      <c r="D8937" s="66"/>
      <c r="E8937" s="66"/>
      <c r="F8937" s="66"/>
    </row>
    <row r="8938" spans="4:6" x14ac:dyDescent="0.35">
      <c r="D8938" s="66"/>
      <c r="E8938" s="66"/>
      <c r="F8938" s="66"/>
    </row>
    <row r="8939" spans="4:6" x14ac:dyDescent="0.35">
      <c r="D8939" s="66"/>
      <c r="E8939" s="66"/>
      <c r="F8939" s="66"/>
    </row>
    <row r="8940" spans="4:6" x14ac:dyDescent="0.35">
      <c r="D8940" s="66"/>
      <c r="E8940" s="66"/>
      <c r="F8940" s="66"/>
    </row>
    <row r="8941" spans="4:6" x14ac:dyDescent="0.35">
      <c r="D8941" s="66"/>
      <c r="E8941" s="66"/>
      <c r="F8941" s="66"/>
    </row>
    <row r="8942" spans="4:6" x14ac:dyDescent="0.35">
      <c r="D8942" s="66"/>
      <c r="E8942" s="66"/>
      <c r="F8942" s="66"/>
    </row>
    <row r="8943" spans="4:6" x14ac:dyDescent="0.35">
      <c r="D8943" s="66"/>
      <c r="E8943" s="66"/>
      <c r="F8943" s="66"/>
    </row>
    <row r="8944" spans="4:6" x14ac:dyDescent="0.35">
      <c r="D8944" s="66"/>
      <c r="E8944" s="66"/>
      <c r="F8944" s="66"/>
    </row>
    <row r="8945" spans="4:6" x14ac:dyDescent="0.35">
      <c r="D8945" s="66"/>
      <c r="E8945" s="66"/>
      <c r="F8945" s="66"/>
    </row>
    <row r="8946" spans="4:6" x14ac:dyDescent="0.35">
      <c r="D8946" s="66"/>
      <c r="E8946" s="66"/>
      <c r="F8946" s="66"/>
    </row>
    <row r="8947" spans="4:6" x14ac:dyDescent="0.35">
      <c r="D8947" s="66"/>
      <c r="E8947" s="66"/>
      <c r="F8947" s="66"/>
    </row>
    <row r="8948" spans="4:6" x14ac:dyDescent="0.35">
      <c r="D8948" s="66"/>
      <c r="E8948" s="66"/>
      <c r="F8948" s="66"/>
    </row>
    <row r="8949" spans="4:6" x14ac:dyDescent="0.35">
      <c r="D8949" s="66"/>
      <c r="E8949" s="66"/>
      <c r="F8949" s="66"/>
    </row>
    <row r="8950" spans="4:6" x14ac:dyDescent="0.35">
      <c r="D8950" s="66"/>
      <c r="E8950" s="66"/>
      <c r="F8950" s="66"/>
    </row>
    <row r="8951" spans="4:6" x14ac:dyDescent="0.35">
      <c r="D8951" s="66"/>
      <c r="E8951" s="66"/>
      <c r="F8951" s="66"/>
    </row>
    <row r="8952" spans="4:6" x14ac:dyDescent="0.35">
      <c r="D8952" s="66"/>
      <c r="E8952" s="66"/>
      <c r="F8952" s="66"/>
    </row>
    <row r="8953" spans="4:6" x14ac:dyDescent="0.35">
      <c r="D8953" s="66"/>
      <c r="E8953" s="66"/>
      <c r="F8953" s="66"/>
    </row>
    <row r="8954" spans="4:6" x14ac:dyDescent="0.35">
      <c r="D8954" s="66"/>
      <c r="E8954" s="66"/>
      <c r="F8954" s="66"/>
    </row>
    <row r="8955" spans="4:6" x14ac:dyDescent="0.35">
      <c r="D8955" s="66"/>
      <c r="E8955" s="66"/>
      <c r="F8955" s="66"/>
    </row>
    <row r="8956" spans="4:6" x14ac:dyDescent="0.35">
      <c r="D8956" s="66"/>
      <c r="E8956" s="66"/>
      <c r="F8956" s="66"/>
    </row>
    <row r="8957" spans="4:6" x14ac:dyDescent="0.35">
      <c r="D8957" s="66"/>
      <c r="E8957" s="66"/>
      <c r="F8957" s="66"/>
    </row>
    <row r="8958" spans="4:6" x14ac:dyDescent="0.35">
      <c r="D8958" s="66"/>
      <c r="E8958" s="66"/>
      <c r="F8958" s="66"/>
    </row>
    <row r="8959" spans="4:6" x14ac:dyDescent="0.35">
      <c r="D8959" s="66"/>
      <c r="E8959" s="66"/>
      <c r="F8959" s="66"/>
    </row>
    <row r="8960" spans="4:6" x14ac:dyDescent="0.35">
      <c r="D8960" s="66"/>
      <c r="E8960" s="66"/>
      <c r="F8960" s="66"/>
    </row>
    <row r="8961" spans="4:6" x14ac:dyDescent="0.35">
      <c r="D8961" s="66"/>
      <c r="E8961" s="66"/>
      <c r="F8961" s="66"/>
    </row>
    <row r="8962" spans="4:6" x14ac:dyDescent="0.35">
      <c r="D8962" s="66"/>
      <c r="E8962" s="66"/>
      <c r="F8962" s="66"/>
    </row>
    <row r="8963" spans="4:6" x14ac:dyDescent="0.35">
      <c r="D8963" s="66"/>
      <c r="E8963" s="66"/>
      <c r="F8963" s="66"/>
    </row>
    <row r="8964" spans="4:6" x14ac:dyDescent="0.35">
      <c r="D8964" s="66"/>
      <c r="E8964" s="66"/>
      <c r="F8964" s="66"/>
    </row>
    <row r="8965" spans="4:6" x14ac:dyDescent="0.35">
      <c r="D8965" s="66"/>
      <c r="E8965" s="66"/>
      <c r="F8965" s="66"/>
    </row>
    <row r="8966" spans="4:6" x14ac:dyDescent="0.35">
      <c r="D8966" s="66"/>
      <c r="E8966" s="66"/>
      <c r="F8966" s="66"/>
    </row>
    <row r="8967" spans="4:6" x14ac:dyDescent="0.35">
      <c r="D8967" s="66"/>
      <c r="E8967" s="66"/>
      <c r="F8967" s="66"/>
    </row>
    <row r="8968" spans="4:6" x14ac:dyDescent="0.35">
      <c r="D8968" s="66"/>
      <c r="E8968" s="66"/>
      <c r="F8968" s="66"/>
    </row>
    <row r="8969" spans="4:6" x14ac:dyDescent="0.35">
      <c r="D8969" s="66"/>
      <c r="E8969" s="66"/>
      <c r="F8969" s="66"/>
    </row>
    <row r="8970" spans="4:6" x14ac:dyDescent="0.35">
      <c r="D8970" s="66"/>
      <c r="E8970" s="66"/>
      <c r="F8970" s="66"/>
    </row>
    <row r="8971" spans="4:6" x14ac:dyDescent="0.35">
      <c r="D8971" s="66"/>
      <c r="E8971" s="66"/>
      <c r="F8971" s="66"/>
    </row>
    <row r="8972" spans="4:6" x14ac:dyDescent="0.35">
      <c r="D8972" s="66"/>
      <c r="E8972" s="66"/>
      <c r="F8972" s="66"/>
    </row>
    <row r="8973" spans="4:6" x14ac:dyDescent="0.35">
      <c r="D8973" s="66"/>
      <c r="E8973" s="66"/>
      <c r="F8973" s="66"/>
    </row>
    <row r="8974" spans="4:6" x14ac:dyDescent="0.35">
      <c r="D8974" s="66"/>
      <c r="E8974" s="66"/>
      <c r="F8974" s="66"/>
    </row>
    <row r="8975" spans="4:6" x14ac:dyDescent="0.35">
      <c r="D8975" s="66"/>
      <c r="E8975" s="66"/>
      <c r="F8975" s="66"/>
    </row>
    <row r="8976" spans="4:6" x14ac:dyDescent="0.35">
      <c r="D8976" s="66"/>
      <c r="E8976" s="66"/>
      <c r="F8976" s="66"/>
    </row>
    <row r="8977" spans="4:6" x14ac:dyDescent="0.35">
      <c r="D8977" s="66"/>
      <c r="E8977" s="66"/>
      <c r="F8977" s="66"/>
    </row>
    <row r="8978" spans="4:6" x14ac:dyDescent="0.35">
      <c r="D8978" s="66"/>
      <c r="E8978" s="66"/>
      <c r="F8978" s="66"/>
    </row>
    <row r="8979" spans="4:6" x14ac:dyDescent="0.35">
      <c r="D8979" s="66"/>
      <c r="E8979" s="66"/>
      <c r="F8979" s="66"/>
    </row>
    <row r="8980" spans="4:6" x14ac:dyDescent="0.35">
      <c r="D8980" s="66"/>
      <c r="E8980" s="66"/>
      <c r="F8980" s="66"/>
    </row>
    <row r="8981" spans="4:6" x14ac:dyDescent="0.35">
      <c r="D8981" s="66"/>
      <c r="E8981" s="66"/>
      <c r="F8981" s="66"/>
    </row>
    <row r="8982" spans="4:6" x14ac:dyDescent="0.35">
      <c r="D8982" s="66"/>
      <c r="E8982" s="66"/>
      <c r="F8982" s="66"/>
    </row>
    <row r="8983" spans="4:6" x14ac:dyDescent="0.35">
      <c r="D8983" s="66"/>
      <c r="E8983" s="66"/>
      <c r="F8983" s="66"/>
    </row>
    <row r="8984" spans="4:6" x14ac:dyDescent="0.35">
      <c r="D8984" s="66"/>
      <c r="E8984" s="66"/>
      <c r="F8984" s="66"/>
    </row>
    <row r="8985" spans="4:6" x14ac:dyDescent="0.35">
      <c r="D8985" s="66"/>
      <c r="E8985" s="66"/>
      <c r="F8985" s="66"/>
    </row>
    <row r="8986" spans="4:6" x14ac:dyDescent="0.35">
      <c r="D8986" s="66"/>
      <c r="E8986" s="66"/>
      <c r="F8986" s="66"/>
    </row>
    <row r="8987" spans="4:6" x14ac:dyDescent="0.35">
      <c r="D8987" s="66"/>
      <c r="E8987" s="66"/>
      <c r="F8987" s="66"/>
    </row>
    <row r="8988" spans="4:6" x14ac:dyDescent="0.35">
      <c r="D8988" s="66"/>
      <c r="E8988" s="66"/>
      <c r="F8988" s="66"/>
    </row>
    <row r="8989" spans="4:6" x14ac:dyDescent="0.35">
      <c r="D8989" s="66"/>
      <c r="E8989" s="66"/>
      <c r="F8989" s="66"/>
    </row>
    <row r="8990" spans="4:6" x14ac:dyDescent="0.35">
      <c r="D8990" s="66"/>
      <c r="E8990" s="66"/>
      <c r="F8990" s="66"/>
    </row>
    <row r="8991" spans="4:6" x14ac:dyDescent="0.35">
      <c r="D8991" s="66"/>
      <c r="E8991" s="66"/>
      <c r="F8991" s="66"/>
    </row>
    <row r="8992" spans="4:6" x14ac:dyDescent="0.35">
      <c r="D8992" s="66"/>
      <c r="E8992" s="66"/>
      <c r="F8992" s="66"/>
    </row>
    <row r="8993" spans="4:6" x14ac:dyDescent="0.35">
      <c r="D8993" s="66"/>
      <c r="E8993" s="66"/>
      <c r="F8993" s="66"/>
    </row>
    <row r="8994" spans="4:6" x14ac:dyDescent="0.35">
      <c r="D8994" s="66"/>
      <c r="E8994" s="66"/>
      <c r="F8994" s="66"/>
    </row>
    <row r="8995" spans="4:6" x14ac:dyDescent="0.35">
      <c r="D8995" s="66"/>
      <c r="E8995" s="66"/>
      <c r="F8995" s="66"/>
    </row>
    <row r="8996" spans="4:6" x14ac:dyDescent="0.35">
      <c r="D8996" s="66"/>
      <c r="E8996" s="66"/>
      <c r="F8996" s="66"/>
    </row>
    <row r="8997" spans="4:6" x14ac:dyDescent="0.35">
      <c r="D8997" s="66"/>
      <c r="E8997" s="66"/>
      <c r="F8997" s="66"/>
    </row>
    <row r="8998" spans="4:6" x14ac:dyDescent="0.35">
      <c r="D8998" s="66"/>
      <c r="E8998" s="66"/>
      <c r="F8998" s="66"/>
    </row>
    <row r="8999" spans="4:6" x14ac:dyDescent="0.35">
      <c r="D8999" s="66"/>
      <c r="E8999" s="66"/>
      <c r="F8999" s="66"/>
    </row>
    <row r="9000" spans="4:6" x14ac:dyDescent="0.35">
      <c r="D9000" s="66"/>
      <c r="E9000" s="66"/>
      <c r="F9000" s="66"/>
    </row>
    <row r="9001" spans="4:6" x14ac:dyDescent="0.35">
      <c r="D9001" s="66"/>
      <c r="E9001" s="66"/>
      <c r="F9001" s="66"/>
    </row>
    <row r="9002" spans="4:6" x14ac:dyDescent="0.35">
      <c r="D9002" s="66"/>
      <c r="E9002" s="66"/>
      <c r="F9002" s="66"/>
    </row>
    <row r="9003" spans="4:6" x14ac:dyDescent="0.35">
      <c r="D9003" s="66"/>
      <c r="E9003" s="66"/>
      <c r="F9003" s="66"/>
    </row>
    <row r="9004" spans="4:6" x14ac:dyDescent="0.35">
      <c r="D9004" s="66"/>
      <c r="E9004" s="66"/>
      <c r="F9004" s="66"/>
    </row>
    <row r="9005" spans="4:6" x14ac:dyDescent="0.35">
      <c r="D9005" s="66"/>
      <c r="E9005" s="66"/>
      <c r="F9005" s="66"/>
    </row>
    <row r="9006" spans="4:6" x14ac:dyDescent="0.35">
      <c r="D9006" s="66"/>
      <c r="E9006" s="66"/>
      <c r="F9006" s="66"/>
    </row>
    <row r="9007" spans="4:6" x14ac:dyDescent="0.35">
      <c r="D9007" s="66"/>
      <c r="E9007" s="66"/>
      <c r="F9007" s="66"/>
    </row>
    <row r="9008" spans="4:6" x14ac:dyDescent="0.35">
      <c r="D9008" s="66"/>
      <c r="E9008" s="66"/>
      <c r="F9008" s="66"/>
    </row>
    <row r="9009" spans="4:6" x14ac:dyDescent="0.35">
      <c r="D9009" s="66"/>
      <c r="E9009" s="66"/>
      <c r="F9009" s="66"/>
    </row>
    <row r="9010" spans="4:6" x14ac:dyDescent="0.35">
      <c r="D9010" s="66"/>
      <c r="E9010" s="66"/>
      <c r="F9010" s="66"/>
    </row>
    <row r="9011" spans="4:6" x14ac:dyDescent="0.35">
      <c r="D9011" s="66"/>
      <c r="E9011" s="66"/>
      <c r="F9011" s="66"/>
    </row>
    <row r="9012" spans="4:6" x14ac:dyDescent="0.35">
      <c r="D9012" s="66"/>
      <c r="E9012" s="66"/>
      <c r="F9012" s="66"/>
    </row>
    <row r="9013" spans="4:6" x14ac:dyDescent="0.35">
      <c r="D9013" s="66"/>
      <c r="E9013" s="66"/>
      <c r="F9013" s="66"/>
    </row>
    <row r="9014" spans="4:6" x14ac:dyDescent="0.35">
      <c r="D9014" s="66"/>
      <c r="E9014" s="66"/>
      <c r="F9014" s="66"/>
    </row>
    <row r="9015" spans="4:6" x14ac:dyDescent="0.35">
      <c r="D9015" s="66"/>
      <c r="E9015" s="66"/>
      <c r="F9015" s="66"/>
    </row>
    <row r="9016" spans="4:6" x14ac:dyDescent="0.35">
      <c r="D9016" s="66"/>
      <c r="E9016" s="66"/>
      <c r="F9016" s="66"/>
    </row>
    <row r="9017" spans="4:6" x14ac:dyDescent="0.35">
      <c r="D9017" s="66"/>
      <c r="E9017" s="66"/>
      <c r="F9017" s="66"/>
    </row>
    <row r="9018" spans="4:6" x14ac:dyDescent="0.35">
      <c r="D9018" s="66"/>
      <c r="E9018" s="66"/>
      <c r="F9018" s="66"/>
    </row>
    <row r="9019" spans="4:6" x14ac:dyDescent="0.35">
      <c r="D9019" s="66"/>
      <c r="E9019" s="66"/>
      <c r="F9019" s="66"/>
    </row>
    <row r="9020" spans="4:6" x14ac:dyDescent="0.35">
      <c r="D9020" s="66"/>
      <c r="E9020" s="66"/>
      <c r="F9020" s="66"/>
    </row>
    <row r="9021" spans="4:6" x14ac:dyDescent="0.35">
      <c r="D9021" s="66"/>
      <c r="E9021" s="66"/>
      <c r="F9021" s="66"/>
    </row>
    <row r="9022" spans="4:6" x14ac:dyDescent="0.35">
      <c r="D9022" s="66"/>
      <c r="E9022" s="66"/>
      <c r="F9022" s="66"/>
    </row>
    <row r="9023" spans="4:6" x14ac:dyDescent="0.35">
      <c r="D9023" s="66"/>
      <c r="E9023" s="66"/>
      <c r="F9023" s="66"/>
    </row>
    <row r="9024" spans="4:6" x14ac:dyDescent="0.35">
      <c r="D9024" s="66"/>
      <c r="E9024" s="66"/>
      <c r="F9024" s="66"/>
    </row>
    <row r="9025" spans="4:6" x14ac:dyDescent="0.35">
      <c r="D9025" s="66"/>
      <c r="E9025" s="66"/>
      <c r="F9025" s="66"/>
    </row>
    <row r="9026" spans="4:6" x14ac:dyDescent="0.35">
      <c r="D9026" s="66"/>
      <c r="E9026" s="66"/>
      <c r="F9026" s="66"/>
    </row>
    <row r="9027" spans="4:6" x14ac:dyDescent="0.35">
      <c r="D9027" s="66"/>
      <c r="E9027" s="66"/>
      <c r="F9027" s="66"/>
    </row>
    <row r="9028" spans="4:6" x14ac:dyDescent="0.35">
      <c r="D9028" s="66"/>
      <c r="E9028" s="66"/>
      <c r="F9028" s="66"/>
    </row>
    <row r="9029" spans="4:6" x14ac:dyDescent="0.35">
      <c r="D9029" s="66"/>
      <c r="E9029" s="66"/>
      <c r="F9029" s="66"/>
    </row>
    <row r="9030" spans="4:6" x14ac:dyDescent="0.35">
      <c r="D9030" s="66"/>
      <c r="E9030" s="66"/>
      <c r="F9030" s="66"/>
    </row>
    <row r="9031" spans="4:6" x14ac:dyDescent="0.35">
      <c r="D9031" s="66"/>
      <c r="E9031" s="66"/>
      <c r="F9031" s="66"/>
    </row>
    <row r="9032" spans="4:6" x14ac:dyDescent="0.35">
      <c r="D9032" s="66"/>
      <c r="E9032" s="66"/>
      <c r="F9032" s="66"/>
    </row>
    <row r="9033" spans="4:6" x14ac:dyDescent="0.35">
      <c r="D9033" s="66"/>
      <c r="E9033" s="66"/>
      <c r="F9033" s="66"/>
    </row>
    <row r="9034" spans="4:6" x14ac:dyDescent="0.35">
      <c r="D9034" s="66"/>
      <c r="E9034" s="66"/>
      <c r="F9034" s="66"/>
    </row>
    <row r="9035" spans="4:6" x14ac:dyDescent="0.35">
      <c r="D9035" s="66"/>
      <c r="E9035" s="66"/>
      <c r="F9035" s="66"/>
    </row>
    <row r="9036" spans="4:6" x14ac:dyDescent="0.35">
      <c r="D9036" s="66"/>
      <c r="E9036" s="66"/>
      <c r="F9036" s="66"/>
    </row>
    <row r="9037" spans="4:6" x14ac:dyDescent="0.35">
      <c r="D9037" s="66"/>
      <c r="E9037" s="66"/>
      <c r="F9037" s="66"/>
    </row>
    <row r="9038" spans="4:6" x14ac:dyDescent="0.35">
      <c r="D9038" s="66"/>
      <c r="E9038" s="66"/>
      <c r="F9038" s="66"/>
    </row>
    <row r="9039" spans="4:6" x14ac:dyDescent="0.35">
      <c r="D9039" s="66"/>
      <c r="E9039" s="66"/>
      <c r="F9039" s="66"/>
    </row>
    <row r="9040" spans="4:6" x14ac:dyDescent="0.35">
      <c r="D9040" s="66"/>
      <c r="E9040" s="66"/>
      <c r="F9040" s="66"/>
    </row>
    <row r="9041" spans="4:6" x14ac:dyDescent="0.35">
      <c r="D9041" s="66"/>
      <c r="E9041" s="66"/>
      <c r="F9041" s="66"/>
    </row>
    <row r="9042" spans="4:6" x14ac:dyDescent="0.35">
      <c r="D9042" s="66"/>
      <c r="E9042" s="66"/>
      <c r="F9042" s="66"/>
    </row>
    <row r="9043" spans="4:6" x14ac:dyDescent="0.35">
      <c r="D9043" s="66"/>
      <c r="E9043" s="66"/>
      <c r="F9043" s="66"/>
    </row>
    <row r="9044" spans="4:6" x14ac:dyDescent="0.35">
      <c r="D9044" s="66"/>
      <c r="E9044" s="66"/>
      <c r="F9044" s="66"/>
    </row>
    <row r="9045" spans="4:6" x14ac:dyDescent="0.35">
      <c r="D9045" s="66"/>
      <c r="E9045" s="66"/>
      <c r="F9045" s="66"/>
    </row>
    <row r="9046" spans="4:6" x14ac:dyDescent="0.35">
      <c r="D9046" s="66"/>
      <c r="E9046" s="66"/>
      <c r="F9046" s="66"/>
    </row>
    <row r="9047" spans="4:6" x14ac:dyDescent="0.35">
      <c r="D9047" s="66"/>
      <c r="E9047" s="66"/>
      <c r="F9047" s="66"/>
    </row>
    <row r="9048" spans="4:6" x14ac:dyDescent="0.35">
      <c r="D9048" s="66"/>
      <c r="E9048" s="66"/>
      <c r="F9048" s="66"/>
    </row>
    <row r="9049" spans="4:6" x14ac:dyDescent="0.35">
      <c r="D9049" s="66"/>
      <c r="E9049" s="66"/>
      <c r="F9049" s="66"/>
    </row>
    <row r="9050" spans="4:6" x14ac:dyDescent="0.35">
      <c r="D9050" s="66"/>
      <c r="E9050" s="66"/>
      <c r="F9050" s="66"/>
    </row>
    <row r="9051" spans="4:6" x14ac:dyDescent="0.35">
      <c r="D9051" s="66"/>
      <c r="E9051" s="66"/>
      <c r="F9051" s="66"/>
    </row>
    <row r="9052" spans="4:6" x14ac:dyDescent="0.35">
      <c r="D9052" s="66"/>
      <c r="E9052" s="66"/>
      <c r="F9052" s="66"/>
    </row>
    <row r="9053" spans="4:6" x14ac:dyDescent="0.35">
      <c r="D9053" s="66"/>
      <c r="E9053" s="66"/>
      <c r="F9053" s="66"/>
    </row>
    <row r="9054" spans="4:6" x14ac:dyDescent="0.35">
      <c r="D9054" s="66"/>
      <c r="E9054" s="66"/>
      <c r="F9054" s="66"/>
    </row>
    <row r="9055" spans="4:6" x14ac:dyDescent="0.35">
      <c r="D9055" s="66"/>
      <c r="E9055" s="66"/>
      <c r="F9055" s="66"/>
    </row>
    <row r="9056" spans="4:6" x14ac:dyDescent="0.35">
      <c r="D9056" s="66"/>
      <c r="E9056" s="66"/>
      <c r="F9056" s="66"/>
    </row>
    <row r="9057" spans="4:6" x14ac:dyDescent="0.35">
      <c r="D9057" s="66"/>
      <c r="E9057" s="66"/>
      <c r="F9057" s="66"/>
    </row>
    <row r="9058" spans="4:6" x14ac:dyDescent="0.35">
      <c r="D9058" s="66"/>
      <c r="E9058" s="66"/>
      <c r="F9058" s="66"/>
    </row>
    <row r="9059" spans="4:6" x14ac:dyDescent="0.35">
      <c r="D9059" s="66"/>
      <c r="E9059" s="66"/>
      <c r="F9059" s="66"/>
    </row>
    <row r="9060" spans="4:6" x14ac:dyDescent="0.35">
      <c r="D9060" s="66"/>
      <c r="E9060" s="66"/>
      <c r="F9060" s="66"/>
    </row>
    <row r="9061" spans="4:6" x14ac:dyDescent="0.35">
      <c r="D9061" s="66"/>
      <c r="E9061" s="66"/>
      <c r="F9061" s="66"/>
    </row>
    <row r="9062" spans="4:6" x14ac:dyDescent="0.35">
      <c r="D9062" s="66"/>
      <c r="E9062" s="66"/>
      <c r="F9062" s="66"/>
    </row>
    <row r="9063" spans="4:6" x14ac:dyDescent="0.35">
      <c r="D9063" s="66"/>
      <c r="E9063" s="66"/>
      <c r="F9063" s="66"/>
    </row>
    <row r="9064" spans="4:6" x14ac:dyDescent="0.35">
      <c r="D9064" s="66"/>
      <c r="E9064" s="66"/>
      <c r="F9064" s="66"/>
    </row>
    <row r="9065" spans="4:6" x14ac:dyDescent="0.35">
      <c r="D9065" s="66"/>
      <c r="E9065" s="66"/>
      <c r="F9065" s="66"/>
    </row>
    <row r="9066" spans="4:6" x14ac:dyDescent="0.35">
      <c r="D9066" s="66"/>
      <c r="E9066" s="66"/>
      <c r="F9066" s="66"/>
    </row>
    <row r="9067" spans="4:6" x14ac:dyDescent="0.35">
      <c r="D9067" s="66"/>
      <c r="E9067" s="66"/>
      <c r="F9067" s="66"/>
    </row>
    <row r="9068" spans="4:6" x14ac:dyDescent="0.35">
      <c r="D9068" s="66"/>
      <c r="E9068" s="66"/>
      <c r="F9068" s="66"/>
    </row>
    <row r="9069" spans="4:6" x14ac:dyDescent="0.35">
      <c r="D9069" s="66"/>
      <c r="E9069" s="66"/>
      <c r="F9069" s="66"/>
    </row>
    <row r="9070" spans="4:6" x14ac:dyDescent="0.35">
      <c r="D9070" s="66"/>
      <c r="E9070" s="66"/>
      <c r="F9070" s="66"/>
    </row>
    <row r="9071" spans="4:6" x14ac:dyDescent="0.35">
      <c r="D9071" s="66"/>
      <c r="E9071" s="66"/>
      <c r="F9071" s="66"/>
    </row>
    <row r="9072" spans="4:6" x14ac:dyDescent="0.35">
      <c r="D9072" s="66"/>
      <c r="E9072" s="66"/>
      <c r="F9072" s="66"/>
    </row>
    <row r="9073" spans="4:6" x14ac:dyDescent="0.35">
      <c r="D9073" s="66"/>
      <c r="E9073" s="66"/>
      <c r="F9073" s="66"/>
    </row>
    <row r="9074" spans="4:6" x14ac:dyDescent="0.35">
      <c r="D9074" s="66"/>
      <c r="E9074" s="66"/>
      <c r="F9074" s="66"/>
    </row>
    <row r="9075" spans="4:6" x14ac:dyDescent="0.35">
      <c r="D9075" s="66"/>
      <c r="E9075" s="66"/>
      <c r="F9075" s="66"/>
    </row>
    <row r="9076" spans="4:6" x14ac:dyDescent="0.35">
      <c r="D9076" s="66"/>
      <c r="E9076" s="66"/>
      <c r="F9076" s="66"/>
    </row>
    <row r="9077" spans="4:6" x14ac:dyDescent="0.35">
      <c r="D9077" s="66"/>
      <c r="E9077" s="66"/>
      <c r="F9077" s="66"/>
    </row>
    <row r="9078" spans="4:6" x14ac:dyDescent="0.35">
      <c r="D9078" s="66"/>
      <c r="E9078" s="66"/>
      <c r="F9078" s="66"/>
    </row>
    <row r="9079" spans="4:6" x14ac:dyDescent="0.35">
      <c r="D9079" s="66"/>
      <c r="E9079" s="66"/>
      <c r="F9079" s="66"/>
    </row>
    <row r="9080" spans="4:6" x14ac:dyDescent="0.35">
      <c r="D9080" s="66"/>
      <c r="E9080" s="66"/>
      <c r="F9080" s="66"/>
    </row>
    <row r="9081" spans="4:6" x14ac:dyDescent="0.35">
      <c r="D9081" s="66"/>
      <c r="E9081" s="66"/>
      <c r="F9081" s="66"/>
    </row>
    <row r="9082" spans="4:6" x14ac:dyDescent="0.35">
      <c r="D9082" s="66"/>
      <c r="E9082" s="66"/>
      <c r="F9082" s="66"/>
    </row>
    <row r="9083" spans="4:6" x14ac:dyDescent="0.35">
      <c r="D9083" s="66"/>
      <c r="E9083" s="66"/>
      <c r="F9083" s="66"/>
    </row>
    <row r="9084" spans="4:6" x14ac:dyDescent="0.35">
      <c r="D9084" s="66"/>
      <c r="E9084" s="66"/>
      <c r="F9084" s="66"/>
    </row>
    <row r="9085" spans="4:6" x14ac:dyDescent="0.35">
      <c r="D9085" s="66"/>
      <c r="E9085" s="66"/>
      <c r="F9085" s="66"/>
    </row>
    <row r="9086" spans="4:6" x14ac:dyDescent="0.35">
      <c r="D9086" s="66"/>
      <c r="E9086" s="66"/>
      <c r="F9086" s="66"/>
    </row>
    <row r="9087" spans="4:6" x14ac:dyDescent="0.35">
      <c r="D9087" s="66"/>
      <c r="E9087" s="66"/>
      <c r="F9087" s="66"/>
    </row>
    <row r="9088" spans="4:6" x14ac:dyDescent="0.35">
      <c r="D9088" s="66"/>
      <c r="E9088" s="66"/>
      <c r="F9088" s="66"/>
    </row>
    <row r="9089" spans="4:6" x14ac:dyDescent="0.35">
      <c r="D9089" s="66"/>
      <c r="E9089" s="66"/>
      <c r="F9089" s="66"/>
    </row>
    <row r="9090" spans="4:6" x14ac:dyDescent="0.35">
      <c r="D9090" s="66"/>
      <c r="E9090" s="66"/>
      <c r="F9090" s="66"/>
    </row>
    <row r="9091" spans="4:6" x14ac:dyDescent="0.35">
      <c r="D9091" s="66"/>
      <c r="E9091" s="66"/>
      <c r="F9091" s="66"/>
    </row>
    <row r="9092" spans="4:6" x14ac:dyDescent="0.35">
      <c r="D9092" s="66"/>
      <c r="E9092" s="66"/>
      <c r="F9092" s="66"/>
    </row>
    <row r="9093" spans="4:6" x14ac:dyDescent="0.35">
      <c r="D9093" s="66"/>
      <c r="E9093" s="66"/>
      <c r="F9093" s="66"/>
    </row>
    <row r="9094" spans="4:6" x14ac:dyDescent="0.35">
      <c r="D9094" s="66"/>
      <c r="E9094" s="66"/>
      <c r="F9094" s="66"/>
    </row>
    <row r="9095" spans="4:6" x14ac:dyDescent="0.35">
      <c r="D9095" s="66"/>
      <c r="E9095" s="66"/>
      <c r="F9095" s="66"/>
    </row>
    <row r="9096" spans="4:6" x14ac:dyDescent="0.35">
      <c r="D9096" s="66"/>
      <c r="E9096" s="66"/>
      <c r="F9096" s="66"/>
    </row>
    <row r="9097" spans="4:6" x14ac:dyDescent="0.35">
      <c r="D9097" s="66"/>
      <c r="E9097" s="66"/>
      <c r="F9097" s="66"/>
    </row>
    <row r="9098" spans="4:6" x14ac:dyDescent="0.35">
      <c r="D9098" s="66"/>
      <c r="E9098" s="66"/>
      <c r="F9098" s="66"/>
    </row>
    <row r="9099" spans="4:6" x14ac:dyDescent="0.35">
      <c r="D9099" s="66"/>
      <c r="E9099" s="66"/>
      <c r="F9099" s="66"/>
    </row>
    <row r="9100" spans="4:6" x14ac:dyDescent="0.35">
      <c r="D9100" s="66"/>
      <c r="E9100" s="66"/>
      <c r="F9100" s="66"/>
    </row>
    <row r="9101" spans="4:6" x14ac:dyDescent="0.35">
      <c r="D9101" s="66"/>
      <c r="E9101" s="66"/>
      <c r="F9101" s="66"/>
    </row>
    <row r="9102" spans="4:6" x14ac:dyDescent="0.35">
      <c r="D9102" s="66"/>
      <c r="E9102" s="66"/>
      <c r="F9102" s="66"/>
    </row>
    <row r="9103" spans="4:6" x14ac:dyDescent="0.35">
      <c r="D9103" s="66"/>
      <c r="E9103" s="66"/>
      <c r="F9103" s="66"/>
    </row>
    <row r="9104" spans="4:6" x14ac:dyDescent="0.35">
      <c r="D9104" s="66"/>
      <c r="E9104" s="66"/>
      <c r="F9104" s="66"/>
    </row>
    <row r="9105" spans="4:6" x14ac:dyDescent="0.35">
      <c r="D9105" s="66"/>
      <c r="E9105" s="66"/>
      <c r="F9105" s="66"/>
    </row>
    <row r="9106" spans="4:6" x14ac:dyDescent="0.35">
      <c r="D9106" s="66"/>
      <c r="E9106" s="66"/>
      <c r="F9106" s="66"/>
    </row>
    <row r="9107" spans="4:6" x14ac:dyDescent="0.35">
      <c r="D9107" s="66"/>
      <c r="E9107" s="66"/>
      <c r="F9107" s="66"/>
    </row>
    <row r="9108" spans="4:6" x14ac:dyDescent="0.35">
      <c r="D9108" s="66"/>
      <c r="E9108" s="66"/>
      <c r="F9108" s="66"/>
    </row>
    <row r="9109" spans="4:6" x14ac:dyDescent="0.35">
      <c r="D9109" s="66"/>
      <c r="E9109" s="66"/>
      <c r="F9109" s="66"/>
    </row>
    <row r="9110" spans="4:6" x14ac:dyDescent="0.35">
      <c r="D9110" s="66"/>
      <c r="E9110" s="66"/>
      <c r="F9110" s="66"/>
    </row>
    <row r="9111" spans="4:6" x14ac:dyDescent="0.35">
      <c r="D9111" s="66"/>
      <c r="E9111" s="66"/>
      <c r="F9111" s="66"/>
    </row>
    <row r="9112" spans="4:6" x14ac:dyDescent="0.35">
      <c r="D9112" s="66"/>
      <c r="E9112" s="66"/>
      <c r="F9112" s="66"/>
    </row>
    <row r="9113" spans="4:6" x14ac:dyDescent="0.35">
      <c r="D9113" s="66"/>
      <c r="E9113" s="66"/>
      <c r="F9113" s="66"/>
    </row>
    <row r="9114" spans="4:6" x14ac:dyDescent="0.35">
      <c r="D9114" s="66"/>
      <c r="E9114" s="66"/>
      <c r="F9114" s="66"/>
    </row>
    <row r="9115" spans="4:6" x14ac:dyDescent="0.35">
      <c r="D9115" s="66"/>
      <c r="E9115" s="66"/>
      <c r="F9115" s="66"/>
    </row>
    <row r="9116" spans="4:6" x14ac:dyDescent="0.35">
      <c r="D9116" s="66"/>
      <c r="E9116" s="66"/>
      <c r="F9116" s="66"/>
    </row>
    <row r="9117" spans="4:6" x14ac:dyDescent="0.35">
      <c r="D9117" s="66"/>
      <c r="E9117" s="66"/>
      <c r="F9117" s="66"/>
    </row>
    <row r="9118" spans="4:6" x14ac:dyDescent="0.35">
      <c r="D9118" s="66"/>
      <c r="E9118" s="66"/>
      <c r="F9118" s="66"/>
    </row>
    <row r="9119" spans="4:6" x14ac:dyDescent="0.35">
      <c r="D9119" s="66"/>
      <c r="E9119" s="66"/>
      <c r="F9119" s="66"/>
    </row>
    <row r="9120" spans="4:6" x14ac:dyDescent="0.35">
      <c r="D9120" s="66"/>
      <c r="E9120" s="66"/>
      <c r="F9120" s="66"/>
    </row>
    <row r="9121" spans="4:6" x14ac:dyDescent="0.35">
      <c r="D9121" s="66"/>
      <c r="E9121" s="66"/>
      <c r="F9121" s="66"/>
    </row>
    <row r="9122" spans="4:6" x14ac:dyDescent="0.35">
      <c r="D9122" s="66"/>
      <c r="E9122" s="66"/>
      <c r="F9122" s="66"/>
    </row>
    <row r="9123" spans="4:6" x14ac:dyDescent="0.35">
      <c r="D9123" s="66"/>
      <c r="E9123" s="66"/>
      <c r="F9123" s="66"/>
    </row>
    <row r="9124" spans="4:6" x14ac:dyDescent="0.35">
      <c r="D9124" s="66"/>
      <c r="E9124" s="66"/>
      <c r="F9124" s="66"/>
    </row>
    <row r="9125" spans="4:6" x14ac:dyDescent="0.35">
      <c r="D9125" s="66"/>
      <c r="E9125" s="66"/>
      <c r="F9125" s="66"/>
    </row>
    <row r="9126" spans="4:6" x14ac:dyDescent="0.35">
      <c r="D9126" s="66"/>
      <c r="E9126" s="66"/>
      <c r="F9126" s="66"/>
    </row>
    <row r="9127" spans="4:6" x14ac:dyDescent="0.35">
      <c r="D9127" s="66"/>
      <c r="E9127" s="66"/>
      <c r="F9127" s="66"/>
    </row>
    <row r="9128" spans="4:6" x14ac:dyDescent="0.35">
      <c r="D9128" s="66"/>
      <c r="E9128" s="66"/>
      <c r="F9128" s="66"/>
    </row>
    <row r="9129" spans="4:6" x14ac:dyDescent="0.35">
      <c r="D9129" s="66"/>
      <c r="E9129" s="66"/>
      <c r="F9129" s="66"/>
    </row>
    <row r="9130" spans="4:6" x14ac:dyDescent="0.35">
      <c r="D9130" s="66"/>
      <c r="E9130" s="66"/>
      <c r="F9130" s="66"/>
    </row>
    <row r="9131" spans="4:6" x14ac:dyDescent="0.35">
      <c r="D9131" s="66"/>
      <c r="E9131" s="66"/>
      <c r="F9131" s="66"/>
    </row>
    <row r="9132" spans="4:6" x14ac:dyDescent="0.35">
      <c r="D9132" s="66"/>
      <c r="E9132" s="66"/>
      <c r="F9132" s="66"/>
    </row>
    <row r="9133" spans="4:6" x14ac:dyDescent="0.35">
      <c r="D9133" s="66"/>
      <c r="E9133" s="66"/>
      <c r="F9133" s="66"/>
    </row>
    <row r="9134" spans="4:6" x14ac:dyDescent="0.35">
      <c r="D9134" s="66"/>
      <c r="E9134" s="66"/>
      <c r="F9134" s="66"/>
    </row>
    <row r="9135" spans="4:6" x14ac:dyDescent="0.35">
      <c r="D9135" s="66"/>
      <c r="E9135" s="66"/>
      <c r="F9135" s="66"/>
    </row>
    <row r="9136" spans="4:6" x14ac:dyDescent="0.35">
      <c r="D9136" s="66"/>
      <c r="E9136" s="66"/>
      <c r="F9136" s="66"/>
    </row>
    <row r="9137" spans="4:6" x14ac:dyDescent="0.35">
      <c r="D9137" s="66"/>
      <c r="E9137" s="66"/>
      <c r="F9137" s="66"/>
    </row>
    <row r="9138" spans="4:6" x14ac:dyDescent="0.35">
      <c r="D9138" s="66"/>
      <c r="E9138" s="66"/>
      <c r="F9138" s="66"/>
    </row>
    <row r="9139" spans="4:6" x14ac:dyDescent="0.35">
      <c r="D9139" s="66"/>
      <c r="E9139" s="66"/>
      <c r="F9139" s="66"/>
    </row>
    <row r="9140" spans="4:6" x14ac:dyDescent="0.35">
      <c r="D9140" s="66"/>
      <c r="E9140" s="66"/>
      <c r="F9140" s="66"/>
    </row>
    <row r="9141" spans="4:6" x14ac:dyDescent="0.35">
      <c r="D9141" s="66"/>
      <c r="E9141" s="66"/>
      <c r="F9141" s="66"/>
    </row>
    <row r="9142" spans="4:6" x14ac:dyDescent="0.35">
      <c r="D9142" s="66"/>
      <c r="E9142" s="66"/>
      <c r="F9142" s="66"/>
    </row>
    <row r="9143" spans="4:6" x14ac:dyDescent="0.35">
      <c r="D9143" s="66"/>
      <c r="E9143" s="66"/>
      <c r="F9143" s="66"/>
    </row>
    <row r="9144" spans="4:6" x14ac:dyDescent="0.35">
      <c r="D9144" s="66"/>
      <c r="E9144" s="66"/>
      <c r="F9144" s="66"/>
    </row>
    <row r="9145" spans="4:6" x14ac:dyDescent="0.35">
      <c r="D9145" s="66"/>
      <c r="E9145" s="66"/>
      <c r="F9145" s="66"/>
    </row>
    <row r="9146" spans="4:6" x14ac:dyDescent="0.35">
      <c r="D9146" s="66"/>
      <c r="E9146" s="66"/>
      <c r="F9146" s="66"/>
    </row>
    <row r="9147" spans="4:6" x14ac:dyDescent="0.35">
      <c r="D9147" s="66"/>
      <c r="E9147" s="66"/>
      <c r="F9147" s="66"/>
    </row>
    <row r="9148" spans="4:6" x14ac:dyDescent="0.35">
      <c r="D9148" s="66"/>
      <c r="E9148" s="66"/>
      <c r="F9148" s="66"/>
    </row>
    <row r="9149" spans="4:6" x14ac:dyDescent="0.35">
      <c r="D9149" s="66"/>
      <c r="E9149" s="66"/>
      <c r="F9149" s="66"/>
    </row>
    <row r="9150" spans="4:6" x14ac:dyDescent="0.35">
      <c r="D9150" s="66"/>
      <c r="E9150" s="66"/>
      <c r="F9150" s="66"/>
    </row>
    <row r="9151" spans="4:6" x14ac:dyDescent="0.35">
      <c r="D9151" s="66"/>
      <c r="E9151" s="66"/>
      <c r="F9151" s="66"/>
    </row>
    <row r="9152" spans="4:6" x14ac:dyDescent="0.35">
      <c r="D9152" s="66"/>
      <c r="E9152" s="66"/>
      <c r="F9152" s="66"/>
    </row>
    <row r="9153" spans="4:6" x14ac:dyDescent="0.35">
      <c r="D9153" s="66"/>
      <c r="E9153" s="66"/>
      <c r="F9153" s="66"/>
    </row>
    <row r="9154" spans="4:6" x14ac:dyDescent="0.35">
      <c r="D9154" s="66"/>
      <c r="E9154" s="66"/>
      <c r="F9154" s="66"/>
    </row>
    <row r="9155" spans="4:6" x14ac:dyDescent="0.35">
      <c r="D9155" s="66"/>
      <c r="E9155" s="66"/>
      <c r="F9155" s="66"/>
    </row>
    <row r="9156" spans="4:6" x14ac:dyDescent="0.35">
      <c r="D9156" s="66"/>
      <c r="E9156" s="66"/>
      <c r="F9156" s="66"/>
    </row>
    <row r="9157" spans="4:6" x14ac:dyDescent="0.35">
      <c r="D9157" s="66"/>
      <c r="E9157" s="66"/>
      <c r="F9157" s="66"/>
    </row>
    <row r="9158" spans="4:6" x14ac:dyDescent="0.35">
      <c r="D9158" s="66"/>
      <c r="E9158" s="66"/>
      <c r="F9158" s="66"/>
    </row>
    <row r="9159" spans="4:6" x14ac:dyDescent="0.35">
      <c r="D9159" s="66"/>
      <c r="E9159" s="66"/>
      <c r="F9159" s="66"/>
    </row>
    <row r="9160" spans="4:6" x14ac:dyDescent="0.35">
      <c r="D9160" s="66"/>
      <c r="E9160" s="66"/>
      <c r="F9160" s="66"/>
    </row>
    <row r="9161" spans="4:6" x14ac:dyDescent="0.35">
      <c r="D9161" s="66"/>
      <c r="E9161" s="66"/>
      <c r="F9161" s="66"/>
    </row>
    <row r="9162" spans="4:6" x14ac:dyDescent="0.35">
      <c r="D9162" s="66"/>
      <c r="E9162" s="66"/>
      <c r="F9162" s="66"/>
    </row>
    <row r="9163" spans="4:6" x14ac:dyDescent="0.35">
      <c r="D9163" s="66"/>
      <c r="E9163" s="66"/>
      <c r="F9163" s="66"/>
    </row>
    <row r="9164" spans="4:6" x14ac:dyDescent="0.35">
      <c r="D9164" s="66"/>
      <c r="E9164" s="66"/>
      <c r="F9164" s="66"/>
    </row>
    <row r="9165" spans="4:6" x14ac:dyDescent="0.35">
      <c r="D9165" s="66"/>
      <c r="E9165" s="66"/>
      <c r="F9165" s="66"/>
    </row>
    <row r="9166" spans="4:6" x14ac:dyDescent="0.35">
      <c r="D9166" s="66"/>
      <c r="E9166" s="66"/>
      <c r="F9166" s="66"/>
    </row>
    <row r="9167" spans="4:6" x14ac:dyDescent="0.35">
      <c r="D9167" s="66"/>
      <c r="E9167" s="66"/>
      <c r="F9167" s="66"/>
    </row>
    <row r="9168" spans="4:6" x14ac:dyDescent="0.35">
      <c r="D9168" s="66"/>
      <c r="E9168" s="66"/>
      <c r="F9168" s="66"/>
    </row>
    <row r="9169" spans="4:6" x14ac:dyDescent="0.35">
      <c r="D9169" s="66"/>
      <c r="E9169" s="66"/>
      <c r="F9169" s="66"/>
    </row>
    <row r="9170" spans="4:6" x14ac:dyDescent="0.35">
      <c r="D9170" s="66"/>
      <c r="E9170" s="66"/>
      <c r="F9170" s="66"/>
    </row>
    <row r="9171" spans="4:6" x14ac:dyDescent="0.35">
      <c r="D9171" s="66"/>
      <c r="E9171" s="66"/>
      <c r="F9171" s="66"/>
    </row>
    <row r="9172" spans="4:6" x14ac:dyDescent="0.35">
      <c r="D9172" s="66"/>
      <c r="E9172" s="66"/>
      <c r="F9172" s="66"/>
    </row>
    <row r="9173" spans="4:6" x14ac:dyDescent="0.35">
      <c r="D9173" s="66"/>
      <c r="E9173" s="66"/>
      <c r="F9173" s="66"/>
    </row>
    <row r="9174" spans="4:6" x14ac:dyDescent="0.35">
      <c r="D9174" s="66"/>
      <c r="E9174" s="66"/>
      <c r="F9174" s="66"/>
    </row>
    <row r="9175" spans="4:6" x14ac:dyDescent="0.35">
      <c r="D9175" s="66"/>
      <c r="E9175" s="66"/>
      <c r="F9175" s="66"/>
    </row>
    <row r="9176" spans="4:6" x14ac:dyDescent="0.35">
      <c r="D9176" s="66"/>
      <c r="E9176" s="66"/>
      <c r="F9176" s="66"/>
    </row>
    <row r="9177" spans="4:6" x14ac:dyDescent="0.35">
      <c r="D9177" s="66"/>
      <c r="E9177" s="66"/>
      <c r="F9177" s="66"/>
    </row>
    <row r="9178" spans="4:6" x14ac:dyDescent="0.35">
      <c r="D9178" s="66"/>
      <c r="E9178" s="66"/>
      <c r="F9178" s="66"/>
    </row>
    <row r="9179" spans="4:6" x14ac:dyDescent="0.35">
      <c r="D9179" s="66"/>
      <c r="E9179" s="66"/>
      <c r="F9179" s="66"/>
    </row>
    <row r="9180" spans="4:6" x14ac:dyDescent="0.35">
      <c r="D9180" s="66"/>
      <c r="E9180" s="66"/>
      <c r="F9180" s="66"/>
    </row>
    <row r="9181" spans="4:6" x14ac:dyDescent="0.35">
      <c r="D9181" s="66"/>
      <c r="E9181" s="66"/>
      <c r="F9181" s="66"/>
    </row>
    <row r="9182" spans="4:6" x14ac:dyDescent="0.35">
      <c r="D9182" s="66"/>
      <c r="E9182" s="66"/>
      <c r="F9182" s="66"/>
    </row>
    <row r="9183" spans="4:6" x14ac:dyDescent="0.35">
      <c r="D9183" s="66"/>
      <c r="E9183" s="66"/>
      <c r="F9183" s="66"/>
    </row>
    <row r="9184" spans="4:6" x14ac:dyDescent="0.35">
      <c r="D9184" s="66"/>
      <c r="E9184" s="66"/>
      <c r="F9184" s="66"/>
    </row>
    <row r="9185" spans="4:6" x14ac:dyDescent="0.35">
      <c r="D9185" s="66"/>
      <c r="E9185" s="66"/>
      <c r="F9185" s="66"/>
    </row>
    <row r="9186" spans="4:6" x14ac:dyDescent="0.35">
      <c r="D9186" s="66"/>
      <c r="E9186" s="66"/>
      <c r="F9186" s="66"/>
    </row>
    <row r="9187" spans="4:6" x14ac:dyDescent="0.35">
      <c r="D9187" s="66"/>
      <c r="E9187" s="66"/>
      <c r="F9187" s="66"/>
    </row>
    <row r="9188" spans="4:6" x14ac:dyDescent="0.35">
      <c r="D9188" s="66"/>
      <c r="E9188" s="66"/>
      <c r="F9188" s="66"/>
    </row>
    <row r="9189" spans="4:6" x14ac:dyDescent="0.35">
      <c r="D9189" s="66"/>
      <c r="E9189" s="66"/>
      <c r="F9189" s="66"/>
    </row>
    <row r="9190" spans="4:6" x14ac:dyDescent="0.35">
      <c r="D9190" s="66"/>
      <c r="E9190" s="66"/>
      <c r="F9190" s="66"/>
    </row>
    <row r="9191" spans="4:6" x14ac:dyDescent="0.35">
      <c r="D9191" s="66"/>
      <c r="E9191" s="66"/>
      <c r="F9191" s="66"/>
    </row>
    <row r="9192" spans="4:6" x14ac:dyDescent="0.35">
      <c r="D9192" s="66"/>
      <c r="E9192" s="66"/>
      <c r="F9192" s="66"/>
    </row>
    <row r="9193" spans="4:6" x14ac:dyDescent="0.35">
      <c r="D9193" s="66"/>
      <c r="E9193" s="66"/>
      <c r="F9193" s="66"/>
    </row>
    <row r="9194" spans="4:6" x14ac:dyDescent="0.35">
      <c r="D9194" s="66"/>
      <c r="E9194" s="66"/>
      <c r="F9194" s="66"/>
    </row>
    <row r="9195" spans="4:6" x14ac:dyDescent="0.35">
      <c r="D9195" s="66"/>
      <c r="E9195" s="66"/>
      <c r="F9195" s="66"/>
    </row>
    <row r="9196" spans="4:6" x14ac:dyDescent="0.35">
      <c r="D9196" s="66"/>
      <c r="E9196" s="66"/>
      <c r="F9196" s="66"/>
    </row>
    <row r="9197" spans="4:6" x14ac:dyDescent="0.35">
      <c r="D9197" s="66"/>
      <c r="E9197" s="66"/>
      <c r="F9197" s="66"/>
    </row>
    <row r="9198" spans="4:6" x14ac:dyDescent="0.35">
      <c r="D9198" s="66"/>
      <c r="E9198" s="66"/>
      <c r="F9198" s="66"/>
    </row>
    <row r="9199" spans="4:6" x14ac:dyDescent="0.35">
      <c r="D9199" s="66"/>
      <c r="E9199" s="66"/>
      <c r="F9199" s="66"/>
    </row>
    <row r="9200" spans="4:6" x14ac:dyDescent="0.35">
      <c r="D9200" s="66"/>
      <c r="E9200" s="66"/>
      <c r="F9200" s="66"/>
    </row>
    <row r="9201" spans="4:6" x14ac:dyDescent="0.35">
      <c r="D9201" s="66"/>
      <c r="E9201" s="66"/>
      <c r="F9201" s="66"/>
    </row>
    <row r="9202" spans="4:6" x14ac:dyDescent="0.35">
      <c r="D9202" s="66"/>
      <c r="E9202" s="66"/>
      <c r="F9202" s="66"/>
    </row>
    <row r="9203" spans="4:6" x14ac:dyDescent="0.35">
      <c r="D9203" s="66"/>
      <c r="E9203" s="66"/>
      <c r="F9203" s="66"/>
    </row>
    <row r="9204" spans="4:6" x14ac:dyDescent="0.35">
      <c r="D9204" s="66"/>
      <c r="E9204" s="66"/>
      <c r="F9204" s="66"/>
    </row>
    <row r="9205" spans="4:6" x14ac:dyDescent="0.35">
      <c r="D9205" s="66"/>
      <c r="E9205" s="66"/>
      <c r="F9205" s="66"/>
    </row>
    <row r="9206" spans="4:6" x14ac:dyDescent="0.35">
      <c r="D9206" s="66"/>
      <c r="E9206" s="66"/>
      <c r="F9206" s="66"/>
    </row>
    <row r="9207" spans="4:6" x14ac:dyDescent="0.35">
      <c r="D9207" s="66"/>
      <c r="E9207" s="66"/>
      <c r="F9207" s="66"/>
    </row>
    <row r="9208" spans="4:6" x14ac:dyDescent="0.35">
      <c r="D9208" s="66"/>
      <c r="E9208" s="66"/>
      <c r="F9208" s="66"/>
    </row>
    <row r="9209" spans="4:6" x14ac:dyDescent="0.35">
      <c r="D9209" s="66"/>
      <c r="E9209" s="66"/>
      <c r="F9209" s="66"/>
    </row>
    <row r="9210" spans="4:6" x14ac:dyDescent="0.35">
      <c r="D9210" s="66"/>
      <c r="E9210" s="66"/>
      <c r="F9210" s="66"/>
    </row>
    <row r="9211" spans="4:6" x14ac:dyDescent="0.35">
      <c r="D9211" s="66"/>
      <c r="E9211" s="66"/>
      <c r="F9211" s="66"/>
    </row>
    <row r="9212" spans="4:6" x14ac:dyDescent="0.35">
      <c r="D9212" s="66"/>
      <c r="E9212" s="66"/>
      <c r="F9212" s="66"/>
    </row>
    <row r="9213" spans="4:6" x14ac:dyDescent="0.35">
      <c r="D9213" s="66"/>
      <c r="E9213" s="66"/>
      <c r="F9213" s="66"/>
    </row>
    <row r="9214" spans="4:6" x14ac:dyDescent="0.35">
      <c r="D9214" s="66"/>
      <c r="E9214" s="66"/>
      <c r="F9214" s="66"/>
    </row>
    <row r="9215" spans="4:6" x14ac:dyDescent="0.35">
      <c r="D9215" s="66"/>
      <c r="E9215" s="66"/>
      <c r="F9215" s="66"/>
    </row>
    <row r="9216" spans="4:6" x14ac:dyDescent="0.35">
      <c r="D9216" s="66"/>
      <c r="E9216" s="66"/>
      <c r="F9216" s="66"/>
    </row>
    <row r="9217" spans="4:6" x14ac:dyDescent="0.35">
      <c r="D9217" s="66"/>
      <c r="E9217" s="66"/>
      <c r="F9217" s="66"/>
    </row>
    <row r="9218" spans="4:6" x14ac:dyDescent="0.35">
      <c r="D9218" s="66"/>
      <c r="E9218" s="66"/>
      <c r="F9218" s="66"/>
    </row>
    <row r="9219" spans="4:6" x14ac:dyDescent="0.35">
      <c r="D9219" s="66"/>
      <c r="E9219" s="66"/>
      <c r="F9219" s="66"/>
    </row>
    <row r="9220" spans="4:6" x14ac:dyDescent="0.35">
      <c r="D9220" s="66"/>
      <c r="E9220" s="66"/>
      <c r="F9220" s="66"/>
    </row>
    <row r="9221" spans="4:6" x14ac:dyDescent="0.35">
      <c r="D9221" s="66"/>
      <c r="E9221" s="66"/>
      <c r="F9221" s="66"/>
    </row>
    <row r="9222" spans="4:6" x14ac:dyDescent="0.35">
      <c r="D9222" s="66"/>
      <c r="E9222" s="66"/>
      <c r="F9222" s="66"/>
    </row>
    <row r="9223" spans="4:6" x14ac:dyDescent="0.35">
      <c r="D9223" s="66"/>
      <c r="E9223" s="66"/>
      <c r="F9223" s="66"/>
    </row>
    <row r="9224" spans="4:6" x14ac:dyDescent="0.35">
      <c r="D9224" s="66"/>
      <c r="E9224" s="66"/>
      <c r="F9224" s="66"/>
    </row>
    <row r="9225" spans="4:6" x14ac:dyDescent="0.35">
      <c r="D9225" s="66"/>
      <c r="E9225" s="66"/>
      <c r="F9225" s="66"/>
    </row>
    <row r="9226" spans="4:6" x14ac:dyDescent="0.35">
      <c r="D9226" s="66"/>
      <c r="E9226" s="66"/>
      <c r="F9226" s="66"/>
    </row>
    <row r="9227" spans="4:6" x14ac:dyDescent="0.35">
      <c r="D9227" s="66"/>
      <c r="E9227" s="66"/>
      <c r="F9227" s="66"/>
    </row>
    <row r="9228" spans="4:6" x14ac:dyDescent="0.35">
      <c r="D9228" s="66"/>
      <c r="E9228" s="66"/>
      <c r="F9228" s="66"/>
    </row>
    <row r="9229" spans="4:6" x14ac:dyDescent="0.35">
      <c r="D9229" s="66"/>
      <c r="E9229" s="66"/>
      <c r="F9229" s="66"/>
    </row>
    <row r="9230" spans="4:6" x14ac:dyDescent="0.35">
      <c r="D9230" s="66"/>
      <c r="E9230" s="66"/>
      <c r="F9230" s="66"/>
    </row>
    <row r="9231" spans="4:6" x14ac:dyDescent="0.35">
      <c r="D9231" s="66"/>
      <c r="E9231" s="66"/>
      <c r="F9231" s="66"/>
    </row>
    <row r="9232" spans="4:6" x14ac:dyDescent="0.35">
      <c r="D9232" s="66"/>
      <c r="E9232" s="66"/>
      <c r="F9232" s="66"/>
    </row>
    <row r="9233" spans="4:6" x14ac:dyDescent="0.35">
      <c r="D9233" s="66"/>
      <c r="E9233" s="66"/>
      <c r="F9233" s="66"/>
    </row>
    <row r="9234" spans="4:6" x14ac:dyDescent="0.35">
      <c r="D9234" s="66"/>
      <c r="E9234" s="66"/>
      <c r="F9234" s="66"/>
    </row>
    <row r="9235" spans="4:6" x14ac:dyDescent="0.35">
      <c r="D9235" s="66"/>
      <c r="E9235" s="66"/>
      <c r="F9235" s="66"/>
    </row>
    <row r="9236" spans="4:6" x14ac:dyDescent="0.35">
      <c r="D9236" s="66"/>
      <c r="E9236" s="66"/>
      <c r="F9236" s="66"/>
    </row>
    <row r="9237" spans="4:6" x14ac:dyDescent="0.35">
      <c r="D9237" s="66"/>
      <c r="E9237" s="66"/>
      <c r="F9237" s="66"/>
    </row>
    <row r="9238" spans="4:6" x14ac:dyDescent="0.35">
      <c r="D9238" s="66"/>
      <c r="E9238" s="66"/>
      <c r="F9238" s="66"/>
    </row>
    <row r="9239" spans="4:6" x14ac:dyDescent="0.35">
      <c r="D9239" s="66"/>
      <c r="E9239" s="66"/>
      <c r="F9239" s="66"/>
    </row>
    <row r="9240" spans="4:6" x14ac:dyDescent="0.35">
      <c r="D9240" s="66"/>
      <c r="E9240" s="66"/>
      <c r="F9240" s="66"/>
    </row>
    <row r="9241" spans="4:6" x14ac:dyDescent="0.35">
      <c r="D9241" s="66"/>
      <c r="E9241" s="66"/>
      <c r="F9241" s="66"/>
    </row>
    <row r="9242" spans="4:6" x14ac:dyDescent="0.35">
      <c r="D9242" s="66"/>
      <c r="E9242" s="66"/>
      <c r="F9242" s="66"/>
    </row>
    <row r="9243" spans="4:6" x14ac:dyDescent="0.35">
      <c r="D9243" s="66"/>
      <c r="E9243" s="66"/>
      <c r="F9243" s="66"/>
    </row>
    <row r="9244" spans="4:6" x14ac:dyDescent="0.35">
      <c r="D9244" s="66"/>
      <c r="E9244" s="66"/>
      <c r="F9244" s="66"/>
    </row>
    <row r="9245" spans="4:6" x14ac:dyDescent="0.35">
      <c r="D9245" s="66"/>
      <c r="E9245" s="66"/>
      <c r="F9245" s="66"/>
    </row>
    <row r="9246" spans="4:6" x14ac:dyDescent="0.35">
      <c r="D9246" s="66"/>
      <c r="E9246" s="66"/>
      <c r="F9246" s="66"/>
    </row>
    <row r="9247" spans="4:6" x14ac:dyDescent="0.35">
      <c r="D9247" s="66"/>
      <c r="E9247" s="66"/>
      <c r="F9247" s="66"/>
    </row>
    <row r="9248" spans="4:6" x14ac:dyDescent="0.35">
      <c r="D9248" s="66"/>
      <c r="E9248" s="66"/>
      <c r="F9248" s="66"/>
    </row>
    <row r="9249" spans="4:6" x14ac:dyDescent="0.35">
      <c r="D9249" s="66"/>
      <c r="E9249" s="66"/>
      <c r="F9249" s="66"/>
    </row>
    <row r="9250" spans="4:6" x14ac:dyDescent="0.35">
      <c r="D9250" s="66"/>
      <c r="E9250" s="66"/>
      <c r="F9250" s="66"/>
    </row>
    <row r="9251" spans="4:6" x14ac:dyDescent="0.35">
      <c r="D9251" s="66"/>
      <c r="E9251" s="66"/>
      <c r="F9251" s="66"/>
    </row>
    <row r="9252" spans="4:6" x14ac:dyDescent="0.35">
      <c r="D9252" s="66"/>
      <c r="E9252" s="66"/>
      <c r="F9252" s="66"/>
    </row>
    <row r="9253" spans="4:6" x14ac:dyDescent="0.35">
      <c r="D9253" s="66"/>
      <c r="E9253" s="66"/>
      <c r="F9253" s="66"/>
    </row>
    <row r="9254" spans="4:6" x14ac:dyDescent="0.35">
      <c r="D9254" s="66"/>
      <c r="E9254" s="66"/>
      <c r="F9254" s="66"/>
    </row>
    <row r="9255" spans="4:6" x14ac:dyDescent="0.35">
      <c r="D9255" s="66"/>
      <c r="E9255" s="66"/>
      <c r="F9255" s="66"/>
    </row>
    <row r="9256" spans="4:6" x14ac:dyDescent="0.35">
      <c r="D9256" s="66"/>
      <c r="E9256" s="66"/>
      <c r="F9256" s="66"/>
    </row>
    <row r="9257" spans="4:6" x14ac:dyDescent="0.35">
      <c r="D9257" s="66"/>
      <c r="E9257" s="66"/>
      <c r="F9257" s="66"/>
    </row>
    <row r="9258" spans="4:6" x14ac:dyDescent="0.35">
      <c r="D9258" s="66"/>
      <c r="E9258" s="66"/>
      <c r="F9258" s="66"/>
    </row>
    <row r="9259" spans="4:6" x14ac:dyDescent="0.35">
      <c r="D9259" s="66"/>
      <c r="E9259" s="66"/>
      <c r="F9259" s="66"/>
    </row>
    <row r="9260" spans="4:6" x14ac:dyDescent="0.35">
      <c r="D9260" s="66"/>
      <c r="E9260" s="66"/>
      <c r="F9260" s="66"/>
    </row>
    <row r="9261" spans="4:6" x14ac:dyDescent="0.35">
      <c r="D9261" s="66"/>
      <c r="E9261" s="66"/>
      <c r="F9261" s="66"/>
    </row>
    <row r="9262" spans="4:6" x14ac:dyDescent="0.35">
      <c r="D9262" s="66"/>
      <c r="E9262" s="66"/>
      <c r="F9262" s="66"/>
    </row>
    <row r="9263" spans="4:6" x14ac:dyDescent="0.35">
      <c r="D9263" s="66"/>
      <c r="E9263" s="66"/>
      <c r="F9263" s="66"/>
    </row>
    <row r="9264" spans="4:6" x14ac:dyDescent="0.35">
      <c r="D9264" s="66"/>
      <c r="E9264" s="66"/>
      <c r="F9264" s="66"/>
    </row>
    <row r="9265" spans="4:6" x14ac:dyDescent="0.35">
      <c r="D9265" s="66"/>
      <c r="E9265" s="66"/>
      <c r="F9265" s="66"/>
    </row>
    <row r="9266" spans="4:6" x14ac:dyDescent="0.35">
      <c r="D9266" s="66"/>
      <c r="E9266" s="66"/>
      <c r="F9266" s="66"/>
    </row>
    <row r="9267" spans="4:6" x14ac:dyDescent="0.35">
      <c r="D9267" s="66"/>
      <c r="E9267" s="66"/>
      <c r="F9267" s="66"/>
    </row>
    <row r="9268" spans="4:6" x14ac:dyDescent="0.35">
      <c r="D9268" s="66"/>
      <c r="E9268" s="66"/>
      <c r="F9268" s="66"/>
    </row>
    <row r="9269" spans="4:6" x14ac:dyDescent="0.35">
      <c r="D9269" s="66"/>
      <c r="E9269" s="66"/>
      <c r="F9269" s="66"/>
    </row>
    <row r="9270" spans="4:6" x14ac:dyDescent="0.35">
      <c r="D9270" s="66"/>
      <c r="E9270" s="66"/>
      <c r="F9270" s="66"/>
    </row>
    <row r="9271" spans="4:6" x14ac:dyDescent="0.35">
      <c r="D9271" s="66"/>
      <c r="E9271" s="66"/>
      <c r="F9271" s="66"/>
    </row>
    <row r="9272" spans="4:6" x14ac:dyDescent="0.35">
      <c r="D9272" s="66"/>
      <c r="E9272" s="66"/>
      <c r="F9272" s="66"/>
    </row>
    <row r="9273" spans="4:6" x14ac:dyDescent="0.35">
      <c r="D9273" s="66"/>
      <c r="E9273" s="66"/>
      <c r="F9273" s="66"/>
    </row>
    <row r="9274" spans="4:6" x14ac:dyDescent="0.35">
      <c r="D9274" s="66"/>
      <c r="E9274" s="66"/>
      <c r="F9274" s="66"/>
    </row>
    <row r="9275" spans="4:6" x14ac:dyDescent="0.35">
      <c r="D9275" s="66"/>
      <c r="E9275" s="66"/>
      <c r="F9275" s="66"/>
    </row>
    <row r="9276" spans="4:6" x14ac:dyDescent="0.35">
      <c r="D9276" s="66"/>
      <c r="E9276" s="66"/>
      <c r="F9276" s="66"/>
    </row>
    <row r="9277" spans="4:6" x14ac:dyDescent="0.35">
      <c r="D9277" s="66"/>
      <c r="E9277" s="66"/>
      <c r="F9277" s="66"/>
    </row>
    <row r="9278" spans="4:6" x14ac:dyDescent="0.35">
      <c r="D9278" s="66"/>
      <c r="E9278" s="66"/>
      <c r="F9278" s="66"/>
    </row>
    <row r="9279" spans="4:6" x14ac:dyDescent="0.35">
      <c r="D9279" s="66"/>
      <c r="E9279" s="66"/>
      <c r="F9279" s="66"/>
    </row>
    <row r="9280" spans="4:6" x14ac:dyDescent="0.35">
      <c r="D9280" s="66"/>
      <c r="E9280" s="66"/>
      <c r="F9280" s="66"/>
    </row>
    <row r="9281" spans="4:6" x14ac:dyDescent="0.35">
      <c r="D9281" s="66"/>
      <c r="E9281" s="66"/>
      <c r="F9281" s="66"/>
    </row>
    <row r="9282" spans="4:6" x14ac:dyDescent="0.35">
      <c r="D9282" s="66"/>
      <c r="E9282" s="66"/>
      <c r="F9282" s="66"/>
    </row>
    <row r="9283" spans="4:6" x14ac:dyDescent="0.35">
      <c r="D9283" s="66"/>
      <c r="E9283" s="66"/>
      <c r="F9283" s="66"/>
    </row>
    <row r="9284" spans="4:6" x14ac:dyDescent="0.35">
      <c r="D9284" s="66"/>
      <c r="E9284" s="66"/>
      <c r="F9284" s="66"/>
    </row>
    <row r="9285" spans="4:6" x14ac:dyDescent="0.35">
      <c r="D9285" s="66"/>
      <c r="E9285" s="66"/>
      <c r="F9285" s="66"/>
    </row>
    <row r="9286" spans="4:6" x14ac:dyDescent="0.35">
      <c r="D9286" s="66"/>
      <c r="E9286" s="66"/>
      <c r="F9286" s="66"/>
    </row>
    <row r="9287" spans="4:6" x14ac:dyDescent="0.35">
      <c r="D9287" s="66"/>
      <c r="E9287" s="66"/>
      <c r="F9287" s="66"/>
    </row>
    <row r="9288" spans="4:6" x14ac:dyDescent="0.35">
      <c r="D9288" s="66"/>
      <c r="E9288" s="66"/>
      <c r="F9288" s="66"/>
    </row>
    <row r="9289" spans="4:6" x14ac:dyDescent="0.35">
      <c r="D9289" s="66"/>
      <c r="E9289" s="66"/>
      <c r="F9289" s="66"/>
    </row>
    <row r="9290" spans="4:6" x14ac:dyDescent="0.35">
      <c r="D9290" s="66"/>
      <c r="E9290" s="66"/>
      <c r="F9290" s="66"/>
    </row>
    <row r="9291" spans="4:6" x14ac:dyDescent="0.35">
      <c r="D9291" s="66"/>
      <c r="E9291" s="66"/>
      <c r="F9291" s="66"/>
    </row>
    <row r="9292" spans="4:6" x14ac:dyDescent="0.35">
      <c r="D9292" s="66"/>
      <c r="E9292" s="66"/>
      <c r="F9292" s="66"/>
    </row>
    <row r="9293" spans="4:6" x14ac:dyDescent="0.35">
      <c r="D9293" s="66"/>
      <c r="E9293" s="66"/>
      <c r="F9293" s="66"/>
    </row>
    <row r="9294" spans="4:6" x14ac:dyDescent="0.35">
      <c r="D9294" s="66"/>
      <c r="E9294" s="66"/>
      <c r="F9294" s="66"/>
    </row>
    <row r="9295" spans="4:6" x14ac:dyDescent="0.35">
      <c r="D9295" s="66"/>
      <c r="E9295" s="66"/>
      <c r="F9295" s="66"/>
    </row>
    <row r="9296" spans="4:6" x14ac:dyDescent="0.35">
      <c r="D9296" s="66"/>
      <c r="E9296" s="66"/>
      <c r="F9296" s="66"/>
    </row>
    <row r="9297" spans="4:6" x14ac:dyDescent="0.35">
      <c r="D9297" s="66"/>
      <c r="E9297" s="66"/>
      <c r="F9297" s="66"/>
    </row>
    <row r="9298" spans="4:6" x14ac:dyDescent="0.35">
      <c r="D9298" s="66"/>
      <c r="E9298" s="66"/>
      <c r="F9298" s="66"/>
    </row>
    <row r="9299" spans="4:6" x14ac:dyDescent="0.35">
      <c r="D9299" s="66"/>
      <c r="E9299" s="66"/>
      <c r="F9299" s="66"/>
    </row>
    <row r="9300" spans="4:6" x14ac:dyDescent="0.35">
      <c r="D9300" s="66"/>
      <c r="E9300" s="66"/>
      <c r="F9300" s="66"/>
    </row>
    <row r="9301" spans="4:6" x14ac:dyDescent="0.35">
      <c r="D9301" s="66"/>
      <c r="E9301" s="66"/>
      <c r="F9301" s="66"/>
    </row>
    <row r="9302" spans="4:6" x14ac:dyDescent="0.35">
      <c r="D9302" s="66"/>
      <c r="E9302" s="66"/>
      <c r="F9302" s="66"/>
    </row>
    <row r="9303" spans="4:6" x14ac:dyDescent="0.35">
      <c r="D9303" s="66"/>
      <c r="E9303" s="66"/>
      <c r="F9303" s="66"/>
    </row>
    <row r="9304" spans="4:6" x14ac:dyDescent="0.35">
      <c r="D9304" s="66"/>
      <c r="E9304" s="66"/>
      <c r="F9304" s="66"/>
    </row>
    <row r="9305" spans="4:6" x14ac:dyDescent="0.35">
      <c r="D9305" s="66"/>
      <c r="E9305" s="66"/>
      <c r="F9305" s="66"/>
    </row>
    <row r="9306" spans="4:6" x14ac:dyDescent="0.35">
      <c r="D9306" s="66"/>
      <c r="E9306" s="66"/>
      <c r="F9306" s="66"/>
    </row>
    <row r="9307" spans="4:6" x14ac:dyDescent="0.35">
      <c r="D9307" s="66"/>
      <c r="E9307" s="66"/>
      <c r="F9307" s="66"/>
    </row>
    <row r="9308" spans="4:6" x14ac:dyDescent="0.35">
      <c r="D9308" s="66"/>
      <c r="E9308" s="66"/>
      <c r="F9308" s="66"/>
    </row>
    <row r="9309" spans="4:6" x14ac:dyDescent="0.35">
      <c r="D9309" s="66"/>
      <c r="E9309" s="66"/>
      <c r="F9309" s="66"/>
    </row>
    <row r="9310" spans="4:6" x14ac:dyDescent="0.35">
      <c r="D9310" s="66"/>
      <c r="E9310" s="66"/>
      <c r="F9310" s="66"/>
    </row>
    <row r="9311" spans="4:6" x14ac:dyDescent="0.35">
      <c r="D9311" s="66"/>
      <c r="E9311" s="66"/>
      <c r="F9311" s="66"/>
    </row>
    <row r="9312" spans="4:6" x14ac:dyDescent="0.35">
      <c r="D9312" s="66"/>
      <c r="E9312" s="66"/>
      <c r="F9312" s="66"/>
    </row>
    <row r="9313" spans="4:6" x14ac:dyDescent="0.35">
      <c r="D9313" s="66"/>
      <c r="E9313" s="66"/>
      <c r="F9313" s="66"/>
    </row>
    <row r="9314" spans="4:6" x14ac:dyDescent="0.35">
      <c r="D9314" s="66"/>
      <c r="E9314" s="66"/>
      <c r="F9314" s="66"/>
    </row>
    <row r="9315" spans="4:6" x14ac:dyDescent="0.35">
      <c r="D9315" s="66"/>
      <c r="E9315" s="66"/>
      <c r="F9315" s="66"/>
    </row>
    <row r="9316" spans="4:6" x14ac:dyDescent="0.35">
      <c r="D9316" s="66"/>
      <c r="E9316" s="66"/>
      <c r="F9316" s="66"/>
    </row>
    <row r="9317" spans="4:6" x14ac:dyDescent="0.35">
      <c r="D9317" s="66"/>
      <c r="E9317" s="66"/>
      <c r="F9317" s="66"/>
    </row>
    <row r="9318" spans="4:6" x14ac:dyDescent="0.35">
      <c r="D9318" s="66"/>
      <c r="E9318" s="66"/>
      <c r="F9318" s="66"/>
    </row>
    <row r="9319" spans="4:6" x14ac:dyDescent="0.35">
      <c r="D9319" s="66"/>
      <c r="E9319" s="66"/>
      <c r="F9319" s="66"/>
    </row>
    <row r="9320" spans="4:6" x14ac:dyDescent="0.35">
      <c r="D9320" s="66"/>
      <c r="E9320" s="66"/>
      <c r="F9320" s="66"/>
    </row>
    <row r="9321" spans="4:6" x14ac:dyDescent="0.35">
      <c r="D9321" s="66"/>
      <c r="E9321" s="66"/>
      <c r="F9321" s="66"/>
    </row>
    <row r="9322" spans="4:6" x14ac:dyDescent="0.35">
      <c r="D9322" s="66"/>
      <c r="E9322" s="66"/>
      <c r="F9322" s="66"/>
    </row>
    <row r="9323" spans="4:6" x14ac:dyDescent="0.35">
      <c r="D9323" s="66"/>
      <c r="E9323" s="66"/>
      <c r="F9323" s="66"/>
    </row>
    <row r="9324" spans="4:6" x14ac:dyDescent="0.35">
      <c r="D9324" s="66"/>
      <c r="E9324" s="66"/>
      <c r="F9324" s="66"/>
    </row>
    <row r="9325" spans="4:6" x14ac:dyDescent="0.35">
      <c r="D9325" s="66"/>
      <c r="E9325" s="66"/>
      <c r="F9325" s="66"/>
    </row>
    <row r="9326" spans="4:6" x14ac:dyDescent="0.35">
      <c r="D9326" s="66"/>
      <c r="E9326" s="66"/>
      <c r="F9326" s="66"/>
    </row>
    <row r="9327" spans="4:6" x14ac:dyDescent="0.35">
      <c r="D9327" s="66"/>
      <c r="E9327" s="66"/>
      <c r="F9327" s="66"/>
    </row>
    <row r="9328" spans="4:6" x14ac:dyDescent="0.35">
      <c r="D9328" s="66"/>
      <c r="E9328" s="66"/>
      <c r="F9328" s="66"/>
    </row>
    <row r="9329" spans="4:6" x14ac:dyDescent="0.35">
      <c r="D9329" s="66"/>
      <c r="E9329" s="66"/>
      <c r="F9329" s="66"/>
    </row>
    <row r="9330" spans="4:6" x14ac:dyDescent="0.35">
      <c r="D9330" s="66"/>
      <c r="E9330" s="66"/>
      <c r="F9330" s="66"/>
    </row>
    <row r="9331" spans="4:6" x14ac:dyDescent="0.35">
      <c r="D9331" s="66"/>
      <c r="E9331" s="66"/>
      <c r="F9331" s="66"/>
    </row>
    <row r="9332" spans="4:6" x14ac:dyDescent="0.35">
      <c r="D9332" s="66"/>
      <c r="E9332" s="66"/>
      <c r="F9332" s="66"/>
    </row>
    <row r="9333" spans="4:6" x14ac:dyDescent="0.35">
      <c r="D9333" s="66"/>
      <c r="E9333" s="66"/>
      <c r="F9333" s="66"/>
    </row>
    <row r="9334" spans="4:6" x14ac:dyDescent="0.35">
      <c r="D9334" s="66"/>
      <c r="E9334" s="66"/>
      <c r="F9334" s="66"/>
    </row>
    <row r="9335" spans="4:6" x14ac:dyDescent="0.35">
      <c r="D9335" s="66"/>
      <c r="E9335" s="66"/>
      <c r="F9335" s="66"/>
    </row>
    <row r="9336" spans="4:6" x14ac:dyDescent="0.35">
      <c r="D9336" s="66"/>
      <c r="E9336" s="66"/>
      <c r="F9336" s="66"/>
    </row>
    <row r="9337" spans="4:6" x14ac:dyDescent="0.35">
      <c r="D9337" s="66"/>
      <c r="E9337" s="66"/>
      <c r="F9337" s="66"/>
    </row>
    <row r="9338" spans="4:6" x14ac:dyDescent="0.35">
      <c r="D9338" s="66"/>
      <c r="E9338" s="66"/>
      <c r="F9338" s="66"/>
    </row>
    <row r="9339" spans="4:6" x14ac:dyDescent="0.35">
      <c r="D9339" s="66"/>
      <c r="E9339" s="66"/>
      <c r="F9339" s="66"/>
    </row>
    <row r="9340" spans="4:6" x14ac:dyDescent="0.35">
      <c r="D9340" s="66"/>
      <c r="E9340" s="66"/>
      <c r="F9340" s="66"/>
    </row>
    <row r="9341" spans="4:6" x14ac:dyDescent="0.35">
      <c r="D9341" s="66"/>
      <c r="E9341" s="66"/>
      <c r="F9341" s="66"/>
    </row>
    <row r="9342" spans="4:6" x14ac:dyDescent="0.35">
      <c r="D9342" s="66"/>
      <c r="E9342" s="66"/>
      <c r="F9342" s="66"/>
    </row>
    <row r="9343" spans="4:6" x14ac:dyDescent="0.35">
      <c r="D9343" s="66"/>
      <c r="E9343" s="66"/>
      <c r="F9343" s="66"/>
    </row>
    <row r="9344" spans="4:6" x14ac:dyDescent="0.35">
      <c r="D9344" s="66"/>
      <c r="E9344" s="66"/>
      <c r="F9344" s="66"/>
    </row>
    <row r="9345" spans="4:6" x14ac:dyDescent="0.35">
      <c r="D9345" s="66"/>
      <c r="E9345" s="66"/>
      <c r="F9345" s="66"/>
    </row>
    <row r="9346" spans="4:6" x14ac:dyDescent="0.35">
      <c r="D9346" s="66"/>
      <c r="E9346" s="66"/>
      <c r="F9346" s="66"/>
    </row>
    <row r="9347" spans="4:6" x14ac:dyDescent="0.35">
      <c r="D9347" s="66"/>
      <c r="E9347" s="66"/>
      <c r="F9347" s="66"/>
    </row>
    <row r="9348" spans="4:6" x14ac:dyDescent="0.35">
      <c r="D9348" s="66"/>
      <c r="E9348" s="66"/>
      <c r="F9348" s="66"/>
    </row>
    <row r="9349" spans="4:6" x14ac:dyDescent="0.35">
      <c r="D9349" s="66"/>
      <c r="E9349" s="66"/>
      <c r="F9349" s="66"/>
    </row>
    <row r="9350" spans="4:6" x14ac:dyDescent="0.35">
      <c r="D9350" s="66"/>
      <c r="E9350" s="66"/>
      <c r="F9350" s="66"/>
    </row>
    <row r="9351" spans="4:6" x14ac:dyDescent="0.35">
      <c r="D9351" s="66"/>
      <c r="E9351" s="66"/>
      <c r="F9351" s="66"/>
    </row>
    <row r="9352" spans="4:6" x14ac:dyDescent="0.35">
      <c r="D9352" s="66"/>
      <c r="E9352" s="66"/>
      <c r="F9352" s="66"/>
    </row>
    <row r="9353" spans="4:6" x14ac:dyDescent="0.35">
      <c r="D9353" s="66"/>
      <c r="E9353" s="66"/>
      <c r="F9353" s="66"/>
    </row>
    <row r="9354" spans="4:6" x14ac:dyDescent="0.35">
      <c r="D9354" s="66"/>
      <c r="E9354" s="66"/>
      <c r="F9354" s="66"/>
    </row>
    <row r="9355" spans="4:6" x14ac:dyDescent="0.35">
      <c r="D9355" s="66"/>
      <c r="E9355" s="66"/>
      <c r="F9355" s="66"/>
    </row>
    <row r="9356" spans="4:6" x14ac:dyDescent="0.35">
      <c r="D9356" s="66"/>
      <c r="E9356" s="66"/>
      <c r="F9356" s="66"/>
    </row>
    <row r="9357" spans="4:6" x14ac:dyDescent="0.35">
      <c r="D9357" s="66"/>
      <c r="E9357" s="66"/>
      <c r="F9357" s="66"/>
    </row>
    <row r="9358" spans="4:6" x14ac:dyDescent="0.35">
      <c r="D9358" s="66"/>
      <c r="E9358" s="66"/>
      <c r="F9358" s="66"/>
    </row>
    <row r="9359" spans="4:6" x14ac:dyDescent="0.35">
      <c r="D9359" s="66"/>
      <c r="E9359" s="66"/>
      <c r="F9359" s="66"/>
    </row>
    <row r="9360" spans="4:6" x14ac:dyDescent="0.35">
      <c r="D9360" s="66"/>
      <c r="E9360" s="66"/>
      <c r="F9360" s="66"/>
    </row>
    <row r="9361" spans="4:6" x14ac:dyDescent="0.35">
      <c r="D9361" s="66"/>
      <c r="E9361" s="66"/>
      <c r="F9361" s="66"/>
    </row>
    <row r="9362" spans="4:6" x14ac:dyDescent="0.35">
      <c r="D9362" s="66"/>
      <c r="E9362" s="66"/>
      <c r="F9362" s="66"/>
    </row>
    <row r="9363" spans="4:6" x14ac:dyDescent="0.35">
      <c r="D9363" s="66"/>
      <c r="E9363" s="66"/>
      <c r="F9363" s="66"/>
    </row>
    <row r="9364" spans="4:6" x14ac:dyDescent="0.35">
      <c r="D9364" s="66"/>
      <c r="E9364" s="66"/>
      <c r="F9364" s="66"/>
    </row>
    <row r="9365" spans="4:6" x14ac:dyDescent="0.35">
      <c r="D9365" s="66"/>
      <c r="E9365" s="66"/>
      <c r="F9365" s="66"/>
    </row>
    <row r="9366" spans="4:6" x14ac:dyDescent="0.35">
      <c r="D9366" s="66"/>
      <c r="E9366" s="66"/>
      <c r="F9366" s="66"/>
    </row>
    <row r="9367" spans="4:6" x14ac:dyDescent="0.35">
      <c r="D9367" s="66"/>
      <c r="E9367" s="66"/>
      <c r="F9367" s="66"/>
    </row>
    <row r="9368" spans="4:6" x14ac:dyDescent="0.35">
      <c r="D9368" s="66"/>
      <c r="E9368" s="66"/>
      <c r="F9368" s="66"/>
    </row>
    <row r="9369" spans="4:6" x14ac:dyDescent="0.35">
      <c r="D9369" s="66"/>
      <c r="E9369" s="66"/>
      <c r="F9369" s="66"/>
    </row>
    <row r="9370" spans="4:6" x14ac:dyDescent="0.35">
      <c r="D9370" s="66"/>
      <c r="E9370" s="66"/>
      <c r="F9370" s="66"/>
    </row>
    <row r="9371" spans="4:6" x14ac:dyDescent="0.35">
      <c r="D9371" s="66"/>
      <c r="E9371" s="66"/>
      <c r="F9371" s="66"/>
    </row>
    <row r="9372" spans="4:6" x14ac:dyDescent="0.35">
      <c r="D9372" s="66"/>
      <c r="E9372" s="66"/>
      <c r="F9372" s="66"/>
    </row>
    <row r="9373" spans="4:6" x14ac:dyDescent="0.35">
      <c r="D9373" s="66"/>
      <c r="E9373" s="66"/>
      <c r="F9373" s="66"/>
    </row>
    <row r="9374" spans="4:6" x14ac:dyDescent="0.35">
      <c r="D9374" s="66"/>
      <c r="E9374" s="66"/>
      <c r="F9374" s="66"/>
    </row>
    <row r="9375" spans="4:6" x14ac:dyDescent="0.35">
      <c r="D9375" s="66"/>
      <c r="E9375" s="66"/>
      <c r="F9375" s="66"/>
    </row>
    <row r="9376" spans="4:6" x14ac:dyDescent="0.35">
      <c r="D9376" s="66"/>
      <c r="E9376" s="66"/>
      <c r="F9376" s="66"/>
    </row>
    <row r="9377" spans="4:6" x14ac:dyDescent="0.35">
      <c r="D9377" s="66"/>
      <c r="E9377" s="66"/>
      <c r="F9377" s="66"/>
    </row>
    <row r="9378" spans="4:6" x14ac:dyDescent="0.35">
      <c r="D9378" s="66"/>
      <c r="E9378" s="66"/>
      <c r="F9378" s="66"/>
    </row>
    <row r="9379" spans="4:6" x14ac:dyDescent="0.35">
      <c r="D9379" s="66"/>
      <c r="E9379" s="66"/>
      <c r="F9379" s="66"/>
    </row>
    <row r="9380" spans="4:6" x14ac:dyDescent="0.35">
      <c r="D9380" s="66"/>
      <c r="E9380" s="66"/>
      <c r="F9380" s="66"/>
    </row>
    <row r="9381" spans="4:6" x14ac:dyDescent="0.35">
      <c r="D9381" s="66"/>
      <c r="E9381" s="66"/>
      <c r="F9381" s="66"/>
    </row>
    <row r="9382" spans="4:6" x14ac:dyDescent="0.35">
      <c r="D9382" s="66"/>
      <c r="E9382" s="66"/>
      <c r="F9382" s="66"/>
    </row>
    <row r="9383" spans="4:6" x14ac:dyDescent="0.35">
      <c r="D9383" s="66"/>
      <c r="E9383" s="66"/>
      <c r="F9383" s="66"/>
    </row>
    <row r="9384" spans="4:6" x14ac:dyDescent="0.35">
      <c r="D9384" s="66"/>
      <c r="E9384" s="66"/>
      <c r="F9384" s="66"/>
    </row>
    <row r="9385" spans="4:6" x14ac:dyDescent="0.35">
      <c r="D9385" s="66"/>
      <c r="E9385" s="66"/>
      <c r="F9385" s="66"/>
    </row>
    <row r="9386" spans="4:6" x14ac:dyDescent="0.35">
      <c r="D9386" s="66"/>
      <c r="E9386" s="66"/>
      <c r="F9386" s="66"/>
    </row>
    <row r="9387" spans="4:6" x14ac:dyDescent="0.35">
      <c r="D9387" s="66"/>
      <c r="E9387" s="66"/>
      <c r="F9387" s="66"/>
    </row>
    <row r="9388" spans="4:6" x14ac:dyDescent="0.35">
      <c r="D9388" s="66"/>
      <c r="E9388" s="66"/>
      <c r="F9388" s="66"/>
    </row>
    <row r="9389" spans="4:6" x14ac:dyDescent="0.35">
      <c r="D9389" s="66"/>
      <c r="E9389" s="66"/>
      <c r="F9389" s="66"/>
    </row>
    <row r="9390" spans="4:6" x14ac:dyDescent="0.35">
      <c r="D9390" s="66"/>
      <c r="E9390" s="66"/>
      <c r="F9390" s="66"/>
    </row>
    <row r="9391" spans="4:6" x14ac:dyDescent="0.35">
      <c r="D9391" s="66"/>
      <c r="E9391" s="66"/>
      <c r="F9391" s="66"/>
    </row>
    <row r="9392" spans="4:6" x14ac:dyDescent="0.35">
      <c r="D9392" s="66"/>
      <c r="E9392" s="66"/>
      <c r="F9392" s="66"/>
    </row>
    <row r="9393" spans="4:6" x14ac:dyDescent="0.35">
      <c r="D9393" s="66"/>
      <c r="E9393" s="66"/>
      <c r="F9393" s="66"/>
    </row>
    <row r="9394" spans="4:6" x14ac:dyDescent="0.35">
      <c r="D9394" s="66"/>
      <c r="E9394" s="66"/>
      <c r="F9394" s="66"/>
    </row>
    <row r="9395" spans="4:6" x14ac:dyDescent="0.35">
      <c r="D9395" s="66"/>
      <c r="E9395" s="66"/>
      <c r="F9395" s="66"/>
    </row>
    <row r="9396" spans="4:6" x14ac:dyDescent="0.35">
      <c r="D9396" s="66"/>
      <c r="E9396" s="66"/>
      <c r="F9396" s="66"/>
    </row>
    <row r="9397" spans="4:6" x14ac:dyDescent="0.35">
      <c r="D9397" s="66"/>
      <c r="E9397" s="66"/>
      <c r="F9397" s="66"/>
    </row>
    <row r="9398" spans="4:6" x14ac:dyDescent="0.35">
      <c r="D9398" s="66"/>
      <c r="E9398" s="66"/>
      <c r="F9398" s="66"/>
    </row>
    <row r="9399" spans="4:6" x14ac:dyDescent="0.35">
      <c r="D9399" s="66"/>
      <c r="E9399" s="66"/>
      <c r="F9399" s="66"/>
    </row>
    <row r="9400" spans="4:6" x14ac:dyDescent="0.35">
      <c r="D9400" s="66"/>
      <c r="E9400" s="66"/>
      <c r="F9400" s="66"/>
    </row>
    <row r="9401" spans="4:6" x14ac:dyDescent="0.35">
      <c r="D9401" s="66"/>
      <c r="E9401" s="66"/>
      <c r="F9401" s="66"/>
    </row>
    <row r="9402" spans="4:6" x14ac:dyDescent="0.35">
      <c r="D9402" s="66"/>
      <c r="E9402" s="66"/>
      <c r="F9402" s="66"/>
    </row>
    <row r="9403" spans="4:6" x14ac:dyDescent="0.35">
      <c r="D9403" s="66"/>
      <c r="E9403" s="66"/>
      <c r="F9403" s="66"/>
    </row>
    <row r="9404" spans="4:6" x14ac:dyDescent="0.35">
      <c r="D9404" s="66"/>
      <c r="E9404" s="66"/>
      <c r="F9404" s="66"/>
    </row>
    <row r="9405" spans="4:6" x14ac:dyDescent="0.35">
      <c r="D9405" s="66"/>
      <c r="E9405" s="66"/>
      <c r="F9405" s="66"/>
    </row>
    <row r="9406" spans="4:6" x14ac:dyDescent="0.35">
      <c r="D9406" s="66"/>
      <c r="E9406" s="66"/>
      <c r="F9406" s="66"/>
    </row>
    <row r="9407" spans="4:6" x14ac:dyDescent="0.35">
      <c r="D9407" s="66"/>
      <c r="E9407" s="66"/>
      <c r="F9407" s="66"/>
    </row>
    <row r="9408" spans="4:6" x14ac:dyDescent="0.35">
      <c r="D9408" s="66"/>
      <c r="E9408" s="66"/>
      <c r="F9408" s="66"/>
    </row>
    <row r="9409" spans="4:6" x14ac:dyDescent="0.35">
      <c r="D9409" s="66"/>
      <c r="E9409" s="66"/>
      <c r="F9409" s="66"/>
    </row>
    <row r="9410" spans="4:6" x14ac:dyDescent="0.35">
      <c r="D9410" s="66"/>
      <c r="E9410" s="66"/>
      <c r="F9410" s="66"/>
    </row>
    <row r="9411" spans="4:6" x14ac:dyDescent="0.35">
      <c r="D9411" s="66"/>
      <c r="E9411" s="66"/>
      <c r="F9411" s="66"/>
    </row>
    <row r="9412" spans="4:6" x14ac:dyDescent="0.35">
      <c r="D9412" s="66"/>
      <c r="E9412" s="66"/>
      <c r="F9412" s="66"/>
    </row>
    <row r="9413" spans="4:6" x14ac:dyDescent="0.35">
      <c r="D9413" s="66"/>
      <c r="E9413" s="66"/>
      <c r="F9413" s="66"/>
    </row>
    <row r="9414" spans="4:6" x14ac:dyDescent="0.35">
      <c r="D9414" s="66"/>
      <c r="E9414" s="66"/>
      <c r="F9414" s="66"/>
    </row>
    <row r="9415" spans="4:6" x14ac:dyDescent="0.35">
      <c r="D9415" s="66"/>
      <c r="E9415" s="66"/>
      <c r="F9415" s="66"/>
    </row>
    <row r="9416" spans="4:6" x14ac:dyDescent="0.35">
      <c r="D9416" s="66"/>
      <c r="E9416" s="66"/>
      <c r="F9416" s="66"/>
    </row>
    <row r="9417" spans="4:6" x14ac:dyDescent="0.35">
      <c r="D9417" s="66"/>
      <c r="E9417" s="66"/>
      <c r="F9417" s="66"/>
    </row>
    <row r="9418" spans="4:6" x14ac:dyDescent="0.35">
      <c r="D9418" s="66"/>
      <c r="E9418" s="66"/>
      <c r="F9418" s="66"/>
    </row>
    <row r="9419" spans="4:6" x14ac:dyDescent="0.35">
      <c r="D9419" s="66"/>
      <c r="E9419" s="66"/>
      <c r="F9419" s="66"/>
    </row>
    <row r="9420" spans="4:6" x14ac:dyDescent="0.35">
      <c r="D9420" s="66"/>
      <c r="E9420" s="66"/>
      <c r="F9420" s="66"/>
    </row>
    <row r="9421" spans="4:6" x14ac:dyDescent="0.35">
      <c r="D9421" s="66"/>
      <c r="E9421" s="66"/>
      <c r="F9421" s="66"/>
    </row>
    <row r="9422" spans="4:6" x14ac:dyDescent="0.35">
      <c r="D9422" s="66"/>
      <c r="E9422" s="66"/>
      <c r="F9422" s="66"/>
    </row>
    <row r="9423" spans="4:6" x14ac:dyDescent="0.35">
      <c r="D9423" s="66"/>
      <c r="E9423" s="66"/>
      <c r="F9423" s="66"/>
    </row>
    <row r="9424" spans="4:6" x14ac:dyDescent="0.35">
      <c r="D9424" s="66"/>
      <c r="E9424" s="66"/>
      <c r="F9424" s="66"/>
    </row>
    <row r="9425" spans="4:6" x14ac:dyDescent="0.35">
      <c r="D9425" s="66"/>
      <c r="E9425" s="66"/>
      <c r="F9425" s="66"/>
    </row>
    <row r="9426" spans="4:6" x14ac:dyDescent="0.35">
      <c r="D9426" s="66"/>
      <c r="E9426" s="66"/>
      <c r="F9426" s="66"/>
    </row>
    <row r="9427" spans="4:6" x14ac:dyDescent="0.35">
      <c r="D9427" s="66"/>
      <c r="E9427" s="66"/>
      <c r="F9427" s="66"/>
    </row>
    <row r="9428" spans="4:6" x14ac:dyDescent="0.35">
      <c r="D9428" s="66"/>
      <c r="E9428" s="66"/>
      <c r="F9428" s="66"/>
    </row>
    <row r="9429" spans="4:6" x14ac:dyDescent="0.35">
      <c r="D9429" s="66"/>
      <c r="E9429" s="66"/>
      <c r="F9429" s="66"/>
    </row>
    <row r="9430" spans="4:6" x14ac:dyDescent="0.35">
      <c r="D9430" s="66"/>
      <c r="E9430" s="66"/>
      <c r="F9430" s="66"/>
    </row>
    <row r="9431" spans="4:6" x14ac:dyDescent="0.35">
      <c r="D9431" s="66"/>
      <c r="E9431" s="66"/>
      <c r="F9431" s="66"/>
    </row>
    <row r="9432" spans="4:6" x14ac:dyDescent="0.35">
      <c r="D9432" s="66"/>
      <c r="E9432" s="66"/>
      <c r="F9432" s="66"/>
    </row>
    <row r="9433" spans="4:6" x14ac:dyDescent="0.35">
      <c r="D9433" s="66"/>
      <c r="E9433" s="66"/>
      <c r="F9433" s="66"/>
    </row>
    <row r="9434" spans="4:6" x14ac:dyDescent="0.35">
      <c r="D9434" s="66"/>
      <c r="E9434" s="66"/>
      <c r="F9434" s="66"/>
    </row>
    <row r="9435" spans="4:6" x14ac:dyDescent="0.35">
      <c r="D9435" s="66"/>
      <c r="E9435" s="66"/>
      <c r="F9435" s="66"/>
    </row>
    <row r="9436" spans="4:6" x14ac:dyDescent="0.35">
      <c r="D9436" s="66"/>
      <c r="E9436" s="66"/>
      <c r="F9436" s="66"/>
    </row>
    <row r="9437" spans="4:6" x14ac:dyDescent="0.35">
      <c r="D9437" s="66"/>
      <c r="E9437" s="66"/>
      <c r="F9437" s="66"/>
    </row>
    <row r="9438" spans="4:6" x14ac:dyDescent="0.35">
      <c r="D9438" s="66"/>
      <c r="E9438" s="66"/>
      <c r="F9438" s="66"/>
    </row>
    <row r="9439" spans="4:6" x14ac:dyDescent="0.35">
      <c r="D9439" s="66"/>
      <c r="E9439" s="66"/>
      <c r="F9439" s="66"/>
    </row>
    <row r="9440" spans="4:6" x14ac:dyDescent="0.35">
      <c r="D9440" s="66"/>
      <c r="E9440" s="66"/>
      <c r="F9440" s="66"/>
    </row>
    <row r="9441" spans="4:6" x14ac:dyDescent="0.35">
      <c r="D9441" s="66"/>
      <c r="E9441" s="66"/>
      <c r="F9441" s="66"/>
    </row>
    <row r="9442" spans="4:6" x14ac:dyDescent="0.35">
      <c r="D9442" s="66"/>
      <c r="E9442" s="66"/>
      <c r="F9442" s="66"/>
    </row>
    <row r="9443" spans="4:6" x14ac:dyDescent="0.35">
      <c r="D9443" s="66"/>
      <c r="E9443" s="66"/>
      <c r="F9443" s="66"/>
    </row>
    <row r="9444" spans="4:6" x14ac:dyDescent="0.35">
      <c r="D9444" s="66"/>
      <c r="E9444" s="66"/>
      <c r="F9444" s="66"/>
    </row>
    <row r="9445" spans="4:6" x14ac:dyDescent="0.35">
      <c r="D9445" s="66"/>
      <c r="E9445" s="66"/>
      <c r="F9445" s="66"/>
    </row>
    <row r="9446" spans="4:6" x14ac:dyDescent="0.35">
      <c r="D9446" s="66"/>
      <c r="E9446" s="66"/>
      <c r="F9446" s="66"/>
    </row>
    <row r="9447" spans="4:6" x14ac:dyDescent="0.35">
      <c r="D9447" s="66"/>
      <c r="E9447" s="66"/>
      <c r="F9447" s="66"/>
    </row>
    <row r="9448" spans="4:6" x14ac:dyDescent="0.35">
      <c r="D9448" s="66"/>
      <c r="E9448" s="66"/>
      <c r="F9448" s="66"/>
    </row>
    <row r="9449" spans="4:6" x14ac:dyDescent="0.35">
      <c r="D9449" s="66"/>
      <c r="E9449" s="66"/>
      <c r="F9449" s="66"/>
    </row>
    <row r="9450" spans="4:6" x14ac:dyDescent="0.35">
      <c r="D9450" s="66"/>
      <c r="E9450" s="66"/>
      <c r="F9450" s="66"/>
    </row>
    <row r="9451" spans="4:6" x14ac:dyDescent="0.35">
      <c r="D9451" s="66"/>
      <c r="E9451" s="66"/>
      <c r="F9451" s="66"/>
    </row>
    <row r="9452" spans="4:6" x14ac:dyDescent="0.35">
      <c r="D9452" s="66"/>
      <c r="E9452" s="66"/>
      <c r="F9452" s="66"/>
    </row>
    <row r="9453" spans="4:6" x14ac:dyDescent="0.35">
      <c r="D9453" s="66"/>
      <c r="E9453" s="66"/>
      <c r="F9453" s="66"/>
    </row>
    <row r="9454" spans="4:6" x14ac:dyDescent="0.35">
      <c r="D9454" s="66"/>
      <c r="E9454" s="66"/>
      <c r="F9454" s="66"/>
    </row>
    <row r="9455" spans="4:6" x14ac:dyDescent="0.35">
      <c r="D9455" s="66"/>
      <c r="E9455" s="66"/>
      <c r="F9455" s="66"/>
    </row>
    <row r="9456" spans="4:6" x14ac:dyDescent="0.35">
      <c r="D9456" s="66"/>
      <c r="E9456" s="66"/>
      <c r="F9456" s="66"/>
    </row>
    <row r="9457" spans="4:6" x14ac:dyDescent="0.35">
      <c r="D9457" s="66"/>
      <c r="E9457" s="66"/>
      <c r="F9457" s="66"/>
    </row>
    <row r="9458" spans="4:6" x14ac:dyDescent="0.35">
      <c r="D9458" s="66"/>
      <c r="E9458" s="66"/>
      <c r="F9458" s="66"/>
    </row>
    <row r="9459" spans="4:6" x14ac:dyDescent="0.35">
      <c r="D9459" s="66"/>
      <c r="E9459" s="66"/>
      <c r="F9459" s="66"/>
    </row>
    <row r="9460" spans="4:6" x14ac:dyDescent="0.35">
      <c r="D9460" s="66"/>
      <c r="E9460" s="66"/>
      <c r="F9460" s="66"/>
    </row>
    <row r="9461" spans="4:6" x14ac:dyDescent="0.35">
      <c r="D9461" s="66"/>
      <c r="E9461" s="66"/>
      <c r="F9461" s="66"/>
    </row>
    <row r="9462" spans="4:6" x14ac:dyDescent="0.35">
      <c r="D9462" s="66"/>
      <c r="E9462" s="66"/>
      <c r="F9462" s="66"/>
    </row>
    <row r="9463" spans="4:6" x14ac:dyDescent="0.35">
      <c r="D9463" s="66"/>
      <c r="E9463" s="66"/>
      <c r="F9463" s="66"/>
    </row>
    <row r="9464" spans="4:6" x14ac:dyDescent="0.35">
      <c r="D9464" s="66"/>
      <c r="E9464" s="66"/>
      <c r="F9464" s="66"/>
    </row>
    <row r="9465" spans="4:6" x14ac:dyDescent="0.35">
      <c r="D9465" s="66"/>
      <c r="E9465" s="66"/>
      <c r="F9465" s="66"/>
    </row>
    <row r="9466" spans="4:6" x14ac:dyDescent="0.35">
      <c r="D9466" s="66"/>
      <c r="E9466" s="66"/>
      <c r="F9466" s="66"/>
    </row>
    <row r="9467" spans="4:6" x14ac:dyDescent="0.35">
      <c r="D9467" s="66"/>
      <c r="E9467" s="66"/>
      <c r="F9467" s="66"/>
    </row>
    <row r="9468" spans="4:6" x14ac:dyDescent="0.35">
      <c r="D9468" s="66"/>
      <c r="E9468" s="66"/>
      <c r="F9468" s="66"/>
    </row>
    <row r="9469" spans="4:6" x14ac:dyDescent="0.35">
      <c r="D9469" s="66"/>
      <c r="E9469" s="66"/>
      <c r="F9469" s="66"/>
    </row>
    <row r="9470" spans="4:6" x14ac:dyDescent="0.35">
      <c r="D9470" s="66"/>
      <c r="E9470" s="66"/>
      <c r="F9470" s="66"/>
    </row>
    <row r="9471" spans="4:6" x14ac:dyDescent="0.35">
      <c r="D9471" s="66"/>
      <c r="E9471" s="66"/>
      <c r="F9471" s="66"/>
    </row>
    <row r="9472" spans="4:6" x14ac:dyDescent="0.35">
      <c r="D9472" s="66"/>
      <c r="E9472" s="66"/>
      <c r="F9472" s="66"/>
    </row>
    <row r="9473" spans="4:6" x14ac:dyDescent="0.35">
      <c r="D9473" s="66"/>
      <c r="E9473" s="66"/>
      <c r="F9473" s="66"/>
    </row>
    <row r="9474" spans="4:6" x14ac:dyDescent="0.35">
      <c r="D9474" s="66"/>
      <c r="E9474" s="66"/>
      <c r="F9474" s="66"/>
    </row>
    <row r="9475" spans="4:6" x14ac:dyDescent="0.35">
      <c r="D9475" s="66"/>
      <c r="E9475" s="66"/>
      <c r="F9475" s="66"/>
    </row>
    <row r="9476" spans="4:6" x14ac:dyDescent="0.35">
      <c r="D9476" s="66"/>
      <c r="E9476" s="66"/>
      <c r="F9476" s="66"/>
    </row>
    <row r="9477" spans="4:6" x14ac:dyDescent="0.35">
      <c r="D9477" s="66"/>
      <c r="E9477" s="66"/>
      <c r="F9477" s="66"/>
    </row>
    <row r="9478" spans="4:6" x14ac:dyDescent="0.35">
      <c r="D9478" s="66"/>
      <c r="E9478" s="66"/>
      <c r="F9478" s="66"/>
    </row>
    <row r="9479" spans="4:6" x14ac:dyDescent="0.35">
      <c r="D9479" s="66"/>
      <c r="E9479" s="66"/>
      <c r="F9479" s="66"/>
    </row>
    <row r="9480" spans="4:6" x14ac:dyDescent="0.35">
      <c r="D9480" s="66"/>
      <c r="E9480" s="66"/>
      <c r="F9480" s="66"/>
    </row>
    <row r="9481" spans="4:6" x14ac:dyDescent="0.35">
      <c r="D9481" s="66"/>
      <c r="E9481" s="66"/>
      <c r="F9481" s="66"/>
    </row>
    <row r="9482" spans="4:6" x14ac:dyDescent="0.35">
      <c r="D9482" s="66"/>
      <c r="E9482" s="66"/>
      <c r="F9482" s="66"/>
    </row>
    <row r="9483" spans="4:6" x14ac:dyDescent="0.35">
      <c r="D9483" s="66"/>
      <c r="E9483" s="66"/>
      <c r="F9483" s="66"/>
    </row>
    <row r="9484" spans="4:6" x14ac:dyDescent="0.35">
      <c r="D9484" s="66"/>
      <c r="E9484" s="66"/>
      <c r="F9484" s="66"/>
    </row>
    <row r="9485" spans="4:6" x14ac:dyDescent="0.35">
      <c r="D9485" s="66"/>
      <c r="E9485" s="66"/>
      <c r="F9485" s="66"/>
    </row>
    <row r="9486" spans="4:6" x14ac:dyDescent="0.35">
      <c r="D9486" s="66"/>
      <c r="E9486" s="66"/>
      <c r="F9486" s="66"/>
    </row>
    <row r="9487" spans="4:6" x14ac:dyDescent="0.35">
      <c r="D9487" s="66"/>
      <c r="E9487" s="66"/>
      <c r="F9487" s="66"/>
    </row>
    <row r="9488" spans="4:6" x14ac:dyDescent="0.35">
      <c r="D9488" s="66"/>
      <c r="E9488" s="66"/>
      <c r="F9488" s="66"/>
    </row>
    <row r="9489" spans="4:6" x14ac:dyDescent="0.35">
      <c r="D9489" s="66"/>
      <c r="E9489" s="66"/>
      <c r="F9489" s="66"/>
    </row>
    <row r="9490" spans="4:6" x14ac:dyDescent="0.35">
      <c r="D9490" s="66"/>
      <c r="E9490" s="66"/>
      <c r="F9490" s="66"/>
    </row>
    <row r="9491" spans="4:6" x14ac:dyDescent="0.35">
      <c r="D9491" s="66"/>
      <c r="E9491" s="66"/>
      <c r="F9491" s="66"/>
    </row>
    <row r="9492" spans="4:6" x14ac:dyDescent="0.35">
      <c r="D9492" s="66"/>
      <c r="E9492" s="66"/>
      <c r="F9492" s="66"/>
    </row>
    <row r="9493" spans="4:6" x14ac:dyDescent="0.35">
      <c r="D9493" s="66"/>
      <c r="E9493" s="66"/>
      <c r="F9493" s="66"/>
    </row>
    <row r="9494" spans="4:6" x14ac:dyDescent="0.35">
      <c r="D9494" s="66"/>
      <c r="E9494" s="66"/>
      <c r="F9494" s="66"/>
    </row>
    <row r="9495" spans="4:6" x14ac:dyDescent="0.35">
      <c r="D9495" s="66"/>
      <c r="E9495" s="66"/>
      <c r="F9495" s="66"/>
    </row>
    <row r="9496" spans="4:6" x14ac:dyDescent="0.35">
      <c r="D9496" s="66"/>
      <c r="E9496" s="66"/>
      <c r="F9496" s="66"/>
    </row>
    <row r="9497" spans="4:6" x14ac:dyDescent="0.35">
      <c r="D9497" s="66"/>
      <c r="E9497" s="66"/>
      <c r="F9497" s="66"/>
    </row>
    <row r="9498" spans="4:6" x14ac:dyDescent="0.35">
      <c r="D9498" s="66"/>
      <c r="E9498" s="66"/>
      <c r="F9498" s="66"/>
    </row>
    <row r="9499" spans="4:6" x14ac:dyDescent="0.35">
      <c r="D9499" s="66"/>
      <c r="E9499" s="66"/>
      <c r="F9499" s="66"/>
    </row>
    <row r="9500" spans="4:6" x14ac:dyDescent="0.35">
      <c r="D9500" s="66"/>
      <c r="E9500" s="66"/>
      <c r="F9500" s="66"/>
    </row>
    <row r="9501" spans="4:6" x14ac:dyDescent="0.35">
      <c r="D9501" s="66"/>
      <c r="E9501" s="66"/>
      <c r="F9501" s="66"/>
    </row>
    <row r="9502" spans="4:6" x14ac:dyDescent="0.35">
      <c r="D9502" s="66"/>
      <c r="E9502" s="66"/>
      <c r="F9502" s="66"/>
    </row>
    <row r="9503" spans="4:6" x14ac:dyDescent="0.35">
      <c r="D9503" s="66"/>
      <c r="E9503" s="66"/>
      <c r="F9503" s="66"/>
    </row>
    <row r="9504" spans="4:6" x14ac:dyDescent="0.35">
      <c r="D9504" s="66"/>
      <c r="E9504" s="66"/>
      <c r="F9504" s="66"/>
    </row>
    <row r="9505" spans="4:6" x14ac:dyDescent="0.35">
      <c r="D9505" s="66"/>
      <c r="E9505" s="66"/>
      <c r="F9505" s="66"/>
    </row>
    <row r="9506" spans="4:6" x14ac:dyDescent="0.35">
      <c r="D9506" s="66"/>
      <c r="E9506" s="66"/>
      <c r="F9506" s="66"/>
    </row>
    <row r="9507" spans="4:6" x14ac:dyDescent="0.35">
      <c r="D9507" s="66"/>
      <c r="E9507" s="66"/>
      <c r="F9507" s="66"/>
    </row>
    <row r="9508" spans="4:6" x14ac:dyDescent="0.35">
      <c r="D9508" s="66"/>
      <c r="E9508" s="66"/>
      <c r="F9508" s="66"/>
    </row>
    <row r="9509" spans="4:6" x14ac:dyDescent="0.35">
      <c r="D9509" s="66"/>
      <c r="E9509" s="66"/>
      <c r="F9509" s="66"/>
    </row>
    <row r="9510" spans="4:6" x14ac:dyDescent="0.35">
      <c r="D9510" s="66"/>
      <c r="E9510" s="66"/>
      <c r="F9510" s="66"/>
    </row>
    <row r="9511" spans="4:6" x14ac:dyDescent="0.35">
      <c r="D9511" s="66"/>
      <c r="E9511" s="66"/>
      <c r="F9511" s="66"/>
    </row>
    <row r="9512" spans="4:6" x14ac:dyDescent="0.35">
      <c r="D9512" s="66"/>
      <c r="E9512" s="66"/>
      <c r="F9512" s="66"/>
    </row>
    <row r="9513" spans="4:6" x14ac:dyDescent="0.35">
      <c r="D9513" s="66"/>
      <c r="E9513" s="66"/>
      <c r="F9513" s="66"/>
    </row>
    <row r="9514" spans="4:6" x14ac:dyDescent="0.35">
      <c r="D9514" s="66"/>
      <c r="E9514" s="66"/>
      <c r="F9514" s="66"/>
    </row>
    <row r="9515" spans="4:6" x14ac:dyDescent="0.35">
      <c r="D9515" s="66"/>
      <c r="E9515" s="66"/>
      <c r="F9515" s="66"/>
    </row>
    <row r="9516" spans="4:6" x14ac:dyDescent="0.35">
      <c r="D9516" s="66"/>
      <c r="E9516" s="66"/>
      <c r="F9516" s="66"/>
    </row>
    <row r="9517" spans="4:6" x14ac:dyDescent="0.35">
      <c r="D9517" s="66"/>
      <c r="E9517" s="66"/>
      <c r="F9517" s="66"/>
    </row>
    <row r="9518" spans="4:6" x14ac:dyDescent="0.35">
      <c r="D9518" s="66"/>
      <c r="E9518" s="66"/>
      <c r="F9518" s="66"/>
    </row>
    <row r="9519" spans="4:6" x14ac:dyDescent="0.35">
      <c r="D9519" s="66"/>
      <c r="E9519" s="66"/>
      <c r="F9519" s="66"/>
    </row>
    <row r="9520" spans="4:6" x14ac:dyDescent="0.35">
      <c r="D9520" s="66"/>
      <c r="E9520" s="66"/>
      <c r="F9520" s="66"/>
    </row>
    <row r="9521" spans="4:6" x14ac:dyDescent="0.35">
      <c r="D9521" s="66"/>
      <c r="E9521" s="66"/>
      <c r="F9521" s="66"/>
    </row>
    <row r="9522" spans="4:6" x14ac:dyDescent="0.35">
      <c r="D9522" s="66"/>
      <c r="E9522" s="66"/>
      <c r="F9522" s="66"/>
    </row>
    <row r="9523" spans="4:6" x14ac:dyDescent="0.35">
      <c r="D9523" s="66"/>
      <c r="E9523" s="66"/>
      <c r="F9523" s="66"/>
    </row>
    <row r="9524" spans="4:6" x14ac:dyDescent="0.35">
      <c r="D9524" s="66"/>
      <c r="E9524" s="66"/>
      <c r="F9524" s="66"/>
    </row>
    <row r="9525" spans="4:6" x14ac:dyDescent="0.35">
      <c r="D9525" s="66"/>
      <c r="E9525" s="66"/>
      <c r="F9525" s="66"/>
    </row>
    <row r="9526" spans="4:6" x14ac:dyDescent="0.35">
      <c r="D9526" s="66"/>
      <c r="E9526" s="66"/>
      <c r="F9526" s="66"/>
    </row>
    <row r="9527" spans="4:6" x14ac:dyDescent="0.35">
      <c r="D9527" s="66"/>
      <c r="E9527" s="66"/>
      <c r="F9527" s="66"/>
    </row>
    <row r="9528" spans="4:6" x14ac:dyDescent="0.35">
      <c r="D9528" s="66"/>
      <c r="E9528" s="66"/>
      <c r="F9528" s="66"/>
    </row>
    <row r="9529" spans="4:6" x14ac:dyDescent="0.35">
      <c r="D9529" s="66"/>
      <c r="E9529" s="66"/>
      <c r="F9529" s="66"/>
    </row>
    <row r="9530" spans="4:6" x14ac:dyDescent="0.35">
      <c r="D9530" s="66"/>
      <c r="E9530" s="66"/>
      <c r="F9530" s="66"/>
    </row>
    <row r="9531" spans="4:6" x14ac:dyDescent="0.35">
      <c r="D9531" s="66"/>
      <c r="E9531" s="66"/>
      <c r="F9531" s="66"/>
    </row>
    <row r="9532" spans="4:6" x14ac:dyDescent="0.35">
      <c r="D9532" s="66"/>
      <c r="E9532" s="66"/>
      <c r="F9532" s="66"/>
    </row>
    <row r="9533" spans="4:6" x14ac:dyDescent="0.35">
      <c r="D9533" s="66"/>
      <c r="E9533" s="66"/>
      <c r="F9533" s="66"/>
    </row>
    <row r="9534" spans="4:6" x14ac:dyDescent="0.35">
      <c r="D9534" s="66"/>
      <c r="E9534" s="66"/>
      <c r="F9534" s="66"/>
    </row>
    <row r="9535" spans="4:6" x14ac:dyDescent="0.35">
      <c r="D9535" s="66"/>
      <c r="E9535" s="66"/>
      <c r="F9535" s="66"/>
    </row>
    <row r="9536" spans="4:6" x14ac:dyDescent="0.35">
      <c r="D9536" s="66"/>
      <c r="E9536" s="66"/>
      <c r="F9536" s="66"/>
    </row>
    <row r="9537" spans="4:6" x14ac:dyDescent="0.35">
      <c r="D9537" s="66"/>
      <c r="E9537" s="66"/>
      <c r="F9537" s="66"/>
    </row>
    <row r="9538" spans="4:6" x14ac:dyDescent="0.35">
      <c r="D9538" s="66"/>
      <c r="E9538" s="66"/>
      <c r="F9538" s="66"/>
    </row>
    <row r="9539" spans="4:6" x14ac:dyDescent="0.35">
      <c r="D9539" s="66"/>
      <c r="E9539" s="66"/>
      <c r="F9539" s="66"/>
    </row>
    <row r="9540" spans="4:6" x14ac:dyDescent="0.35">
      <c r="D9540" s="66"/>
      <c r="E9540" s="66"/>
      <c r="F9540" s="66"/>
    </row>
    <row r="9541" spans="4:6" x14ac:dyDescent="0.35">
      <c r="D9541" s="66"/>
      <c r="E9541" s="66"/>
      <c r="F9541" s="66"/>
    </row>
    <row r="9542" spans="4:6" x14ac:dyDescent="0.35">
      <c r="D9542" s="66"/>
      <c r="E9542" s="66"/>
      <c r="F9542" s="66"/>
    </row>
    <row r="9543" spans="4:6" x14ac:dyDescent="0.35">
      <c r="D9543" s="66"/>
      <c r="E9543" s="66"/>
      <c r="F9543" s="66"/>
    </row>
    <row r="9544" spans="4:6" x14ac:dyDescent="0.35">
      <c r="D9544" s="66"/>
      <c r="E9544" s="66"/>
      <c r="F9544" s="66"/>
    </row>
    <row r="9545" spans="4:6" x14ac:dyDescent="0.35">
      <c r="D9545" s="66"/>
      <c r="E9545" s="66"/>
      <c r="F9545" s="66"/>
    </row>
    <row r="9546" spans="4:6" x14ac:dyDescent="0.35">
      <c r="D9546" s="66"/>
      <c r="E9546" s="66"/>
      <c r="F9546" s="66"/>
    </row>
    <row r="9547" spans="4:6" x14ac:dyDescent="0.35">
      <c r="D9547" s="66"/>
      <c r="E9547" s="66"/>
      <c r="F9547" s="66"/>
    </row>
    <row r="9548" spans="4:6" x14ac:dyDescent="0.35">
      <c r="D9548" s="66"/>
      <c r="E9548" s="66"/>
      <c r="F9548" s="66"/>
    </row>
    <row r="9549" spans="4:6" x14ac:dyDescent="0.35">
      <c r="D9549" s="66"/>
      <c r="E9549" s="66"/>
      <c r="F9549" s="66"/>
    </row>
    <row r="9550" spans="4:6" x14ac:dyDescent="0.35">
      <c r="D9550" s="66"/>
      <c r="E9550" s="66"/>
      <c r="F9550" s="66"/>
    </row>
    <row r="9551" spans="4:6" x14ac:dyDescent="0.35">
      <c r="D9551" s="66"/>
      <c r="E9551" s="66"/>
      <c r="F9551" s="66"/>
    </row>
    <row r="9552" spans="4:6" x14ac:dyDescent="0.35">
      <c r="D9552" s="66"/>
      <c r="E9552" s="66"/>
      <c r="F9552" s="66"/>
    </row>
    <row r="9553" spans="4:6" x14ac:dyDescent="0.35">
      <c r="D9553" s="66"/>
      <c r="E9553" s="66"/>
      <c r="F9553" s="66"/>
    </row>
    <row r="9554" spans="4:6" x14ac:dyDescent="0.35">
      <c r="D9554" s="66"/>
      <c r="E9554" s="66"/>
      <c r="F9554" s="66"/>
    </row>
    <row r="9555" spans="4:6" x14ac:dyDescent="0.35">
      <c r="D9555" s="66"/>
      <c r="E9555" s="66"/>
      <c r="F9555" s="66"/>
    </row>
    <row r="9556" spans="4:6" x14ac:dyDescent="0.35">
      <c r="D9556" s="66"/>
      <c r="E9556" s="66"/>
      <c r="F9556" s="66"/>
    </row>
    <row r="9557" spans="4:6" x14ac:dyDescent="0.35">
      <c r="D9557" s="66"/>
      <c r="E9557" s="66"/>
      <c r="F9557" s="66"/>
    </row>
    <row r="9558" spans="4:6" x14ac:dyDescent="0.35">
      <c r="D9558" s="66"/>
      <c r="E9558" s="66"/>
      <c r="F9558" s="66"/>
    </row>
    <row r="9559" spans="4:6" x14ac:dyDescent="0.35">
      <c r="D9559" s="66"/>
      <c r="E9559" s="66"/>
      <c r="F9559" s="66"/>
    </row>
    <row r="9560" spans="4:6" x14ac:dyDescent="0.35">
      <c r="D9560" s="66"/>
      <c r="E9560" s="66"/>
      <c r="F9560" s="66"/>
    </row>
    <row r="9561" spans="4:6" x14ac:dyDescent="0.35">
      <c r="D9561" s="66"/>
      <c r="E9561" s="66"/>
      <c r="F9561" s="66"/>
    </row>
    <row r="9562" spans="4:6" x14ac:dyDescent="0.35">
      <c r="D9562" s="66"/>
      <c r="E9562" s="66"/>
      <c r="F9562" s="66"/>
    </row>
    <row r="9563" spans="4:6" x14ac:dyDescent="0.35">
      <c r="D9563" s="66"/>
      <c r="E9563" s="66"/>
      <c r="F9563" s="66"/>
    </row>
    <row r="9564" spans="4:6" x14ac:dyDescent="0.35">
      <c r="D9564" s="66"/>
      <c r="E9564" s="66"/>
      <c r="F9564" s="66"/>
    </row>
    <row r="9565" spans="4:6" x14ac:dyDescent="0.35">
      <c r="D9565" s="66"/>
      <c r="E9565" s="66"/>
      <c r="F9565" s="66"/>
    </row>
    <row r="9566" spans="4:6" x14ac:dyDescent="0.35">
      <c r="D9566" s="66"/>
      <c r="E9566" s="66"/>
      <c r="F9566" s="66"/>
    </row>
    <row r="9567" spans="4:6" x14ac:dyDescent="0.35">
      <c r="D9567" s="66"/>
      <c r="E9567" s="66"/>
      <c r="F9567" s="66"/>
    </row>
    <row r="9568" spans="4:6" x14ac:dyDescent="0.35">
      <c r="D9568" s="66"/>
      <c r="E9568" s="66"/>
      <c r="F9568" s="66"/>
    </row>
    <row r="9569" spans="4:6" x14ac:dyDescent="0.35">
      <c r="D9569" s="66"/>
      <c r="E9569" s="66"/>
      <c r="F9569" s="66"/>
    </row>
    <row r="9570" spans="4:6" x14ac:dyDescent="0.35">
      <c r="D9570" s="66"/>
      <c r="E9570" s="66"/>
      <c r="F9570" s="66"/>
    </row>
    <row r="9571" spans="4:6" x14ac:dyDescent="0.35">
      <c r="D9571" s="66"/>
      <c r="E9571" s="66"/>
      <c r="F9571" s="66"/>
    </row>
    <row r="9572" spans="4:6" x14ac:dyDescent="0.35">
      <c r="D9572" s="66"/>
      <c r="E9572" s="66"/>
      <c r="F9572" s="66"/>
    </row>
    <row r="9573" spans="4:6" x14ac:dyDescent="0.35">
      <c r="D9573" s="66"/>
      <c r="E9573" s="66"/>
      <c r="F9573" s="66"/>
    </row>
    <row r="9574" spans="4:6" x14ac:dyDescent="0.35">
      <c r="D9574" s="66"/>
      <c r="E9574" s="66"/>
      <c r="F9574" s="66"/>
    </row>
    <row r="9575" spans="4:6" x14ac:dyDescent="0.35">
      <c r="D9575" s="66"/>
      <c r="E9575" s="66"/>
      <c r="F9575" s="66"/>
    </row>
    <row r="9576" spans="4:6" x14ac:dyDescent="0.35">
      <c r="D9576" s="66"/>
      <c r="E9576" s="66"/>
      <c r="F9576" s="66"/>
    </row>
    <row r="9577" spans="4:6" x14ac:dyDescent="0.35">
      <c r="D9577" s="66"/>
      <c r="E9577" s="66"/>
      <c r="F9577" s="66"/>
    </row>
    <row r="9578" spans="4:6" x14ac:dyDescent="0.35">
      <c r="D9578" s="66"/>
      <c r="E9578" s="66"/>
      <c r="F9578" s="66"/>
    </row>
    <row r="9579" spans="4:6" x14ac:dyDescent="0.35">
      <c r="D9579" s="66"/>
      <c r="E9579" s="66"/>
      <c r="F9579" s="66"/>
    </row>
    <row r="9580" spans="4:6" x14ac:dyDescent="0.35">
      <c r="D9580" s="66"/>
      <c r="E9580" s="66"/>
      <c r="F9580" s="66"/>
    </row>
    <row r="9581" spans="4:6" x14ac:dyDescent="0.35">
      <c r="D9581" s="66"/>
      <c r="E9581" s="66"/>
      <c r="F9581" s="66"/>
    </row>
    <row r="9582" spans="4:6" x14ac:dyDescent="0.35">
      <c r="D9582" s="66"/>
      <c r="E9582" s="66"/>
      <c r="F9582" s="66"/>
    </row>
    <row r="9583" spans="4:6" x14ac:dyDescent="0.35">
      <c r="D9583" s="66"/>
      <c r="E9583" s="66"/>
      <c r="F9583" s="66"/>
    </row>
    <row r="9584" spans="4:6" x14ac:dyDescent="0.35">
      <c r="D9584" s="66"/>
      <c r="E9584" s="66"/>
      <c r="F9584" s="66"/>
    </row>
    <row r="9585" spans="4:6" x14ac:dyDescent="0.35">
      <c r="D9585" s="66"/>
      <c r="E9585" s="66"/>
      <c r="F9585" s="66"/>
    </row>
    <row r="9586" spans="4:6" x14ac:dyDescent="0.35">
      <c r="D9586" s="66"/>
      <c r="E9586" s="66"/>
      <c r="F9586" s="66"/>
    </row>
    <row r="9587" spans="4:6" x14ac:dyDescent="0.35">
      <c r="D9587" s="66"/>
      <c r="E9587" s="66"/>
      <c r="F9587" s="66"/>
    </row>
    <row r="9588" spans="4:6" x14ac:dyDescent="0.35">
      <c r="D9588" s="66"/>
      <c r="E9588" s="66"/>
      <c r="F9588" s="66"/>
    </row>
    <row r="9589" spans="4:6" x14ac:dyDescent="0.35">
      <c r="D9589" s="66"/>
      <c r="E9589" s="66"/>
      <c r="F9589" s="66"/>
    </row>
    <row r="9590" spans="4:6" x14ac:dyDescent="0.35">
      <c r="D9590" s="66"/>
      <c r="E9590" s="66"/>
      <c r="F9590" s="66"/>
    </row>
    <row r="9591" spans="4:6" x14ac:dyDescent="0.35">
      <c r="D9591" s="66"/>
      <c r="E9591" s="66"/>
      <c r="F9591" s="66"/>
    </row>
    <row r="9592" spans="4:6" x14ac:dyDescent="0.35">
      <c r="D9592" s="66"/>
      <c r="E9592" s="66"/>
      <c r="F9592" s="66"/>
    </row>
    <row r="9593" spans="4:6" x14ac:dyDescent="0.35">
      <c r="D9593" s="66"/>
      <c r="E9593" s="66"/>
      <c r="F9593" s="66"/>
    </row>
    <row r="9594" spans="4:6" x14ac:dyDescent="0.35">
      <c r="D9594" s="66"/>
      <c r="E9594" s="66"/>
      <c r="F9594" s="66"/>
    </row>
    <row r="9595" spans="4:6" x14ac:dyDescent="0.35">
      <c r="D9595" s="66"/>
      <c r="E9595" s="66"/>
      <c r="F9595" s="66"/>
    </row>
    <row r="9596" spans="4:6" x14ac:dyDescent="0.35">
      <c r="D9596" s="66"/>
      <c r="E9596" s="66"/>
      <c r="F9596" s="66"/>
    </row>
    <row r="9597" spans="4:6" x14ac:dyDescent="0.35">
      <c r="D9597" s="66"/>
      <c r="E9597" s="66"/>
      <c r="F9597" s="66"/>
    </row>
    <row r="9598" spans="4:6" x14ac:dyDescent="0.35">
      <c r="D9598" s="66"/>
      <c r="E9598" s="66"/>
      <c r="F9598" s="66"/>
    </row>
    <row r="9599" spans="4:6" x14ac:dyDescent="0.35">
      <c r="D9599" s="66"/>
      <c r="E9599" s="66"/>
      <c r="F9599" s="66"/>
    </row>
    <row r="9600" spans="4:6" x14ac:dyDescent="0.35">
      <c r="D9600" s="66"/>
      <c r="E9600" s="66"/>
      <c r="F9600" s="66"/>
    </row>
    <row r="9601" spans="4:6" x14ac:dyDescent="0.35">
      <c r="D9601" s="66"/>
      <c r="E9601" s="66"/>
      <c r="F9601" s="66"/>
    </row>
    <row r="9602" spans="4:6" x14ac:dyDescent="0.35">
      <c r="D9602" s="66"/>
      <c r="E9602" s="66"/>
      <c r="F9602" s="66"/>
    </row>
    <row r="9603" spans="4:6" x14ac:dyDescent="0.35">
      <c r="D9603" s="66"/>
      <c r="E9603" s="66"/>
      <c r="F9603" s="66"/>
    </row>
    <row r="9604" spans="4:6" x14ac:dyDescent="0.35">
      <c r="D9604" s="66"/>
      <c r="E9604" s="66"/>
      <c r="F9604" s="66"/>
    </row>
    <row r="9605" spans="4:6" x14ac:dyDescent="0.35">
      <c r="D9605" s="66"/>
      <c r="E9605" s="66"/>
      <c r="F9605" s="66"/>
    </row>
    <row r="9606" spans="4:6" x14ac:dyDescent="0.35">
      <c r="D9606" s="66"/>
      <c r="E9606" s="66"/>
      <c r="F9606" s="66"/>
    </row>
    <row r="9607" spans="4:6" x14ac:dyDescent="0.35">
      <c r="D9607" s="66"/>
      <c r="E9607" s="66"/>
      <c r="F9607" s="66"/>
    </row>
    <row r="9608" spans="4:6" x14ac:dyDescent="0.35">
      <c r="D9608" s="66"/>
      <c r="E9608" s="66"/>
      <c r="F9608" s="66"/>
    </row>
    <row r="9609" spans="4:6" x14ac:dyDescent="0.35">
      <c r="D9609" s="66"/>
      <c r="E9609" s="66"/>
      <c r="F9609" s="66"/>
    </row>
    <row r="9610" spans="4:6" x14ac:dyDescent="0.35">
      <c r="D9610" s="66"/>
      <c r="E9610" s="66"/>
      <c r="F9610" s="66"/>
    </row>
    <row r="9611" spans="4:6" x14ac:dyDescent="0.35">
      <c r="D9611" s="66"/>
      <c r="E9611" s="66"/>
      <c r="F9611" s="66"/>
    </row>
    <row r="9612" spans="4:6" x14ac:dyDescent="0.35">
      <c r="D9612" s="66"/>
      <c r="E9612" s="66"/>
      <c r="F9612" s="66"/>
    </row>
    <row r="9613" spans="4:6" x14ac:dyDescent="0.35">
      <c r="D9613" s="66"/>
      <c r="E9613" s="66"/>
      <c r="F9613" s="66"/>
    </row>
    <row r="9614" spans="4:6" x14ac:dyDescent="0.35">
      <c r="D9614" s="66"/>
      <c r="E9614" s="66"/>
      <c r="F9614" s="66"/>
    </row>
    <row r="9615" spans="4:6" x14ac:dyDescent="0.35">
      <c r="D9615" s="66"/>
      <c r="E9615" s="66"/>
      <c r="F9615" s="66"/>
    </row>
    <row r="9616" spans="4:6" x14ac:dyDescent="0.35">
      <c r="D9616" s="66"/>
      <c r="E9616" s="66"/>
      <c r="F9616" s="66"/>
    </row>
    <row r="9617" spans="4:6" x14ac:dyDescent="0.35">
      <c r="D9617" s="66"/>
      <c r="E9617" s="66"/>
      <c r="F9617" s="66"/>
    </row>
    <row r="9618" spans="4:6" x14ac:dyDescent="0.35">
      <c r="D9618" s="66"/>
      <c r="E9618" s="66"/>
      <c r="F9618" s="66"/>
    </row>
    <row r="9619" spans="4:6" x14ac:dyDescent="0.35">
      <c r="D9619" s="66"/>
      <c r="E9619" s="66"/>
      <c r="F9619" s="66"/>
    </row>
    <row r="9620" spans="4:6" x14ac:dyDescent="0.35">
      <c r="D9620" s="66"/>
      <c r="E9620" s="66"/>
      <c r="F9620" s="66"/>
    </row>
    <row r="9621" spans="4:6" x14ac:dyDescent="0.35">
      <c r="D9621" s="66"/>
      <c r="E9621" s="66"/>
      <c r="F9621" s="66"/>
    </row>
    <row r="9622" spans="4:6" x14ac:dyDescent="0.35">
      <c r="D9622" s="66"/>
      <c r="E9622" s="66"/>
      <c r="F9622" s="66"/>
    </row>
    <row r="9623" spans="4:6" x14ac:dyDescent="0.35">
      <c r="D9623" s="66"/>
      <c r="E9623" s="66"/>
      <c r="F9623" s="66"/>
    </row>
    <row r="9624" spans="4:6" x14ac:dyDescent="0.35">
      <c r="D9624" s="66"/>
      <c r="E9624" s="66"/>
      <c r="F9624" s="66"/>
    </row>
    <row r="9625" spans="4:6" x14ac:dyDescent="0.35">
      <c r="D9625" s="66"/>
      <c r="E9625" s="66"/>
      <c r="F9625" s="66"/>
    </row>
    <row r="9626" spans="4:6" x14ac:dyDescent="0.35">
      <c r="D9626" s="66"/>
      <c r="E9626" s="66"/>
      <c r="F9626" s="66"/>
    </row>
    <row r="9627" spans="4:6" x14ac:dyDescent="0.35">
      <c r="D9627" s="66"/>
      <c r="E9627" s="66"/>
      <c r="F9627" s="66"/>
    </row>
    <row r="9628" spans="4:6" x14ac:dyDescent="0.35">
      <c r="D9628" s="66"/>
      <c r="E9628" s="66"/>
      <c r="F9628" s="66"/>
    </row>
    <row r="9629" spans="4:6" x14ac:dyDescent="0.35">
      <c r="D9629" s="66"/>
      <c r="E9629" s="66"/>
      <c r="F9629" s="66"/>
    </row>
    <row r="9630" spans="4:6" x14ac:dyDescent="0.35">
      <c r="D9630" s="66"/>
      <c r="E9630" s="66"/>
      <c r="F9630" s="66"/>
    </row>
    <row r="9631" spans="4:6" x14ac:dyDescent="0.35">
      <c r="D9631" s="66"/>
      <c r="E9631" s="66"/>
      <c r="F9631" s="66"/>
    </row>
    <row r="9632" spans="4:6" x14ac:dyDescent="0.35">
      <c r="D9632" s="66"/>
      <c r="E9632" s="66"/>
      <c r="F9632" s="66"/>
    </row>
    <row r="9633" spans="4:6" x14ac:dyDescent="0.35">
      <c r="D9633" s="66"/>
      <c r="E9633" s="66"/>
      <c r="F9633" s="66"/>
    </row>
    <row r="9634" spans="4:6" x14ac:dyDescent="0.35">
      <c r="D9634" s="66"/>
      <c r="E9634" s="66"/>
      <c r="F9634" s="66"/>
    </row>
    <row r="9635" spans="4:6" x14ac:dyDescent="0.35">
      <c r="D9635" s="66"/>
      <c r="E9635" s="66"/>
      <c r="F9635" s="66"/>
    </row>
    <row r="9636" spans="4:6" x14ac:dyDescent="0.35">
      <c r="D9636" s="66"/>
      <c r="E9636" s="66"/>
      <c r="F9636" s="66"/>
    </row>
    <row r="9637" spans="4:6" x14ac:dyDescent="0.35">
      <c r="D9637" s="66"/>
      <c r="E9637" s="66"/>
      <c r="F9637" s="66"/>
    </row>
    <row r="9638" spans="4:6" x14ac:dyDescent="0.35">
      <c r="D9638" s="66"/>
      <c r="E9638" s="66"/>
      <c r="F9638" s="66"/>
    </row>
    <row r="9639" spans="4:6" x14ac:dyDescent="0.35">
      <c r="D9639" s="66"/>
      <c r="E9639" s="66"/>
      <c r="F9639" s="66"/>
    </row>
    <row r="9640" spans="4:6" x14ac:dyDescent="0.35">
      <c r="D9640" s="66"/>
      <c r="E9640" s="66"/>
      <c r="F9640" s="66"/>
    </row>
    <row r="9641" spans="4:6" x14ac:dyDescent="0.35">
      <c r="D9641" s="66"/>
      <c r="E9641" s="66"/>
      <c r="F9641" s="66"/>
    </row>
    <row r="9642" spans="4:6" x14ac:dyDescent="0.35">
      <c r="D9642" s="66"/>
      <c r="E9642" s="66"/>
      <c r="F9642" s="66"/>
    </row>
    <row r="9643" spans="4:6" x14ac:dyDescent="0.35">
      <c r="D9643" s="66"/>
      <c r="E9643" s="66"/>
      <c r="F9643" s="66"/>
    </row>
    <row r="9644" spans="4:6" x14ac:dyDescent="0.35">
      <c r="D9644" s="66"/>
      <c r="E9644" s="66"/>
      <c r="F9644" s="66"/>
    </row>
    <row r="9645" spans="4:6" x14ac:dyDescent="0.35">
      <c r="D9645" s="66"/>
      <c r="E9645" s="66"/>
      <c r="F9645" s="66"/>
    </row>
    <row r="9646" spans="4:6" x14ac:dyDescent="0.35">
      <c r="D9646" s="66"/>
      <c r="E9646" s="66"/>
      <c r="F9646" s="66"/>
    </row>
    <row r="9647" spans="4:6" x14ac:dyDescent="0.35">
      <c r="D9647" s="66"/>
      <c r="E9647" s="66"/>
      <c r="F9647" s="66"/>
    </row>
    <row r="9648" spans="4:6" x14ac:dyDescent="0.35">
      <c r="D9648" s="66"/>
      <c r="E9648" s="66"/>
      <c r="F9648" s="66"/>
    </row>
    <row r="9649" spans="4:6" x14ac:dyDescent="0.35">
      <c r="D9649" s="66"/>
      <c r="E9649" s="66"/>
      <c r="F9649" s="66"/>
    </row>
    <row r="9650" spans="4:6" x14ac:dyDescent="0.35">
      <c r="D9650" s="66"/>
      <c r="E9650" s="66"/>
      <c r="F9650" s="66"/>
    </row>
    <row r="9651" spans="4:6" x14ac:dyDescent="0.35">
      <c r="D9651" s="66"/>
      <c r="E9651" s="66"/>
      <c r="F9651" s="66"/>
    </row>
    <row r="9652" spans="4:6" x14ac:dyDescent="0.35">
      <c r="D9652" s="66"/>
      <c r="E9652" s="66"/>
      <c r="F9652" s="66"/>
    </row>
    <row r="9653" spans="4:6" x14ac:dyDescent="0.35">
      <c r="D9653" s="66"/>
      <c r="E9653" s="66"/>
      <c r="F9653" s="66"/>
    </row>
    <row r="9654" spans="4:6" x14ac:dyDescent="0.35">
      <c r="D9654" s="66"/>
      <c r="E9654" s="66"/>
      <c r="F9654" s="66"/>
    </row>
    <row r="9655" spans="4:6" x14ac:dyDescent="0.35">
      <c r="D9655" s="66"/>
      <c r="E9655" s="66"/>
      <c r="F9655" s="66"/>
    </row>
    <row r="9656" spans="4:6" x14ac:dyDescent="0.35">
      <c r="D9656" s="66"/>
      <c r="E9656" s="66"/>
      <c r="F9656" s="66"/>
    </row>
    <row r="9657" spans="4:6" x14ac:dyDescent="0.35">
      <c r="D9657" s="66"/>
      <c r="E9657" s="66"/>
      <c r="F9657" s="66"/>
    </row>
    <row r="9658" spans="4:6" x14ac:dyDescent="0.35">
      <c r="D9658" s="66"/>
      <c r="E9658" s="66"/>
      <c r="F9658" s="66"/>
    </row>
    <row r="9659" spans="4:6" x14ac:dyDescent="0.35">
      <c r="D9659" s="66"/>
      <c r="E9659" s="66"/>
      <c r="F9659" s="66"/>
    </row>
    <row r="9660" spans="4:6" x14ac:dyDescent="0.35">
      <c r="D9660" s="66"/>
      <c r="E9660" s="66"/>
      <c r="F9660" s="66"/>
    </row>
    <row r="9661" spans="4:6" x14ac:dyDescent="0.35">
      <c r="D9661" s="66"/>
      <c r="E9661" s="66"/>
      <c r="F9661" s="66"/>
    </row>
    <row r="9662" spans="4:6" x14ac:dyDescent="0.35">
      <c r="D9662" s="66"/>
      <c r="E9662" s="66"/>
      <c r="F9662" s="66"/>
    </row>
    <row r="9663" spans="4:6" x14ac:dyDescent="0.35">
      <c r="D9663" s="66"/>
      <c r="E9663" s="66"/>
      <c r="F9663" s="66"/>
    </row>
    <row r="9664" spans="4:6" x14ac:dyDescent="0.35">
      <c r="D9664" s="66"/>
      <c r="E9664" s="66"/>
      <c r="F9664" s="66"/>
    </row>
    <row r="9665" spans="4:6" x14ac:dyDescent="0.35">
      <c r="D9665" s="66"/>
      <c r="E9665" s="66"/>
      <c r="F9665" s="66"/>
    </row>
    <row r="9666" spans="4:6" x14ac:dyDescent="0.35">
      <c r="D9666" s="66"/>
      <c r="E9666" s="66"/>
      <c r="F9666" s="66"/>
    </row>
    <row r="9667" spans="4:6" x14ac:dyDescent="0.35">
      <c r="D9667" s="66"/>
      <c r="E9667" s="66"/>
      <c r="F9667" s="66"/>
    </row>
    <row r="9668" spans="4:6" x14ac:dyDescent="0.35">
      <c r="D9668" s="66"/>
      <c r="E9668" s="66"/>
      <c r="F9668" s="66"/>
    </row>
    <row r="9669" spans="4:6" x14ac:dyDescent="0.35">
      <c r="D9669" s="66"/>
      <c r="E9669" s="66"/>
      <c r="F9669" s="66"/>
    </row>
    <row r="9670" spans="4:6" x14ac:dyDescent="0.35">
      <c r="D9670" s="66"/>
      <c r="E9670" s="66"/>
      <c r="F9670" s="66"/>
    </row>
    <row r="9671" spans="4:6" x14ac:dyDescent="0.35">
      <c r="D9671" s="66"/>
      <c r="E9671" s="66"/>
      <c r="F9671" s="66"/>
    </row>
    <row r="9672" spans="4:6" x14ac:dyDescent="0.35">
      <c r="D9672" s="66"/>
      <c r="E9672" s="66"/>
      <c r="F9672" s="66"/>
    </row>
    <row r="9673" spans="4:6" x14ac:dyDescent="0.35">
      <c r="D9673" s="66"/>
      <c r="E9673" s="66"/>
      <c r="F9673" s="66"/>
    </row>
    <row r="9674" spans="4:6" x14ac:dyDescent="0.35">
      <c r="D9674" s="66"/>
      <c r="E9674" s="66"/>
      <c r="F9674" s="66"/>
    </row>
    <row r="9675" spans="4:6" x14ac:dyDescent="0.35">
      <c r="D9675" s="66"/>
      <c r="E9675" s="66"/>
      <c r="F9675" s="66"/>
    </row>
    <row r="9676" spans="4:6" x14ac:dyDescent="0.35">
      <c r="D9676" s="66"/>
      <c r="E9676" s="66"/>
      <c r="F9676" s="66"/>
    </row>
    <row r="9677" spans="4:6" x14ac:dyDescent="0.35">
      <c r="D9677" s="66"/>
      <c r="E9677" s="66"/>
      <c r="F9677" s="66"/>
    </row>
    <row r="9678" spans="4:6" x14ac:dyDescent="0.35">
      <c r="D9678" s="66"/>
      <c r="E9678" s="66"/>
      <c r="F9678" s="66"/>
    </row>
    <row r="9679" spans="4:6" x14ac:dyDescent="0.35">
      <c r="D9679" s="66"/>
      <c r="E9679" s="66"/>
      <c r="F9679" s="66"/>
    </row>
    <row r="9680" spans="4:6" x14ac:dyDescent="0.35">
      <c r="D9680" s="66"/>
      <c r="E9680" s="66"/>
      <c r="F9680" s="66"/>
    </row>
    <row r="9681" spans="4:6" x14ac:dyDescent="0.35">
      <c r="D9681" s="66"/>
      <c r="E9681" s="66"/>
      <c r="F9681" s="66"/>
    </row>
    <row r="9682" spans="4:6" x14ac:dyDescent="0.35">
      <c r="D9682" s="66"/>
      <c r="E9682" s="66"/>
      <c r="F9682" s="66"/>
    </row>
    <row r="9683" spans="4:6" x14ac:dyDescent="0.35">
      <c r="D9683" s="66"/>
      <c r="E9683" s="66"/>
      <c r="F9683" s="66"/>
    </row>
    <row r="9684" spans="4:6" x14ac:dyDescent="0.35">
      <c r="D9684" s="66"/>
      <c r="E9684" s="66"/>
      <c r="F9684" s="66"/>
    </row>
    <row r="9685" spans="4:6" x14ac:dyDescent="0.35">
      <c r="D9685" s="66"/>
      <c r="E9685" s="66"/>
      <c r="F9685" s="66"/>
    </row>
    <row r="9686" spans="4:6" x14ac:dyDescent="0.35">
      <c r="D9686" s="66"/>
      <c r="E9686" s="66"/>
      <c r="F9686" s="66"/>
    </row>
    <row r="9687" spans="4:6" x14ac:dyDescent="0.35">
      <c r="D9687" s="66"/>
      <c r="E9687" s="66"/>
      <c r="F9687" s="66"/>
    </row>
    <row r="9688" spans="4:6" x14ac:dyDescent="0.35">
      <c r="D9688" s="66"/>
      <c r="E9688" s="66"/>
      <c r="F9688" s="66"/>
    </row>
    <row r="9689" spans="4:6" x14ac:dyDescent="0.35">
      <c r="D9689" s="66"/>
      <c r="E9689" s="66"/>
      <c r="F9689" s="66"/>
    </row>
    <row r="9690" spans="4:6" x14ac:dyDescent="0.35">
      <c r="D9690" s="66"/>
      <c r="E9690" s="66"/>
      <c r="F9690" s="66"/>
    </row>
    <row r="9691" spans="4:6" x14ac:dyDescent="0.35">
      <c r="D9691" s="66"/>
      <c r="E9691" s="66"/>
      <c r="F9691" s="66"/>
    </row>
    <row r="9692" spans="4:6" x14ac:dyDescent="0.35">
      <c r="D9692" s="66"/>
      <c r="E9692" s="66"/>
      <c r="F9692" s="66"/>
    </row>
    <row r="9693" spans="4:6" x14ac:dyDescent="0.35">
      <c r="D9693" s="66"/>
      <c r="E9693" s="66"/>
      <c r="F9693" s="66"/>
    </row>
    <row r="9694" spans="4:6" x14ac:dyDescent="0.35">
      <c r="D9694" s="66"/>
      <c r="E9694" s="66"/>
      <c r="F9694" s="66"/>
    </row>
    <row r="9695" spans="4:6" x14ac:dyDescent="0.35">
      <c r="D9695" s="66"/>
      <c r="E9695" s="66"/>
      <c r="F9695" s="66"/>
    </row>
    <row r="9696" spans="4:6" x14ac:dyDescent="0.35">
      <c r="D9696" s="66"/>
      <c r="E9696" s="66"/>
      <c r="F9696" s="66"/>
    </row>
    <row r="9697" spans="4:6" x14ac:dyDescent="0.35">
      <c r="D9697" s="66"/>
      <c r="E9697" s="66"/>
      <c r="F9697" s="66"/>
    </row>
    <row r="9698" spans="4:6" x14ac:dyDescent="0.35">
      <c r="D9698" s="66"/>
      <c r="E9698" s="66"/>
      <c r="F9698" s="66"/>
    </row>
    <row r="9699" spans="4:6" x14ac:dyDescent="0.35">
      <c r="D9699" s="66"/>
      <c r="E9699" s="66"/>
      <c r="F9699" s="66"/>
    </row>
    <row r="9700" spans="4:6" x14ac:dyDescent="0.35">
      <c r="D9700" s="66"/>
      <c r="E9700" s="66"/>
      <c r="F9700" s="66"/>
    </row>
    <row r="9701" spans="4:6" x14ac:dyDescent="0.35">
      <c r="D9701" s="66"/>
      <c r="E9701" s="66"/>
      <c r="F9701" s="66"/>
    </row>
    <row r="9702" spans="4:6" x14ac:dyDescent="0.35">
      <c r="D9702" s="66"/>
      <c r="E9702" s="66"/>
      <c r="F9702" s="66"/>
    </row>
    <row r="9703" spans="4:6" x14ac:dyDescent="0.35">
      <c r="D9703" s="66"/>
      <c r="E9703" s="66"/>
      <c r="F9703" s="66"/>
    </row>
    <row r="9704" spans="4:6" x14ac:dyDescent="0.35">
      <c r="D9704" s="66"/>
      <c r="E9704" s="66"/>
      <c r="F9704" s="66"/>
    </row>
    <row r="9705" spans="4:6" x14ac:dyDescent="0.35">
      <c r="D9705" s="66"/>
      <c r="E9705" s="66"/>
      <c r="F9705" s="66"/>
    </row>
    <row r="9706" spans="4:6" x14ac:dyDescent="0.35">
      <c r="D9706" s="66"/>
      <c r="E9706" s="66"/>
      <c r="F9706" s="66"/>
    </row>
    <row r="9707" spans="4:6" x14ac:dyDescent="0.35">
      <c r="D9707" s="66"/>
      <c r="E9707" s="66"/>
      <c r="F9707" s="66"/>
    </row>
    <row r="9708" spans="4:6" x14ac:dyDescent="0.35">
      <c r="D9708" s="66"/>
      <c r="E9708" s="66"/>
      <c r="F9708" s="66"/>
    </row>
    <row r="9709" spans="4:6" x14ac:dyDescent="0.35">
      <c r="D9709" s="66"/>
      <c r="E9709" s="66"/>
      <c r="F9709" s="66"/>
    </row>
    <row r="9710" spans="4:6" x14ac:dyDescent="0.35">
      <c r="D9710" s="66"/>
      <c r="E9710" s="66"/>
      <c r="F9710" s="66"/>
    </row>
    <row r="9711" spans="4:6" x14ac:dyDescent="0.35">
      <c r="D9711" s="66"/>
      <c r="E9711" s="66"/>
      <c r="F9711" s="66"/>
    </row>
    <row r="9712" spans="4:6" x14ac:dyDescent="0.35">
      <c r="D9712" s="66"/>
      <c r="E9712" s="66"/>
      <c r="F9712" s="66"/>
    </row>
    <row r="9713" spans="4:6" x14ac:dyDescent="0.35">
      <c r="D9713" s="66"/>
      <c r="E9713" s="66"/>
      <c r="F9713" s="66"/>
    </row>
    <row r="9714" spans="4:6" x14ac:dyDescent="0.35">
      <c r="D9714" s="66"/>
      <c r="E9714" s="66"/>
      <c r="F9714" s="66"/>
    </row>
    <row r="9715" spans="4:6" x14ac:dyDescent="0.35">
      <c r="D9715" s="66"/>
      <c r="E9715" s="66"/>
      <c r="F9715" s="66"/>
    </row>
    <row r="9716" spans="4:6" x14ac:dyDescent="0.35">
      <c r="D9716" s="66"/>
      <c r="E9716" s="66"/>
      <c r="F9716" s="66"/>
    </row>
    <row r="9717" spans="4:6" x14ac:dyDescent="0.35">
      <c r="D9717" s="66"/>
      <c r="E9717" s="66"/>
      <c r="F9717" s="66"/>
    </row>
    <row r="9718" spans="4:6" x14ac:dyDescent="0.35">
      <c r="D9718" s="66"/>
      <c r="E9718" s="66"/>
      <c r="F9718" s="66"/>
    </row>
    <row r="9719" spans="4:6" x14ac:dyDescent="0.35">
      <c r="D9719" s="66"/>
      <c r="E9719" s="66"/>
      <c r="F9719" s="66"/>
    </row>
    <row r="9720" spans="4:6" x14ac:dyDescent="0.35">
      <c r="D9720" s="66"/>
      <c r="E9720" s="66"/>
      <c r="F9720" s="66"/>
    </row>
    <row r="9721" spans="4:6" x14ac:dyDescent="0.35">
      <c r="D9721" s="66"/>
      <c r="E9721" s="66"/>
      <c r="F9721" s="66"/>
    </row>
    <row r="9722" spans="4:6" x14ac:dyDescent="0.35">
      <c r="D9722" s="66"/>
      <c r="E9722" s="66"/>
      <c r="F9722" s="66"/>
    </row>
    <row r="9723" spans="4:6" x14ac:dyDescent="0.35">
      <c r="D9723" s="66"/>
      <c r="E9723" s="66"/>
      <c r="F9723" s="66"/>
    </row>
    <row r="9724" spans="4:6" x14ac:dyDescent="0.35">
      <c r="D9724" s="66"/>
      <c r="E9724" s="66"/>
      <c r="F9724" s="66"/>
    </row>
    <row r="9725" spans="4:6" x14ac:dyDescent="0.35">
      <c r="D9725" s="66"/>
      <c r="E9725" s="66"/>
      <c r="F9725" s="66"/>
    </row>
    <row r="9726" spans="4:6" x14ac:dyDescent="0.35">
      <c r="D9726" s="66"/>
      <c r="E9726" s="66"/>
      <c r="F9726" s="66"/>
    </row>
    <row r="9727" spans="4:6" x14ac:dyDescent="0.35">
      <c r="D9727" s="66"/>
      <c r="E9727" s="66"/>
      <c r="F9727" s="66"/>
    </row>
    <row r="9728" spans="4:6" x14ac:dyDescent="0.35">
      <c r="D9728" s="66"/>
      <c r="E9728" s="66"/>
      <c r="F9728" s="66"/>
    </row>
    <row r="9729" spans="4:6" x14ac:dyDescent="0.35">
      <c r="D9729" s="66"/>
      <c r="E9729" s="66"/>
      <c r="F9729" s="66"/>
    </row>
    <row r="9730" spans="4:6" x14ac:dyDescent="0.35">
      <c r="D9730" s="66"/>
      <c r="E9730" s="66"/>
      <c r="F9730" s="66"/>
    </row>
    <row r="9731" spans="4:6" x14ac:dyDescent="0.35">
      <c r="D9731" s="66"/>
      <c r="E9731" s="66"/>
      <c r="F9731" s="66"/>
    </row>
    <row r="9732" spans="4:6" x14ac:dyDescent="0.35">
      <c r="D9732" s="66"/>
      <c r="E9732" s="66"/>
      <c r="F9732" s="66"/>
    </row>
    <row r="9733" spans="4:6" x14ac:dyDescent="0.35">
      <c r="D9733" s="66"/>
      <c r="E9733" s="66"/>
      <c r="F9733" s="66"/>
    </row>
    <row r="9734" spans="4:6" x14ac:dyDescent="0.35">
      <c r="D9734" s="66"/>
      <c r="E9734" s="66"/>
      <c r="F9734" s="66"/>
    </row>
    <row r="9735" spans="4:6" x14ac:dyDescent="0.35">
      <c r="D9735" s="66"/>
      <c r="E9735" s="66"/>
      <c r="F9735" s="66"/>
    </row>
    <row r="9736" spans="4:6" x14ac:dyDescent="0.35">
      <c r="D9736" s="66"/>
      <c r="E9736" s="66"/>
      <c r="F9736" s="66"/>
    </row>
    <row r="9737" spans="4:6" x14ac:dyDescent="0.35">
      <c r="D9737" s="66"/>
      <c r="E9737" s="66"/>
      <c r="F9737" s="66"/>
    </row>
    <row r="9738" spans="4:6" x14ac:dyDescent="0.35">
      <c r="D9738" s="66"/>
      <c r="E9738" s="66"/>
      <c r="F9738" s="66"/>
    </row>
    <row r="9739" spans="4:6" x14ac:dyDescent="0.35">
      <c r="D9739" s="66"/>
      <c r="E9739" s="66"/>
      <c r="F9739" s="66"/>
    </row>
    <row r="9740" spans="4:6" x14ac:dyDescent="0.35">
      <c r="D9740" s="66"/>
      <c r="E9740" s="66"/>
      <c r="F9740" s="66"/>
    </row>
    <row r="9741" spans="4:6" x14ac:dyDescent="0.35">
      <c r="D9741" s="66"/>
      <c r="E9741" s="66"/>
      <c r="F9741" s="66"/>
    </row>
    <row r="9742" spans="4:6" x14ac:dyDescent="0.35">
      <c r="D9742" s="66"/>
      <c r="E9742" s="66"/>
      <c r="F9742" s="66"/>
    </row>
    <row r="9743" spans="4:6" x14ac:dyDescent="0.35">
      <c r="D9743" s="66"/>
      <c r="E9743" s="66"/>
      <c r="F9743" s="66"/>
    </row>
    <row r="9744" spans="4:6" x14ac:dyDescent="0.35">
      <c r="D9744" s="66"/>
      <c r="E9744" s="66"/>
      <c r="F9744" s="66"/>
    </row>
    <row r="9745" spans="4:6" x14ac:dyDescent="0.35">
      <c r="D9745" s="66"/>
      <c r="E9745" s="66"/>
      <c r="F9745" s="66"/>
    </row>
    <row r="9746" spans="4:6" x14ac:dyDescent="0.35">
      <c r="D9746" s="66"/>
      <c r="E9746" s="66"/>
      <c r="F9746" s="66"/>
    </row>
    <row r="9747" spans="4:6" x14ac:dyDescent="0.35">
      <c r="D9747" s="66"/>
      <c r="E9747" s="66"/>
      <c r="F9747" s="66"/>
    </row>
    <row r="9748" spans="4:6" x14ac:dyDescent="0.35">
      <c r="D9748" s="66"/>
      <c r="E9748" s="66"/>
      <c r="F9748" s="66"/>
    </row>
    <row r="9749" spans="4:6" x14ac:dyDescent="0.35">
      <c r="D9749" s="66"/>
      <c r="E9749" s="66"/>
      <c r="F9749" s="66"/>
    </row>
    <row r="9750" spans="4:6" x14ac:dyDescent="0.35">
      <c r="D9750" s="66"/>
      <c r="E9750" s="66"/>
      <c r="F9750" s="66"/>
    </row>
    <row r="9751" spans="4:6" x14ac:dyDescent="0.35">
      <c r="D9751" s="66"/>
      <c r="E9751" s="66"/>
      <c r="F9751" s="66"/>
    </row>
    <row r="9752" spans="4:6" x14ac:dyDescent="0.35">
      <c r="D9752" s="66"/>
      <c r="E9752" s="66"/>
      <c r="F9752" s="66"/>
    </row>
    <row r="9753" spans="4:6" x14ac:dyDescent="0.35">
      <c r="D9753" s="66"/>
      <c r="E9753" s="66"/>
      <c r="F9753" s="66"/>
    </row>
    <row r="9754" spans="4:6" x14ac:dyDescent="0.35">
      <c r="D9754" s="66"/>
      <c r="E9754" s="66"/>
      <c r="F9754" s="66"/>
    </row>
    <row r="9755" spans="4:6" x14ac:dyDescent="0.35">
      <c r="D9755" s="66"/>
      <c r="E9755" s="66"/>
      <c r="F9755" s="66"/>
    </row>
    <row r="9756" spans="4:6" x14ac:dyDescent="0.35">
      <c r="D9756" s="66"/>
      <c r="E9756" s="66"/>
      <c r="F9756" s="66"/>
    </row>
    <row r="9757" spans="4:6" x14ac:dyDescent="0.35">
      <c r="D9757" s="66"/>
      <c r="E9757" s="66"/>
      <c r="F9757" s="66"/>
    </row>
    <row r="9758" spans="4:6" x14ac:dyDescent="0.35">
      <c r="D9758" s="66"/>
      <c r="E9758" s="66"/>
      <c r="F9758" s="66"/>
    </row>
    <row r="9759" spans="4:6" x14ac:dyDescent="0.35">
      <c r="D9759" s="66"/>
      <c r="E9759" s="66"/>
      <c r="F9759" s="66"/>
    </row>
    <row r="9760" spans="4:6" x14ac:dyDescent="0.35">
      <c r="D9760" s="66"/>
      <c r="E9760" s="66"/>
      <c r="F9760" s="66"/>
    </row>
    <row r="9761" spans="4:6" x14ac:dyDescent="0.35">
      <c r="D9761" s="66"/>
      <c r="E9761" s="66"/>
      <c r="F9761" s="66"/>
    </row>
    <row r="9762" spans="4:6" x14ac:dyDescent="0.35">
      <c r="D9762" s="66"/>
      <c r="E9762" s="66"/>
      <c r="F9762" s="66"/>
    </row>
    <row r="9763" spans="4:6" x14ac:dyDescent="0.35">
      <c r="D9763" s="66"/>
      <c r="E9763" s="66"/>
      <c r="F9763" s="66"/>
    </row>
    <row r="9764" spans="4:6" x14ac:dyDescent="0.35">
      <c r="D9764" s="66"/>
      <c r="E9764" s="66"/>
      <c r="F9764" s="66"/>
    </row>
    <row r="9765" spans="4:6" x14ac:dyDescent="0.35">
      <c r="D9765" s="66"/>
      <c r="E9765" s="66"/>
      <c r="F9765" s="66"/>
    </row>
    <row r="9766" spans="4:6" x14ac:dyDescent="0.35">
      <c r="D9766" s="66"/>
      <c r="E9766" s="66"/>
      <c r="F9766" s="66"/>
    </row>
    <row r="9767" spans="4:6" x14ac:dyDescent="0.35">
      <c r="D9767" s="66"/>
      <c r="E9767" s="66"/>
      <c r="F9767" s="66"/>
    </row>
    <row r="9768" spans="4:6" x14ac:dyDescent="0.35">
      <c r="D9768" s="66"/>
      <c r="E9768" s="66"/>
      <c r="F9768" s="66"/>
    </row>
    <row r="9769" spans="4:6" x14ac:dyDescent="0.35">
      <c r="D9769" s="66"/>
      <c r="E9769" s="66"/>
      <c r="F9769" s="66"/>
    </row>
    <row r="9770" spans="4:6" x14ac:dyDescent="0.35">
      <c r="D9770" s="66"/>
      <c r="E9770" s="66"/>
      <c r="F9770" s="66"/>
    </row>
    <row r="9771" spans="4:6" x14ac:dyDescent="0.35">
      <c r="D9771" s="66"/>
      <c r="E9771" s="66"/>
      <c r="F9771" s="66"/>
    </row>
    <row r="9772" spans="4:6" x14ac:dyDescent="0.35">
      <c r="D9772" s="66"/>
      <c r="E9772" s="66"/>
      <c r="F9772" s="66"/>
    </row>
    <row r="9773" spans="4:6" x14ac:dyDescent="0.35">
      <c r="D9773" s="66"/>
      <c r="E9773" s="66"/>
      <c r="F9773" s="66"/>
    </row>
    <row r="9774" spans="4:6" x14ac:dyDescent="0.35">
      <c r="D9774" s="66"/>
      <c r="E9774" s="66"/>
      <c r="F9774" s="66"/>
    </row>
    <row r="9775" spans="4:6" x14ac:dyDescent="0.35">
      <c r="D9775" s="66"/>
      <c r="E9775" s="66"/>
      <c r="F9775" s="66"/>
    </row>
    <row r="9776" spans="4:6" x14ac:dyDescent="0.35">
      <c r="D9776" s="66"/>
      <c r="E9776" s="66"/>
      <c r="F9776" s="66"/>
    </row>
    <row r="9777" spans="4:6" x14ac:dyDescent="0.35">
      <c r="D9777" s="66"/>
      <c r="E9777" s="66"/>
      <c r="F9777" s="66"/>
    </row>
    <row r="9778" spans="4:6" x14ac:dyDescent="0.35">
      <c r="D9778" s="66"/>
      <c r="E9778" s="66"/>
      <c r="F9778" s="66"/>
    </row>
    <row r="9779" spans="4:6" x14ac:dyDescent="0.35">
      <c r="D9779" s="66"/>
      <c r="E9779" s="66"/>
      <c r="F9779" s="66"/>
    </row>
    <row r="9780" spans="4:6" x14ac:dyDescent="0.35">
      <c r="D9780" s="66"/>
      <c r="E9780" s="66"/>
      <c r="F9780" s="66"/>
    </row>
    <row r="9781" spans="4:6" x14ac:dyDescent="0.35">
      <c r="D9781" s="66"/>
      <c r="E9781" s="66"/>
      <c r="F9781" s="66"/>
    </row>
    <row r="9782" spans="4:6" x14ac:dyDescent="0.35">
      <c r="D9782" s="66"/>
      <c r="E9782" s="66"/>
      <c r="F9782" s="66"/>
    </row>
    <row r="9783" spans="4:6" x14ac:dyDescent="0.35">
      <c r="D9783" s="66"/>
      <c r="E9783" s="66"/>
      <c r="F9783" s="66"/>
    </row>
    <row r="9784" spans="4:6" x14ac:dyDescent="0.35">
      <c r="D9784" s="66"/>
      <c r="E9784" s="66"/>
      <c r="F9784" s="66"/>
    </row>
    <row r="9785" spans="4:6" x14ac:dyDescent="0.35">
      <c r="D9785" s="66"/>
      <c r="E9785" s="66"/>
      <c r="F9785" s="66"/>
    </row>
    <row r="9786" spans="4:6" x14ac:dyDescent="0.35">
      <c r="D9786" s="66"/>
      <c r="E9786" s="66"/>
      <c r="F9786" s="66"/>
    </row>
    <row r="9787" spans="4:6" x14ac:dyDescent="0.35">
      <c r="D9787" s="66"/>
      <c r="E9787" s="66"/>
      <c r="F9787" s="66"/>
    </row>
    <row r="9788" spans="4:6" x14ac:dyDescent="0.35">
      <c r="D9788" s="66"/>
      <c r="E9788" s="66"/>
      <c r="F9788" s="66"/>
    </row>
    <row r="9789" spans="4:6" x14ac:dyDescent="0.35">
      <c r="D9789" s="66"/>
      <c r="E9789" s="66"/>
      <c r="F9789" s="66"/>
    </row>
    <row r="9790" spans="4:6" x14ac:dyDescent="0.35">
      <c r="D9790" s="66"/>
      <c r="E9790" s="66"/>
      <c r="F9790" s="66"/>
    </row>
    <row r="9791" spans="4:6" x14ac:dyDescent="0.35">
      <c r="D9791" s="66"/>
      <c r="E9791" s="66"/>
      <c r="F9791" s="66"/>
    </row>
    <row r="9792" spans="4:6" x14ac:dyDescent="0.35">
      <c r="D9792" s="66"/>
      <c r="E9792" s="66"/>
      <c r="F9792" s="66"/>
    </row>
    <row r="9793" spans="4:6" x14ac:dyDescent="0.35">
      <c r="D9793" s="66"/>
      <c r="E9793" s="66"/>
      <c r="F9793" s="66"/>
    </row>
    <row r="9794" spans="4:6" x14ac:dyDescent="0.35">
      <c r="D9794" s="66"/>
      <c r="E9794" s="66"/>
      <c r="F9794" s="66"/>
    </row>
    <row r="9795" spans="4:6" x14ac:dyDescent="0.35">
      <c r="D9795" s="66"/>
      <c r="E9795" s="66"/>
      <c r="F9795" s="66"/>
    </row>
    <row r="9796" spans="4:6" x14ac:dyDescent="0.35">
      <c r="D9796" s="66"/>
      <c r="E9796" s="66"/>
      <c r="F9796" s="66"/>
    </row>
    <row r="9797" spans="4:6" x14ac:dyDescent="0.35">
      <c r="D9797" s="66"/>
      <c r="E9797" s="66"/>
      <c r="F9797" s="66"/>
    </row>
    <row r="9798" spans="4:6" x14ac:dyDescent="0.35">
      <c r="D9798" s="66"/>
      <c r="E9798" s="66"/>
      <c r="F9798" s="66"/>
    </row>
    <row r="9799" spans="4:6" x14ac:dyDescent="0.35">
      <c r="D9799" s="66"/>
      <c r="E9799" s="66"/>
      <c r="F9799" s="66"/>
    </row>
    <row r="9800" spans="4:6" x14ac:dyDescent="0.35">
      <c r="D9800" s="66"/>
      <c r="E9800" s="66"/>
      <c r="F9800" s="66"/>
    </row>
    <row r="9801" spans="4:6" x14ac:dyDescent="0.35">
      <c r="D9801" s="66"/>
      <c r="E9801" s="66"/>
      <c r="F9801" s="66"/>
    </row>
    <row r="9802" spans="4:6" x14ac:dyDescent="0.35">
      <c r="D9802" s="66"/>
      <c r="E9802" s="66"/>
      <c r="F9802" s="66"/>
    </row>
    <row r="9803" spans="4:6" x14ac:dyDescent="0.35">
      <c r="D9803" s="66"/>
      <c r="E9803" s="66"/>
      <c r="F9803" s="66"/>
    </row>
    <row r="9804" spans="4:6" x14ac:dyDescent="0.35">
      <c r="D9804" s="66"/>
      <c r="E9804" s="66"/>
      <c r="F9804" s="66"/>
    </row>
    <row r="9805" spans="4:6" x14ac:dyDescent="0.35">
      <c r="D9805" s="66"/>
      <c r="E9805" s="66"/>
      <c r="F9805" s="66"/>
    </row>
    <row r="9806" spans="4:6" x14ac:dyDescent="0.35">
      <c r="D9806" s="66"/>
      <c r="E9806" s="66"/>
      <c r="F9806" s="66"/>
    </row>
    <row r="9807" spans="4:6" x14ac:dyDescent="0.35">
      <c r="D9807" s="66"/>
      <c r="E9807" s="66"/>
      <c r="F9807" s="66"/>
    </row>
    <row r="9808" spans="4:6" x14ac:dyDescent="0.35">
      <c r="D9808" s="66"/>
      <c r="E9808" s="66"/>
      <c r="F9808" s="66"/>
    </row>
    <row r="9809" spans="4:6" x14ac:dyDescent="0.35">
      <c r="D9809" s="66"/>
      <c r="E9809" s="66"/>
      <c r="F9809" s="66"/>
    </row>
    <row r="9810" spans="4:6" x14ac:dyDescent="0.35">
      <c r="D9810" s="66"/>
      <c r="E9810" s="66"/>
      <c r="F9810" s="66"/>
    </row>
    <row r="9811" spans="4:6" x14ac:dyDescent="0.35">
      <c r="D9811" s="66"/>
      <c r="E9811" s="66"/>
      <c r="F9811" s="66"/>
    </row>
    <row r="9812" spans="4:6" x14ac:dyDescent="0.35">
      <c r="D9812" s="66"/>
      <c r="E9812" s="66"/>
      <c r="F9812" s="66"/>
    </row>
    <row r="9813" spans="4:6" x14ac:dyDescent="0.35">
      <c r="D9813" s="66"/>
      <c r="E9813" s="66"/>
      <c r="F9813" s="66"/>
    </row>
    <row r="9814" spans="4:6" x14ac:dyDescent="0.35">
      <c r="D9814" s="66"/>
      <c r="E9814" s="66"/>
      <c r="F9814" s="66"/>
    </row>
    <row r="9815" spans="4:6" x14ac:dyDescent="0.35">
      <c r="D9815" s="66"/>
      <c r="E9815" s="66"/>
      <c r="F9815" s="66"/>
    </row>
    <row r="9816" spans="4:6" x14ac:dyDescent="0.35">
      <c r="D9816" s="66"/>
      <c r="E9816" s="66"/>
      <c r="F9816" s="66"/>
    </row>
    <row r="9817" spans="4:6" x14ac:dyDescent="0.35">
      <c r="D9817" s="66"/>
      <c r="E9817" s="66"/>
      <c r="F9817" s="66"/>
    </row>
    <row r="9818" spans="4:6" x14ac:dyDescent="0.35">
      <c r="D9818" s="66"/>
      <c r="E9818" s="66"/>
      <c r="F9818" s="66"/>
    </row>
    <row r="9819" spans="4:6" x14ac:dyDescent="0.35">
      <c r="D9819" s="66"/>
      <c r="E9819" s="66"/>
      <c r="F9819" s="66"/>
    </row>
    <row r="9820" spans="4:6" x14ac:dyDescent="0.35">
      <c r="D9820" s="66"/>
      <c r="E9820" s="66"/>
      <c r="F9820" s="66"/>
    </row>
    <row r="9821" spans="4:6" x14ac:dyDescent="0.35">
      <c r="D9821" s="66"/>
      <c r="E9821" s="66"/>
      <c r="F9821" s="66"/>
    </row>
    <row r="9822" spans="4:6" x14ac:dyDescent="0.35">
      <c r="D9822" s="66"/>
      <c r="E9822" s="66"/>
      <c r="F9822" s="66"/>
    </row>
    <row r="9823" spans="4:6" x14ac:dyDescent="0.35">
      <c r="D9823" s="66"/>
      <c r="E9823" s="66"/>
      <c r="F9823" s="66"/>
    </row>
    <row r="9824" spans="4:6" x14ac:dyDescent="0.35">
      <c r="D9824" s="66"/>
      <c r="E9824" s="66"/>
      <c r="F9824" s="66"/>
    </row>
    <row r="9825" spans="4:6" x14ac:dyDescent="0.35">
      <c r="D9825" s="66"/>
      <c r="E9825" s="66"/>
      <c r="F9825" s="66"/>
    </row>
    <row r="9826" spans="4:6" x14ac:dyDescent="0.35">
      <c r="D9826" s="66"/>
      <c r="E9826" s="66"/>
      <c r="F9826" s="66"/>
    </row>
    <row r="9827" spans="4:6" x14ac:dyDescent="0.35">
      <c r="D9827" s="66"/>
      <c r="E9827" s="66"/>
      <c r="F9827" s="66"/>
    </row>
    <row r="9828" spans="4:6" x14ac:dyDescent="0.35">
      <c r="D9828" s="66"/>
      <c r="E9828" s="66"/>
      <c r="F9828" s="66"/>
    </row>
    <row r="9829" spans="4:6" x14ac:dyDescent="0.35">
      <c r="D9829" s="66"/>
      <c r="E9829" s="66"/>
      <c r="F9829" s="66"/>
    </row>
    <row r="9830" spans="4:6" x14ac:dyDescent="0.35">
      <c r="D9830" s="66"/>
      <c r="E9830" s="66"/>
      <c r="F9830" s="66"/>
    </row>
    <row r="9831" spans="4:6" x14ac:dyDescent="0.35">
      <c r="D9831" s="66"/>
      <c r="E9831" s="66"/>
      <c r="F9831" s="66"/>
    </row>
    <row r="9832" spans="4:6" x14ac:dyDescent="0.35">
      <c r="D9832" s="66"/>
      <c r="E9832" s="66"/>
      <c r="F9832" s="66"/>
    </row>
    <row r="9833" spans="4:6" x14ac:dyDescent="0.35">
      <c r="D9833" s="66"/>
      <c r="E9833" s="66"/>
      <c r="F9833" s="66"/>
    </row>
    <row r="9834" spans="4:6" x14ac:dyDescent="0.35">
      <c r="D9834" s="66"/>
      <c r="E9834" s="66"/>
      <c r="F9834" s="66"/>
    </row>
    <row r="9835" spans="4:6" x14ac:dyDescent="0.35">
      <c r="D9835" s="66"/>
      <c r="E9835" s="66"/>
      <c r="F9835" s="66"/>
    </row>
    <row r="9836" spans="4:6" x14ac:dyDescent="0.35">
      <c r="D9836" s="66"/>
      <c r="E9836" s="66"/>
      <c r="F9836" s="66"/>
    </row>
    <row r="9837" spans="4:6" x14ac:dyDescent="0.35">
      <c r="D9837" s="66"/>
      <c r="E9837" s="66"/>
      <c r="F9837" s="66"/>
    </row>
    <row r="9838" spans="4:6" x14ac:dyDescent="0.35">
      <c r="D9838" s="66"/>
      <c r="E9838" s="66"/>
      <c r="F9838" s="66"/>
    </row>
    <row r="9839" spans="4:6" x14ac:dyDescent="0.35">
      <c r="D9839" s="66"/>
      <c r="E9839" s="66"/>
      <c r="F9839" s="66"/>
    </row>
    <row r="9840" spans="4:6" x14ac:dyDescent="0.35">
      <c r="D9840" s="66"/>
      <c r="E9840" s="66"/>
      <c r="F9840" s="66"/>
    </row>
    <row r="9841" spans="4:6" x14ac:dyDescent="0.35">
      <c r="D9841" s="66"/>
      <c r="E9841" s="66"/>
      <c r="F9841" s="66"/>
    </row>
    <row r="9842" spans="4:6" x14ac:dyDescent="0.35">
      <c r="D9842" s="66"/>
      <c r="E9842" s="66"/>
      <c r="F9842" s="66"/>
    </row>
    <row r="9843" spans="4:6" x14ac:dyDescent="0.35">
      <c r="D9843" s="66"/>
      <c r="E9843" s="66"/>
      <c r="F9843" s="66"/>
    </row>
    <row r="9844" spans="4:6" x14ac:dyDescent="0.35">
      <c r="D9844" s="66"/>
      <c r="E9844" s="66"/>
      <c r="F9844" s="66"/>
    </row>
    <row r="9845" spans="4:6" x14ac:dyDescent="0.35">
      <c r="D9845" s="66"/>
      <c r="E9845" s="66"/>
      <c r="F9845" s="66"/>
    </row>
    <row r="9846" spans="4:6" x14ac:dyDescent="0.35">
      <c r="D9846" s="66"/>
      <c r="E9846" s="66"/>
      <c r="F9846" s="66"/>
    </row>
    <row r="9847" spans="4:6" x14ac:dyDescent="0.35">
      <c r="D9847" s="66"/>
      <c r="E9847" s="66"/>
      <c r="F9847" s="66"/>
    </row>
    <row r="9848" spans="4:6" x14ac:dyDescent="0.35">
      <c r="D9848" s="66"/>
      <c r="E9848" s="66"/>
      <c r="F9848" s="66"/>
    </row>
    <row r="9849" spans="4:6" x14ac:dyDescent="0.35">
      <c r="D9849" s="66"/>
      <c r="E9849" s="66"/>
      <c r="F9849" s="66"/>
    </row>
    <row r="9850" spans="4:6" x14ac:dyDescent="0.35">
      <c r="D9850" s="66"/>
      <c r="E9850" s="66"/>
      <c r="F9850" s="66"/>
    </row>
    <row r="9851" spans="4:6" x14ac:dyDescent="0.35">
      <c r="D9851" s="66"/>
      <c r="E9851" s="66"/>
      <c r="F9851" s="66"/>
    </row>
    <row r="9852" spans="4:6" x14ac:dyDescent="0.35">
      <c r="D9852" s="66"/>
      <c r="E9852" s="66"/>
      <c r="F9852" s="66"/>
    </row>
    <row r="9853" spans="4:6" x14ac:dyDescent="0.35">
      <c r="D9853" s="66"/>
      <c r="E9853" s="66"/>
      <c r="F9853" s="66"/>
    </row>
    <row r="9854" spans="4:6" x14ac:dyDescent="0.35">
      <c r="D9854" s="66"/>
      <c r="E9854" s="66"/>
      <c r="F9854" s="66"/>
    </row>
    <row r="9855" spans="4:6" x14ac:dyDescent="0.35">
      <c r="D9855" s="66"/>
      <c r="E9855" s="66"/>
      <c r="F9855" s="66"/>
    </row>
    <row r="9856" spans="4:6" x14ac:dyDescent="0.35">
      <c r="D9856" s="66"/>
      <c r="E9856" s="66"/>
      <c r="F9856" s="66"/>
    </row>
    <row r="9857" spans="4:6" x14ac:dyDescent="0.35">
      <c r="D9857" s="66"/>
      <c r="E9857" s="66"/>
      <c r="F9857" s="66"/>
    </row>
    <row r="9858" spans="4:6" x14ac:dyDescent="0.35">
      <c r="D9858" s="66"/>
      <c r="E9858" s="66"/>
      <c r="F9858" s="66"/>
    </row>
    <row r="9859" spans="4:6" x14ac:dyDescent="0.35">
      <c r="D9859" s="66"/>
      <c r="E9859" s="66"/>
      <c r="F9859" s="66"/>
    </row>
    <row r="9860" spans="4:6" x14ac:dyDescent="0.35">
      <c r="D9860" s="66"/>
      <c r="E9860" s="66"/>
      <c r="F9860" s="66"/>
    </row>
    <row r="9861" spans="4:6" x14ac:dyDescent="0.35">
      <c r="D9861" s="66"/>
      <c r="E9861" s="66"/>
      <c r="F9861" s="66"/>
    </row>
    <row r="9862" spans="4:6" x14ac:dyDescent="0.35">
      <c r="D9862" s="66"/>
      <c r="E9862" s="66"/>
      <c r="F9862" s="66"/>
    </row>
    <row r="9863" spans="4:6" x14ac:dyDescent="0.35">
      <c r="D9863" s="66"/>
      <c r="E9863" s="66"/>
      <c r="F9863" s="66"/>
    </row>
    <row r="9864" spans="4:6" x14ac:dyDescent="0.35">
      <c r="D9864" s="66"/>
      <c r="E9864" s="66"/>
      <c r="F9864" s="66"/>
    </row>
    <row r="9865" spans="4:6" x14ac:dyDescent="0.35">
      <c r="D9865" s="66"/>
      <c r="E9865" s="66"/>
      <c r="F9865" s="66"/>
    </row>
    <row r="9866" spans="4:6" x14ac:dyDescent="0.35">
      <c r="D9866" s="66"/>
      <c r="E9866" s="66"/>
      <c r="F9866" s="66"/>
    </row>
    <row r="9867" spans="4:6" x14ac:dyDescent="0.35">
      <c r="D9867" s="66"/>
      <c r="E9867" s="66"/>
      <c r="F9867" s="66"/>
    </row>
    <row r="9868" spans="4:6" x14ac:dyDescent="0.35">
      <c r="D9868" s="66"/>
      <c r="E9868" s="66"/>
      <c r="F9868" s="66"/>
    </row>
    <row r="9869" spans="4:6" x14ac:dyDescent="0.35">
      <c r="D9869" s="66"/>
      <c r="E9869" s="66"/>
      <c r="F9869" s="66"/>
    </row>
    <row r="9870" spans="4:6" x14ac:dyDescent="0.35">
      <c r="D9870" s="66"/>
      <c r="E9870" s="66"/>
      <c r="F9870" s="66"/>
    </row>
    <row r="9871" spans="4:6" x14ac:dyDescent="0.35">
      <c r="D9871" s="66"/>
      <c r="E9871" s="66"/>
      <c r="F9871" s="66"/>
    </row>
    <row r="9872" spans="4:6" x14ac:dyDescent="0.35">
      <c r="D9872" s="66"/>
      <c r="E9872" s="66"/>
      <c r="F9872" s="66"/>
    </row>
    <row r="9873" spans="4:6" x14ac:dyDescent="0.35">
      <c r="D9873" s="66"/>
      <c r="E9873" s="66"/>
      <c r="F9873" s="66"/>
    </row>
    <row r="9874" spans="4:6" x14ac:dyDescent="0.35">
      <c r="D9874" s="66"/>
      <c r="E9874" s="66"/>
      <c r="F9874" s="66"/>
    </row>
    <row r="9875" spans="4:6" x14ac:dyDescent="0.35">
      <c r="D9875" s="66"/>
      <c r="E9875" s="66"/>
      <c r="F9875" s="66"/>
    </row>
    <row r="9876" spans="4:6" x14ac:dyDescent="0.35">
      <c r="D9876" s="66"/>
      <c r="E9876" s="66"/>
      <c r="F9876" s="66"/>
    </row>
    <row r="9877" spans="4:6" x14ac:dyDescent="0.35">
      <c r="D9877" s="66"/>
      <c r="E9877" s="66"/>
      <c r="F9877" s="66"/>
    </row>
    <row r="9878" spans="4:6" x14ac:dyDescent="0.35">
      <c r="D9878" s="66"/>
      <c r="E9878" s="66"/>
      <c r="F9878" s="66"/>
    </row>
    <row r="9879" spans="4:6" x14ac:dyDescent="0.35">
      <c r="D9879" s="66"/>
      <c r="E9879" s="66"/>
      <c r="F9879" s="66"/>
    </row>
    <row r="9880" spans="4:6" x14ac:dyDescent="0.35">
      <c r="D9880" s="66"/>
      <c r="E9880" s="66"/>
      <c r="F9880" s="66"/>
    </row>
    <row r="9881" spans="4:6" x14ac:dyDescent="0.35">
      <c r="D9881" s="66"/>
      <c r="E9881" s="66"/>
      <c r="F9881" s="66"/>
    </row>
    <row r="9882" spans="4:6" x14ac:dyDescent="0.35">
      <c r="D9882" s="66"/>
      <c r="E9882" s="66"/>
      <c r="F9882" s="66"/>
    </row>
    <row r="9883" spans="4:6" x14ac:dyDescent="0.35">
      <c r="D9883" s="66"/>
      <c r="E9883" s="66"/>
      <c r="F9883" s="66"/>
    </row>
    <row r="9884" spans="4:6" x14ac:dyDescent="0.35">
      <c r="D9884" s="66"/>
      <c r="E9884" s="66"/>
      <c r="F9884" s="66"/>
    </row>
    <row r="9885" spans="4:6" x14ac:dyDescent="0.35">
      <c r="D9885" s="66"/>
      <c r="E9885" s="66"/>
      <c r="F9885" s="66"/>
    </row>
    <row r="9886" spans="4:6" x14ac:dyDescent="0.35">
      <c r="D9886" s="66"/>
      <c r="E9886" s="66"/>
      <c r="F9886" s="66"/>
    </row>
    <row r="9887" spans="4:6" x14ac:dyDescent="0.35">
      <c r="D9887" s="66"/>
      <c r="E9887" s="66"/>
      <c r="F9887" s="66"/>
    </row>
    <row r="9888" spans="4:6" x14ac:dyDescent="0.35">
      <c r="D9888" s="66"/>
      <c r="E9888" s="66"/>
      <c r="F9888" s="66"/>
    </row>
    <row r="9889" spans="4:6" x14ac:dyDescent="0.35">
      <c r="D9889" s="66"/>
      <c r="E9889" s="66"/>
      <c r="F9889" s="66"/>
    </row>
    <row r="9890" spans="4:6" x14ac:dyDescent="0.35">
      <c r="D9890" s="66"/>
      <c r="E9890" s="66"/>
      <c r="F9890" s="66"/>
    </row>
    <row r="9891" spans="4:6" x14ac:dyDescent="0.35">
      <c r="D9891" s="66"/>
      <c r="E9891" s="66"/>
      <c r="F9891" s="66"/>
    </row>
    <row r="9892" spans="4:6" x14ac:dyDescent="0.35">
      <c r="D9892" s="66"/>
      <c r="E9892" s="66"/>
      <c r="F9892" s="66"/>
    </row>
    <row r="9893" spans="4:6" x14ac:dyDescent="0.35">
      <c r="D9893" s="66"/>
      <c r="E9893" s="66"/>
      <c r="F9893" s="66"/>
    </row>
    <row r="9894" spans="4:6" x14ac:dyDescent="0.35">
      <c r="D9894" s="66"/>
      <c r="E9894" s="66"/>
      <c r="F9894" s="66"/>
    </row>
    <row r="9895" spans="4:6" x14ac:dyDescent="0.35">
      <c r="D9895" s="66"/>
      <c r="E9895" s="66"/>
      <c r="F9895" s="66"/>
    </row>
    <row r="9896" spans="4:6" x14ac:dyDescent="0.35">
      <c r="D9896" s="66"/>
      <c r="E9896" s="66"/>
      <c r="F9896" s="66"/>
    </row>
    <row r="9897" spans="4:6" x14ac:dyDescent="0.35">
      <c r="D9897" s="66"/>
      <c r="E9897" s="66"/>
      <c r="F9897" s="66"/>
    </row>
    <row r="9898" spans="4:6" x14ac:dyDescent="0.35">
      <c r="D9898" s="66"/>
      <c r="E9898" s="66"/>
      <c r="F9898" s="66"/>
    </row>
    <row r="9899" spans="4:6" x14ac:dyDescent="0.35">
      <c r="D9899" s="66"/>
      <c r="E9899" s="66"/>
      <c r="F9899" s="66"/>
    </row>
    <row r="9900" spans="4:6" x14ac:dyDescent="0.35">
      <c r="D9900" s="66"/>
      <c r="E9900" s="66"/>
      <c r="F9900" s="66"/>
    </row>
    <row r="9901" spans="4:6" x14ac:dyDescent="0.35">
      <c r="D9901" s="66"/>
      <c r="E9901" s="66"/>
      <c r="F9901" s="66"/>
    </row>
    <row r="9902" spans="4:6" x14ac:dyDescent="0.35">
      <c r="D9902" s="66"/>
      <c r="E9902" s="66"/>
      <c r="F9902" s="66"/>
    </row>
    <row r="9903" spans="4:6" x14ac:dyDescent="0.35">
      <c r="D9903" s="66"/>
      <c r="E9903" s="66"/>
      <c r="F9903" s="66"/>
    </row>
    <row r="9904" spans="4:6" x14ac:dyDescent="0.35">
      <c r="D9904" s="66"/>
      <c r="E9904" s="66"/>
      <c r="F9904" s="66"/>
    </row>
    <row r="9905" spans="4:6" x14ac:dyDescent="0.35">
      <c r="D9905" s="66"/>
      <c r="E9905" s="66"/>
      <c r="F9905" s="66"/>
    </row>
    <row r="9906" spans="4:6" x14ac:dyDescent="0.35">
      <c r="D9906" s="66"/>
      <c r="E9906" s="66"/>
      <c r="F9906" s="66"/>
    </row>
    <row r="9907" spans="4:6" x14ac:dyDescent="0.35">
      <c r="D9907" s="66"/>
      <c r="E9907" s="66"/>
      <c r="F9907" s="66"/>
    </row>
    <row r="9908" spans="4:6" x14ac:dyDescent="0.35">
      <c r="D9908" s="66"/>
      <c r="E9908" s="66"/>
      <c r="F9908" s="66"/>
    </row>
    <row r="9909" spans="4:6" x14ac:dyDescent="0.35">
      <c r="D9909" s="66"/>
      <c r="E9909" s="66"/>
      <c r="F9909" s="66"/>
    </row>
    <row r="9910" spans="4:6" x14ac:dyDescent="0.35">
      <c r="D9910" s="66"/>
      <c r="E9910" s="66"/>
      <c r="F9910" s="66"/>
    </row>
    <row r="9911" spans="4:6" x14ac:dyDescent="0.35">
      <c r="D9911" s="66"/>
      <c r="E9911" s="66"/>
      <c r="F9911" s="66"/>
    </row>
    <row r="9912" spans="4:6" x14ac:dyDescent="0.35">
      <c r="D9912" s="66"/>
      <c r="E9912" s="66"/>
      <c r="F9912" s="66"/>
    </row>
    <row r="9913" spans="4:6" x14ac:dyDescent="0.35">
      <c r="D9913" s="66"/>
      <c r="E9913" s="66"/>
      <c r="F9913" s="66"/>
    </row>
    <row r="9914" spans="4:6" x14ac:dyDescent="0.35">
      <c r="D9914" s="66"/>
      <c r="E9914" s="66"/>
      <c r="F9914" s="66"/>
    </row>
    <row r="9915" spans="4:6" x14ac:dyDescent="0.35">
      <c r="D9915" s="66"/>
      <c r="E9915" s="66"/>
      <c r="F9915" s="66"/>
    </row>
    <row r="9916" spans="4:6" x14ac:dyDescent="0.35">
      <c r="D9916" s="66"/>
      <c r="E9916" s="66"/>
      <c r="F9916" s="66"/>
    </row>
    <row r="9917" spans="4:6" x14ac:dyDescent="0.35">
      <c r="D9917" s="66"/>
      <c r="E9917" s="66"/>
      <c r="F9917" s="66"/>
    </row>
    <row r="9918" spans="4:6" x14ac:dyDescent="0.35">
      <c r="D9918" s="66"/>
      <c r="E9918" s="66"/>
      <c r="F9918" s="66"/>
    </row>
    <row r="9919" spans="4:6" x14ac:dyDescent="0.35">
      <c r="D9919" s="66"/>
      <c r="E9919" s="66"/>
      <c r="F9919" s="66"/>
    </row>
    <row r="9920" spans="4:6" x14ac:dyDescent="0.35">
      <c r="D9920" s="66"/>
      <c r="E9920" s="66"/>
      <c r="F9920" s="66"/>
    </row>
    <row r="9921" spans="4:6" x14ac:dyDescent="0.35">
      <c r="D9921" s="66"/>
      <c r="E9921" s="66"/>
      <c r="F9921" s="66"/>
    </row>
    <row r="9922" spans="4:6" x14ac:dyDescent="0.35">
      <c r="D9922" s="66"/>
      <c r="E9922" s="66"/>
      <c r="F9922" s="66"/>
    </row>
    <row r="9923" spans="4:6" x14ac:dyDescent="0.35">
      <c r="D9923" s="66"/>
      <c r="E9923" s="66"/>
      <c r="F9923" s="66"/>
    </row>
    <row r="9924" spans="4:6" x14ac:dyDescent="0.35">
      <c r="D9924" s="66"/>
      <c r="E9924" s="66"/>
      <c r="F9924" s="66"/>
    </row>
    <row r="9925" spans="4:6" x14ac:dyDescent="0.35">
      <c r="D9925" s="66"/>
      <c r="E9925" s="66"/>
      <c r="F9925" s="66"/>
    </row>
    <row r="9926" spans="4:6" x14ac:dyDescent="0.35">
      <c r="D9926" s="66"/>
      <c r="E9926" s="66"/>
      <c r="F9926" s="66"/>
    </row>
    <row r="9927" spans="4:6" x14ac:dyDescent="0.35">
      <c r="D9927" s="66"/>
      <c r="E9927" s="66"/>
      <c r="F9927" s="66"/>
    </row>
    <row r="9928" spans="4:6" x14ac:dyDescent="0.35">
      <c r="D9928" s="66"/>
      <c r="E9928" s="66"/>
      <c r="F9928" s="66"/>
    </row>
    <row r="9929" spans="4:6" x14ac:dyDescent="0.35">
      <c r="D9929" s="66"/>
      <c r="E9929" s="66"/>
      <c r="F9929" s="66"/>
    </row>
    <row r="9930" spans="4:6" x14ac:dyDescent="0.35">
      <c r="D9930" s="66"/>
      <c r="E9930" s="66"/>
      <c r="F9930" s="66"/>
    </row>
    <row r="9931" spans="4:6" x14ac:dyDescent="0.35">
      <c r="D9931" s="66"/>
      <c r="E9931" s="66"/>
      <c r="F9931" s="66"/>
    </row>
    <row r="9932" spans="4:6" x14ac:dyDescent="0.35">
      <c r="D9932" s="66"/>
      <c r="E9932" s="66"/>
      <c r="F9932" s="66"/>
    </row>
    <row r="9933" spans="4:6" x14ac:dyDescent="0.35">
      <c r="D9933" s="66"/>
      <c r="E9933" s="66"/>
      <c r="F9933" s="66"/>
    </row>
    <row r="9934" spans="4:6" x14ac:dyDescent="0.35">
      <c r="D9934" s="66"/>
      <c r="E9934" s="66"/>
      <c r="F9934" s="66"/>
    </row>
    <row r="9935" spans="4:6" x14ac:dyDescent="0.35">
      <c r="D9935" s="66"/>
      <c r="E9935" s="66"/>
      <c r="F9935" s="66"/>
    </row>
    <row r="9936" spans="4:6" x14ac:dyDescent="0.35">
      <c r="D9936" s="66"/>
      <c r="E9936" s="66"/>
      <c r="F9936" s="66"/>
    </row>
    <row r="9937" spans="4:6" x14ac:dyDescent="0.35">
      <c r="D9937" s="66"/>
      <c r="E9937" s="66"/>
      <c r="F9937" s="66"/>
    </row>
    <row r="9938" spans="4:6" x14ac:dyDescent="0.35">
      <c r="D9938" s="66"/>
      <c r="E9938" s="66"/>
      <c r="F9938" s="66"/>
    </row>
    <row r="9939" spans="4:6" x14ac:dyDescent="0.35">
      <c r="D9939" s="66"/>
      <c r="E9939" s="66"/>
      <c r="F9939" s="66"/>
    </row>
    <row r="9940" spans="4:6" x14ac:dyDescent="0.35">
      <c r="D9940" s="66"/>
      <c r="E9940" s="66"/>
      <c r="F9940" s="66"/>
    </row>
    <row r="9941" spans="4:6" x14ac:dyDescent="0.35">
      <c r="D9941" s="66"/>
      <c r="E9941" s="66"/>
      <c r="F9941" s="66"/>
    </row>
    <row r="9942" spans="4:6" x14ac:dyDescent="0.35">
      <c r="D9942" s="66"/>
      <c r="E9942" s="66"/>
      <c r="F9942" s="66"/>
    </row>
    <row r="9943" spans="4:6" x14ac:dyDescent="0.35">
      <c r="D9943" s="66"/>
      <c r="E9943" s="66"/>
      <c r="F9943" s="66"/>
    </row>
    <row r="9944" spans="4:6" x14ac:dyDescent="0.35">
      <c r="D9944" s="66"/>
      <c r="E9944" s="66"/>
      <c r="F9944" s="66"/>
    </row>
    <row r="9945" spans="4:6" x14ac:dyDescent="0.35">
      <c r="D9945" s="66"/>
      <c r="E9945" s="66"/>
      <c r="F9945" s="66"/>
    </row>
    <row r="9946" spans="4:6" x14ac:dyDescent="0.35">
      <c r="D9946" s="66"/>
      <c r="E9946" s="66"/>
      <c r="F9946" s="66"/>
    </row>
    <row r="9947" spans="4:6" x14ac:dyDescent="0.35">
      <c r="D9947" s="66"/>
      <c r="E9947" s="66"/>
      <c r="F9947" s="66"/>
    </row>
    <row r="9948" spans="4:6" x14ac:dyDescent="0.35">
      <c r="D9948" s="66"/>
      <c r="E9948" s="66"/>
      <c r="F9948" s="66"/>
    </row>
    <row r="9949" spans="4:6" x14ac:dyDescent="0.35">
      <c r="D9949" s="66"/>
      <c r="E9949" s="66"/>
      <c r="F9949" s="66"/>
    </row>
    <row r="9950" spans="4:6" x14ac:dyDescent="0.35">
      <c r="D9950" s="66"/>
      <c r="E9950" s="66"/>
      <c r="F9950" s="66"/>
    </row>
    <row r="9951" spans="4:6" x14ac:dyDescent="0.35">
      <c r="D9951" s="66"/>
      <c r="E9951" s="66"/>
      <c r="F9951" s="66"/>
    </row>
    <row r="9952" spans="4:6" x14ac:dyDescent="0.35">
      <c r="D9952" s="66"/>
      <c r="E9952" s="66"/>
      <c r="F9952" s="66"/>
    </row>
    <row r="9953" spans="4:6" x14ac:dyDescent="0.35">
      <c r="D9953" s="66"/>
      <c r="E9953" s="66"/>
      <c r="F9953" s="66"/>
    </row>
    <row r="9954" spans="4:6" x14ac:dyDescent="0.35">
      <c r="D9954" s="66"/>
      <c r="E9954" s="66"/>
      <c r="F9954" s="66"/>
    </row>
    <row r="9955" spans="4:6" x14ac:dyDescent="0.35">
      <c r="D9955" s="66"/>
      <c r="E9955" s="66"/>
      <c r="F9955" s="66"/>
    </row>
    <row r="9956" spans="4:6" x14ac:dyDescent="0.35">
      <c r="D9956" s="66"/>
      <c r="E9956" s="66"/>
      <c r="F9956" s="66"/>
    </row>
    <row r="9957" spans="4:6" x14ac:dyDescent="0.35">
      <c r="D9957" s="66"/>
      <c r="E9957" s="66"/>
      <c r="F9957" s="66"/>
    </row>
    <row r="9958" spans="4:6" x14ac:dyDescent="0.35">
      <c r="D9958" s="66"/>
      <c r="E9958" s="66"/>
      <c r="F9958" s="66"/>
    </row>
    <row r="9959" spans="4:6" x14ac:dyDescent="0.35">
      <c r="D9959" s="66"/>
      <c r="E9959" s="66"/>
      <c r="F9959" s="66"/>
    </row>
    <row r="9960" spans="4:6" x14ac:dyDescent="0.35">
      <c r="D9960" s="66"/>
      <c r="E9960" s="66"/>
      <c r="F9960" s="66"/>
    </row>
    <row r="9961" spans="4:6" x14ac:dyDescent="0.35">
      <c r="D9961" s="66"/>
      <c r="E9961" s="66"/>
      <c r="F9961" s="66"/>
    </row>
    <row r="9962" spans="4:6" x14ac:dyDescent="0.35">
      <c r="D9962" s="66"/>
      <c r="E9962" s="66"/>
      <c r="F9962" s="66"/>
    </row>
    <row r="9963" spans="4:6" x14ac:dyDescent="0.35">
      <c r="D9963" s="66"/>
      <c r="E9963" s="66"/>
      <c r="F9963" s="66"/>
    </row>
    <row r="9964" spans="4:6" x14ac:dyDescent="0.35">
      <c r="D9964" s="66"/>
      <c r="E9964" s="66"/>
      <c r="F9964" s="66"/>
    </row>
    <row r="9965" spans="4:6" x14ac:dyDescent="0.35">
      <c r="D9965" s="66"/>
      <c r="E9965" s="66"/>
      <c r="F9965" s="66"/>
    </row>
    <row r="9966" spans="4:6" x14ac:dyDescent="0.35">
      <c r="D9966" s="66"/>
      <c r="E9966" s="66"/>
      <c r="F9966" s="66"/>
    </row>
    <row r="9967" spans="4:6" x14ac:dyDescent="0.35">
      <c r="D9967" s="66"/>
      <c r="E9967" s="66"/>
      <c r="F9967" s="66"/>
    </row>
    <row r="9968" spans="4:6" x14ac:dyDescent="0.35">
      <c r="D9968" s="66"/>
      <c r="E9968" s="66"/>
      <c r="F9968" s="66"/>
    </row>
    <row r="9969" spans="4:6" x14ac:dyDescent="0.35">
      <c r="D9969" s="66"/>
      <c r="E9969" s="66"/>
      <c r="F9969" s="66"/>
    </row>
    <row r="9970" spans="4:6" x14ac:dyDescent="0.35">
      <c r="D9970" s="66"/>
      <c r="E9970" s="66"/>
      <c r="F9970" s="66"/>
    </row>
    <row r="9971" spans="4:6" x14ac:dyDescent="0.35">
      <c r="D9971" s="66"/>
      <c r="E9971" s="66"/>
      <c r="F9971" s="66"/>
    </row>
    <row r="9972" spans="4:6" x14ac:dyDescent="0.35">
      <c r="D9972" s="66"/>
      <c r="E9972" s="66"/>
      <c r="F9972" s="66"/>
    </row>
    <row r="9973" spans="4:6" x14ac:dyDescent="0.35">
      <c r="D9973" s="66"/>
      <c r="E9973" s="66"/>
      <c r="F9973" s="66"/>
    </row>
    <row r="9974" spans="4:6" x14ac:dyDescent="0.35">
      <c r="D9974" s="66"/>
      <c r="E9974" s="66"/>
      <c r="F9974" s="66"/>
    </row>
    <row r="9975" spans="4:6" x14ac:dyDescent="0.35">
      <c r="D9975" s="66"/>
      <c r="E9975" s="66"/>
      <c r="F9975" s="66"/>
    </row>
    <row r="9976" spans="4:6" x14ac:dyDescent="0.35">
      <c r="D9976" s="66"/>
      <c r="E9976" s="66"/>
      <c r="F9976" s="66"/>
    </row>
    <row r="9977" spans="4:6" x14ac:dyDescent="0.35">
      <c r="D9977" s="66"/>
      <c r="E9977" s="66"/>
      <c r="F9977" s="66"/>
    </row>
    <row r="9978" spans="4:6" x14ac:dyDescent="0.35">
      <c r="D9978" s="66"/>
      <c r="E9978" s="66"/>
      <c r="F9978" s="66"/>
    </row>
    <row r="9979" spans="4:6" x14ac:dyDescent="0.35">
      <c r="D9979" s="66"/>
      <c r="E9979" s="66"/>
      <c r="F9979" s="66"/>
    </row>
    <row r="9980" spans="4:6" x14ac:dyDescent="0.35">
      <c r="D9980" s="66"/>
      <c r="E9980" s="66"/>
      <c r="F9980" s="66"/>
    </row>
    <row r="9981" spans="4:6" x14ac:dyDescent="0.35">
      <c r="D9981" s="66"/>
      <c r="E9981" s="66"/>
      <c r="F9981" s="66"/>
    </row>
    <row r="9982" spans="4:6" x14ac:dyDescent="0.35">
      <c r="D9982" s="66"/>
      <c r="E9982" s="66"/>
      <c r="F9982" s="66"/>
    </row>
    <row r="9983" spans="4:6" x14ac:dyDescent="0.35">
      <c r="D9983" s="66"/>
      <c r="E9983" s="66"/>
      <c r="F9983" s="66"/>
    </row>
    <row r="9984" spans="4:6" x14ac:dyDescent="0.35">
      <c r="D9984" s="66"/>
      <c r="E9984" s="66"/>
      <c r="F9984" s="66"/>
    </row>
    <row r="9985" spans="4:6" x14ac:dyDescent="0.35">
      <c r="D9985" s="66"/>
      <c r="E9985" s="66"/>
      <c r="F9985" s="66"/>
    </row>
    <row r="9986" spans="4:6" x14ac:dyDescent="0.35">
      <c r="D9986" s="66"/>
      <c r="E9986" s="66"/>
      <c r="F9986" s="66"/>
    </row>
    <row r="9987" spans="4:6" x14ac:dyDescent="0.35">
      <c r="D9987" s="66"/>
      <c r="E9987" s="66"/>
      <c r="F9987" s="66"/>
    </row>
    <row r="9988" spans="4:6" x14ac:dyDescent="0.35">
      <c r="D9988" s="66"/>
      <c r="E9988" s="66"/>
      <c r="F9988" s="66"/>
    </row>
    <row r="9989" spans="4:6" x14ac:dyDescent="0.35">
      <c r="D9989" s="66"/>
      <c r="E9989" s="66"/>
      <c r="F9989" s="66"/>
    </row>
    <row r="9990" spans="4:6" x14ac:dyDescent="0.35">
      <c r="D9990" s="66"/>
      <c r="E9990" s="66"/>
      <c r="F9990" s="66"/>
    </row>
    <row r="9991" spans="4:6" x14ac:dyDescent="0.35">
      <c r="D9991" s="66"/>
      <c r="E9991" s="66"/>
      <c r="F9991" s="66"/>
    </row>
    <row r="9992" spans="4:6" x14ac:dyDescent="0.35">
      <c r="D9992" s="66"/>
      <c r="E9992" s="66"/>
      <c r="F9992" s="66"/>
    </row>
    <row r="9993" spans="4:6" x14ac:dyDescent="0.35">
      <c r="D9993" s="66"/>
      <c r="E9993" s="66"/>
      <c r="F9993" s="66"/>
    </row>
    <row r="9994" spans="4:6" x14ac:dyDescent="0.35">
      <c r="D9994" s="66"/>
      <c r="E9994" s="66"/>
      <c r="F9994" s="66"/>
    </row>
    <row r="9995" spans="4:6" x14ac:dyDescent="0.35">
      <c r="D9995" s="66"/>
      <c r="E9995" s="66"/>
      <c r="F9995" s="66"/>
    </row>
    <row r="9996" spans="4:6" x14ac:dyDescent="0.35">
      <c r="D9996" s="66"/>
      <c r="E9996" s="66"/>
      <c r="F9996" s="66"/>
    </row>
    <row r="9997" spans="4:6" x14ac:dyDescent="0.35">
      <c r="D9997" s="66"/>
      <c r="E9997" s="66"/>
      <c r="F9997" s="66"/>
    </row>
    <row r="9998" spans="4:6" x14ac:dyDescent="0.35">
      <c r="D9998" s="66"/>
      <c r="E9998" s="66"/>
      <c r="F9998" s="66"/>
    </row>
    <row r="9999" spans="4:6" x14ac:dyDescent="0.35">
      <c r="D9999" s="66"/>
      <c r="E9999" s="66"/>
      <c r="F9999" s="66"/>
    </row>
    <row r="10000" spans="4:6" x14ac:dyDescent="0.35">
      <c r="D10000" s="66"/>
      <c r="E10000" s="66"/>
      <c r="F10000" s="66"/>
    </row>
    <row r="10001" spans="4:6" x14ac:dyDescent="0.35">
      <c r="D10001" s="66"/>
      <c r="E10001" s="66"/>
      <c r="F10001" s="66"/>
    </row>
    <row r="10002" spans="4:6" x14ac:dyDescent="0.35">
      <c r="D10002" s="66"/>
      <c r="E10002" s="66"/>
      <c r="F10002" s="66"/>
    </row>
    <row r="10003" spans="4:6" x14ac:dyDescent="0.35">
      <c r="D10003" s="66"/>
      <c r="E10003" s="66"/>
      <c r="F10003" s="66"/>
    </row>
    <row r="10004" spans="4:6" x14ac:dyDescent="0.35">
      <c r="D10004" s="66"/>
      <c r="E10004" s="66"/>
      <c r="F10004" s="66"/>
    </row>
    <row r="10005" spans="4:6" x14ac:dyDescent="0.35">
      <c r="D10005" s="66"/>
      <c r="E10005" s="66"/>
      <c r="F10005" s="66"/>
    </row>
    <row r="10006" spans="4:6" x14ac:dyDescent="0.35">
      <c r="D10006" s="66"/>
      <c r="E10006" s="66"/>
      <c r="F10006" s="66"/>
    </row>
    <row r="10007" spans="4:6" x14ac:dyDescent="0.35">
      <c r="D10007" s="66"/>
      <c r="E10007" s="66"/>
      <c r="F10007" s="66"/>
    </row>
    <row r="10008" spans="4:6" x14ac:dyDescent="0.35">
      <c r="D10008" s="66"/>
      <c r="E10008" s="66"/>
      <c r="F10008" s="66"/>
    </row>
    <row r="10009" spans="4:6" x14ac:dyDescent="0.35">
      <c r="D10009" s="66"/>
      <c r="E10009" s="66"/>
      <c r="F10009" s="66"/>
    </row>
    <row r="10010" spans="4:6" x14ac:dyDescent="0.35">
      <c r="D10010" s="66"/>
      <c r="E10010" s="66"/>
      <c r="F10010" s="66"/>
    </row>
    <row r="10011" spans="4:6" x14ac:dyDescent="0.35">
      <c r="D10011" s="66"/>
      <c r="E10011" s="66"/>
      <c r="F10011" s="66"/>
    </row>
    <row r="10012" spans="4:6" x14ac:dyDescent="0.35">
      <c r="D10012" s="66"/>
      <c r="E10012" s="66"/>
      <c r="F10012" s="66"/>
    </row>
    <row r="10013" spans="4:6" x14ac:dyDescent="0.35">
      <c r="D10013" s="66"/>
      <c r="E10013" s="66"/>
      <c r="F10013" s="66"/>
    </row>
    <row r="10014" spans="4:6" x14ac:dyDescent="0.35">
      <c r="D10014" s="66"/>
      <c r="E10014" s="66"/>
      <c r="F10014" s="66"/>
    </row>
    <row r="10015" spans="4:6" x14ac:dyDescent="0.35">
      <c r="D10015" s="66"/>
      <c r="E10015" s="66"/>
      <c r="F10015" s="66"/>
    </row>
    <row r="10016" spans="4:6" x14ac:dyDescent="0.35">
      <c r="D10016" s="66"/>
      <c r="E10016" s="66"/>
      <c r="F10016" s="66"/>
    </row>
    <row r="10017" spans="4:6" x14ac:dyDescent="0.35">
      <c r="D10017" s="66"/>
      <c r="E10017" s="66"/>
      <c r="F10017" s="66"/>
    </row>
    <row r="10018" spans="4:6" x14ac:dyDescent="0.35">
      <c r="D10018" s="66"/>
      <c r="E10018" s="66"/>
      <c r="F10018" s="66"/>
    </row>
    <row r="10019" spans="4:6" x14ac:dyDescent="0.35">
      <c r="D10019" s="66"/>
      <c r="E10019" s="66"/>
      <c r="F10019" s="66"/>
    </row>
    <row r="10020" spans="4:6" x14ac:dyDescent="0.35">
      <c r="D10020" s="66"/>
      <c r="E10020" s="66"/>
      <c r="F10020" s="66"/>
    </row>
    <row r="10021" spans="4:6" x14ac:dyDescent="0.35">
      <c r="D10021" s="66"/>
      <c r="E10021" s="66"/>
      <c r="F10021" s="66"/>
    </row>
    <row r="10022" spans="4:6" x14ac:dyDescent="0.35">
      <c r="D10022" s="66"/>
      <c r="E10022" s="66"/>
      <c r="F10022" s="66"/>
    </row>
    <row r="10023" spans="4:6" x14ac:dyDescent="0.35">
      <c r="D10023" s="66"/>
      <c r="E10023" s="66"/>
      <c r="F10023" s="66"/>
    </row>
    <row r="10024" spans="4:6" x14ac:dyDescent="0.35">
      <c r="D10024" s="66"/>
      <c r="E10024" s="66"/>
      <c r="F10024" s="66"/>
    </row>
    <row r="10025" spans="4:6" x14ac:dyDescent="0.35">
      <c r="D10025" s="66"/>
      <c r="E10025" s="66"/>
      <c r="F10025" s="66"/>
    </row>
    <row r="10026" spans="4:6" x14ac:dyDescent="0.35">
      <c r="D10026" s="66"/>
      <c r="E10026" s="66"/>
      <c r="F10026" s="66"/>
    </row>
    <row r="10027" spans="4:6" x14ac:dyDescent="0.35">
      <c r="D10027" s="66"/>
      <c r="E10027" s="66"/>
      <c r="F10027" s="66"/>
    </row>
    <row r="10028" spans="4:6" x14ac:dyDescent="0.35">
      <c r="D10028" s="66"/>
      <c r="E10028" s="66"/>
      <c r="F10028" s="66"/>
    </row>
    <row r="10029" spans="4:6" x14ac:dyDescent="0.35">
      <c r="D10029" s="66"/>
      <c r="E10029" s="66"/>
      <c r="F10029" s="66"/>
    </row>
    <row r="10030" spans="4:6" x14ac:dyDescent="0.35">
      <c r="D10030" s="66"/>
      <c r="E10030" s="66"/>
      <c r="F10030" s="66"/>
    </row>
    <row r="10031" spans="4:6" x14ac:dyDescent="0.35">
      <c r="D10031" s="66"/>
      <c r="E10031" s="66"/>
      <c r="F10031" s="66"/>
    </row>
    <row r="10032" spans="4:6" x14ac:dyDescent="0.35">
      <c r="D10032" s="66"/>
      <c r="E10032" s="66"/>
      <c r="F10032" s="66"/>
    </row>
    <row r="10033" spans="4:6" x14ac:dyDescent="0.35">
      <c r="D10033" s="66"/>
      <c r="E10033" s="66"/>
      <c r="F10033" s="66"/>
    </row>
    <row r="10034" spans="4:6" x14ac:dyDescent="0.35">
      <c r="D10034" s="66"/>
      <c r="E10034" s="66"/>
      <c r="F10034" s="66"/>
    </row>
    <row r="10035" spans="4:6" x14ac:dyDescent="0.35">
      <c r="D10035" s="66"/>
      <c r="E10035" s="66"/>
      <c r="F10035" s="66"/>
    </row>
    <row r="10036" spans="4:6" x14ac:dyDescent="0.35">
      <c r="D10036" s="66"/>
      <c r="E10036" s="66"/>
      <c r="F10036" s="66"/>
    </row>
    <row r="10037" spans="4:6" x14ac:dyDescent="0.35">
      <c r="D10037" s="66"/>
      <c r="E10037" s="66"/>
      <c r="F10037" s="66"/>
    </row>
    <row r="10038" spans="4:6" x14ac:dyDescent="0.35">
      <c r="D10038" s="66"/>
      <c r="E10038" s="66"/>
      <c r="F10038" s="66"/>
    </row>
    <row r="10039" spans="4:6" x14ac:dyDescent="0.35">
      <c r="D10039" s="66"/>
      <c r="E10039" s="66"/>
      <c r="F10039" s="66"/>
    </row>
    <row r="10040" spans="4:6" x14ac:dyDescent="0.35">
      <c r="D10040" s="66"/>
      <c r="E10040" s="66"/>
      <c r="F10040" s="66"/>
    </row>
    <row r="10041" spans="4:6" x14ac:dyDescent="0.35">
      <c r="D10041" s="66"/>
      <c r="E10041" s="66"/>
      <c r="F10041" s="66"/>
    </row>
    <row r="10042" spans="4:6" x14ac:dyDescent="0.35">
      <c r="D10042" s="66"/>
      <c r="E10042" s="66"/>
      <c r="F10042" s="66"/>
    </row>
    <row r="10043" spans="4:6" x14ac:dyDescent="0.35">
      <c r="D10043" s="66"/>
      <c r="E10043" s="66"/>
      <c r="F10043" s="66"/>
    </row>
    <row r="10044" spans="4:6" x14ac:dyDescent="0.35">
      <c r="D10044" s="66"/>
      <c r="E10044" s="66"/>
      <c r="F10044" s="66"/>
    </row>
    <row r="10045" spans="4:6" x14ac:dyDescent="0.35">
      <c r="D10045" s="66"/>
      <c r="E10045" s="66"/>
      <c r="F10045" s="66"/>
    </row>
    <row r="10046" spans="4:6" x14ac:dyDescent="0.35">
      <c r="D10046" s="66"/>
      <c r="E10046" s="66"/>
      <c r="F10046" s="66"/>
    </row>
    <row r="10047" spans="4:6" x14ac:dyDescent="0.35">
      <c r="D10047" s="66"/>
      <c r="E10047" s="66"/>
      <c r="F10047" s="66"/>
    </row>
    <row r="10048" spans="4:6" x14ac:dyDescent="0.35">
      <c r="D10048" s="66"/>
      <c r="E10048" s="66"/>
      <c r="F10048" s="66"/>
    </row>
    <row r="10049" spans="4:6" x14ac:dyDescent="0.35">
      <c r="D10049" s="66"/>
      <c r="E10049" s="66"/>
      <c r="F10049" s="66"/>
    </row>
    <row r="10050" spans="4:6" x14ac:dyDescent="0.35">
      <c r="D10050" s="66"/>
      <c r="E10050" s="66"/>
      <c r="F10050" s="66"/>
    </row>
    <row r="10051" spans="4:6" x14ac:dyDescent="0.35">
      <c r="D10051" s="66"/>
      <c r="E10051" s="66"/>
      <c r="F10051" s="66"/>
    </row>
    <row r="10052" spans="4:6" x14ac:dyDescent="0.35">
      <c r="D10052" s="66"/>
      <c r="E10052" s="66"/>
      <c r="F10052" s="66"/>
    </row>
    <row r="10053" spans="4:6" x14ac:dyDescent="0.35">
      <c r="D10053" s="66"/>
      <c r="E10053" s="66"/>
      <c r="F10053" s="66"/>
    </row>
    <row r="10054" spans="4:6" x14ac:dyDescent="0.35">
      <c r="D10054" s="66"/>
      <c r="E10054" s="66"/>
      <c r="F10054" s="66"/>
    </row>
    <row r="10055" spans="4:6" x14ac:dyDescent="0.35">
      <c r="D10055" s="66"/>
      <c r="E10055" s="66"/>
      <c r="F10055" s="66"/>
    </row>
    <row r="10056" spans="4:6" x14ac:dyDescent="0.35">
      <c r="D10056" s="66"/>
      <c r="E10056" s="66"/>
      <c r="F10056" s="66"/>
    </row>
    <row r="10057" spans="4:6" x14ac:dyDescent="0.35">
      <c r="D10057" s="66"/>
      <c r="E10057" s="66"/>
      <c r="F10057" s="66"/>
    </row>
    <row r="10058" spans="4:6" x14ac:dyDescent="0.35">
      <c r="D10058" s="66"/>
      <c r="E10058" s="66"/>
      <c r="F10058" s="66"/>
    </row>
    <row r="10059" spans="4:6" x14ac:dyDescent="0.35">
      <c r="D10059" s="66"/>
      <c r="E10059" s="66"/>
      <c r="F10059" s="66"/>
    </row>
    <row r="10060" spans="4:6" x14ac:dyDescent="0.35">
      <c r="D10060" s="66"/>
      <c r="E10060" s="66"/>
      <c r="F10060" s="66"/>
    </row>
    <row r="10061" spans="4:6" x14ac:dyDescent="0.35">
      <c r="D10061" s="66"/>
      <c r="E10061" s="66"/>
      <c r="F10061" s="66"/>
    </row>
    <row r="10062" spans="4:6" x14ac:dyDescent="0.35">
      <c r="D10062" s="66"/>
      <c r="E10062" s="66"/>
      <c r="F10062" s="66"/>
    </row>
    <row r="10063" spans="4:6" x14ac:dyDescent="0.35">
      <c r="D10063" s="66"/>
      <c r="E10063" s="66"/>
      <c r="F10063" s="66"/>
    </row>
    <row r="10064" spans="4:6" x14ac:dyDescent="0.35">
      <c r="D10064" s="66"/>
      <c r="E10064" s="66"/>
      <c r="F10064" s="66"/>
    </row>
    <row r="10065" spans="4:6" x14ac:dyDescent="0.35">
      <c r="D10065" s="66"/>
      <c r="E10065" s="66"/>
      <c r="F10065" s="66"/>
    </row>
    <row r="10066" spans="4:6" x14ac:dyDescent="0.35">
      <c r="D10066" s="66"/>
      <c r="E10066" s="66"/>
      <c r="F10066" s="66"/>
    </row>
    <row r="10067" spans="4:6" x14ac:dyDescent="0.35">
      <c r="D10067" s="66"/>
      <c r="E10067" s="66"/>
      <c r="F10067" s="66"/>
    </row>
    <row r="10068" spans="4:6" x14ac:dyDescent="0.35">
      <c r="D10068" s="66"/>
      <c r="E10068" s="66"/>
      <c r="F10068" s="66"/>
    </row>
    <row r="10069" spans="4:6" x14ac:dyDescent="0.35">
      <c r="D10069" s="66"/>
      <c r="E10069" s="66"/>
      <c r="F10069" s="66"/>
    </row>
    <row r="10070" spans="4:6" x14ac:dyDescent="0.35">
      <c r="D10070" s="66"/>
      <c r="E10070" s="66"/>
      <c r="F10070" s="66"/>
    </row>
    <row r="10071" spans="4:6" x14ac:dyDescent="0.35">
      <c r="D10071" s="66"/>
      <c r="E10071" s="66"/>
      <c r="F10071" s="66"/>
    </row>
    <row r="10072" spans="4:6" x14ac:dyDescent="0.35">
      <c r="D10072" s="66"/>
      <c r="E10072" s="66"/>
      <c r="F10072" s="66"/>
    </row>
    <row r="10073" spans="4:6" x14ac:dyDescent="0.35">
      <c r="D10073" s="66"/>
      <c r="E10073" s="66"/>
      <c r="F10073" s="66"/>
    </row>
    <row r="10074" spans="4:6" x14ac:dyDescent="0.35">
      <c r="D10074" s="66"/>
      <c r="E10074" s="66"/>
      <c r="F10074" s="66"/>
    </row>
    <row r="10075" spans="4:6" x14ac:dyDescent="0.35">
      <c r="D10075" s="66"/>
      <c r="E10075" s="66"/>
      <c r="F10075" s="66"/>
    </row>
    <row r="10076" spans="4:6" x14ac:dyDescent="0.35">
      <c r="D10076" s="66"/>
      <c r="E10076" s="66"/>
      <c r="F10076" s="66"/>
    </row>
    <row r="10077" spans="4:6" x14ac:dyDescent="0.35">
      <c r="D10077" s="66"/>
      <c r="E10077" s="66"/>
      <c r="F10077" s="66"/>
    </row>
    <row r="10078" spans="4:6" x14ac:dyDescent="0.35">
      <c r="D10078" s="66"/>
      <c r="E10078" s="66"/>
      <c r="F10078" s="66"/>
    </row>
    <row r="10079" spans="4:6" x14ac:dyDescent="0.35">
      <c r="D10079" s="66"/>
      <c r="E10079" s="66"/>
      <c r="F10079" s="66"/>
    </row>
    <row r="10080" spans="4:6" x14ac:dyDescent="0.35">
      <c r="D10080" s="66"/>
      <c r="E10080" s="66"/>
      <c r="F10080" s="66"/>
    </row>
    <row r="10081" spans="4:6" x14ac:dyDescent="0.35">
      <c r="D10081" s="66"/>
      <c r="E10081" s="66"/>
      <c r="F10081" s="66"/>
    </row>
    <row r="10082" spans="4:6" x14ac:dyDescent="0.35">
      <c r="D10082" s="66"/>
      <c r="E10082" s="66"/>
      <c r="F10082" s="66"/>
    </row>
    <row r="10083" spans="4:6" x14ac:dyDescent="0.35">
      <c r="D10083" s="66"/>
      <c r="E10083" s="66"/>
      <c r="F10083" s="66"/>
    </row>
    <row r="10084" spans="4:6" x14ac:dyDescent="0.35">
      <c r="D10084" s="66"/>
      <c r="E10084" s="66"/>
      <c r="F10084" s="66"/>
    </row>
    <row r="10085" spans="4:6" x14ac:dyDescent="0.35">
      <c r="D10085" s="66"/>
      <c r="E10085" s="66"/>
      <c r="F10085" s="66"/>
    </row>
    <row r="10086" spans="4:6" x14ac:dyDescent="0.35">
      <c r="D10086" s="66"/>
      <c r="E10086" s="66"/>
      <c r="F10086" s="66"/>
    </row>
    <row r="10087" spans="4:6" x14ac:dyDescent="0.35">
      <c r="D10087" s="66"/>
      <c r="E10087" s="66"/>
      <c r="F10087" s="66"/>
    </row>
    <row r="10088" spans="4:6" x14ac:dyDescent="0.35">
      <c r="D10088" s="66"/>
      <c r="E10088" s="66"/>
      <c r="F10088" s="66"/>
    </row>
    <row r="10089" spans="4:6" x14ac:dyDescent="0.35">
      <c r="D10089" s="66"/>
      <c r="E10089" s="66"/>
      <c r="F10089" s="66"/>
    </row>
    <row r="10090" spans="4:6" x14ac:dyDescent="0.35">
      <c r="D10090" s="66"/>
      <c r="E10090" s="66"/>
      <c r="F10090" s="66"/>
    </row>
    <row r="10091" spans="4:6" x14ac:dyDescent="0.35">
      <c r="D10091" s="66"/>
      <c r="E10091" s="66"/>
      <c r="F10091" s="66"/>
    </row>
    <row r="10092" spans="4:6" x14ac:dyDescent="0.35">
      <c r="D10092" s="66"/>
      <c r="E10092" s="66"/>
      <c r="F10092" s="66"/>
    </row>
    <row r="10093" spans="4:6" x14ac:dyDescent="0.35">
      <c r="D10093" s="66"/>
      <c r="E10093" s="66"/>
      <c r="F10093" s="66"/>
    </row>
    <row r="10094" spans="4:6" x14ac:dyDescent="0.35">
      <c r="D10094" s="66"/>
      <c r="E10094" s="66"/>
      <c r="F10094" s="66"/>
    </row>
    <row r="10095" spans="4:6" x14ac:dyDescent="0.35">
      <c r="D10095" s="66"/>
      <c r="E10095" s="66"/>
      <c r="F10095" s="66"/>
    </row>
    <row r="10096" spans="4:6" x14ac:dyDescent="0.35">
      <c r="D10096" s="66"/>
      <c r="E10096" s="66"/>
      <c r="F10096" s="66"/>
    </row>
    <row r="10097" spans="4:6" x14ac:dyDescent="0.35">
      <c r="D10097" s="66"/>
      <c r="E10097" s="66"/>
      <c r="F10097" s="66"/>
    </row>
    <row r="10098" spans="4:6" x14ac:dyDescent="0.35">
      <c r="D10098" s="66"/>
      <c r="E10098" s="66"/>
      <c r="F10098" s="66"/>
    </row>
    <row r="10099" spans="4:6" x14ac:dyDescent="0.35">
      <c r="D10099" s="66"/>
      <c r="E10099" s="66"/>
      <c r="F10099" s="66"/>
    </row>
    <row r="10100" spans="4:6" x14ac:dyDescent="0.35">
      <c r="D10100" s="66"/>
      <c r="E10100" s="66"/>
      <c r="F10100" s="66"/>
    </row>
    <row r="10101" spans="4:6" x14ac:dyDescent="0.35">
      <c r="D10101" s="66"/>
      <c r="E10101" s="66"/>
      <c r="F10101" s="66"/>
    </row>
    <row r="10102" spans="4:6" x14ac:dyDescent="0.35">
      <c r="D10102" s="66"/>
      <c r="E10102" s="66"/>
      <c r="F10102" s="66"/>
    </row>
    <row r="10103" spans="4:6" x14ac:dyDescent="0.35">
      <c r="D10103" s="66"/>
      <c r="E10103" s="66"/>
      <c r="F10103" s="66"/>
    </row>
    <row r="10104" spans="4:6" x14ac:dyDescent="0.35">
      <c r="D10104" s="66"/>
      <c r="E10104" s="66"/>
      <c r="F10104" s="66"/>
    </row>
    <row r="10105" spans="4:6" x14ac:dyDescent="0.35">
      <c r="D10105" s="66"/>
      <c r="E10105" s="66"/>
      <c r="F10105" s="66"/>
    </row>
    <row r="10106" spans="4:6" x14ac:dyDescent="0.35">
      <c r="D10106" s="66"/>
      <c r="E10106" s="66"/>
      <c r="F10106" s="66"/>
    </row>
    <row r="10107" spans="4:6" x14ac:dyDescent="0.35">
      <c r="D10107" s="66"/>
      <c r="E10107" s="66"/>
      <c r="F10107" s="66"/>
    </row>
    <row r="10108" spans="4:6" x14ac:dyDescent="0.35">
      <c r="D10108" s="66"/>
      <c r="E10108" s="66"/>
      <c r="F10108" s="66"/>
    </row>
    <row r="10109" spans="4:6" x14ac:dyDescent="0.35">
      <c r="D10109" s="66"/>
      <c r="E10109" s="66"/>
      <c r="F10109" s="66"/>
    </row>
    <row r="10110" spans="4:6" x14ac:dyDescent="0.35">
      <c r="D10110" s="66"/>
      <c r="E10110" s="66"/>
      <c r="F10110" s="66"/>
    </row>
    <row r="10111" spans="4:6" x14ac:dyDescent="0.35">
      <c r="D10111" s="66"/>
      <c r="E10111" s="66"/>
      <c r="F10111" s="66"/>
    </row>
    <row r="10112" spans="4:6" x14ac:dyDescent="0.35">
      <c r="D10112" s="66"/>
      <c r="E10112" s="66"/>
      <c r="F10112" s="66"/>
    </row>
    <row r="10113" spans="4:6" x14ac:dyDescent="0.35">
      <c r="D10113" s="66"/>
      <c r="E10113" s="66"/>
      <c r="F10113" s="66"/>
    </row>
    <row r="10114" spans="4:6" x14ac:dyDescent="0.35">
      <c r="D10114" s="66"/>
      <c r="E10114" s="66"/>
      <c r="F10114" s="66"/>
    </row>
    <row r="10115" spans="4:6" x14ac:dyDescent="0.35">
      <c r="D10115" s="66"/>
      <c r="E10115" s="66"/>
      <c r="F10115" s="66"/>
    </row>
    <row r="10116" spans="4:6" x14ac:dyDescent="0.35">
      <c r="D10116" s="66"/>
      <c r="E10116" s="66"/>
      <c r="F10116" s="66"/>
    </row>
    <row r="10117" spans="4:6" x14ac:dyDescent="0.35">
      <c r="D10117" s="66"/>
      <c r="E10117" s="66"/>
      <c r="F10117" s="66"/>
    </row>
    <row r="10118" spans="4:6" x14ac:dyDescent="0.35">
      <c r="D10118" s="66"/>
      <c r="E10118" s="66"/>
      <c r="F10118" s="66"/>
    </row>
    <row r="10119" spans="4:6" x14ac:dyDescent="0.35">
      <c r="D10119" s="66"/>
      <c r="E10119" s="66"/>
      <c r="F10119" s="66"/>
    </row>
    <row r="10120" spans="4:6" x14ac:dyDescent="0.35">
      <c r="D10120" s="66"/>
      <c r="E10120" s="66"/>
      <c r="F10120" s="66"/>
    </row>
    <row r="10121" spans="4:6" x14ac:dyDescent="0.35">
      <c r="D10121" s="66"/>
      <c r="E10121" s="66"/>
      <c r="F10121" s="66"/>
    </row>
    <row r="10122" spans="4:6" x14ac:dyDescent="0.35">
      <c r="D10122" s="66"/>
      <c r="E10122" s="66"/>
      <c r="F10122" s="66"/>
    </row>
    <row r="10123" spans="4:6" x14ac:dyDescent="0.35">
      <c r="D10123" s="66"/>
      <c r="E10123" s="66"/>
      <c r="F10123" s="66"/>
    </row>
    <row r="10124" spans="4:6" x14ac:dyDescent="0.35">
      <c r="D10124" s="66"/>
      <c r="E10124" s="66"/>
      <c r="F10124" s="66"/>
    </row>
    <row r="10125" spans="4:6" x14ac:dyDescent="0.35">
      <c r="D10125" s="66"/>
      <c r="E10125" s="66"/>
      <c r="F10125" s="66"/>
    </row>
    <row r="10126" spans="4:6" x14ac:dyDescent="0.35">
      <c r="D10126" s="66"/>
      <c r="E10126" s="66"/>
      <c r="F10126" s="66"/>
    </row>
    <row r="10127" spans="4:6" x14ac:dyDescent="0.35">
      <c r="D10127" s="66"/>
      <c r="E10127" s="66"/>
      <c r="F10127" s="66"/>
    </row>
    <row r="10128" spans="4:6" x14ac:dyDescent="0.35">
      <c r="D10128" s="66"/>
      <c r="E10128" s="66"/>
      <c r="F10128" s="66"/>
    </row>
    <row r="10129" spans="4:6" x14ac:dyDescent="0.35">
      <c r="D10129" s="66"/>
      <c r="E10129" s="66"/>
      <c r="F10129" s="66"/>
    </row>
    <row r="10130" spans="4:6" x14ac:dyDescent="0.35">
      <c r="D10130" s="66"/>
      <c r="E10130" s="66"/>
      <c r="F10130" s="66"/>
    </row>
    <row r="10131" spans="4:6" x14ac:dyDescent="0.35">
      <c r="D10131" s="66"/>
      <c r="E10131" s="66"/>
      <c r="F10131" s="66"/>
    </row>
    <row r="10132" spans="4:6" x14ac:dyDescent="0.35">
      <c r="D10132" s="66"/>
      <c r="E10132" s="66"/>
      <c r="F10132" s="66"/>
    </row>
    <row r="10133" spans="4:6" x14ac:dyDescent="0.35">
      <c r="D10133" s="66"/>
      <c r="E10133" s="66"/>
      <c r="F10133" s="66"/>
    </row>
    <row r="10134" spans="4:6" x14ac:dyDescent="0.35">
      <c r="D10134" s="66"/>
      <c r="E10134" s="66"/>
      <c r="F10134" s="66"/>
    </row>
    <row r="10135" spans="4:6" x14ac:dyDescent="0.35">
      <c r="D10135" s="66"/>
      <c r="E10135" s="66"/>
      <c r="F10135" s="66"/>
    </row>
    <row r="10136" spans="4:6" x14ac:dyDescent="0.35">
      <c r="D10136" s="66"/>
      <c r="E10136" s="66"/>
      <c r="F10136" s="66"/>
    </row>
    <row r="10137" spans="4:6" x14ac:dyDescent="0.35">
      <c r="D10137" s="66"/>
      <c r="E10137" s="66"/>
      <c r="F10137" s="66"/>
    </row>
    <row r="10138" spans="4:6" x14ac:dyDescent="0.35">
      <c r="D10138" s="66"/>
      <c r="E10138" s="66"/>
      <c r="F10138" s="66"/>
    </row>
    <row r="10139" spans="4:6" x14ac:dyDescent="0.35">
      <c r="D10139" s="66"/>
      <c r="E10139" s="66"/>
      <c r="F10139" s="66"/>
    </row>
    <row r="10140" spans="4:6" x14ac:dyDescent="0.35">
      <c r="D10140" s="66"/>
      <c r="E10140" s="66"/>
      <c r="F10140" s="66"/>
    </row>
    <row r="10141" spans="4:6" x14ac:dyDescent="0.35">
      <c r="D10141" s="66"/>
      <c r="E10141" s="66"/>
      <c r="F10141" s="66"/>
    </row>
    <row r="10142" spans="4:6" x14ac:dyDescent="0.35">
      <c r="D10142" s="66"/>
      <c r="E10142" s="66"/>
      <c r="F10142" s="66"/>
    </row>
    <row r="10143" spans="4:6" x14ac:dyDescent="0.35">
      <c r="D10143" s="66"/>
      <c r="E10143" s="66"/>
      <c r="F10143" s="66"/>
    </row>
    <row r="10144" spans="4:6" x14ac:dyDescent="0.35">
      <c r="D10144" s="66"/>
      <c r="E10144" s="66"/>
      <c r="F10144" s="66"/>
    </row>
    <row r="10145" spans="4:6" x14ac:dyDescent="0.35">
      <c r="D10145" s="66"/>
      <c r="E10145" s="66"/>
      <c r="F10145" s="66"/>
    </row>
    <row r="10146" spans="4:6" x14ac:dyDescent="0.35">
      <c r="D10146" s="66"/>
      <c r="E10146" s="66"/>
      <c r="F10146" s="66"/>
    </row>
    <row r="10147" spans="4:6" x14ac:dyDescent="0.35">
      <c r="D10147" s="66"/>
      <c r="E10147" s="66"/>
      <c r="F10147" s="66"/>
    </row>
    <row r="10148" spans="4:6" x14ac:dyDescent="0.35">
      <c r="D10148" s="66"/>
      <c r="E10148" s="66"/>
      <c r="F10148" s="66"/>
    </row>
    <row r="10149" spans="4:6" x14ac:dyDescent="0.35">
      <c r="D10149" s="66"/>
      <c r="E10149" s="66"/>
      <c r="F10149" s="66"/>
    </row>
    <row r="10150" spans="4:6" x14ac:dyDescent="0.35">
      <c r="D10150" s="66"/>
      <c r="E10150" s="66"/>
      <c r="F10150" s="66"/>
    </row>
    <row r="10151" spans="4:6" x14ac:dyDescent="0.35">
      <c r="D10151" s="66"/>
      <c r="E10151" s="66"/>
      <c r="F10151" s="66"/>
    </row>
    <row r="10152" spans="4:6" x14ac:dyDescent="0.35">
      <c r="D10152" s="66"/>
      <c r="E10152" s="66"/>
      <c r="F10152" s="66"/>
    </row>
    <row r="10153" spans="4:6" x14ac:dyDescent="0.35">
      <c r="D10153" s="66"/>
      <c r="E10153" s="66"/>
      <c r="F10153" s="66"/>
    </row>
    <row r="10154" spans="4:6" x14ac:dyDescent="0.35">
      <c r="D10154" s="66"/>
      <c r="E10154" s="66"/>
      <c r="F10154" s="66"/>
    </row>
    <row r="10155" spans="4:6" x14ac:dyDescent="0.35">
      <c r="D10155" s="66"/>
      <c r="E10155" s="66"/>
      <c r="F10155" s="66"/>
    </row>
    <row r="10156" spans="4:6" x14ac:dyDescent="0.35">
      <c r="D10156" s="66"/>
      <c r="E10156" s="66"/>
      <c r="F10156" s="66"/>
    </row>
    <row r="10157" spans="4:6" x14ac:dyDescent="0.35">
      <c r="D10157" s="66"/>
      <c r="E10157" s="66"/>
      <c r="F10157" s="66"/>
    </row>
    <row r="10158" spans="4:6" x14ac:dyDescent="0.35">
      <c r="D10158" s="66"/>
      <c r="E10158" s="66"/>
      <c r="F10158" s="66"/>
    </row>
    <row r="10159" spans="4:6" x14ac:dyDescent="0.35">
      <c r="D10159" s="66"/>
      <c r="E10159" s="66"/>
      <c r="F10159" s="66"/>
    </row>
    <row r="10160" spans="4:6" x14ac:dyDescent="0.35">
      <c r="D10160" s="66"/>
      <c r="E10160" s="66"/>
      <c r="F10160" s="66"/>
    </row>
    <row r="10161" spans="4:6" x14ac:dyDescent="0.35">
      <c r="D10161" s="66"/>
      <c r="E10161" s="66"/>
      <c r="F10161" s="66"/>
    </row>
    <row r="10162" spans="4:6" x14ac:dyDescent="0.35">
      <c r="D10162" s="66"/>
      <c r="E10162" s="66"/>
      <c r="F10162" s="66"/>
    </row>
    <row r="10163" spans="4:6" x14ac:dyDescent="0.35">
      <c r="D10163" s="66"/>
      <c r="E10163" s="66"/>
      <c r="F10163" s="66"/>
    </row>
    <row r="10164" spans="4:6" x14ac:dyDescent="0.35">
      <c r="D10164" s="66"/>
      <c r="E10164" s="66"/>
      <c r="F10164" s="66"/>
    </row>
    <row r="10165" spans="4:6" x14ac:dyDescent="0.35">
      <c r="D10165" s="66"/>
      <c r="E10165" s="66"/>
      <c r="F10165" s="66"/>
    </row>
    <row r="10166" spans="4:6" x14ac:dyDescent="0.35">
      <c r="D10166" s="66"/>
      <c r="E10166" s="66"/>
      <c r="F10166" s="66"/>
    </row>
    <row r="10167" spans="4:6" x14ac:dyDescent="0.35">
      <c r="D10167" s="66"/>
      <c r="E10167" s="66"/>
      <c r="F10167" s="66"/>
    </row>
    <row r="10168" spans="4:6" x14ac:dyDescent="0.35">
      <c r="D10168" s="66"/>
      <c r="E10168" s="66"/>
      <c r="F10168" s="66"/>
    </row>
    <row r="10169" spans="4:6" x14ac:dyDescent="0.35">
      <c r="D10169" s="66"/>
      <c r="E10169" s="66"/>
      <c r="F10169" s="66"/>
    </row>
    <row r="10170" spans="4:6" x14ac:dyDescent="0.35">
      <c r="D10170" s="66"/>
      <c r="E10170" s="66"/>
      <c r="F10170" s="66"/>
    </row>
    <row r="10171" spans="4:6" x14ac:dyDescent="0.35">
      <c r="D10171" s="66"/>
      <c r="E10171" s="66"/>
      <c r="F10171" s="66"/>
    </row>
    <row r="10172" spans="4:6" x14ac:dyDescent="0.35">
      <c r="D10172" s="66"/>
      <c r="E10172" s="66"/>
      <c r="F10172" s="66"/>
    </row>
    <row r="10173" spans="4:6" x14ac:dyDescent="0.35">
      <c r="D10173" s="66"/>
      <c r="E10173" s="66"/>
      <c r="F10173" s="66"/>
    </row>
    <row r="10174" spans="4:6" x14ac:dyDescent="0.35">
      <c r="D10174" s="66"/>
      <c r="E10174" s="66"/>
      <c r="F10174" s="66"/>
    </row>
    <row r="10175" spans="4:6" x14ac:dyDescent="0.35">
      <c r="D10175" s="66"/>
      <c r="E10175" s="66"/>
      <c r="F10175" s="66"/>
    </row>
    <row r="10176" spans="4:6" x14ac:dyDescent="0.35">
      <c r="D10176" s="66"/>
      <c r="E10176" s="66"/>
      <c r="F10176" s="66"/>
    </row>
    <row r="10177" spans="4:6" x14ac:dyDescent="0.35">
      <c r="D10177" s="66"/>
      <c r="E10177" s="66"/>
      <c r="F10177" s="66"/>
    </row>
    <row r="10178" spans="4:6" x14ac:dyDescent="0.35">
      <c r="D10178" s="66"/>
      <c r="E10178" s="66"/>
      <c r="F10178" s="66"/>
    </row>
    <row r="10179" spans="4:6" x14ac:dyDescent="0.35">
      <c r="D10179" s="66"/>
      <c r="E10179" s="66"/>
      <c r="F10179" s="66"/>
    </row>
    <row r="10180" spans="4:6" x14ac:dyDescent="0.35">
      <c r="D10180" s="66"/>
      <c r="E10180" s="66"/>
      <c r="F10180" s="66"/>
    </row>
    <row r="10181" spans="4:6" x14ac:dyDescent="0.35">
      <c r="D10181" s="66"/>
      <c r="E10181" s="66"/>
      <c r="F10181" s="66"/>
    </row>
    <row r="10182" spans="4:6" x14ac:dyDescent="0.35">
      <c r="D10182" s="66"/>
      <c r="E10182" s="66"/>
      <c r="F10182" s="66"/>
    </row>
    <row r="10183" spans="4:6" x14ac:dyDescent="0.35">
      <c r="D10183" s="66"/>
      <c r="E10183" s="66"/>
      <c r="F10183" s="66"/>
    </row>
    <row r="10184" spans="4:6" x14ac:dyDescent="0.35">
      <c r="D10184" s="66"/>
      <c r="E10184" s="66"/>
      <c r="F10184" s="66"/>
    </row>
    <row r="10185" spans="4:6" x14ac:dyDescent="0.35">
      <c r="D10185" s="66"/>
      <c r="E10185" s="66"/>
      <c r="F10185" s="66"/>
    </row>
    <row r="10186" spans="4:6" x14ac:dyDescent="0.35">
      <c r="D10186" s="66"/>
      <c r="E10186" s="66"/>
      <c r="F10186" s="66"/>
    </row>
    <row r="10187" spans="4:6" x14ac:dyDescent="0.35">
      <c r="D10187" s="66"/>
      <c r="E10187" s="66"/>
      <c r="F10187" s="66"/>
    </row>
    <row r="10188" spans="4:6" x14ac:dyDescent="0.35">
      <c r="D10188" s="66"/>
      <c r="E10188" s="66"/>
      <c r="F10188" s="66"/>
    </row>
    <row r="10189" spans="4:6" x14ac:dyDescent="0.35">
      <c r="D10189" s="66"/>
      <c r="E10189" s="66"/>
      <c r="F10189" s="66"/>
    </row>
    <row r="10190" spans="4:6" x14ac:dyDescent="0.35">
      <c r="D10190" s="66"/>
      <c r="E10190" s="66"/>
      <c r="F10190" s="66"/>
    </row>
    <row r="10191" spans="4:6" x14ac:dyDescent="0.35">
      <c r="D10191" s="66"/>
      <c r="E10191" s="66"/>
      <c r="F10191" s="66"/>
    </row>
    <row r="10192" spans="4:6" x14ac:dyDescent="0.35">
      <c r="D10192" s="66"/>
      <c r="E10192" s="66"/>
      <c r="F10192" s="66"/>
    </row>
    <row r="10193" spans="4:6" x14ac:dyDescent="0.35">
      <c r="D10193" s="66"/>
      <c r="E10193" s="66"/>
      <c r="F10193" s="66"/>
    </row>
    <row r="10194" spans="4:6" x14ac:dyDescent="0.35">
      <c r="D10194" s="66"/>
      <c r="E10194" s="66"/>
      <c r="F10194" s="66"/>
    </row>
    <row r="10195" spans="4:6" x14ac:dyDescent="0.35">
      <c r="D10195" s="66"/>
      <c r="E10195" s="66"/>
      <c r="F10195" s="66"/>
    </row>
    <row r="10196" spans="4:6" x14ac:dyDescent="0.35">
      <c r="D10196" s="66"/>
      <c r="E10196" s="66"/>
      <c r="F10196" s="66"/>
    </row>
    <row r="10197" spans="4:6" x14ac:dyDescent="0.35">
      <c r="D10197" s="66"/>
      <c r="E10197" s="66"/>
      <c r="F10197" s="66"/>
    </row>
    <row r="10198" spans="4:6" x14ac:dyDescent="0.35">
      <c r="D10198" s="66"/>
      <c r="E10198" s="66"/>
      <c r="F10198" s="66"/>
    </row>
    <row r="10199" spans="4:6" x14ac:dyDescent="0.35">
      <c r="D10199" s="66"/>
      <c r="E10199" s="66"/>
      <c r="F10199" s="66"/>
    </row>
    <row r="10200" spans="4:6" x14ac:dyDescent="0.35">
      <c r="D10200" s="66"/>
      <c r="E10200" s="66"/>
      <c r="F10200" s="66"/>
    </row>
    <row r="10201" spans="4:6" x14ac:dyDescent="0.35">
      <c r="D10201" s="66"/>
      <c r="E10201" s="66"/>
      <c r="F10201" s="66"/>
    </row>
    <row r="10202" spans="4:6" x14ac:dyDescent="0.35">
      <c r="D10202" s="66"/>
      <c r="E10202" s="66"/>
      <c r="F10202" s="66"/>
    </row>
    <row r="10203" spans="4:6" x14ac:dyDescent="0.35">
      <c r="D10203" s="66"/>
      <c r="E10203" s="66"/>
      <c r="F10203" s="66"/>
    </row>
    <row r="10204" spans="4:6" x14ac:dyDescent="0.35">
      <c r="D10204" s="66"/>
      <c r="E10204" s="66"/>
      <c r="F10204" s="66"/>
    </row>
    <row r="10205" spans="4:6" x14ac:dyDescent="0.35">
      <c r="D10205" s="66"/>
      <c r="E10205" s="66"/>
      <c r="F10205" s="66"/>
    </row>
    <row r="10206" spans="4:6" x14ac:dyDescent="0.35">
      <c r="D10206" s="66"/>
      <c r="E10206" s="66"/>
      <c r="F10206" s="66"/>
    </row>
    <row r="10207" spans="4:6" x14ac:dyDescent="0.35">
      <c r="D10207" s="66"/>
      <c r="E10207" s="66"/>
      <c r="F10207" s="66"/>
    </row>
    <row r="10208" spans="4:6" x14ac:dyDescent="0.35">
      <c r="D10208" s="66"/>
      <c r="E10208" s="66"/>
      <c r="F10208" s="66"/>
    </row>
    <row r="10209" spans="4:6" x14ac:dyDescent="0.35">
      <c r="D10209" s="66"/>
      <c r="E10209" s="66"/>
      <c r="F10209" s="66"/>
    </row>
    <row r="10210" spans="4:6" x14ac:dyDescent="0.35">
      <c r="D10210" s="66"/>
      <c r="E10210" s="66"/>
      <c r="F10210" s="66"/>
    </row>
    <row r="10211" spans="4:6" x14ac:dyDescent="0.35">
      <c r="D10211" s="66"/>
      <c r="E10211" s="66"/>
      <c r="F10211" s="66"/>
    </row>
    <row r="10212" spans="4:6" x14ac:dyDescent="0.35">
      <c r="D10212" s="66"/>
      <c r="E10212" s="66"/>
      <c r="F10212" s="66"/>
    </row>
    <row r="10213" spans="4:6" x14ac:dyDescent="0.35">
      <c r="D10213" s="66"/>
      <c r="E10213" s="66"/>
      <c r="F10213" s="66"/>
    </row>
    <row r="10214" spans="4:6" x14ac:dyDescent="0.35">
      <c r="D10214" s="66"/>
      <c r="E10214" s="66"/>
      <c r="F10214" s="66"/>
    </row>
    <row r="10215" spans="4:6" x14ac:dyDescent="0.35">
      <c r="D10215" s="66"/>
      <c r="E10215" s="66"/>
      <c r="F10215" s="66"/>
    </row>
    <row r="10216" spans="4:6" x14ac:dyDescent="0.35">
      <c r="D10216" s="66"/>
      <c r="E10216" s="66"/>
      <c r="F10216" s="66"/>
    </row>
    <row r="10217" spans="4:6" x14ac:dyDescent="0.35">
      <c r="D10217" s="66"/>
      <c r="E10217" s="66"/>
      <c r="F10217" s="66"/>
    </row>
    <row r="10218" spans="4:6" x14ac:dyDescent="0.35">
      <c r="D10218" s="66"/>
      <c r="E10218" s="66"/>
      <c r="F10218" s="66"/>
    </row>
    <row r="10219" spans="4:6" x14ac:dyDescent="0.35">
      <c r="D10219" s="66"/>
      <c r="E10219" s="66"/>
      <c r="F10219" s="66"/>
    </row>
    <row r="10220" spans="4:6" x14ac:dyDescent="0.35">
      <c r="D10220" s="66"/>
      <c r="E10220" s="66"/>
      <c r="F10220" s="66"/>
    </row>
    <row r="10221" spans="4:6" x14ac:dyDescent="0.35">
      <c r="D10221" s="66"/>
      <c r="E10221" s="66"/>
      <c r="F10221" s="66"/>
    </row>
    <row r="10222" spans="4:6" x14ac:dyDescent="0.35">
      <c r="D10222" s="66"/>
      <c r="E10222" s="66"/>
      <c r="F10222" s="66"/>
    </row>
    <row r="10223" spans="4:6" x14ac:dyDescent="0.35">
      <c r="D10223" s="66"/>
      <c r="E10223" s="66"/>
      <c r="F10223" s="66"/>
    </row>
    <row r="10224" spans="4:6" x14ac:dyDescent="0.35">
      <c r="D10224" s="66"/>
      <c r="E10224" s="66"/>
      <c r="F10224" s="66"/>
    </row>
    <row r="10225" spans="4:6" x14ac:dyDescent="0.35">
      <c r="D10225" s="66"/>
      <c r="E10225" s="66"/>
      <c r="F10225" s="66"/>
    </row>
    <row r="10226" spans="4:6" x14ac:dyDescent="0.35">
      <c r="D10226" s="66"/>
      <c r="E10226" s="66"/>
      <c r="F10226" s="66"/>
    </row>
    <row r="10227" spans="4:6" x14ac:dyDescent="0.35">
      <c r="D10227" s="66"/>
      <c r="E10227" s="66"/>
      <c r="F10227" s="66"/>
    </row>
    <row r="10228" spans="4:6" x14ac:dyDescent="0.35">
      <c r="D10228" s="66"/>
      <c r="E10228" s="66"/>
      <c r="F10228" s="66"/>
    </row>
    <row r="10229" spans="4:6" x14ac:dyDescent="0.35">
      <c r="D10229" s="66"/>
      <c r="E10229" s="66"/>
      <c r="F10229" s="66"/>
    </row>
    <row r="10230" spans="4:6" x14ac:dyDescent="0.35">
      <c r="D10230" s="66"/>
      <c r="E10230" s="66"/>
      <c r="F10230" s="66"/>
    </row>
    <row r="10231" spans="4:6" x14ac:dyDescent="0.35">
      <c r="D10231" s="66"/>
      <c r="E10231" s="66"/>
      <c r="F10231" s="66"/>
    </row>
    <row r="10232" spans="4:6" x14ac:dyDescent="0.35">
      <c r="D10232" s="66"/>
      <c r="E10232" s="66"/>
      <c r="F10232" s="66"/>
    </row>
    <row r="10233" spans="4:6" x14ac:dyDescent="0.35">
      <c r="D10233" s="66"/>
      <c r="E10233" s="66"/>
      <c r="F10233" s="66"/>
    </row>
    <row r="10234" spans="4:6" x14ac:dyDescent="0.35">
      <c r="D10234" s="66"/>
      <c r="E10234" s="66"/>
      <c r="F10234" s="66"/>
    </row>
    <row r="10235" spans="4:6" x14ac:dyDescent="0.35">
      <c r="D10235" s="66"/>
      <c r="E10235" s="66"/>
      <c r="F10235" s="66"/>
    </row>
    <row r="10236" spans="4:6" x14ac:dyDescent="0.35">
      <c r="D10236" s="66"/>
      <c r="E10236" s="66"/>
      <c r="F10236" s="66"/>
    </row>
    <row r="10237" spans="4:6" x14ac:dyDescent="0.35">
      <c r="D10237" s="66"/>
      <c r="E10237" s="66"/>
      <c r="F10237" s="66"/>
    </row>
    <row r="10238" spans="4:6" x14ac:dyDescent="0.35">
      <c r="D10238" s="66"/>
      <c r="E10238" s="66"/>
      <c r="F10238" s="66"/>
    </row>
    <row r="10239" spans="4:6" x14ac:dyDescent="0.35">
      <c r="D10239" s="66"/>
      <c r="E10239" s="66"/>
      <c r="F10239" s="66"/>
    </row>
    <row r="10240" spans="4:6" x14ac:dyDescent="0.35">
      <c r="D10240" s="66"/>
      <c r="E10240" s="66"/>
      <c r="F10240" s="66"/>
    </row>
    <row r="10241" spans="4:6" x14ac:dyDescent="0.35">
      <c r="D10241" s="66"/>
      <c r="E10241" s="66"/>
      <c r="F10241" s="66"/>
    </row>
    <row r="10242" spans="4:6" x14ac:dyDescent="0.35">
      <c r="D10242" s="66"/>
      <c r="E10242" s="66"/>
      <c r="F10242" s="66"/>
    </row>
    <row r="10243" spans="4:6" x14ac:dyDescent="0.35">
      <c r="D10243" s="66"/>
      <c r="E10243" s="66"/>
      <c r="F10243" s="66"/>
    </row>
    <row r="10244" spans="4:6" x14ac:dyDescent="0.35">
      <c r="D10244" s="66"/>
      <c r="E10244" s="66"/>
      <c r="F10244" s="66"/>
    </row>
    <row r="10245" spans="4:6" x14ac:dyDescent="0.35">
      <c r="D10245" s="66"/>
      <c r="E10245" s="66"/>
      <c r="F10245" s="66"/>
    </row>
    <row r="10246" spans="4:6" x14ac:dyDescent="0.35">
      <c r="D10246" s="66"/>
      <c r="E10246" s="66"/>
      <c r="F10246" s="66"/>
    </row>
    <row r="10247" spans="4:6" x14ac:dyDescent="0.35">
      <c r="D10247" s="66"/>
      <c r="E10247" s="66"/>
      <c r="F10247" s="66"/>
    </row>
    <row r="10248" spans="4:6" x14ac:dyDescent="0.35">
      <c r="D10248" s="66"/>
      <c r="E10248" s="66"/>
      <c r="F10248" s="66"/>
    </row>
    <row r="10249" spans="4:6" x14ac:dyDescent="0.35">
      <c r="D10249" s="66"/>
      <c r="E10249" s="66"/>
      <c r="F10249" s="66"/>
    </row>
    <row r="10250" spans="4:6" x14ac:dyDescent="0.35">
      <c r="D10250" s="66"/>
      <c r="E10250" s="66"/>
      <c r="F10250" s="66"/>
    </row>
    <row r="10251" spans="4:6" x14ac:dyDescent="0.35">
      <c r="D10251" s="66"/>
      <c r="E10251" s="66"/>
      <c r="F10251" s="66"/>
    </row>
    <row r="10252" spans="4:6" x14ac:dyDescent="0.35">
      <c r="D10252" s="66"/>
      <c r="E10252" s="66"/>
      <c r="F10252" s="66"/>
    </row>
    <row r="10253" spans="4:6" x14ac:dyDescent="0.35">
      <c r="D10253" s="66"/>
      <c r="E10253" s="66"/>
      <c r="F10253" s="66"/>
    </row>
    <row r="10254" spans="4:6" x14ac:dyDescent="0.35">
      <c r="D10254" s="66"/>
      <c r="E10254" s="66"/>
      <c r="F10254" s="66"/>
    </row>
    <row r="10255" spans="4:6" x14ac:dyDescent="0.35">
      <c r="D10255" s="66"/>
      <c r="E10255" s="66"/>
      <c r="F10255" s="66"/>
    </row>
    <row r="10256" spans="4:6" x14ac:dyDescent="0.35">
      <c r="D10256" s="66"/>
      <c r="E10256" s="66"/>
      <c r="F10256" s="66"/>
    </row>
    <row r="10257" spans="4:6" x14ac:dyDescent="0.35">
      <c r="D10257" s="66"/>
      <c r="E10257" s="66"/>
      <c r="F10257" s="66"/>
    </row>
    <row r="10258" spans="4:6" x14ac:dyDescent="0.35">
      <c r="D10258" s="66"/>
      <c r="E10258" s="66"/>
      <c r="F10258" s="66"/>
    </row>
    <row r="10259" spans="4:6" x14ac:dyDescent="0.35">
      <c r="D10259" s="66"/>
      <c r="E10259" s="66"/>
      <c r="F10259" s="66"/>
    </row>
    <row r="10260" spans="4:6" x14ac:dyDescent="0.35">
      <c r="D10260" s="66"/>
      <c r="E10260" s="66"/>
      <c r="F10260" s="66"/>
    </row>
    <row r="10261" spans="4:6" x14ac:dyDescent="0.35">
      <c r="D10261" s="66"/>
      <c r="E10261" s="66"/>
      <c r="F10261" s="66"/>
    </row>
    <row r="10262" spans="4:6" x14ac:dyDescent="0.35">
      <c r="D10262" s="66"/>
      <c r="E10262" s="66"/>
      <c r="F10262" s="66"/>
    </row>
    <row r="10263" spans="4:6" x14ac:dyDescent="0.35">
      <c r="D10263" s="66"/>
      <c r="E10263" s="66"/>
      <c r="F10263" s="66"/>
    </row>
    <row r="10264" spans="4:6" x14ac:dyDescent="0.35">
      <c r="D10264" s="66"/>
      <c r="E10264" s="66"/>
      <c r="F10264" s="66"/>
    </row>
    <row r="10265" spans="4:6" x14ac:dyDescent="0.35">
      <c r="D10265" s="66"/>
      <c r="E10265" s="66"/>
      <c r="F10265" s="66"/>
    </row>
    <row r="10266" spans="4:6" x14ac:dyDescent="0.35">
      <c r="D10266" s="66"/>
      <c r="E10266" s="66"/>
      <c r="F10266" s="66"/>
    </row>
    <row r="10267" spans="4:6" x14ac:dyDescent="0.35">
      <c r="D10267" s="66"/>
      <c r="E10267" s="66"/>
      <c r="F10267" s="66"/>
    </row>
    <row r="10268" spans="4:6" x14ac:dyDescent="0.35">
      <c r="D10268" s="66"/>
      <c r="E10268" s="66"/>
      <c r="F10268" s="66"/>
    </row>
    <row r="10269" spans="4:6" x14ac:dyDescent="0.35">
      <c r="D10269" s="66"/>
      <c r="E10269" s="66"/>
      <c r="F10269" s="66"/>
    </row>
    <row r="10270" spans="4:6" x14ac:dyDescent="0.35">
      <c r="D10270" s="66"/>
      <c r="E10270" s="66"/>
      <c r="F10270" s="66"/>
    </row>
    <row r="10271" spans="4:6" x14ac:dyDescent="0.35">
      <c r="D10271" s="66"/>
      <c r="E10271" s="66"/>
      <c r="F10271" s="66"/>
    </row>
    <row r="10272" spans="4:6" x14ac:dyDescent="0.35">
      <c r="D10272" s="66"/>
      <c r="E10272" s="66"/>
      <c r="F10272" s="66"/>
    </row>
    <row r="10273" spans="4:6" x14ac:dyDescent="0.35">
      <c r="D10273" s="66"/>
      <c r="E10273" s="66"/>
      <c r="F10273" s="66"/>
    </row>
    <row r="10274" spans="4:6" x14ac:dyDescent="0.35">
      <c r="D10274" s="66"/>
      <c r="E10274" s="66"/>
      <c r="F10274" s="66"/>
    </row>
    <row r="10275" spans="4:6" x14ac:dyDescent="0.35">
      <c r="D10275" s="66"/>
      <c r="E10275" s="66"/>
      <c r="F10275" s="66"/>
    </row>
    <row r="10276" spans="4:6" x14ac:dyDescent="0.35">
      <c r="D10276" s="66"/>
      <c r="E10276" s="66"/>
      <c r="F10276" s="66"/>
    </row>
    <row r="10277" spans="4:6" x14ac:dyDescent="0.35">
      <c r="D10277" s="66"/>
      <c r="E10277" s="66"/>
      <c r="F10277" s="66"/>
    </row>
    <row r="10278" spans="4:6" x14ac:dyDescent="0.35">
      <c r="D10278" s="66"/>
      <c r="E10278" s="66"/>
      <c r="F10278" s="66"/>
    </row>
    <row r="10279" spans="4:6" x14ac:dyDescent="0.35">
      <c r="D10279" s="66"/>
      <c r="E10279" s="66"/>
      <c r="F10279" s="66"/>
    </row>
    <row r="10280" spans="4:6" x14ac:dyDescent="0.35">
      <c r="D10280" s="66"/>
      <c r="E10280" s="66"/>
      <c r="F10280" s="66"/>
    </row>
    <row r="10281" spans="4:6" x14ac:dyDescent="0.35">
      <c r="D10281" s="66"/>
      <c r="E10281" s="66"/>
      <c r="F10281" s="66"/>
    </row>
    <row r="10282" spans="4:6" x14ac:dyDescent="0.35">
      <c r="D10282" s="66"/>
      <c r="E10282" s="66"/>
      <c r="F10282" s="66"/>
    </row>
    <row r="10283" spans="4:6" x14ac:dyDescent="0.35">
      <c r="D10283" s="66"/>
      <c r="E10283" s="66"/>
      <c r="F10283" s="66"/>
    </row>
    <row r="10284" spans="4:6" x14ac:dyDescent="0.35">
      <c r="D10284" s="66"/>
      <c r="E10284" s="66"/>
      <c r="F10284" s="66"/>
    </row>
    <row r="10285" spans="4:6" x14ac:dyDescent="0.35">
      <c r="D10285" s="66"/>
      <c r="E10285" s="66"/>
      <c r="F10285" s="66"/>
    </row>
    <row r="10286" spans="4:6" x14ac:dyDescent="0.35">
      <c r="D10286" s="66"/>
      <c r="E10286" s="66"/>
      <c r="F10286" s="66"/>
    </row>
    <row r="10287" spans="4:6" x14ac:dyDescent="0.35">
      <c r="D10287" s="66"/>
      <c r="E10287" s="66"/>
      <c r="F10287" s="66"/>
    </row>
    <row r="10288" spans="4:6" x14ac:dyDescent="0.35">
      <c r="D10288" s="66"/>
      <c r="E10288" s="66"/>
      <c r="F10288" s="66"/>
    </row>
    <row r="10289" spans="4:6" x14ac:dyDescent="0.35">
      <c r="D10289" s="66"/>
      <c r="E10289" s="66"/>
      <c r="F10289" s="66"/>
    </row>
    <row r="10290" spans="4:6" x14ac:dyDescent="0.35">
      <c r="D10290" s="66"/>
      <c r="E10290" s="66"/>
      <c r="F10290" s="66"/>
    </row>
    <row r="10291" spans="4:6" x14ac:dyDescent="0.35">
      <c r="D10291" s="66"/>
      <c r="E10291" s="66"/>
      <c r="F10291" s="66"/>
    </row>
    <row r="10292" spans="4:6" x14ac:dyDescent="0.35">
      <c r="D10292" s="66"/>
      <c r="E10292" s="66"/>
      <c r="F10292" s="66"/>
    </row>
    <row r="10293" spans="4:6" x14ac:dyDescent="0.35">
      <c r="D10293" s="66"/>
      <c r="E10293" s="66"/>
      <c r="F10293" s="66"/>
    </row>
    <row r="10294" spans="4:6" x14ac:dyDescent="0.35">
      <c r="D10294" s="66"/>
      <c r="E10294" s="66"/>
      <c r="F10294" s="66"/>
    </row>
    <row r="10295" spans="4:6" x14ac:dyDescent="0.35">
      <c r="D10295" s="66"/>
      <c r="E10295" s="66"/>
      <c r="F10295" s="66"/>
    </row>
    <row r="10296" spans="4:6" x14ac:dyDescent="0.35">
      <c r="D10296" s="66"/>
      <c r="E10296" s="66"/>
      <c r="F10296" s="66"/>
    </row>
    <row r="10297" spans="4:6" x14ac:dyDescent="0.35">
      <c r="D10297" s="66"/>
      <c r="E10297" s="66"/>
      <c r="F10297" s="66"/>
    </row>
    <row r="10298" spans="4:6" x14ac:dyDescent="0.35">
      <c r="D10298" s="66"/>
      <c r="E10298" s="66"/>
      <c r="F10298" s="66"/>
    </row>
    <row r="10299" spans="4:6" x14ac:dyDescent="0.35">
      <c r="D10299" s="66"/>
      <c r="E10299" s="66"/>
      <c r="F10299" s="66"/>
    </row>
    <row r="10300" spans="4:6" x14ac:dyDescent="0.35">
      <c r="D10300" s="66"/>
      <c r="E10300" s="66"/>
      <c r="F10300" s="66"/>
    </row>
    <row r="10301" spans="4:6" x14ac:dyDescent="0.35">
      <c r="D10301" s="66"/>
      <c r="E10301" s="66"/>
      <c r="F10301" s="66"/>
    </row>
    <row r="10302" spans="4:6" x14ac:dyDescent="0.35">
      <c r="D10302" s="66"/>
      <c r="E10302" s="66"/>
      <c r="F10302" s="66"/>
    </row>
    <row r="10303" spans="4:6" x14ac:dyDescent="0.35">
      <c r="D10303" s="66"/>
      <c r="E10303" s="66"/>
      <c r="F10303" s="66"/>
    </row>
    <row r="10304" spans="4:6" x14ac:dyDescent="0.35">
      <c r="D10304" s="66"/>
      <c r="E10304" s="66"/>
      <c r="F10304" s="66"/>
    </row>
    <row r="10305" spans="4:6" x14ac:dyDescent="0.35">
      <c r="D10305" s="66"/>
      <c r="E10305" s="66"/>
      <c r="F10305" s="66"/>
    </row>
    <row r="10306" spans="4:6" x14ac:dyDescent="0.35">
      <c r="D10306" s="66"/>
      <c r="E10306" s="66"/>
      <c r="F10306" s="66"/>
    </row>
    <row r="10307" spans="4:6" x14ac:dyDescent="0.35">
      <c r="D10307" s="66"/>
      <c r="E10307" s="66"/>
      <c r="F10307" s="66"/>
    </row>
    <row r="10308" spans="4:6" x14ac:dyDescent="0.35">
      <c r="D10308" s="66"/>
      <c r="E10308" s="66"/>
      <c r="F10308" s="66"/>
    </row>
    <row r="10309" spans="4:6" x14ac:dyDescent="0.35">
      <c r="D10309" s="66"/>
      <c r="E10309" s="66"/>
      <c r="F10309" s="66"/>
    </row>
    <row r="10310" spans="4:6" x14ac:dyDescent="0.35">
      <c r="D10310" s="66"/>
      <c r="E10310" s="66"/>
      <c r="F10310" s="66"/>
    </row>
    <row r="10311" spans="4:6" x14ac:dyDescent="0.35">
      <c r="D10311" s="66"/>
      <c r="E10311" s="66"/>
      <c r="F10311" s="66"/>
    </row>
    <row r="10312" spans="4:6" x14ac:dyDescent="0.35">
      <c r="D10312" s="66"/>
      <c r="E10312" s="66"/>
      <c r="F10312" s="66"/>
    </row>
    <row r="10313" spans="4:6" x14ac:dyDescent="0.35">
      <c r="D10313" s="66"/>
      <c r="E10313" s="66"/>
      <c r="F10313" s="66"/>
    </row>
    <row r="10314" spans="4:6" x14ac:dyDescent="0.35">
      <c r="D10314" s="66"/>
      <c r="E10314" s="66"/>
      <c r="F10314" s="66"/>
    </row>
    <row r="10315" spans="4:6" x14ac:dyDescent="0.35">
      <c r="D10315" s="66"/>
      <c r="E10315" s="66"/>
      <c r="F10315" s="66"/>
    </row>
    <row r="10316" spans="4:6" x14ac:dyDescent="0.35">
      <c r="D10316" s="66"/>
      <c r="E10316" s="66"/>
      <c r="F10316" s="66"/>
    </row>
    <row r="10317" spans="4:6" x14ac:dyDescent="0.35">
      <c r="D10317" s="66"/>
      <c r="E10317" s="66"/>
      <c r="F10317" s="66"/>
    </row>
    <row r="10318" spans="4:6" x14ac:dyDescent="0.35">
      <c r="D10318" s="66"/>
      <c r="E10318" s="66"/>
      <c r="F10318" s="66"/>
    </row>
    <row r="10319" spans="4:6" x14ac:dyDescent="0.35">
      <c r="D10319" s="66"/>
      <c r="E10319" s="66"/>
      <c r="F10319" s="66"/>
    </row>
    <row r="10320" spans="4:6" x14ac:dyDescent="0.35">
      <c r="D10320" s="66"/>
      <c r="E10320" s="66"/>
      <c r="F10320" s="66"/>
    </row>
    <row r="10321" spans="4:6" x14ac:dyDescent="0.35">
      <c r="D10321" s="66"/>
      <c r="E10321" s="66"/>
      <c r="F10321" s="66"/>
    </row>
    <row r="10322" spans="4:6" x14ac:dyDescent="0.35">
      <c r="D10322" s="66"/>
      <c r="E10322" s="66"/>
      <c r="F10322" s="66"/>
    </row>
    <row r="10323" spans="4:6" x14ac:dyDescent="0.35">
      <c r="D10323" s="66"/>
      <c r="E10323" s="66"/>
      <c r="F10323" s="66"/>
    </row>
    <row r="10324" spans="4:6" x14ac:dyDescent="0.35">
      <c r="D10324" s="66"/>
      <c r="E10324" s="66"/>
      <c r="F10324" s="66"/>
    </row>
    <row r="10325" spans="4:6" x14ac:dyDescent="0.35">
      <c r="D10325" s="66"/>
      <c r="E10325" s="66"/>
      <c r="F10325" s="66"/>
    </row>
    <row r="10326" spans="4:6" x14ac:dyDescent="0.35">
      <c r="D10326" s="66"/>
      <c r="E10326" s="66"/>
      <c r="F10326" s="66"/>
    </row>
    <row r="10327" spans="4:6" x14ac:dyDescent="0.35">
      <c r="D10327" s="66"/>
      <c r="E10327" s="66"/>
      <c r="F10327" s="66"/>
    </row>
    <row r="10328" spans="4:6" x14ac:dyDescent="0.35">
      <c r="D10328" s="66"/>
      <c r="E10328" s="66"/>
      <c r="F10328" s="66"/>
    </row>
    <row r="10329" spans="4:6" x14ac:dyDescent="0.35">
      <c r="D10329" s="66"/>
      <c r="E10329" s="66"/>
      <c r="F10329" s="66"/>
    </row>
    <row r="10330" spans="4:6" x14ac:dyDescent="0.35">
      <c r="D10330" s="66"/>
      <c r="E10330" s="66"/>
      <c r="F10330" s="66"/>
    </row>
    <row r="10331" spans="4:6" x14ac:dyDescent="0.35">
      <c r="D10331" s="66"/>
      <c r="E10331" s="66"/>
      <c r="F10331" s="66"/>
    </row>
    <row r="10332" spans="4:6" x14ac:dyDescent="0.35">
      <c r="D10332" s="66"/>
      <c r="E10332" s="66"/>
      <c r="F10332" s="66"/>
    </row>
    <row r="10333" spans="4:6" x14ac:dyDescent="0.35">
      <c r="D10333" s="66"/>
      <c r="E10333" s="66"/>
      <c r="F10333" s="66"/>
    </row>
    <row r="10334" spans="4:6" x14ac:dyDescent="0.35">
      <c r="D10334" s="66"/>
      <c r="E10334" s="66"/>
      <c r="F10334" s="66"/>
    </row>
    <row r="10335" spans="4:6" x14ac:dyDescent="0.35">
      <c r="D10335" s="66"/>
      <c r="E10335" s="66"/>
      <c r="F10335" s="66"/>
    </row>
    <row r="10336" spans="4:6" x14ac:dyDescent="0.35">
      <c r="D10336" s="66"/>
      <c r="E10336" s="66"/>
      <c r="F10336" s="66"/>
    </row>
    <row r="10337" spans="4:6" x14ac:dyDescent="0.35">
      <c r="D10337" s="66"/>
      <c r="E10337" s="66"/>
      <c r="F10337" s="66"/>
    </row>
    <row r="10338" spans="4:6" x14ac:dyDescent="0.35">
      <c r="D10338" s="66"/>
      <c r="E10338" s="66"/>
      <c r="F10338" s="66"/>
    </row>
    <row r="10339" spans="4:6" x14ac:dyDescent="0.35">
      <c r="D10339" s="66"/>
      <c r="E10339" s="66"/>
      <c r="F10339" s="66"/>
    </row>
    <row r="10340" spans="4:6" x14ac:dyDescent="0.35">
      <c r="D10340" s="66"/>
      <c r="E10340" s="66"/>
      <c r="F10340" s="66"/>
    </row>
    <row r="10341" spans="4:6" x14ac:dyDescent="0.35">
      <c r="D10341" s="66"/>
      <c r="E10341" s="66"/>
      <c r="F10341" s="66"/>
    </row>
    <row r="10342" spans="4:6" x14ac:dyDescent="0.35">
      <c r="D10342" s="66"/>
      <c r="E10342" s="66"/>
      <c r="F10342" s="66"/>
    </row>
    <row r="10343" spans="4:6" x14ac:dyDescent="0.35">
      <c r="D10343" s="66"/>
      <c r="E10343" s="66"/>
      <c r="F10343" s="66"/>
    </row>
    <row r="10344" spans="4:6" x14ac:dyDescent="0.35">
      <c r="D10344" s="66"/>
      <c r="E10344" s="66"/>
      <c r="F10344" s="66"/>
    </row>
    <row r="10345" spans="4:6" x14ac:dyDescent="0.35">
      <c r="D10345" s="66"/>
      <c r="E10345" s="66"/>
      <c r="F10345" s="66"/>
    </row>
    <row r="10346" spans="4:6" x14ac:dyDescent="0.35">
      <c r="D10346" s="66"/>
      <c r="E10346" s="66"/>
      <c r="F10346" s="66"/>
    </row>
    <row r="10347" spans="4:6" x14ac:dyDescent="0.35">
      <c r="D10347" s="66"/>
      <c r="E10347" s="66"/>
      <c r="F10347" s="66"/>
    </row>
    <row r="10348" spans="4:6" x14ac:dyDescent="0.35">
      <c r="D10348" s="66"/>
      <c r="E10348" s="66"/>
      <c r="F10348" s="66"/>
    </row>
    <row r="10349" spans="4:6" x14ac:dyDescent="0.35">
      <c r="D10349" s="66"/>
      <c r="E10349" s="66"/>
      <c r="F10349" s="66"/>
    </row>
    <row r="10350" spans="4:6" x14ac:dyDescent="0.35">
      <c r="D10350" s="66"/>
      <c r="E10350" s="66"/>
      <c r="F10350" s="66"/>
    </row>
    <row r="10351" spans="4:6" x14ac:dyDescent="0.35">
      <c r="D10351" s="66"/>
      <c r="E10351" s="66"/>
      <c r="F10351" s="66"/>
    </row>
    <row r="10352" spans="4:6" x14ac:dyDescent="0.35">
      <c r="D10352" s="66"/>
      <c r="E10352" s="66"/>
      <c r="F10352" s="66"/>
    </row>
    <row r="10353" spans="4:6" x14ac:dyDescent="0.35">
      <c r="D10353" s="66"/>
      <c r="E10353" s="66"/>
      <c r="F10353" s="66"/>
    </row>
    <row r="10354" spans="4:6" x14ac:dyDescent="0.35">
      <c r="D10354" s="66"/>
      <c r="E10354" s="66"/>
      <c r="F10354" s="66"/>
    </row>
    <row r="10355" spans="4:6" x14ac:dyDescent="0.35">
      <c r="D10355" s="66"/>
      <c r="E10355" s="66"/>
      <c r="F10355" s="66"/>
    </row>
    <row r="10356" spans="4:6" x14ac:dyDescent="0.35">
      <c r="D10356" s="66"/>
      <c r="E10356" s="66"/>
      <c r="F10356" s="66"/>
    </row>
    <row r="10357" spans="4:6" x14ac:dyDescent="0.35">
      <c r="D10357" s="66"/>
      <c r="E10357" s="66"/>
      <c r="F10357" s="66"/>
    </row>
    <row r="10358" spans="4:6" x14ac:dyDescent="0.35">
      <c r="D10358" s="66"/>
      <c r="E10358" s="66"/>
      <c r="F10358" s="66"/>
    </row>
    <row r="10359" spans="4:6" x14ac:dyDescent="0.35">
      <c r="D10359" s="66"/>
      <c r="E10359" s="66"/>
      <c r="F10359" s="66"/>
    </row>
    <row r="10360" spans="4:6" x14ac:dyDescent="0.35">
      <c r="D10360" s="66"/>
      <c r="E10360" s="66"/>
      <c r="F10360" s="66"/>
    </row>
    <row r="10361" spans="4:6" x14ac:dyDescent="0.35">
      <c r="D10361" s="66"/>
      <c r="E10361" s="66"/>
      <c r="F10361" s="66"/>
    </row>
    <row r="10362" spans="4:6" x14ac:dyDescent="0.35">
      <c r="D10362" s="66"/>
      <c r="E10362" s="66"/>
      <c r="F10362" s="66"/>
    </row>
    <row r="10363" spans="4:6" x14ac:dyDescent="0.35">
      <c r="D10363" s="66"/>
      <c r="E10363" s="66"/>
      <c r="F10363" s="66"/>
    </row>
    <row r="10364" spans="4:6" x14ac:dyDescent="0.35">
      <c r="D10364" s="66"/>
      <c r="E10364" s="66"/>
      <c r="F10364" s="66"/>
    </row>
    <row r="10365" spans="4:6" x14ac:dyDescent="0.35">
      <c r="D10365" s="66"/>
      <c r="E10365" s="66"/>
      <c r="F10365" s="66"/>
    </row>
    <row r="10366" spans="4:6" x14ac:dyDescent="0.35">
      <c r="D10366" s="66"/>
      <c r="E10366" s="66"/>
      <c r="F10366" s="66"/>
    </row>
    <row r="10367" spans="4:6" x14ac:dyDescent="0.35">
      <c r="D10367" s="66"/>
      <c r="E10367" s="66"/>
      <c r="F10367" s="66"/>
    </row>
    <row r="10368" spans="4:6" x14ac:dyDescent="0.35">
      <c r="D10368" s="66"/>
      <c r="E10368" s="66"/>
      <c r="F10368" s="66"/>
    </row>
    <row r="10369" spans="4:6" x14ac:dyDescent="0.35">
      <c r="D10369" s="66"/>
      <c r="E10369" s="66"/>
      <c r="F10369" s="66"/>
    </row>
    <row r="10370" spans="4:6" x14ac:dyDescent="0.35">
      <c r="D10370" s="66"/>
      <c r="E10370" s="66"/>
      <c r="F10370" s="66"/>
    </row>
    <row r="10371" spans="4:6" x14ac:dyDescent="0.35">
      <c r="D10371" s="66"/>
      <c r="E10371" s="66"/>
      <c r="F10371" s="66"/>
    </row>
    <row r="10372" spans="4:6" x14ac:dyDescent="0.35">
      <c r="D10372" s="66"/>
      <c r="E10372" s="66"/>
      <c r="F10372" s="66"/>
    </row>
    <row r="10373" spans="4:6" x14ac:dyDescent="0.35">
      <c r="D10373" s="66"/>
      <c r="E10373" s="66"/>
      <c r="F10373" s="66"/>
    </row>
    <row r="10374" spans="4:6" x14ac:dyDescent="0.35">
      <c r="D10374" s="66"/>
      <c r="E10374" s="66"/>
      <c r="F10374" s="66"/>
    </row>
    <row r="10375" spans="4:6" x14ac:dyDescent="0.35">
      <c r="D10375" s="66"/>
      <c r="E10375" s="66"/>
      <c r="F10375" s="66"/>
    </row>
    <row r="10376" spans="4:6" x14ac:dyDescent="0.35">
      <c r="D10376" s="66"/>
      <c r="E10376" s="66"/>
      <c r="F10376" s="66"/>
    </row>
    <row r="10377" spans="4:6" x14ac:dyDescent="0.35">
      <c r="D10377" s="66"/>
      <c r="E10377" s="66"/>
      <c r="F10377" s="66"/>
    </row>
    <row r="10378" spans="4:6" x14ac:dyDescent="0.35">
      <c r="D10378" s="66"/>
      <c r="E10378" s="66"/>
      <c r="F10378" s="66"/>
    </row>
    <row r="10379" spans="4:6" x14ac:dyDescent="0.35">
      <c r="D10379" s="66"/>
      <c r="E10379" s="66"/>
      <c r="F10379" s="66"/>
    </row>
    <row r="10380" spans="4:6" x14ac:dyDescent="0.35">
      <c r="D10380" s="66"/>
      <c r="E10380" s="66"/>
      <c r="F10380" s="66"/>
    </row>
    <row r="10381" spans="4:6" x14ac:dyDescent="0.35">
      <c r="D10381" s="66"/>
      <c r="E10381" s="66"/>
      <c r="F10381" s="66"/>
    </row>
    <row r="10382" spans="4:6" x14ac:dyDescent="0.35">
      <c r="D10382" s="66"/>
      <c r="E10382" s="66"/>
      <c r="F10382" s="66"/>
    </row>
    <row r="10383" spans="4:6" x14ac:dyDescent="0.35">
      <c r="D10383" s="66"/>
      <c r="E10383" s="66"/>
      <c r="F10383" s="66"/>
    </row>
    <row r="10384" spans="4:6" x14ac:dyDescent="0.35">
      <c r="D10384" s="66"/>
      <c r="E10384" s="66"/>
      <c r="F10384" s="66"/>
    </row>
    <row r="10385" spans="4:6" x14ac:dyDescent="0.35">
      <c r="D10385" s="66"/>
      <c r="E10385" s="66"/>
      <c r="F10385" s="66"/>
    </row>
    <row r="10386" spans="4:6" x14ac:dyDescent="0.35">
      <c r="D10386" s="66"/>
      <c r="E10386" s="66"/>
      <c r="F10386" s="66"/>
    </row>
    <row r="10387" spans="4:6" x14ac:dyDescent="0.35">
      <c r="D10387" s="66"/>
      <c r="E10387" s="66"/>
      <c r="F10387" s="66"/>
    </row>
    <row r="10388" spans="4:6" x14ac:dyDescent="0.35">
      <c r="D10388" s="66"/>
      <c r="E10388" s="66"/>
      <c r="F10388" s="66"/>
    </row>
    <row r="10389" spans="4:6" x14ac:dyDescent="0.35">
      <c r="D10389" s="66"/>
      <c r="E10389" s="66"/>
      <c r="F10389" s="66"/>
    </row>
    <row r="10390" spans="4:6" x14ac:dyDescent="0.35">
      <c r="D10390" s="66"/>
      <c r="E10390" s="66"/>
      <c r="F10390" s="66"/>
    </row>
    <row r="10391" spans="4:6" x14ac:dyDescent="0.35">
      <c r="D10391" s="66"/>
      <c r="E10391" s="66"/>
      <c r="F10391" s="66"/>
    </row>
    <row r="10392" spans="4:6" x14ac:dyDescent="0.35">
      <c r="D10392" s="66"/>
      <c r="E10392" s="66"/>
      <c r="F10392" s="66"/>
    </row>
    <row r="10393" spans="4:6" x14ac:dyDescent="0.35">
      <c r="D10393" s="66"/>
      <c r="E10393" s="66"/>
      <c r="F10393" s="66"/>
    </row>
    <row r="10394" spans="4:6" x14ac:dyDescent="0.35">
      <c r="D10394" s="66"/>
      <c r="E10394" s="66"/>
      <c r="F10394" s="66"/>
    </row>
    <row r="10395" spans="4:6" x14ac:dyDescent="0.35">
      <c r="D10395" s="66"/>
      <c r="E10395" s="66"/>
      <c r="F10395" s="66"/>
    </row>
    <row r="10396" spans="4:6" x14ac:dyDescent="0.35">
      <c r="D10396" s="66"/>
      <c r="E10396" s="66"/>
      <c r="F10396" s="66"/>
    </row>
    <row r="10397" spans="4:6" x14ac:dyDescent="0.35">
      <c r="D10397" s="66"/>
      <c r="E10397" s="66"/>
      <c r="F10397" s="66"/>
    </row>
    <row r="10398" spans="4:6" x14ac:dyDescent="0.35">
      <c r="D10398" s="66"/>
      <c r="E10398" s="66"/>
      <c r="F10398" s="66"/>
    </row>
    <row r="10399" spans="4:6" x14ac:dyDescent="0.35">
      <c r="D10399" s="66"/>
      <c r="E10399" s="66"/>
      <c r="F10399" s="66"/>
    </row>
    <row r="10400" spans="4:6" x14ac:dyDescent="0.35">
      <c r="D10400" s="66"/>
      <c r="E10400" s="66"/>
      <c r="F10400" s="66"/>
    </row>
    <row r="10401" spans="4:6" x14ac:dyDescent="0.35">
      <c r="D10401" s="66"/>
      <c r="E10401" s="66"/>
      <c r="F10401" s="66"/>
    </row>
    <row r="10402" spans="4:6" x14ac:dyDescent="0.35">
      <c r="D10402" s="66"/>
      <c r="E10402" s="66"/>
      <c r="F10402" s="66"/>
    </row>
    <row r="10403" spans="4:6" x14ac:dyDescent="0.35">
      <c r="D10403" s="66"/>
      <c r="E10403" s="66"/>
      <c r="F10403" s="66"/>
    </row>
    <row r="10404" spans="4:6" x14ac:dyDescent="0.35">
      <c r="D10404" s="66"/>
      <c r="E10404" s="66"/>
      <c r="F10404" s="66"/>
    </row>
    <row r="10405" spans="4:6" x14ac:dyDescent="0.35">
      <c r="D10405" s="66"/>
      <c r="E10405" s="66"/>
      <c r="F10405" s="66"/>
    </row>
    <row r="10406" spans="4:6" x14ac:dyDescent="0.35">
      <c r="D10406" s="66"/>
      <c r="E10406" s="66"/>
      <c r="F10406" s="66"/>
    </row>
    <row r="10407" spans="4:6" x14ac:dyDescent="0.35">
      <c r="D10407" s="66"/>
      <c r="E10407" s="66"/>
      <c r="F10407" s="66"/>
    </row>
    <row r="10408" spans="4:6" x14ac:dyDescent="0.35">
      <c r="D10408" s="66"/>
      <c r="E10408" s="66"/>
      <c r="F10408" s="66"/>
    </row>
    <row r="10409" spans="4:6" x14ac:dyDescent="0.35">
      <c r="D10409" s="66"/>
      <c r="E10409" s="66"/>
      <c r="F10409" s="66"/>
    </row>
    <row r="10410" spans="4:6" x14ac:dyDescent="0.35">
      <c r="D10410" s="66"/>
      <c r="E10410" s="66"/>
      <c r="F10410" s="66"/>
    </row>
    <row r="10411" spans="4:6" x14ac:dyDescent="0.35">
      <c r="D10411" s="66"/>
      <c r="E10411" s="66"/>
      <c r="F10411" s="66"/>
    </row>
    <row r="10412" spans="4:6" x14ac:dyDescent="0.35">
      <c r="D10412" s="66"/>
      <c r="E10412" s="66"/>
      <c r="F10412" s="66"/>
    </row>
    <row r="10413" spans="4:6" x14ac:dyDescent="0.35">
      <c r="D10413" s="66"/>
      <c r="E10413" s="66"/>
      <c r="F10413" s="66"/>
    </row>
    <row r="10414" spans="4:6" x14ac:dyDescent="0.35">
      <c r="D10414" s="66"/>
      <c r="E10414" s="66"/>
      <c r="F10414" s="66"/>
    </row>
    <row r="10415" spans="4:6" x14ac:dyDescent="0.35">
      <c r="D10415" s="66"/>
      <c r="E10415" s="66"/>
      <c r="F10415" s="66"/>
    </row>
    <row r="10416" spans="4:6" x14ac:dyDescent="0.35">
      <c r="D10416" s="66"/>
      <c r="E10416" s="66"/>
      <c r="F10416" s="66"/>
    </row>
    <row r="10417" spans="4:6" x14ac:dyDescent="0.35">
      <c r="D10417" s="66"/>
      <c r="E10417" s="66"/>
      <c r="F10417" s="66"/>
    </row>
    <row r="10418" spans="4:6" x14ac:dyDescent="0.35">
      <c r="D10418" s="66"/>
      <c r="E10418" s="66"/>
      <c r="F10418" s="66"/>
    </row>
    <row r="10419" spans="4:6" x14ac:dyDescent="0.35">
      <c r="D10419" s="66"/>
      <c r="E10419" s="66"/>
      <c r="F10419" s="66"/>
    </row>
    <row r="10420" spans="4:6" x14ac:dyDescent="0.35">
      <c r="D10420" s="66"/>
      <c r="E10420" s="66"/>
      <c r="F10420" s="66"/>
    </row>
    <row r="10421" spans="4:6" x14ac:dyDescent="0.35">
      <c r="D10421" s="66"/>
      <c r="E10421" s="66"/>
      <c r="F10421" s="66"/>
    </row>
    <row r="10422" spans="4:6" x14ac:dyDescent="0.35">
      <c r="D10422" s="66"/>
      <c r="E10422" s="66"/>
      <c r="F10422" s="66"/>
    </row>
    <row r="10423" spans="4:6" x14ac:dyDescent="0.35">
      <c r="D10423" s="66"/>
      <c r="E10423" s="66"/>
      <c r="F10423" s="66"/>
    </row>
    <row r="10424" spans="4:6" x14ac:dyDescent="0.35">
      <c r="D10424" s="66"/>
      <c r="E10424" s="66"/>
      <c r="F10424" s="66"/>
    </row>
    <row r="10425" spans="4:6" x14ac:dyDescent="0.35">
      <c r="D10425" s="66"/>
      <c r="E10425" s="66"/>
      <c r="F10425" s="66"/>
    </row>
    <row r="10426" spans="4:6" x14ac:dyDescent="0.35">
      <c r="D10426" s="66"/>
      <c r="E10426" s="66"/>
      <c r="F10426" s="66"/>
    </row>
    <row r="10427" spans="4:6" x14ac:dyDescent="0.35">
      <c r="D10427" s="66"/>
      <c r="E10427" s="66"/>
      <c r="F10427" s="66"/>
    </row>
    <row r="10428" spans="4:6" x14ac:dyDescent="0.35">
      <c r="D10428" s="66"/>
      <c r="E10428" s="66"/>
      <c r="F10428" s="66"/>
    </row>
    <row r="10429" spans="4:6" x14ac:dyDescent="0.35">
      <c r="D10429" s="66"/>
      <c r="E10429" s="66"/>
      <c r="F10429" s="66"/>
    </row>
    <row r="10430" spans="4:6" x14ac:dyDescent="0.35">
      <c r="D10430" s="66"/>
      <c r="E10430" s="66"/>
      <c r="F10430" s="66"/>
    </row>
    <row r="10431" spans="4:6" x14ac:dyDescent="0.35">
      <c r="D10431" s="66"/>
      <c r="E10431" s="66"/>
      <c r="F10431" s="66"/>
    </row>
    <row r="10432" spans="4:6" x14ac:dyDescent="0.35">
      <c r="D10432" s="66"/>
      <c r="E10432" s="66"/>
      <c r="F10432" s="66"/>
    </row>
    <row r="10433" spans="4:6" x14ac:dyDescent="0.35">
      <c r="D10433" s="66"/>
      <c r="E10433" s="66"/>
      <c r="F10433" s="66"/>
    </row>
    <row r="10434" spans="4:6" x14ac:dyDescent="0.35">
      <c r="D10434" s="66"/>
      <c r="E10434" s="66"/>
      <c r="F10434" s="66"/>
    </row>
    <row r="10435" spans="4:6" x14ac:dyDescent="0.35">
      <c r="D10435" s="66"/>
      <c r="E10435" s="66"/>
      <c r="F10435" s="66"/>
    </row>
    <row r="10436" spans="4:6" x14ac:dyDescent="0.35">
      <c r="D10436" s="66"/>
      <c r="E10436" s="66"/>
      <c r="F10436" s="66"/>
    </row>
    <row r="10437" spans="4:6" x14ac:dyDescent="0.35">
      <c r="D10437" s="66"/>
      <c r="E10437" s="66"/>
      <c r="F10437" s="66"/>
    </row>
    <row r="10438" spans="4:6" x14ac:dyDescent="0.35">
      <c r="D10438" s="66"/>
      <c r="E10438" s="66"/>
      <c r="F10438" s="66"/>
    </row>
    <row r="10439" spans="4:6" x14ac:dyDescent="0.35">
      <c r="D10439" s="66"/>
      <c r="E10439" s="66"/>
      <c r="F10439" s="66"/>
    </row>
    <row r="10440" spans="4:6" x14ac:dyDescent="0.35">
      <c r="D10440" s="66"/>
      <c r="E10440" s="66"/>
      <c r="F10440" s="66"/>
    </row>
    <row r="10441" spans="4:6" x14ac:dyDescent="0.35">
      <c r="D10441" s="66"/>
      <c r="E10441" s="66"/>
      <c r="F10441" s="66"/>
    </row>
    <row r="10442" spans="4:6" x14ac:dyDescent="0.35">
      <c r="D10442" s="66"/>
      <c r="E10442" s="66"/>
      <c r="F10442" s="66"/>
    </row>
    <row r="10443" spans="4:6" x14ac:dyDescent="0.35">
      <c r="D10443" s="66"/>
      <c r="E10443" s="66"/>
      <c r="F10443" s="66"/>
    </row>
    <row r="10444" spans="4:6" x14ac:dyDescent="0.35">
      <c r="D10444" s="66"/>
      <c r="E10444" s="66"/>
      <c r="F10444" s="66"/>
    </row>
    <row r="10445" spans="4:6" x14ac:dyDescent="0.35">
      <c r="D10445" s="66"/>
      <c r="E10445" s="66"/>
      <c r="F10445" s="66"/>
    </row>
    <row r="10446" spans="4:6" x14ac:dyDescent="0.35">
      <c r="D10446" s="66"/>
      <c r="E10446" s="66"/>
      <c r="F10446" s="66"/>
    </row>
    <row r="10447" spans="4:6" x14ac:dyDescent="0.35">
      <c r="D10447" s="66"/>
      <c r="E10447" s="66"/>
      <c r="F10447" s="66"/>
    </row>
    <row r="10448" spans="4:6" x14ac:dyDescent="0.35">
      <c r="D10448" s="66"/>
      <c r="E10448" s="66"/>
      <c r="F10448" s="66"/>
    </row>
    <row r="10449" spans="4:6" x14ac:dyDescent="0.35">
      <c r="D10449" s="66"/>
      <c r="E10449" s="66"/>
      <c r="F10449" s="66"/>
    </row>
    <row r="10450" spans="4:6" x14ac:dyDescent="0.35">
      <c r="D10450" s="66"/>
      <c r="E10450" s="66"/>
      <c r="F10450" s="66"/>
    </row>
    <row r="10451" spans="4:6" x14ac:dyDescent="0.35">
      <c r="D10451" s="66"/>
      <c r="E10451" s="66"/>
      <c r="F10451" s="66"/>
    </row>
    <row r="10452" spans="4:6" x14ac:dyDescent="0.35">
      <c r="D10452" s="66"/>
      <c r="E10452" s="66"/>
      <c r="F10452" s="66"/>
    </row>
    <row r="10453" spans="4:6" x14ac:dyDescent="0.35">
      <c r="D10453" s="66"/>
      <c r="E10453" s="66"/>
      <c r="F10453" s="66"/>
    </row>
    <row r="10454" spans="4:6" x14ac:dyDescent="0.35">
      <c r="D10454" s="66"/>
      <c r="E10454" s="66"/>
      <c r="F10454" s="66"/>
    </row>
    <row r="10455" spans="4:6" x14ac:dyDescent="0.35">
      <c r="D10455" s="66"/>
      <c r="E10455" s="66"/>
      <c r="F10455" s="66"/>
    </row>
    <row r="10456" spans="4:6" x14ac:dyDescent="0.35">
      <c r="D10456" s="66"/>
      <c r="E10456" s="66"/>
      <c r="F10456" s="66"/>
    </row>
    <row r="10457" spans="4:6" x14ac:dyDescent="0.35">
      <c r="D10457" s="66"/>
      <c r="E10457" s="66"/>
      <c r="F10457" s="66"/>
    </row>
    <row r="10458" spans="4:6" x14ac:dyDescent="0.35">
      <c r="D10458" s="66"/>
      <c r="E10458" s="66"/>
      <c r="F10458" s="66"/>
    </row>
    <row r="10459" spans="4:6" x14ac:dyDescent="0.35">
      <c r="D10459" s="66"/>
      <c r="E10459" s="66"/>
      <c r="F10459" s="66"/>
    </row>
    <row r="10460" spans="4:6" x14ac:dyDescent="0.35">
      <c r="D10460" s="66"/>
      <c r="E10460" s="66"/>
      <c r="F10460" s="66"/>
    </row>
    <row r="10461" spans="4:6" x14ac:dyDescent="0.35">
      <c r="D10461" s="66"/>
      <c r="E10461" s="66"/>
      <c r="F10461" s="66"/>
    </row>
    <row r="10462" spans="4:6" x14ac:dyDescent="0.35">
      <c r="D10462" s="66"/>
      <c r="E10462" s="66"/>
      <c r="F10462" s="66"/>
    </row>
    <row r="10463" spans="4:6" x14ac:dyDescent="0.35">
      <c r="D10463" s="66"/>
      <c r="E10463" s="66"/>
      <c r="F10463" s="66"/>
    </row>
    <row r="10464" spans="4:6" x14ac:dyDescent="0.35">
      <c r="D10464" s="66"/>
      <c r="E10464" s="66"/>
      <c r="F10464" s="66"/>
    </row>
    <row r="10465" spans="4:6" x14ac:dyDescent="0.35">
      <c r="D10465" s="66"/>
      <c r="E10465" s="66"/>
      <c r="F10465" s="66"/>
    </row>
    <row r="10466" spans="4:6" x14ac:dyDescent="0.35">
      <c r="D10466" s="66"/>
      <c r="E10466" s="66"/>
      <c r="F10466" s="66"/>
    </row>
    <row r="10467" spans="4:6" x14ac:dyDescent="0.35">
      <c r="D10467" s="66"/>
      <c r="E10467" s="66"/>
      <c r="F10467" s="66"/>
    </row>
    <row r="10468" spans="4:6" x14ac:dyDescent="0.35">
      <c r="D10468" s="66"/>
      <c r="E10468" s="66"/>
      <c r="F10468" s="66"/>
    </row>
    <row r="10469" spans="4:6" x14ac:dyDescent="0.35">
      <c r="D10469" s="66"/>
      <c r="E10469" s="66"/>
      <c r="F10469" s="66"/>
    </row>
    <row r="10470" spans="4:6" x14ac:dyDescent="0.35">
      <c r="D10470" s="66"/>
      <c r="E10470" s="66"/>
      <c r="F10470" s="66"/>
    </row>
    <row r="10471" spans="4:6" x14ac:dyDescent="0.35">
      <c r="D10471" s="66"/>
      <c r="E10471" s="66"/>
      <c r="F10471" s="66"/>
    </row>
    <row r="10472" spans="4:6" x14ac:dyDescent="0.35">
      <c r="D10472" s="66"/>
      <c r="E10472" s="66"/>
      <c r="F10472" s="66"/>
    </row>
    <row r="10473" spans="4:6" x14ac:dyDescent="0.35">
      <c r="D10473" s="66"/>
      <c r="E10473" s="66"/>
      <c r="F10473" s="66"/>
    </row>
    <row r="10474" spans="4:6" x14ac:dyDescent="0.35">
      <c r="D10474" s="66"/>
      <c r="E10474" s="66"/>
      <c r="F10474" s="66"/>
    </row>
    <row r="10475" spans="4:6" x14ac:dyDescent="0.35">
      <c r="D10475" s="66"/>
      <c r="E10475" s="66"/>
      <c r="F10475" s="66"/>
    </row>
    <row r="10476" spans="4:6" x14ac:dyDescent="0.35">
      <c r="D10476" s="66"/>
      <c r="E10476" s="66"/>
      <c r="F10476" s="66"/>
    </row>
    <row r="10477" spans="4:6" x14ac:dyDescent="0.35">
      <c r="D10477" s="66"/>
      <c r="E10477" s="66"/>
      <c r="F10477" s="66"/>
    </row>
    <row r="10478" spans="4:6" x14ac:dyDescent="0.35">
      <c r="D10478" s="66"/>
      <c r="E10478" s="66"/>
      <c r="F10478" s="66"/>
    </row>
    <row r="10479" spans="4:6" x14ac:dyDescent="0.35">
      <c r="D10479" s="66"/>
      <c r="E10479" s="66"/>
      <c r="F10479" s="66"/>
    </row>
    <row r="10480" spans="4:6" x14ac:dyDescent="0.35">
      <c r="D10480" s="66"/>
      <c r="E10480" s="66"/>
      <c r="F10480" s="66"/>
    </row>
    <row r="10481" spans="4:6" x14ac:dyDescent="0.35">
      <c r="D10481" s="66"/>
      <c r="E10481" s="66"/>
      <c r="F10481" s="66"/>
    </row>
    <row r="10482" spans="4:6" x14ac:dyDescent="0.35">
      <c r="D10482" s="66"/>
      <c r="E10482" s="66"/>
      <c r="F10482" s="66"/>
    </row>
    <row r="10483" spans="4:6" x14ac:dyDescent="0.35">
      <c r="D10483" s="66"/>
      <c r="E10483" s="66"/>
      <c r="F10483" s="66"/>
    </row>
    <row r="10484" spans="4:6" x14ac:dyDescent="0.35">
      <c r="D10484" s="66"/>
      <c r="E10484" s="66"/>
      <c r="F10484" s="66"/>
    </row>
    <row r="10485" spans="4:6" x14ac:dyDescent="0.35">
      <c r="D10485" s="66"/>
      <c r="E10485" s="66"/>
      <c r="F10485" s="66"/>
    </row>
    <row r="10486" spans="4:6" x14ac:dyDescent="0.35">
      <c r="D10486" s="66"/>
      <c r="E10486" s="66"/>
      <c r="F10486" s="66"/>
    </row>
    <row r="10487" spans="4:6" x14ac:dyDescent="0.35">
      <c r="D10487" s="66"/>
      <c r="E10487" s="66"/>
      <c r="F10487" s="66"/>
    </row>
    <row r="10488" spans="4:6" x14ac:dyDescent="0.35">
      <c r="D10488" s="66"/>
      <c r="E10488" s="66"/>
      <c r="F10488" s="66"/>
    </row>
    <row r="10489" spans="4:6" x14ac:dyDescent="0.35">
      <c r="D10489" s="66"/>
      <c r="E10489" s="66"/>
      <c r="F10489" s="66"/>
    </row>
    <row r="10490" spans="4:6" x14ac:dyDescent="0.35">
      <c r="D10490" s="66"/>
      <c r="E10490" s="66"/>
      <c r="F10490" s="66"/>
    </row>
    <row r="10491" spans="4:6" x14ac:dyDescent="0.35">
      <c r="D10491" s="66"/>
      <c r="E10491" s="66"/>
      <c r="F10491" s="66"/>
    </row>
    <row r="10492" spans="4:6" x14ac:dyDescent="0.35">
      <c r="D10492" s="66"/>
      <c r="E10492" s="66"/>
      <c r="F10492" s="66"/>
    </row>
    <row r="10493" spans="4:6" x14ac:dyDescent="0.35">
      <c r="D10493" s="66"/>
      <c r="E10493" s="66"/>
      <c r="F10493" s="66"/>
    </row>
    <row r="10494" spans="4:6" x14ac:dyDescent="0.35">
      <c r="D10494" s="66"/>
      <c r="E10494" s="66"/>
      <c r="F10494" s="66"/>
    </row>
    <row r="10495" spans="4:6" x14ac:dyDescent="0.35">
      <c r="D10495" s="66"/>
      <c r="E10495" s="66"/>
      <c r="F10495" s="66"/>
    </row>
    <row r="10496" spans="4:6" x14ac:dyDescent="0.35">
      <c r="D10496" s="66"/>
      <c r="E10496" s="66"/>
      <c r="F10496" s="66"/>
    </row>
    <row r="10497" spans="4:6" x14ac:dyDescent="0.35">
      <c r="D10497" s="66"/>
      <c r="E10497" s="66"/>
      <c r="F10497" s="66"/>
    </row>
    <row r="10498" spans="4:6" x14ac:dyDescent="0.35">
      <c r="D10498" s="66"/>
      <c r="E10498" s="66"/>
      <c r="F10498" s="66"/>
    </row>
    <row r="10499" spans="4:6" x14ac:dyDescent="0.35">
      <c r="D10499" s="66"/>
      <c r="E10499" s="66"/>
      <c r="F10499" s="66"/>
    </row>
    <row r="10500" spans="4:6" x14ac:dyDescent="0.35">
      <c r="D10500" s="66"/>
      <c r="E10500" s="66"/>
      <c r="F10500" s="66"/>
    </row>
    <row r="10501" spans="4:6" x14ac:dyDescent="0.35">
      <c r="D10501" s="66"/>
      <c r="E10501" s="66"/>
      <c r="F10501" s="66"/>
    </row>
    <row r="10502" spans="4:6" x14ac:dyDescent="0.35">
      <c r="D10502" s="66"/>
      <c r="E10502" s="66"/>
      <c r="F10502" s="66"/>
    </row>
    <row r="10503" spans="4:6" x14ac:dyDescent="0.35">
      <c r="D10503" s="66"/>
      <c r="E10503" s="66"/>
      <c r="F10503" s="66"/>
    </row>
    <row r="10504" spans="4:6" x14ac:dyDescent="0.35">
      <c r="D10504" s="66"/>
      <c r="E10504" s="66"/>
      <c r="F10504" s="66"/>
    </row>
    <row r="10505" spans="4:6" x14ac:dyDescent="0.35">
      <c r="D10505" s="66"/>
      <c r="E10505" s="66"/>
      <c r="F10505" s="66"/>
    </row>
    <row r="10506" spans="4:6" x14ac:dyDescent="0.35">
      <c r="D10506" s="66"/>
      <c r="E10506" s="66"/>
      <c r="F10506" s="66"/>
    </row>
    <row r="10507" spans="4:6" x14ac:dyDescent="0.35">
      <c r="D10507" s="66"/>
      <c r="E10507" s="66"/>
      <c r="F10507" s="66"/>
    </row>
    <row r="10508" spans="4:6" x14ac:dyDescent="0.35">
      <c r="D10508" s="66"/>
      <c r="E10508" s="66"/>
      <c r="F10508" s="66"/>
    </row>
    <row r="10509" spans="4:6" x14ac:dyDescent="0.35">
      <c r="D10509" s="66"/>
      <c r="E10509" s="66"/>
      <c r="F10509" s="66"/>
    </row>
    <row r="10510" spans="4:6" x14ac:dyDescent="0.35">
      <c r="D10510" s="66"/>
      <c r="E10510" s="66"/>
      <c r="F10510" s="66"/>
    </row>
    <row r="10511" spans="4:6" x14ac:dyDescent="0.35">
      <c r="D10511" s="66"/>
      <c r="E10511" s="66"/>
      <c r="F10511" s="66"/>
    </row>
    <row r="10512" spans="4:6" x14ac:dyDescent="0.35">
      <c r="D10512" s="66"/>
      <c r="E10512" s="66"/>
      <c r="F10512" s="66"/>
    </row>
    <row r="10513" spans="4:6" x14ac:dyDescent="0.35">
      <c r="D10513" s="66"/>
      <c r="E10513" s="66"/>
      <c r="F10513" s="66"/>
    </row>
    <row r="10514" spans="4:6" x14ac:dyDescent="0.35">
      <c r="D10514" s="66"/>
      <c r="E10514" s="66"/>
      <c r="F10514" s="66"/>
    </row>
    <row r="10515" spans="4:6" x14ac:dyDescent="0.35">
      <c r="D10515" s="66"/>
      <c r="E10515" s="66"/>
      <c r="F10515" s="66"/>
    </row>
    <row r="10516" spans="4:6" x14ac:dyDescent="0.35">
      <c r="D10516" s="66"/>
      <c r="E10516" s="66"/>
      <c r="F10516" s="66"/>
    </row>
    <row r="10517" spans="4:6" x14ac:dyDescent="0.35">
      <c r="D10517" s="66"/>
      <c r="E10517" s="66"/>
      <c r="F10517" s="66"/>
    </row>
    <row r="10518" spans="4:6" x14ac:dyDescent="0.35">
      <c r="D10518" s="66"/>
      <c r="E10518" s="66"/>
      <c r="F10518" s="66"/>
    </row>
    <row r="10519" spans="4:6" x14ac:dyDescent="0.35">
      <c r="D10519" s="66"/>
      <c r="E10519" s="66"/>
      <c r="F10519" s="66"/>
    </row>
    <row r="10520" spans="4:6" x14ac:dyDescent="0.35">
      <c r="D10520" s="66"/>
      <c r="E10520" s="66"/>
      <c r="F10520" s="66"/>
    </row>
    <row r="10521" spans="4:6" x14ac:dyDescent="0.35">
      <c r="D10521" s="66"/>
      <c r="E10521" s="66"/>
      <c r="F10521" s="66"/>
    </row>
    <row r="10522" spans="4:6" x14ac:dyDescent="0.35">
      <c r="D10522" s="66"/>
      <c r="E10522" s="66"/>
      <c r="F10522" s="66"/>
    </row>
    <row r="10523" spans="4:6" x14ac:dyDescent="0.35">
      <c r="D10523" s="66"/>
      <c r="E10523" s="66"/>
      <c r="F10523" s="66"/>
    </row>
    <row r="10524" spans="4:6" x14ac:dyDescent="0.35">
      <c r="D10524" s="66"/>
      <c r="E10524" s="66"/>
      <c r="F10524" s="66"/>
    </row>
    <row r="10525" spans="4:6" x14ac:dyDescent="0.35">
      <c r="D10525" s="66"/>
      <c r="E10525" s="66"/>
      <c r="F10525" s="66"/>
    </row>
    <row r="10526" spans="4:6" x14ac:dyDescent="0.35">
      <c r="D10526" s="66"/>
      <c r="E10526" s="66"/>
      <c r="F10526" s="66"/>
    </row>
    <row r="10527" spans="4:6" x14ac:dyDescent="0.35">
      <c r="D10527" s="66"/>
      <c r="E10527" s="66"/>
      <c r="F10527" s="66"/>
    </row>
    <row r="10528" spans="4:6" x14ac:dyDescent="0.35">
      <c r="D10528" s="66"/>
      <c r="E10528" s="66"/>
      <c r="F10528" s="66"/>
    </row>
    <row r="10529" spans="4:6" x14ac:dyDescent="0.35">
      <c r="D10529" s="66"/>
      <c r="E10529" s="66"/>
      <c r="F10529" s="66"/>
    </row>
    <row r="10530" spans="4:6" x14ac:dyDescent="0.35">
      <c r="D10530" s="66"/>
      <c r="E10530" s="66"/>
      <c r="F10530" s="66"/>
    </row>
    <row r="10531" spans="4:6" x14ac:dyDescent="0.35">
      <c r="D10531" s="66"/>
      <c r="E10531" s="66"/>
      <c r="F10531" s="66"/>
    </row>
    <row r="10532" spans="4:6" x14ac:dyDescent="0.35">
      <c r="D10532" s="66"/>
      <c r="E10532" s="66"/>
      <c r="F10532" s="66"/>
    </row>
    <row r="10533" spans="4:6" x14ac:dyDescent="0.35">
      <c r="D10533" s="66"/>
      <c r="E10533" s="66"/>
      <c r="F10533" s="66"/>
    </row>
    <row r="10534" spans="4:6" x14ac:dyDescent="0.35">
      <c r="D10534" s="66"/>
      <c r="E10534" s="66"/>
      <c r="F10534" s="66"/>
    </row>
    <row r="10535" spans="4:6" x14ac:dyDescent="0.35">
      <c r="D10535" s="66"/>
      <c r="E10535" s="66"/>
      <c r="F10535" s="66"/>
    </row>
    <row r="10536" spans="4:6" x14ac:dyDescent="0.35">
      <c r="D10536" s="66"/>
      <c r="E10536" s="66"/>
      <c r="F10536" s="66"/>
    </row>
    <row r="10537" spans="4:6" x14ac:dyDescent="0.35">
      <c r="D10537" s="66"/>
      <c r="E10537" s="66"/>
      <c r="F10537" s="66"/>
    </row>
    <row r="10538" spans="4:6" x14ac:dyDescent="0.35">
      <c r="D10538" s="66"/>
      <c r="E10538" s="66"/>
      <c r="F10538" s="66"/>
    </row>
    <row r="10539" spans="4:6" x14ac:dyDescent="0.35">
      <c r="D10539" s="66"/>
      <c r="E10539" s="66"/>
      <c r="F10539" s="66"/>
    </row>
    <row r="10540" spans="4:6" x14ac:dyDescent="0.35">
      <c r="D10540" s="66"/>
      <c r="E10540" s="66"/>
      <c r="F10540" s="66"/>
    </row>
    <row r="10541" spans="4:6" x14ac:dyDescent="0.35">
      <c r="D10541" s="66"/>
      <c r="E10541" s="66"/>
      <c r="F10541" s="66"/>
    </row>
    <row r="10542" spans="4:6" x14ac:dyDescent="0.35">
      <c r="D10542" s="66"/>
      <c r="E10542" s="66"/>
      <c r="F10542" s="66"/>
    </row>
    <row r="10543" spans="4:6" x14ac:dyDescent="0.35">
      <c r="D10543" s="66"/>
      <c r="E10543" s="66"/>
      <c r="F10543" s="66"/>
    </row>
    <row r="10544" spans="4:6" x14ac:dyDescent="0.35">
      <c r="D10544" s="66"/>
      <c r="E10544" s="66"/>
      <c r="F10544" s="66"/>
    </row>
    <row r="10545" spans="4:6" x14ac:dyDescent="0.35">
      <c r="D10545" s="66"/>
      <c r="E10545" s="66"/>
      <c r="F10545" s="66"/>
    </row>
    <row r="10546" spans="4:6" x14ac:dyDescent="0.35">
      <c r="D10546" s="66"/>
      <c r="E10546" s="66"/>
      <c r="F10546" s="66"/>
    </row>
    <row r="10547" spans="4:6" x14ac:dyDescent="0.35">
      <c r="D10547" s="66"/>
      <c r="E10547" s="66"/>
      <c r="F10547" s="66"/>
    </row>
    <row r="10548" spans="4:6" x14ac:dyDescent="0.35">
      <c r="D10548" s="66"/>
      <c r="E10548" s="66"/>
      <c r="F10548" s="66"/>
    </row>
    <row r="10549" spans="4:6" x14ac:dyDescent="0.35">
      <c r="D10549" s="66"/>
      <c r="E10549" s="66"/>
      <c r="F10549" s="66"/>
    </row>
    <row r="10550" spans="4:6" x14ac:dyDescent="0.35">
      <c r="D10550" s="66"/>
      <c r="E10550" s="66"/>
      <c r="F10550" s="66"/>
    </row>
    <row r="10551" spans="4:6" x14ac:dyDescent="0.35">
      <c r="D10551" s="66"/>
      <c r="E10551" s="66"/>
      <c r="F10551" s="66"/>
    </row>
    <row r="10552" spans="4:6" x14ac:dyDescent="0.35">
      <c r="D10552" s="66"/>
      <c r="E10552" s="66"/>
      <c r="F10552" s="66"/>
    </row>
    <row r="10553" spans="4:6" x14ac:dyDescent="0.35">
      <c r="D10553" s="66"/>
      <c r="E10553" s="66"/>
      <c r="F10553" s="66"/>
    </row>
    <row r="10554" spans="4:6" x14ac:dyDescent="0.35">
      <c r="D10554" s="66"/>
      <c r="E10554" s="66"/>
      <c r="F10554" s="66"/>
    </row>
    <row r="10555" spans="4:6" x14ac:dyDescent="0.35">
      <c r="D10555" s="66"/>
      <c r="E10555" s="66"/>
      <c r="F10555" s="66"/>
    </row>
    <row r="10556" spans="4:6" x14ac:dyDescent="0.35">
      <c r="D10556" s="66"/>
      <c r="E10556" s="66"/>
      <c r="F10556" s="66"/>
    </row>
    <row r="10557" spans="4:6" x14ac:dyDescent="0.35">
      <c r="D10557" s="66"/>
      <c r="E10557" s="66"/>
      <c r="F10557" s="66"/>
    </row>
    <row r="10558" spans="4:6" x14ac:dyDescent="0.35">
      <c r="D10558" s="66"/>
      <c r="E10558" s="66"/>
      <c r="F10558" s="66"/>
    </row>
    <row r="10559" spans="4:6" x14ac:dyDescent="0.35">
      <c r="D10559" s="66"/>
      <c r="E10559" s="66"/>
      <c r="F10559" s="66"/>
    </row>
    <row r="10560" spans="4:6" x14ac:dyDescent="0.35">
      <c r="D10560" s="66"/>
      <c r="E10560" s="66"/>
      <c r="F10560" s="66"/>
    </row>
    <row r="10561" spans="4:6" x14ac:dyDescent="0.35">
      <c r="D10561" s="66"/>
      <c r="E10561" s="66"/>
      <c r="F10561" s="66"/>
    </row>
    <row r="10562" spans="4:6" x14ac:dyDescent="0.35">
      <c r="D10562" s="66"/>
      <c r="E10562" s="66"/>
      <c r="F10562" s="66"/>
    </row>
    <row r="10563" spans="4:6" x14ac:dyDescent="0.35">
      <c r="D10563" s="66"/>
      <c r="E10563" s="66"/>
      <c r="F10563" s="66"/>
    </row>
    <row r="10564" spans="4:6" x14ac:dyDescent="0.35">
      <c r="D10564" s="66"/>
      <c r="E10564" s="66"/>
      <c r="F10564" s="66"/>
    </row>
    <row r="10565" spans="4:6" x14ac:dyDescent="0.35">
      <c r="D10565" s="66"/>
      <c r="E10565" s="66"/>
      <c r="F10565" s="66"/>
    </row>
    <row r="10566" spans="4:6" x14ac:dyDescent="0.35">
      <c r="D10566" s="66"/>
      <c r="E10566" s="66"/>
      <c r="F10566" s="66"/>
    </row>
    <row r="10567" spans="4:6" x14ac:dyDescent="0.35">
      <c r="D10567" s="66"/>
      <c r="E10567" s="66"/>
      <c r="F10567" s="66"/>
    </row>
    <row r="10568" spans="4:6" x14ac:dyDescent="0.35">
      <c r="D10568" s="66"/>
      <c r="E10568" s="66"/>
      <c r="F10568" s="66"/>
    </row>
    <row r="10569" spans="4:6" x14ac:dyDescent="0.35">
      <c r="D10569" s="66"/>
      <c r="E10569" s="66"/>
      <c r="F10569" s="66"/>
    </row>
    <row r="10570" spans="4:6" x14ac:dyDescent="0.35">
      <c r="D10570" s="66"/>
      <c r="E10570" s="66"/>
      <c r="F10570" s="66"/>
    </row>
    <row r="10571" spans="4:6" x14ac:dyDescent="0.35">
      <c r="D10571" s="66"/>
      <c r="E10571" s="66"/>
      <c r="F10571" s="66"/>
    </row>
    <row r="10572" spans="4:6" x14ac:dyDescent="0.35">
      <c r="D10572" s="66"/>
      <c r="E10572" s="66"/>
      <c r="F10572" s="66"/>
    </row>
    <row r="10573" spans="4:6" x14ac:dyDescent="0.35">
      <c r="D10573" s="66"/>
      <c r="E10573" s="66"/>
      <c r="F10573" s="66"/>
    </row>
    <row r="10574" spans="4:6" x14ac:dyDescent="0.35">
      <c r="D10574" s="66"/>
      <c r="E10574" s="66"/>
      <c r="F10574" s="66"/>
    </row>
    <row r="10575" spans="4:6" x14ac:dyDescent="0.35">
      <c r="D10575" s="66"/>
      <c r="E10575" s="66"/>
      <c r="F10575" s="66"/>
    </row>
    <row r="10576" spans="4:6" x14ac:dyDescent="0.35">
      <c r="D10576" s="66"/>
      <c r="E10576" s="66"/>
      <c r="F10576" s="66"/>
    </row>
    <row r="10577" spans="4:6" x14ac:dyDescent="0.35">
      <c r="D10577" s="66"/>
      <c r="E10577" s="66"/>
      <c r="F10577" s="66"/>
    </row>
    <row r="10578" spans="4:6" x14ac:dyDescent="0.35">
      <c r="D10578" s="66"/>
      <c r="E10578" s="66"/>
      <c r="F10578" s="66"/>
    </row>
    <row r="10579" spans="4:6" x14ac:dyDescent="0.35">
      <c r="D10579" s="66"/>
      <c r="E10579" s="66"/>
      <c r="F10579" s="66"/>
    </row>
    <row r="10580" spans="4:6" x14ac:dyDescent="0.35">
      <c r="D10580" s="66"/>
      <c r="E10580" s="66"/>
      <c r="F10580" s="66"/>
    </row>
    <row r="10581" spans="4:6" x14ac:dyDescent="0.35">
      <c r="D10581" s="66"/>
      <c r="E10581" s="66"/>
      <c r="F10581" s="66"/>
    </row>
    <row r="10582" spans="4:6" x14ac:dyDescent="0.35">
      <c r="D10582" s="66"/>
      <c r="E10582" s="66"/>
      <c r="F10582" s="66"/>
    </row>
    <row r="10583" spans="4:6" x14ac:dyDescent="0.35">
      <c r="D10583" s="66"/>
      <c r="E10583" s="66"/>
      <c r="F10583" s="66"/>
    </row>
    <row r="10584" spans="4:6" x14ac:dyDescent="0.35">
      <c r="D10584" s="66"/>
      <c r="E10584" s="66"/>
      <c r="F10584" s="66"/>
    </row>
    <row r="10585" spans="4:6" x14ac:dyDescent="0.35">
      <c r="D10585" s="66"/>
      <c r="E10585" s="66"/>
      <c r="F10585" s="66"/>
    </row>
    <row r="10586" spans="4:6" x14ac:dyDescent="0.35">
      <c r="D10586" s="66"/>
      <c r="E10586" s="66"/>
      <c r="F10586" s="66"/>
    </row>
    <row r="10587" spans="4:6" x14ac:dyDescent="0.35">
      <c r="D10587" s="66"/>
      <c r="E10587" s="66"/>
      <c r="F10587" s="66"/>
    </row>
    <row r="10588" spans="4:6" x14ac:dyDescent="0.35">
      <c r="D10588" s="66"/>
      <c r="E10588" s="66"/>
      <c r="F10588" s="66"/>
    </row>
    <row r="10589" spans="4:6" x14ac:dyDescent="0.35">
      <c r="D10589" s="66"/>
      <c r="E10589" s="66"/>
      <c r="F10589" s="66"/>
    </row>
    <row r="10590" spans="4:6" x14ac:dyDescent="0.35">
      <c r="D10590" s="66"/>
      <c r="E10590" s="66"/>
      <c r="F10590" s="66"/>
    </row>
    <row r="10591" spans="4:6" x14ac:dyDescent="0.35">
      <c r="D10591" s="66"/>
      <c r="E10591" s="66"/>
      <c r="F10591" s="66"/>
    </row>
    <row r="10592" spans="4:6" x14ac:dyDescent="0.35">
      <c r="D10592" s="66"/>
      <c r="E10592" s="66"/>
      <c r="F10592" s="66"/>
    </row>
    <row r="10593" spans="4:6" x14ac:dyDescent="0.35">
      <c r="D10593" s="66"/>
      <c r="E10593" s="66"/>
      <c r="F10593" s="66"/>
    </row>
    <row r="10594" spans="4:6" x14ac:dyDescent="0.35">
      <c r="D10594" s="66"/>
      <c r="E10594" s="66"/>
      <c r="F10594" s="66"/>
    </row>
    <row r="10595" spans="4:6" x14ac:dyDescent="0.35">
      <c r="D10595" s="66"/>
      <c r="E10595" s="66"/>
      <c r="F10595" s="66"/>
    </row>
    <row r="10596" spans="4:6" x14ac:dyDescent="0.35">
      <c r="D10596" s="66"/>
      <c r="E10596" s="66"/>
      <c r="F10596" s="66"/>
    </row>
    <row r="10597" spans="4:6" x14ac:dyDescent="0.35">
      <c r="D10597" s="66"/>
      <c r="E10597" s="66"/>
      <c r="F10597" s="66"/>
    </row>
    <row r="10598" spans="4:6" x14ac:dyDescent="0.35">
      <c r="D10598" s="66"/>
      <c r="E10598" s="66"/>
      <c r="F10598" s="66"/>
    </row>
    <row r="10599" spans="4:6" x14ac:dyDescent="0.35">
      <c r="D10599" s="66"/>
      <c r="E10599" s="66"/>
      <c r="F10599" s="66"/>
    </row>
    <row r="10600" spans="4:6" x14ac:dyDescent="0.35">
      <c r="D10600" s="66"/>
      <c r="E10600" s="66"/>
      <c r="F10600" s="66"/>
    </row>
    <row r="10601" spans="4:6" x14ac:dyDescent="0.35">
      <c r="D10601" s="66"/>
      <c r="E10601" s="66"/>
      <c r="F10601" s="66"/>
    </row>
    <row r="10602" spans="4:6" x14ac:dyDescent="0.35">
      <c r="D10602" s="66"/>
      <c r="E10602" s="66"/>
      <c r="F10602" s="66"/>
    </row>
    <row r="10603" spans="4:6" x14ac:dyDescent="0.35">
      <c r="D10603" s="66"/>
      <c r="E10603" s="66"/>
      <c r="F10603" s="66"/>
    </row>
    <row r="10604" spans="4:6" x14ac:dyDescent="0.35">
      <c r="D10604" s="66"/>
      <c r="E10604" s="66"/>
      <c r="F10604" s="66"/>
    </row>
    <row r="10605" spans="4:6" x14ac:dyDescent="0.35">
      <c r="D10605" s="66"/>
      <c r="E10605" s="66"/>
      <c r="F10605" s="66"/>
    </row>
    <row r="10606" spans="4:6" x14ac:dyDescent="0.35">
      <c r="D10606" s="66"/>
      <c r="E10606" s="66"/>
      <c r="F10606" s="66"/>
    </row>
    <row r="10607" spans="4:6" x14ac:dyDescent="0.35">
      <c r="D10607" s="66"/>
      <c r="E10607" s="66"/>
      <c r="F10607" s="66"/>
    </row>
    <row r="10608" spans="4:6" x14ac:dyDescent="0.35">
      <c r="D10608" s="66"/>
      <c r="E10608" s="66"/>
      <c r="F10608" s="66"/>
    </row>
    <row r="10609" spans="4:6" x14ac:dyDescent="0.35">
      <c r="D10609" s="66"/>
      <c r="E10609" s="66"/>
      <c r="F10609" s="66"/>
    </row>
    <row r="10610" spans="4:6" x14ac:dyDescent="0.35">
      <c r="D10610" s="66"/>
      <c r="E10610" s="66"/>
      <c r="F10610" s="66"/>
    </row>
    <row r="10611" spans="4:6" x14ac:dyDescent="0.35">
      <c r="D10611" s="66"/>
      <c r="E10611" s="66"/>
      <c r="F10611" s="66"/>
    </row>
    <row r="10612" spans="4:6" x14ac:dyDescent="0.35">
      <c r="D10612" s="66"/>
      <c r="E10612" s="66"/>
      <c r="F10612" s="66"/>
    </row>
    <row r="10613" spans="4:6" x14ac:dyDescent="0.35">
      <c r="D10613" s="66"/>
      <c r="E10613" s="66"/>
      <c r="F10613" s="66"/>
    </row>
    <row r="10614" spans="4:6" x14ac:dyDescent="0.35">
      <c r="D10614" s="66"/>
      <c r="E10614" s="66"/>
      <c r="F10614" s="66"/>
    </row>
    <row r="10615" spans="4:6" x14ac:dyDescent="0.35">
      <c r="D10615" s="66"/>
      <c r="E10615" s="66"/>
      <c r="F10615" s="66"/>
    </row>
    <row r="10616" spans="4:6" x14ac:dyDescent="0.35">
      <c r="D10616" s="66"/>
      <c r="E10616" s="66"/>
      <c r="F10616" s="66"/>
    </row>
    <row r="10617" spans="4:6" x14ac:dyDescent="0.35">
      <c r="D10617" s="66"/>
      <c r="E10617" s="66"/>
      <c r="F10617" s="66"/>
    </row>
    <row r="10618" spans="4:6" x14ac:dyDescent="0.35">
      <c r="D10618" s="66"/>
      <c r="E10618" s="66"/>
      <c r="F10618" s="66"/>
    </row>
    <row r="10619" spans="4:6" x14ac:dyDescent="0.35">
      <c r="D10619" s="66"/>
      <c r="E10619" s="66"/>
      <c r="F10619" s="66"/>
    </row>
    <row r="10620" spans="4:6" x14ac:dyDescent="0.35">
      <c r="D10620" s="66"/>
      <c r="E10620" s="66"/>
      <c r="F10620" s="66"/>
    </row>
    <row r="10621" spans="4:6" x14ac:dyDescent="0.35">
      <c r="D10621" s="66"/>
      <c r="E10621" s="66"/>
      <c r="F10621" s="66"/>
    </row>
    <row r="10622" spans="4:6" x14ac:dyDescent="0.35">
      <c r="D10622" s="66"/>
      <c r="E10622" s="66"/>
      <c r="F10622" s="66"/>
    </row>
    <row r="10623" spans="4:6" x14ac:dyDescent="0.35">
      <c r="D10623" s="66"/>
      <c r="E10623" s="66"/>
      <c r="F10623" s="66"/>
    </row>
    <row r="10624" spans="4:6" x14ac:dyDescent="0.35">
      <c r="D10624" s="66"/>
      <c r="E10624" s="66"/>
      <c r="F10624" s="66"/>
    </row>
    <row r="10625" spans="4:6" x14ac:dyDescent="0.35">
      <c r="D10625" s="66"/>
      <c r="E10625" s="66"/>
      <c r="F10625" s="66"/>
    </row>
    <row r="10626" spans="4:6" x14ac:dyDescent="0.35">
      <c r="D10626" s="66"/>
      <c r="E10626" s="66"/>
      <c r="F10626" s="66"/>
    </row>
    <row r="10627" spans="4:6" x14ac:dyDescent="0.35">
      <c r="D10627" s="66"/>
      <c r="E10627" s="66"/>
      <c r="F10627" s="66"/>
    </row>
    <row r="10628" spans="4:6" x14ac:dyDescent="0.35">
      <c r="D10628" s="66"/>
      <c r="E10628" s="66"/>
      <c r="F10628" s="66"/>
    </row>
    <row r="10629" spans="4:6" x14ac:dyDescent="0.35">
      <c r="D10629" s="66"/>
      <c r="E10629" s="66"/>
      <c r="F10629" s="66"/>
    </row>
    <row r="10630" spans="4:6" x14ac:dyDescent="0.35">
      <c r="D10630" s="66"/>
      <c r="E10630" s="66"/>
      <c r="F10630" s="66"/>
    </row>
    <row r="10631" spans="4:6" x14ac:dyDescent="0.35">
      <c r="D10631" s="66"/>
      <c r="E10631" s="66"/>
      <c r="F10631" s="66"/>
    </row>
    <row r="10632" spans="4:6" x14ac:dyDescent="0.35">
      <c r="D10632" s="66"/>
      <c r="E10632" s="66"/>
      <c r="F10632" s="66"/>
    </row>
    <row r="10633" spans="4:6" x14ac:dyDescent="0.35">
      <c r="D10633" s="66"/>
      <c r="E10633" s="66"/>
      <c r="F10633" s="66"/>
    </row>
    <row r="10634" spans="4:6" x14ac:dyDescent="0.35">
      <c r="D10634" s="66"/>
      <c r="E10634" s="66"/>
      <c r="F10634" s="66"/>
    </row>
    <row r="10635" spans="4:6" x14ac:dyDescent="0.35">
      <c r="D10635" s="66"/>
      <c r="E10635" s="66"/>
      <c r="F10635" s="66"/>
    </row>
    <row r="10636" spans="4:6" x14ac:dyDescent="0.35">
      <c r="D10636" s="66"/>
      <c r="E10636" s="66"/>
      <c r="F10636" s="66"/>
    </row>
    <row r="10637" spans="4:6" x14ac:dyDescent="0.35">
      <c r="D10637" s="66"/>
      <c r="E10637" s="66"/>
      <c r="F10637" s="66"/>
    </row>
    <row r="10638" spans="4:6" x14ac:dyDescent="0.35">
      <c r="D10638" s="66"/>
      <c r="E10638" s="66"/>
      <c r="F10638" s="66"/>
    </row>
    <row r="10639" spans="4:6" x14ac:dyDescent="0.35">
      <c r="D10639" s="66"/>
      <c r="E10639" s="66"/>
      <c r="F10639" s="66"/>
    </row>
    <row r="10640" spans="4:6" x14ac:dyDescent="0.35">
      <c r="D10640" s="66"/>
      <c r="E10640" s="66"/>
      <c r="F10640" s="66"/>
    </row>
    <row r="10641" spans="4:6" x14ac:dyDescent="0.35">
      <c r="D10641" s="66"/>
      <c r="E10641" s="66"/>
      <c r="F10641" s="66"/>
    </row>
    <row r="10642" spans="4:6" x14ac:dyDescent="0.35">
      <c r="D10642" s="66"/>
      <c r="E10642" s="66"/>
      <c r="F10642" s="66"/>
    </row>
    <row r="10643" spans="4:6" x14ac:dyDescent="0.35">
      <c r="D10643" s="66"/>
      <c r="E10643" s="66"/>
      <c r="F10643" s="66"/>
    </row>
    <row r="10644" spans="4:6" x14ac:dyDescent="0.35">
      <c r="D10644" s="66"/>
      <c r="E10644" s="66"/>
      <c r="F10644" s="66"/>
    </row>
    <row r="10645" spans="4:6" x14ac:dyDescent="0.35">
      <c r="D10645" s="66"/>
      <c r="E10645" s="66"/>
      <c r="F10645" s="66"/>
    </row>
    <row r="10646" spans="4:6" x14ac:dyDescent="0.35">
      <c r="D10646" s="66"/>
      <c r="E10646" s="66"/>
      <c r="F10646" s="66"/>
    </row>
    <row r="10647" spans="4:6" x14ac:dyDescent="0.35">
      <c r="D10647" s="66"/>
      <c r="E10647" s="66"/>
      <c r="F10647" s="66"/>
    </row>
    <row r="10648" spans="4:6" x14ac:dyDescent="0.35">
      <c r="D10648" s="66"/>
      <c r="E10648" s="66"/>
      <c r="F10648" s="66"/>
    </row>
    <row r="10649" spans="4:6" x14ac:dyDescent="0.35">
      <c r="D10649" s="66"/>
      <c r="E10649" s="66"/>
      <c r="F10649" s="66"/>
    </row>
    <row r="10650" spans="4:6" x14ac:dyDescent="0.35">
      <c r="D10650" s="66"/>
      <c r="E10650" s="66"/>
      <c r="F10650" s="66"/>
    </row>
    <row r="10651" spans="4:6" x14ac:dyDescent="0.35">
      <c r="D10651" s="66"/>
      <c r="E10651" s="66"/>
      <c r="F10651" s="66"/>
    </row>
    <row r="10652" spans="4:6" x14ac:dyDescent="0.35">
      <c r="D10652" s="66"/>
      <c r="E10652" s="66"/>
      <c r="F10652" s="66"/>
    </row>
    <row r="10653" spans="4:6" x14ac:dyDescent="0.35">
      <c r="D10653" s="66"/>
      <c r="E10653" s="66"/>
      <c r="F10653" s="66"/>
    </row>
    <row r="10654" spans="4:6" x14ac:dyDescent="0.35">
      <c r="D10654" s="66"/>
      <c r="E10654" s="66"/>
      <c r="F10654" s="66"/>
    </row>
    <row r="10655" spans="4:6" x14ac:dyDescent="0.35">
      <c r="D10655" s="66"/>
      <c r="E10655" s="66"/>
      <c r="F10655" s="66"/>
    </row>
    <row r="10656" spans="4:6" x14ac:dyDescent="0.35">
      <c r="D10656" s="66"/>
      <c r="E10656" s="66"/>
      <c r="F10656" s="66"/>
    </row>
    <row r="10657" spans="4:6" x14ac:dyDescent="0.35">
      <c r="D10657" s="66"/>
      <c r="E10657" s="66"/>
      <c r="F10657" s="66"/>
    </row>
    <row r="10658" spans="4:6" x14ac:dyDescent="0.35">
      <c r="D10658" s="66"/>
      <c r="E10658" s="66"/>
      <c r="F10658" s="66"/>
    </row>
    <row r="10659" spans="4:6" x14ac:dyDescent="0.35">
      <c r="D10659" s="66"/>
      <c r="E10659" s="66"/>
      <c r="F10659" s="66"/>
    </row>
    <row r="10660" spans="4:6" x14ac:dyDescent="0.35">
      <c r="D10660" s="66"/>
      <c r="E10660" s="66"/>
      <c r="F10660" s="66"/>
    </row>
    <row r="10661" spans="4:6" x14ac:dyDescent="0.35">
      <c r="D10661" s="66"/>
      <c r="E10661" s="66"/>
      <c r="F10661" s="66"/>
    </row>
    <row r="10662" spans="4:6" x14ac:dyDescent="0.35">
      <c r="D10662" s="66"/>
      <c r="E10662" s="66"/>
      <c r="F10662" s="66"/>
    </row>
    <row r="10663" spans="4:6" x14ac:dyDescent="0.35">
      <c r="D10663" s="66"/>
      <c r="E10663" s="66"/>
      <c r="F10663" s="66"/>
    </row>
    <row r="10664" spans="4:6" x14ac:dyDescent="0.35">
      <c r="D10664" s="66"/>
      <c r="E10664" s="66"/>
      <c r="F10664" s="66"/>
    </row>
    <row r="10665" spans="4:6" x14ac:dyDescent="0.35">
      <c r="D10665" s="66"/>
      <c r="E10665" s="66"/>
      <c r="F10665" s="66"/>
    </row>
    <row r="10666" spans="4:6" x14ac:dyDescent="0.35">
      <c r="D10666" s="66"/>
      <c r="E10666" s="66"/>
      <c r="F10666" s="66"/>
    </row>
    <row r="10667" spans="4:6" x14ac:dyDescent="0.35">
      <c r="D10667" s="66"/>
      <c r="E10667" s="66"/>
      <c r="F10667" s="66"/>
    </row>
    <row r="10668" spans="4:6" x14ac:dyDescent="0.35">
      <c r="D10668" s="66"/>
      <c r="E10668" s="66"/>
      <c r="F10668" s="66"/>
    </row>
    <row r="10669" spans="4:6" x14ac:dyDescent="0.35">
      <c r="D10669" s="66"/>
      <c r="E10669" s="66"/>
      <c r="F10669" s="66"/>
    </row>
    <row r="10670" spans="4:6" x14ac:dyDescent="0.35">
      <c r="D10670" s="66"/>
      <c r="E10670" s="66"/>
      <c r="F10670" s="66"/>
    </row>
    <row r="10671" spans="4:6" x14ac:dyDescent="0.35">
      <c r="D10671" s="66"/>
      <c r="E10671" s="66"/>
      <c r="F10671" s="66"/>
    </row>
    <row r="10672" spans="4:6" x14ac:dyDescent="0.35">
      <c r="D10672" s="66"/>
      <c r="E10672" s="66"/>
      <c r="F10672" s="66"/>
    </row>
    <row r="10673" spans="4:6" x14ac:dyDescent="0.35">
      <c r="D10673" s="66"/>
      <c r="E10673" s="66"/>
      <c r="F10673" s="66"/>
    </row>
    <row r="10674" spans="4:6" x14ac:dyDescent="0.35">
      <c r="D10674" s="66"/>
      <c r="E10674" s="66"/>
      <c r="F10674" s="66"/>
    </row>
    <row r="10675" spans="4:6" x14ac:dyDescent="0.35">
      <c r="D10675" s="66"/>
      <c r="E10675" s="66"/>
      <c r="F10675" s="66"/>
    </row>
    <row r="10676" spans="4:6" x14ac:dyDescent="0.35">
      <c r="D10676" s="66"/>
      <c r="E10676" s="66"/>
      <c r="F10676" s="66"/>
    </row>
    <row r="10677" spans="4:6" x14ac:dyDescent="0.35">
      <c r="D10677" s="66"/>
      <c r="E10677" s="66"/>
      <c r="F10677" s="66"/>
    </row>
    <row r="10678" spans="4:6" x14ac:dyDescent="0.35">
      <c r="D10678" s="66"/>
      <c r="E10678" s="66"/>
      <c r="F10678" s="66"/>
    </row>
    <row r="10679" spans="4:6" x14ac:dyDescent="0.35">
      <c r="D10679" s="66"/>
      <c r="E10679" s="66"/>
      <c r="F10679" s="66"/>
    </row>
    <row r="10680" spans="4:6" x14ac:dyDescent="0.35">
      <c r="D10680" s="66"/>
      <c r="E10680" s="66"/>
      <c r="F10680" s="66"/>
    </row>
    <row r="10681" spans="4:6" x14ac:dyDescent="0.35">
      <c r="D10681" s="66"/>
      <c r="E10681" s="66"/>
      <c r="F10681" s="66"/>
    </row>
    <row r="10682" spans="4:6" x14ac:dyDescent="0.35">
      <c r="D10682" s="66"/>
      <c r="E10682" s="66"/>
      <c r="F10682" s="66"/>
    </row>
    <row r="10683" spans="4:6" x14ac:dyDescent="0.35">
      <c r="D10683" s="66"/>
      <c r="E10683" s="66"/>
      <c r="F10683" s="66"/>
    </row>
    <row r="10684" spans="4:6" x14ac:dyDescent="0.35">
      <c r="D10684" s="66"/>
      <c r="E10684" s="66"/>
      <c r="F10684" s="66"/>
    </row>
    <row r="10685" spans="4:6" x14ac:dyDescent="0.35">
      <c r="D10685" s="66"/>
      <c r="E10685" s="66"/>
      <c r="F10685" s="66"/>
    </row>
    <row r="10686" spans="4:6" x14ac:dyDescent="0.35">
      <c r="D10686" s="66"/>
      <c r="E10686" s="66"/>
      <c r="F10686" s="66"/>
    </row>
    <row r="10687" spans="4:6" x14ac:dyDescent="0.35">
      <c r="D10687" s="66"/>
      <c r="E10687" s="66"/>
      <c r="F10687" s="66"/>
    </row>
    <row r="10688" spans="4:6" x14ac:dyDescent="0.35">
      <c r="D10688" s="66"/>
      <c r="E10688" s="66"/>
      <c r="F10688" s="66"/>
    </row>
    <row r="10689" spans="4:6" x14ac:dyDescent="0.35">
      <c r="D10689" s="66"/>
      <c r="E10689" s="66"/>
      <c r="F10689" s="66"/>
    </row>
    <row r="10690" spans="4:6" x14ac:dyDescent="0.35">
      <c r="D10690" s="66"/>
      <c r="E10690" s="66"/>
      <c r="F10690" s="66"/>
    </row>
    <row r="10691" spans="4:6" x14ac:dyDescent="0.35">
      <c r="D10691" s="66"/>
      <c r="E10691" s="66"/>
      <c r="F10691" s="66"/>
    </row>
    <row r="10692" spans="4:6" x14ac:dyDescent="0.35">
      <c r="D10692" s="66"/>
      <c r="E10692" s="66"/>
      <c r="F10692" s="66"/>
    </row>
    <row r="10693" spans="4:6" x14ac:dyDescent="0.35">
      <c r="D10693" s="66"/>
      <c r="E10693" s="66"/>
      <c r="F10693" s="66"/>
    </row>
    <row r="10694" spans="4:6" x14ac:dyDescent="0.35">
      <c r="D10694" s="66"/>
      <c r="E10694" s="66"/>
      <c r="F10694" s="66"/>
    </row>
    <row r="10695" spans="4:6" x14ac:dyDescent="0.35">
      <c r="D10695" s="66"/>
      <c r="E10695" s="66"/>
      <c r="F10695" s="66"/>
    </row>
    <row r="10696" spans="4:6" x14ac:dyDescent="0.35">
      <c r="D10696" s="66"/>
      <c r="E10696" s="66"/>
      <c r="F10696" s="66"/>
    </row>
    <row r="10697" spans="4:6" x14ac:dyDescent="0.35">
      <c r="D10697" s="66"/>
      <c r="E10697" s="66"/>
      <c r="F10697" s="66"/>
    </row>
    <row r="10698" spans="4:6" x14ac:dyDescent="0.35">
      <c r="D10698" s="66"/>
      <c r="E10698" s="66"/>
      <c r="F10698" s="66"/>
    </row>
    <row r="10699" spans="4:6" x14ac:dyDescent="0.35">
      <c r="D10699" s="66"/>
      <c r="E10699" s="66"/>
      <c r="F10699" s="66"/>
    </row>
    <row r="10700" spans="4:6" x14ac:dyDescent="0.35">
      <c r="D10700" s="66"/>
      <c r="E10700" s="66"/>
      <c r="F10700" s="66"/>
    </row>
    <row r="10701" spans="4:6" x14ac:dyDescent="0.35">
      <c r="D10701" s="66"/>
      <c r="E10701" s="66"/>
      <c r="F10701" s="66"/>
    </row>
    <row r="10702" spans="4:6" x14ac:dyDescent="0.35">
      <c r="D10702" s="66"/>
      <c r="E10702" s="66"/>
      <c r="F10702" s="66"/>
    </row>
    <row r="10703" spans="4:6" x14ac:dyDescent="0.35">
      <c r="D10703" s="66"/>
      <c r="E10703" s="66"/>
      <c r="F10703" s="66"/>
    </row>
    <row r="10704" spans="4:6" x14ac:dyDescent="0.35">
      <c r="D10704" s="66"/>
      <c r="E10704" s="66"/>
      <c r="F10704" s="66"/>
    </row>
    <row r="10705" spans="4:6" x14ac:dyDescent="0.35">
      <c r="D10705" s="66"/>
      <c r="E10705" s="66"/>
      <c r="F10705" s="66"/>
    </row>
    <row r="10706" spans="4:6" x14ac:dyDescent="0.35">
      <c r="D10706" s="66"/>
      <c r="E10706" s="66"/>
      <c r="F10706" s="66"/>
    </row>
    <row r="10707" spans="4:6" x14ac:dyDescent="0.35">
      <c r="D10707" s="66"/>
      <c r="E10707" s="66"/>
      <c r="F10707" s="66"/>
    </row>
    <row r="10708" spans="4:6" x14ac:dyDescent="0.35">
      <c r="D10708" s="66"/>
      <c r="E10708" s="66"/>
      <c r="F10708" s="66"/>
    </row>
    <row r="10709" spans="4:6" x14ac:dyDescent="0.35">
      <c r="D10709" s="66"/>
      <c r="E10709" s="66"/>
      <c r="F10709" s="66"/>
    </row>
    <row r="10710" spans="4:6" x14ac:dyDescent="0.35">
      <c r="D10710" s="66"/>
      <c r="E10710" s="66"/>
      <c r="F10710" s="66"/>
    </row>
    <row r="10711" spans="4:6" x14ac:dyDescent="0.35">
      <c r="D10711" s="66"/>
      <c r="E10711" s="66"/>
      <c r="F10711" s="66"/>
    </row>
    <row r="10712" spans="4:6" x14ac:dyDescent="0.35">
      <c r="D10712" s="66"/>
      <c r="E10712" s="66"/>
      <c r="F10712" s="66"/>
    </row>
    <row r="10713" spans="4:6" x14ac:dyDescent="0.35">
      <c r="D10713" s="66"/>
      <c r="E10713" s="66"/>
      <c r="F10713" s="66"/>
    </row>
    <row r="10714" spans="4:6" x14ac:dyDescent="0.35">
      <c r="D10714" s="66"/>
      <c r="E10714" s="66"/>
      <c r="F10714" s="66"/>
    </row>
    <row r="10715" spans="4:6" x14ac:dyDescent="0.35">
      <c r="D10715" s="66"/>
      <c r="E10715" s="66"/>
      <c r="F10715" s="66"/>
    </row>
    <row r="10716" spans="4:6" x14ac:dyDescent="0.35">
      <c r="D10716" s="66"/>
      <c r="E10716" s="66"/>
      <c r="F10716" s="66"/>
    </row>
    <row r="10717" spans="4:6" x14ac:dyDescent="0.35">
      <c r="D10717" s="66"/>
      <c r="E10717" s="66"/>
      <c r="F10717" s="66"/>
    </row>
    <row r="10718" spans="4:6" x14ac:dyDescent="0.35">
      <c r="D10718" s="66"/>
      <c r="E10718" s="66"/>
      <c r="F10718" s="66"/>
    </row>
    <row r="10719" spans="4:6" x14ac:dyDescent="0.35">
      <c r="D10719" s="66"/>
      <c r="E10719" s="66"/>
      <c r="F10719" s="66"/>
    </row>
    <row r="10720" spans="4:6" x14ac:dyDescent="0.35">
      <c r="D10720" s="66"/>
      <c r="E10720" s="66"/>
      <c r="F10720" s="66"/>
    </row>
    <row r="10721" spans="4:6" x14ac:dyDescent="0.35">
      <c r="D10721" s="66"/>
      <c r="E10721" s="66"/>
      <c r="F10721" s="66"/>
    </row>
    <row r="10722" spans="4:6" x14ac:dyDescent="0.35">
      <c r="D10722" s="66"/>
      <c r="E10722" s="66"/>
      <c r="F10722" s="66"/>
    </row>
    <row r="10723" spans="4:6" x14ac:dyDescent="0.35">
      <c r="D10723" s="66"/>
      <c r="E10723" s="66"/>
      <c r="F10723" s="66"/>
    </row>
    <row r="10724" spans="4:6" x14ac:dyDescent="0.35">
      <c r="D10724" s="66"/>
      <c r="E10724" s="66"/>
      <c r="F10724" s="66"/>
    </row>
    <row r="10725" spans="4:6" x14ac:dyDescent="0.35">
      <c r="D10725" s="66"/>
      <c r="E10725" s="66"/>
      <c r="F10725" s="66"/>
    </row>
    <row r="10726" spans="4:6" x14ac:dyDescent="0.35">
      <c r="D10726" s="66"/>
      <c r="E10726" s="66"/>
      <c r="F10726" s="66"/>
    </row>
    <row r="10727" spans="4:6" x14ac:dyDescent="0.35">
      <c r="D10727" s="66"/>
      <c r="E10727" s="66"/>
      <c r="F10727" s="66"/>
    </row>
    <row r="10728" spans="4:6" x14ac:dyDescent="0.35">
      <c r="D10728" s="66"/>
      <c r="E10728" s="66"/>
      <c r="F10728" s="66"/>
    </row>
    <row r="10729" spans="4:6" x14ac:dyDescent="0.35">
      <c r="D10729" s="66"/>
      <c r="E10729" s="66"/>
      <c r="F10729" s="66"/>
    </row>
    <row r="10730" spans="4:6" x14ac:dyDescent="0.35">
      <c r="D10730" s="66"/>
      <c r="E10730" s="66"/>
      <c r="F10730" s="66"/>
    </row>
    <row r="10731" spans="4:6" x14ac:dyDescent="0.35">
      <c r="D10731" s="66"/>
      <c r="E10731" s="66"/>
      <c r="F10731" s="66"/>
    </row>
    <row r="10732" spans="4:6" x14ac:dyDescent="0.35">
      <c r="D10732" s="66"/>
      <c r="E10732" s="66"/>
      <c r="F10732" s="66"/>
    </row>
    <row r="10733" spans="4:6" x14ac:dyDescent="0.35">
      <c r="D10733" s="66"/>
      <c r="E10733" s="66"/>
      <c r="F10733" s="66"/>
    </row>
    <row r="10734" spans="4:6" x14ac:dyDescent="0.35">
      <c r="D10734" s="66"/>
      <c r="E10734" s="66"/>
      <c r="F10734" s="66"/>
    </row>
    <row r="10735" spans="4:6" x14ac:dyDescent="0.35">
      <c r="D10735" s="66"/>
      <c r="E10735" s="66"/>
      <c r="F10735" s="66"/>
    </row>
    <row r="10736" spans="4:6" x14ac:dyDescent="0.35">
      <c r="D10736" s="66"/>
      <c r="E10736" s="66"/>
      <c r="F10736" s="66"/>
    </row>
    <row r="10737" spans="4:6" x14ac:dyDescent="0.35">
      <c r="D10737" s="66"/>
      <c r="E10737" s="66"/>
      <c r="F10737" s="66"/>
    </row>
    <row r="10738" spans="4:6" x14ac:dyDescent="0.35">
      <c r="D10738" s="66"/>
      <c r="E10738" s="66"/>
      <c r="F10738" s="66"/>
    </row>
    <row r="10739" spans="4:6" x14ac:dyDescent="0.35">
      <c r="D10739" s="66"/>
      <c r="E10739" s="66"/>
      <c r="F10739" s="66"/>
    </row>
    <row r="10740" spans="4:6" x14ac:dyDescent="0.35">
      <c r="D10740" s="66"/>
      <c r="E10740" s="66"/>
      <c r="F10740" s="66"/>
    </row>
    <row r="10741" spans="4:6" x14ac:dyDescent="0.35">
      <c r="D10741" s="66"/>
      <c r="E10741" s="66"/>
      <c r="F10741" s="66"/>
    </row>
    <row r="10742" spans="4:6" x14ac:dyDescent="0.35">
      <c r="D10742" s="66"/>
      <c r="E10742" s="66"/>
      <c r="F10742" s="66"/>
    </row>
    <row r="10743" spans="4:6" x14ac:dyDescent="0.35">
      <c r="D10743" s="66"/>
      <c r="E10743" s="66"/>
      <c r="F10743" s="66"/>
    </row>
    <row r="10744" spans="4:6" x14ac:dyDescent="0.35">
      <c r="D10744" s="66"/>
      <c r="E10744" s="66"/>
      <c r="F10744" s="66"/>
    </row>
    <row r="10745" spans="4:6" x14ac:dyDescent="0.35">
      <c r="D10745" s="66"/>
      <c r="E10745" s="66"/>
      <c r="F10745" s="66"/>
    </row>
    <row r="10746" spans="4:6" x14ac:dyDescent="0.35">
      <c r="D10746" s="66"/>
      <c r="E10746" s="66"/>
      <c r="F10746" s="66"/>
    </row>
    <row r="10747" spans="4:6" x14ac:dyDescent="0.35">
      <c r="D10747" s="66"/>
      <c r="E10747" s="66"/>
      <c r="F10747" s="66"/>
    </row>
    <row r="10748" spans="4:6" x14ac:dyDescent="0.35">
      <c r="D10748" s="66"/>
      <c r="E10748" s="66"/>
      <c r="F10748" s="66"/>
    </row>
    <row r="10749" spans="4:6" x14ac:dyDescent="0.35">
      <c r="D10749" s="66"/>
      <c r="E10749" s="66"/>
      <c r="F10749" s="66"/>
    </row>
    <row r="10750" spans="4:6" x14ac:dyDescent="0.35">
      <c r="D10750" s="66"/>
      <c r="E10750" s="66"/>
      <c r="F10750" s="66"/>
    </row>
    <row r="10751" spans="4:6" x14ac:dyDescent="0.35">
      <c r="D10751" s="66"/>
      <c r="E10751" s="66"/>
      <c r="F10751" s="66"/>
    </row>
    <row r="10752" spans="4:6" x14ac:dyDescent="0.35">
      <c r="D10752" s="66"/>
      <c r="E10752" s="66"/>
      <c r="F10752" s="66"/>
    </row>
    <row r="10753" spans="4:6" x14ac:dyDescent="0.35">
      <c r="D10753" s="66"/>
      <c r="E10753" s="66"/>
      <c r="F10753" s="66"/>
    </row>
    <row r="10754" spans="4:6" x14ac:dyDescent="0.35">
      <c r="D10754" s="66"/>
      <c r="E10754" s="66"/>
      <c r="F10754" s="66"/>
    </row>
    <row r="10755" spans="4:6" x14ac:dyDescent="0.35">
      <c r="D10755" s="66"/>
      <c r="E10755" s="66"/>
      <c r="F10755" s="66"/>
    </row>
    <row r="10756" spans="4:6" x14ac:dyDescent="0.35">
      <c r="D10756" s="66"/>
      <c r="E10756" s="66"/>
      <c r="F10756" s="66"/>
    </row>
    <row r="10757" spans="4:6" x14ac:dyDescent="0.35">
      <c r="D10757" s="66"/>
      <c r="E10757" s="66"/>
      <c r="F10757" s="66"/>
    </row>
    <row r="10758" spans="4:6" x14ac:dyDescent="0.35">
      <c r="D10758" s="66"/>
      <c r="E10758" s="66"/>
      <c r="F10758" s="66"/>
    </row>
    <row r="10759" spans="4:6" x14ac:dyDescent="0.35">
      <c r="D10759" s="66"/>
      <c r="E10759" s="66"/>
      <c r="F10759" s="66"/>
    </row>
    <row r="10760" spans="4:6" x14ac:dyDescent="0.35">
      <c r="D10760" s="66"/>
      <c r="E10760" s="66"/>
      <c r="F10760" s="66"/>
    </row>
    <row r="10761" spans="4:6" x14ac:dyDescent="0.35">
      <c r="D10761" s="66"/>
      <c r="E10761" s="66"/>
      <c r="F10761" s="66"/>
    </row>
    <row r="10762" spans="4:6" x14ac:dyDescent="0.35">
      <c r="D10762" s="66"/>
      <c r="E10762" s="66"/>
      <c r="F10762" s="66"/>
    </row>
    <row r="10763" spans="4:6" x14ac:dyDescent="0.35">
      <c r="D10763" s="66"/>
      <c r="E10763" s="66"/>
      <c r="F10763" s="66"/>
    </row>
    <row r="10764" spans="4:6" x14ac:dyDescent="0.35">
      <c r="D10764" s="66"/>
      <c r="E10764" s="66"/>
      <c r="F10764" s="66"/>
    </row>
    <row r="10765" spans="4:6" x14ac:dyDescent="0.35">
      <c r="D10765" s="66"/>
      <c r="E10765" s="66"/>
      <c r="F10765" s="66"/>
    </row>
    <row r="10766" spans="4:6" x14ac:dyDescent="0.35">
      <c r="D10766" s="66"/>
      <c r="E10766" s="66"/>
      <c r="F10766" s="66"/>
    </row>
    <row r="10767" spans="4:6" x14ac:dyDescent="0.35">
      <c r="D10767" s="66"/>
      <c r="E10767" s="66"/>
      <c r="F10767" s="66"/>
    </row>
    <row r="10768" spans="4:6" x14ac:dyDescent="0.35">
      <c r="D10768" s="66"/>
      <c r="E10768" s="66"/>
      <c r="F10768" s="66"/>
    </row>
    <row r="10769" spans="4:6" x14ac:dyDescent="0.35">
      <c r="D10769" s="66"/>
      <c r="E10769" s="66"/>
      <c r="F10769" s="66"/>
    </row>
    <row r="10770" spans="4:6" x14ac:dyDescent="0.35">
      <c r="D10770" s="66"/>
      <c r="E10770" s="66"/>
      <c r="F10770" s="66"/>
    </row>
    <row r="10771" spans="4:6" x14ac:dyDescent="0.35">
      <c r="D10771" s="66"/>
      <c r="E10771" s="66"/>
      <c r="F10771" s="66"/>
    </row>
    <row r="10772" spans="4:6" x14ac:dyDescent="0.35">
      <c r="D10772" s="66"/>
      <c r="E10772" s="66"/>
      <c r="F10772" s="66"/>
    </row>
    <row r="10773" spans="4:6" x14ac:dyDescent="0.35">
      <c r="D10773" s="66"/>
      <c r="E10773" s="66"/>
      <c r="F10773" s="66"/>
    </row>
    <row r="10774" spans="4:6" x14ac:dyDescent="0.35">
      <c r="D10774" s="66"/>
      <c r="E10774" s="66"/>
      <c r="F10774" s="66"/>
    </row>
    <row r="10775" spans="4:6" x14ac:dyDescent="0.35">
      <c r="D10775" s="66"/>
      <c r="E10775" s="66"/>
      <c r="F10775" s="66"/>
    </row>
    <row r="10776" spans="4:6" x14ac:dyDescent="0.35">
      <c r="D10776" s="66"/>
      <c r="E10776" s="66"/>
      <c r="F10776" s="66"/>
    </row>
    <row r="10777" spans="4:6" x14ac:dyDescent="0.35">
      <c r="D10777" s="66"/>
      <c r="E10777" s="66"/>
      <c r="F10777" s="66"/>
    </row>
    <row r="10778" spans="4:6" x14ac:dyDescent="0.35">
      <c r="D10778" s="66"/>
      <c r="E10778" s="66"/>
      <c r="F10778" s="66"/>
    </row>
    <row r="10779" spans="4:6" x14ac:dyDescent="0.35">
      <c r="D10779" s="66"/>
      <c r="E10779" s="66"/>
      <c r="F10779" s="66"/>
    </row>
    <row r="10780" spans="4:6" x14ac:dyDescent="0.35">
      <c r="D10780" s="66"/>
      <c r="E10780" s="66"/>
      <c r="F10780" s="66"/>
    </row>
    <row r="10781" spans="4:6" x14ac:dyDescent="0.35">
      <c r="D10781" s="66"/>
      <c r="E10781" s="66"/>
      <c r="F10781" s="66"/>
    </row>
    <row r="10782" spans="4:6" x14ac:dyDescent="0.35">
      <c r="D10782" s="66"/>
      <c r="E10782" s="66"/>
      <c r="F10782" s="66"/>
    </row>
    <row r="10783" spans="4:6" x14ac:dyDescent="0.35">
      <c r="D10783" s="66"/>
      <c r="E10783" s="66"/>
      <c r="F10783" s="66"/>
    </row>
    <row r="10784" spans="4:6" x14ac:dyDescent="0.35">
      <c r="D10784" s="66"/>
      <c r="E10784" s="66"/>
      <c r="F10784" s="66"/>
    </row>
    <row r="10785" spans="4:6" x14ac:dyDescent="0.35">
      <c r="D10785" s="66"/>
      <c r="E10785" s="66"/>
      <c r="F10785" s="66"/>
    </row>
    <row r="10786" spans="4:6" x14ac:dyDescent="0.35">
      <c r="D10786" s="66"/>
      <c r="E10786" s="66"/>
      <c r="F10786" s="66"/>
    </row>
    <row r="10787" spans="4:6" x14ac:dyDescent="0.35">
      <c r="D10787" s="66"/>
      <c r="E10787" s="66"/>
      <c r="F10787" s="66"/>
    </row>
    <row r="10788" spans="4:6" x14ac:dyDescent="0.35">
      <c r="D10788" s="66"/>
      <c r="E10788" s="66"/>
      <c r="F10788" s="66"/>
    </row>
    <row r="10789" spans="4:6" x14ac:dyDescent="0.35">
      <c r="D10789" s="66"/>
      <c r="E10789" s="66"/>
      <c r="F10789" s="66"/>
    </row>
    <row r="10790" spans="4:6" x14ac:dyDescent="0.35">
      <c r="D10790" s="66"/>
      <c r="E10790" s="66"/>
      <c r="F10790" s="66"/>
    </row>
    <row r="10791" spans="4:6" x14ac:dyDescent="0.35">
      <c r="D10791" s="66"/>
      <c r="E10791" s="66"/>
      <c r="F10791" s="66"/>
    </row>
    <row r="10792" spans="4:6" x14ac:dyDescent="0.35">
      <c r="D10792" s="66"/>
      <c r="E10792" s="66"/>
      <c r="F10792" s="66"/>
    </row>
    <row r="10793" spans="4:6" x14ac:dyDescent="0.35">
      <c r="D10793" s="66"/>
      <c r="E10793" s="66"/>
      <c r="F10793" s="66"/>
    </row>
    <row r="10794" spans="4:6" x14ac:dyDescent="0.35">
      <c r="D10794" s="66"/>
      <c r="E10794" s="66"/>
      <c r="F10794" s="66"/>
    </row>
    <row r="10795" spans="4:6" x14ac:dyDescent="0.35">
      <c r="D10795" s="66"/>
      <c r="E10795" s="66"/>
      <c r="F10795" s="66"/>
    </row>
    <row r="10796" spans="4:6" x14ac:dyDescent="0.35">
      <c r="D10796" s="66"/>
      <c r="E10796" s="66"/>
      <c r="F10796" s="66"/>
    </row>
    <row r="10797" spans="4:6" x14ac:dyDescent="0.35">
      <c r="D10797" s="66"/>
      <c r="E10797" s="66"/>
      <c r="F10797" s="66"/>
    </row>
    <row r="10798" spans="4:6" x14ac:dyDescent="0.35">
      <c r="D10798" s="66"/>
      <c r="E10798" s="66"/>
      <c r="F10798" s="66"/>
    </row>
    <row r="10799" spans="4:6" x14ac:dyDescent="0.35">
      <c r="D10799" s="66"/>
      <c r="E10799" s="66"/>
      <c r="F10799" s="66"/>
    </row>
    <row r="10800" spans="4:6" x14ac:dyDescent="0.35">
      <c r="D10800" s="66"/>
      <c r="E10800" s="66"/>
      <c r="F10800" s="66"/>
    </row>
    <row r="10801" spans="4:6" x14ac:dyDescent="0.35">
      <c r="D10801" s="66"/>
      <c r="E10801" s="66"/>
      <c r="F10801" s="66"/>
    </row>
    <row r="10802" spans="4:6" x14ac:dyDescent="0.35">
      <c r="D10802" s="66"/>
      <c r="E10802" s="66"/>
      <c r="F10802" s="66"/>
    </row>
    <row r="10803" spans="4:6" x14ac:dyDescent="0.35">
      <c r="D10803" s="66"/>
      <c r="E10803" s="66"/>
      <c r="F10803" s="66"/>
    </row>
    <row r="10804" spans="4:6" x14ac:dyDescent="0.35">
      <c r="D10804" s="66"/>
      <c r="E10804" s="66"/>
      <c r="F10804" s="66"/>
    </row>
    <row r="10805" spans="4:6" x14ac:dyDescent="0.35">
      <c r="D10805" s="66"/>
      <c r="E10805" s="66"/>
      <c r="F10805" s="66"/>
    </row>
    <row r="10806" spans="4:6" x14ac:dyDescent="0.35">
      <c r="D10806" s="66"/>
      <c r="E10806" s="66"/>
      <c r="F10806" s="66"/>
    </row>
    <row r="10807" spans="4:6" x14ac:dyDescent="0.35">
      <c r="D10807" s="66"/>
      <c r="E10807" s="66"/>
      <c r="F10807" s="66"/>
    </row>
    <row r="10808" spans="4:6" x14ac:dyDescent="0.35">
      <c r="D10808" s="66"/>
      <c r="E10808" s="66"/>
      <c r="F10808" s="66"/>
    </row>
    <row r="10809" spans="4:6" x14ac:dyDescent="0.35">
      <c r="D10809" s="66"/>
      <c r="E10809" s="66"/>
      <c r="F10809" s="66"/>
    </row>
    <row r="10810" spans="4:6" x14ac:dyDescent="0.35">
      <c r="D10810" s="66"/>
      <c r="E10810" s="66"/>
      <c r="F10810" s="66"/>
    </row>
    <row r="10811" spans="4:6" x14ac:dyDescent="0.35">
      <c r="D10811" s="66"/>
      <c r="E10811" s="66"/>
      <c r="F10811" s="66"/>
    </row>
    <row r="10812" spans="4:6" x14ac:dyDescent="0.35">
      <c r="D10812" s="66"/>
      <c r="E10812" s="66"/>
      <c r="F10812" s="66"/>
    </row>
    <row r="10813" spans="4:6" x14ac:dyDescent="0.35">
      <c r="D10813" s="66"/>
      <c r="E10813" s="66"/>
      <c r="F10813" s="66"/>
    </row>
    <row r="10814" spans="4:6" x14ac:dyDescent="0.35">
      <c r="D10814" s="66"/>
      <c r="E10814" s="66"/>
      <c r="F10814" s="66"/>
    </row>
    <row r="10815" spans="4:6" x14ac:dyDescent="0.35">
      <c r="D10815" s="66"/>
      <c r="E10815" s="66"/>
      <c r="F10815" s="66"/>
    </row>
    <row r="10816" spans="4:6" x14ac:dyDescent="0.35">
      <c r="D10816" s="66"/>
      <c r="E10816" s="66"/>
      <c r="F10816" s="66"/>
    </row>
    <row r="10817" spans="4:6" x14ac:dyDescent="0.35">
      <c r="D10817" s="66"/>
      <c r="E10817" s="66"/>
      <c r="F10817" s="66"/>
    </row>
    <row r="10818" spans="4:6" x14ac:dyDescent="0.35">
      <c r="D10818" s="66"/>
      <c r="E10818" s="66"/>
      <c r="F10818" s="66"/>
    </row>
    <row r="10819" spans="4:6" x14ac:dyDescent="0.35">
      <c r="D10819" s="66"/>
      <c r="E10819" s="66"/>
      <c r="F10819" s="66"/>
    </row>
    <row r="10820" spans="4:6" x14ac:dyDescent="0.35">
      <c r="D10820" s="66"/>
      <c r="E10820" s="66"/>
      <c r="F10820" s="66"/>
    </row>
    <row r="10821" spans="4:6" x14ac:dyDescent="0.35">
      <c r="D10821" s="66"/>
      <c r="E10821" s="66"/>
      <c r="F10821" s="66"/>
    </row>
    <row r="10822" spans="4:6" x14ac:dyDescent="0.35">
      <c r="D10822" s="66"/>
      <c r="E10822" s="66"/>
      <c r="F10822" s="66"/>
    </row>
    <row r="10823" spans="4:6" x14ac:dyDescent="0.35">
      <c r="D10823" s="66"/>
      <c r="E10823" s="66"/>
      <c r="F10823" s="66"/>
    </row>
    <row r="10824" spans="4:6" x14ac:dyDescent="0.35">
      <c r="D10824" s="66"/>
      <c r="E10824" s="66"/>
      <c r="F10824" s="66"/>
    </row>
    <row r="10825" spans="4:6" x14ac:dyDescent="0.35">
      <c r="D10825" s="66"/>
      <c r="E10825" s="66"/>
      <c r="F10825" s="66"/>
    </row>
    <row r="10826" spans="4:6" x14ac:dyDescent="0.35">
      <c r="D10826" s="66"/>
      <c r="E10826" s="66"/>
      <c r="F10826" s="66"/>
    </row>
    <row r="10827" spans="4:6" x14ac:dyDescent="0.35">
      <c r="D10827" s="66"/>
      <c r="E10827" s="66"/>
      <c r="F10827" s="66"/>
    </row>
    <row r="10828" spans="4:6" x14ac:dyDescent="0.35">
      <c r="D10828" s="66"/>
      <c r="E10828" s="66"/>
      <c r="F10828" s="66"/>
    </row>
    <row r="10829" spans="4:6" x14ac:dyDescent="0.35">
      <c r="D10829" s="66"/>
      <c r="E10829" s="66"/>
      <c r="F10829" s="66"/>
    </row>
    <row r="10830" spans="4:6" x14ac:dyDescent="0.35">
      <c r="D10830" s="66"/>
      <c r="E10830" s="66"/>
      <c r="F10830" s="66"/>
    </row>
    <row r="10831" spans="4:6" x14ac:dyDescent="0.35">
      <c r="D10831" s="66"/>
      <c r="E10831" s="66"/>
      <c r="F10831" s="66"/>
    </row>
    <row r="10832" spans="4:6" x14ac:dyDescent="0.35">
      <c r="D10832" s="66"/>
      <c r="E10832" s="66"/>
      <c r="F10832" s="66"/>
    </row>
    <row r="10833" spans="4:6" x14ac:dyDescent="0.35">
      <c r="D10833" s="66"/>
      <c r="E10833" s="66"/>
      <c r="F10833" s="66"/>
    </row>
    <row r="10834" spans="4:6" x14ac:dyDescent="0.35">
      <c r="D10834" s="66"/>
      <c r="E10834" s="66"/>
      <c r="F10834" s="66"/>
    </row>
    <row r="10835" spans="4:6" x14ac:dyDescent="0.35">
      <c r="D10835" s="66"/>
      <c r="E10835" s="66"/>
      <c r="F10835" s="66"/>
    </row>
    <row r="10836" spans="4:6" x14ac:dyDescent="0.35">
      <c r="D10836" s="66"/>
      <c r="E10836" s="66"/>
      <c r="F10836" s="66"/>
    </row>
    <row r="10837" spans="4:6" x14ac:dyDescent="0.35">
      <c r="D10837" s="66"/>
      <c r="E10837" s="66"/>
      <c r="F10837" s="66"/>
    </row>
    <row r="10838" spans="4:6" x14ac:dyDescent="0.35">
      <c r="D10838" s="66"/>
      <c r="E10838" s="66"/>
      <c r="F10838" s="66"/>
    </row>
    <row r="10839" spans="4:6" x14ac:dyDescent="0.35">
      <c r="D10839" s="66"/>
      <c r="E10839" s="66"/>
      <c r="F10839" s="66"/>
    </row>
    <row r="10840" spans="4:6" x14ac:dyDescent="0.35">
      <c r="D10840" s="66"/>
      <c r="E10840" s="66"/>
      <c r="F10840" s="66"/>
    </row>
    <row r="10841" spans="4:6" x14ac:dyDescent="0.35">
      <c r="D10841" s="66"/>
      <c r="E10841" s="66"/>
      <c r="F10841" s="66"/>
    </row>
    <row r="10842" spans="4:6" x14ac:dyDescent="0.35">
      <c r="D10842" s="66"/>
      <c r="E10842" s="66"/>
      <c r="F10842" s="66"/>
    </row>
    <row r="10843" spans="4:6" x14ac:dyDescent="0.35">
      <c r="D10843" s="66"/>
      <c r="E10843" s="66"/>
      <c r="F10843" s="66"/>
    </row>
    <row r="10844" spans="4:6" x14ac:dyDescent="0.35">
      <c r="D10844" s="66"/>
      <c r="E10844" s="66"/>
      <c r="F10844" s="66"/>
    </row>
    <row r="10845" spans="4:6" x14ac:dyDescent="0.35">
      <c r="D10845" s="66"/>
      <c r="E10845" s="66"/>
      <c r="F10845" s="66"/>
    </row>
    <row r="10846" spans="4:6" x14ac:dyDescent="0.35">
      <c r="D10846" s="66"/>
      <c r="E10846" s="66"/>
      <c r="F10846" s="66"/>
    </row>
    <row r="10847" spans="4:6" x14ac:dyDescent="0.35">
      <c r="D10847" s="66"/>
      <c r="E10847" s="66"/>
      <c r="F10847" s="66"/>
    </row>
    <row r="10848" spans="4:6" x14ac:dyDescent="0.35">
      <c r="D10848" s="66"/>
      <c r="E10848" s="66"/>
      <c r="F10848" s="66"/>
    </row>
    <row r="10849" spans="4:6" x14ac:dyDescent="0.35">
      <c r="D10849" s="66"/>
      <c r="E10849" s="66"/>
      <c r="F10849" s="66"/>
    </row>
    <row r="10850" spans="4:6" x14ac:dyDescent="0.35">
      <c r="D10850" s="66"/>
      <c r="E10850" s="66"/>
      <c r="F10850" s="66"/>
    </row>
    <row r="10851" spans="4:6" x14ac:dyDescent="0.35">
      <c r="D10851" s="66"/>
      <c r="E10851" s="66"/>
      <c r="F10851" s="66"/>
    </row>
    <row r="10852" spans="4:6" x14ac:dyDescent="0.35">
      <c r="D10852" s="66"/>
      <c r="E10852" s="66"/>
      <c r="F10852" s="66"/>
    </row>
    <row r="10853" spans="4:6" x14ac:dyDescent="0.35">
      <c r="D10853" s="66"/>
      <c r="E10853" s="66"/>
      <c r="F10853" s="66"/>
    </row>
    <row r="10854" spans="4:6" x14ac:dyDescent="0.35">
      <c r="D10854" s="66"/>
      <c r="E10854" s="66"/>
      <c r="F10854" s="66"/>
    </row>
    <row r="10855" spans="4:6" x14ac:dyDescent="0.35">
      <c r="D10855" s="66"/>
      <c r="E10855" s="66"/>
      <c r="F10855" s="66"/>
    </row>
    <row r="10856" spans="4:6" x14ac:dyDescent="0.35">
      <c r="D10856" s="66"/>
      <c r="E10856" s="66"/>
      <c r="F10856" s="66"/>
    </row>
    <row r="10857" spans="4:6" x14ac:dyDescent="0.35">
      <c r="D10857" s="66"/>
      <c r="E10857" s="66"/>
      <c r="F10857" s="66"/>
    </row>
    <row r="10858" spans="4:6" x14ac:dyDescent="0.35">
      <c r="D10858" s="66"/>
      <c r="E10858" s="66"/>
      <c r="F10858" s="66"/>
    </row>
    <row r="10859" spans="4:6" x14ac:dyDescent="0.35">
      <c r="D10859" s="66"/>
      <c r="E10859" s="66"/>
      <c r="F10859" s="66"/>
    </row>
    <row r="10860" spans="4:6" x14ac:dyDescent="0.35">
      <c r="D10860" s="66"/>
      <c r="E10860" s="66"/>
      <c r="F10860" s="66"/>
    </row>
    <row r="10861" spans="4:6" x14ac:dyDescent="0.35">
      <c r="D10861" s="66"/>
      <c r="E10861" s="66"/>
      <c r="F10861" s="66"/>
    </row>
    <row r="10862" spans="4:6" x14ac:dyDescent="0.35">
      <c r="D10862" s="66"/>
      <c r="E10862" s="66"/>
      <c r="F10862" s="66"/>
    </row>
    <row r="10863" spans="4:6" x14ac:dyDescent="0.35">
      <c r="D10863" s="66"/>
      <c r="E10863" s="66"/>
      <c r="F10863" s="66"/>
    </row>
    <row r="10864" spans="4:6" x14ac:dyDescent="0.35">
      <c r="D10864" s="66"/>
      <c r="E10864" s="66"/>
      <c r="F10864" s="66"/>
    </row>
    <row r="10865" spans="4:6" x14ac:dyDescent="0.35">
      <c r="D10865" s="66"/>
      <c r="E10865" s="66"/>
      <c r="F10865" s="66"/>
    </row>
    <row r="10866" spans="4:6" x14ac:dyDescent="0.35">
      <c r="D10866" s="66"/>
      <c r="E10866" s="66"/>
      <c r="F10866" s="66"/>
    </row>
    <row r="10867" spans="4:6" x14ac:dyDescent="0.35">
      <c r="D10867" s="66"/>
      <c r="E10867" s="66"/>
      <c r="F10867" s="66"/>
    </row>
    <row r="10868" spans="4:6" x14ac:dyDescent="0.35">
      <c r="D10868" s="66"/>
      <c r="E10868" s="66"/>
      <c r="F10868" s="66"/>
    </row>
    <row r="10869" spans="4:6" x14ac:dyDescent="0.35">
      <c r="D10869" s="66"/>
      <c r="E10869" s="66"/>
      <c r="F10869" s="66"/>
    </row>
    <row r="10870" spans="4:6" x14ac:dyDescent="0.35">
      <c r="D10870" s="66"/>
      <c r="E10870" s="66"/>
      <c r="F10870" s="66"/>
    </row>
    <row r="10871" spans="4:6" x14ac:dyDescent="0.35">
      <c r="D10871" s="66"/>
      <c r="E10871" s="66"/>
      <c r="F10871" s="66"/>
    </row>
    <row r="10872" spans="4:6" x14ac:dyDescent="0.35">
      <c r="D10872" s="66"/>
      <c r="E10872" s="66"/>
      <c r="F10872" s="66"/>
    </row>
    <row r="10873" spans="4:6" x14ac:dyDescent="0.35">
      <c r="D10873" s="66"/>
      <c r="E10873" s="66"/>
      <c r="F10873" s="66"/>
    </row>
    <row r="10874" spans="4:6" x14ac:dyDescent="0.35">
      <c r="D10874" s="66"/>
      <c r="E10874" s="66"/>
      <c r="F10874" s="66"/>
    </row>
    <row r="10875" spans="4:6" x14ac:dyDescent="0.35">
      <c r="D10875" s="66"/>
      <c r="E10875" s="66"/>
      <c r="F10875" s="66"/>
    </row>
    <row r="10876" spans="4:6" x14ac:dyDescent="0.35">
      <c r="D10876" s="66"/>
      <c r="E10876" s="66"/>
      <c r="F10876" s="66"/>
    </row>
    <row r="10877" spans="4:6" x14ac:dyDescent="0.35">
      <c r="D10877" s="66"/>
      <c r="E10877" s="66"/>
      <c r="F10877" s="66"/>
    </row>
    <row r="10878" spans="4:6" x14ac:dyDescent="0.35">
      <c r="D10878" s="66"/>
      <c r="E10878" s="66"/>
      <c r="F10878" s="66"/>
    </row>
    <row r="10879" spans="4:6" x14ac:dyDescent="0.35">
      <c r="D10879" s="66"/>
      <c r="E10879" s="66"/>
      <c r="F10879" s="66"/>
    </row>
    <row r="10880" spans="4:6" x14ac:dyDescent="0.35">
      <c r="D10880" s="66"/>
      <c r="E10880" s="66"/>
      <c r="F10880" s="66"/>
    </row>
    <row r="10881" spans="4:6" x14ac:dyDescent="0.35">
      <c r="D10881" s="66"/>
      <c r="E10881" s="66"/>
      <c r="F10881" s="66"/>
    </row>
    <row r="10882" spans="4:6" x14ac:dyDescent="0.35">
      <c r="D10882" s="66"/>
      <c r="E10882" s="66"/>
      <c r="F10882" s="66"/>
    </row>
    <row r="10883" spans="4:6" x14ac:dyDescent="0.35">
      <c r="D10883" s="66"/>
      <c r="E10883" s="66"/>
      <c r="F10883" s="66"/>
    </row>
    <row r="10884" spans="4:6" x14ac:dyDescent="0.35">
      <c r="D10884" s="66"/>
      <c r="E10884" s="66"/>
      <c r="F10884" s="66"/>
    </row>
    <row r="10885" spans="4:6" x14ac:dyDescent="0.35">
      <c r="D10885" s="66"/>
      <c r="E10885" s="66"/>
      <c r="F10885" s="66"/>
    </row>
    <row r="10886" spans="4:6" x14ac:dyDescent="0.35">
      <c r="D10886" s="66"/>
      <c r="E10886" s="66"/>
      <c r="F10886" s="66"/>
    </row>
    <row r="10887" spans="4:6" x14ac:dyDescent="0.35">
      <c r="D10887" s="66"/>
      <c r="E10887" s="66"/>
      <c r="F10887" s="66"/>
    </row>
    <row r="10888" spans="4:6" x14ac:dyDescent="0.35">
      <c r="D10888" s="66"/>
      <c r="E10888" s="66"/>
      <c r="F10888" s="66"/>
    </row>
    <row r="10889" spans="4:6" x14ac:dyDescent="0.35">
      <c r="D10889" s="66"/>
      <c r="E10889" s="66"/>
      <c r="F10889" s="66"/>
    </row>
    <row r="10890" spans="4:6" x14ac:dyDescent="0.35">
      <c r="D10890" s="66"/>
      <c r="E10890" s="66"/>
      <c r="F10890" s="66"/>
    </row>
    <row r="10891" spans="4:6" x14ac:dyDescent="0.35">
      <c r="D10891" s="66"/>
      <c r="E10891" s="66"/>
      <c r="F10891" s="66"/>
    </row>
    <row r="10892" spans="4:6" x14ac:dyDescent="0.35">
      <c r="D10892" s="66"/>
      <c r="E10892" s="66"/>
      <c r="F10892" s="66"/>
    </row>
    <row r="10893" spans="4:6" x14ac:dyDescent="0.35">
      <c r="D10893" s="66"/>
      <c r="E10893" s="66"/>
      <c r="F10893" s="66"/>
    </row>
    <row r="10894" spans="4:6" x14ac:dyDescent="0.35">
      <c r="D10894" s="66"/>
      <c r="E10894" s="66"/>
      <c r="F10894" s="66"/>
    </row>
    <row r="10895" spans="4:6" x14ac:dyDescent="0.35">
      <c r="D10895" s="66"/>
      <c r="E10895" s="66"/>
      <c r="F10895" s="66"/>
    </row>
    <row r="10896" spans="4:6" x14ac:dyDescent="0.35">
      <c r="D10896" s="66"/>
      <c r="E10896" s="66"/>
      <c r="F10896" s="66"/>
    </row>
    <row r="10897" spans="4:6" x14ac:dyDescent="0.35">
      <c r="D10897" s="66"/>
      <c r="E10897" s="66"/>
      <c r="F10897" s="66"/>
    </row>
    <row r="10898" spans="4:6" x14ac:dyDescent="0.35">
      <c r="D10898" s="66"/>
      <c r="E10898" s="66"/>
      <c r="F10898" s="66"/>
    </row>
    <row r="10899" spans="4:6" x14ac:dyDescent="0.35">
      <c r="D10899" s="66"/>
      <c r="E10899" s="66"/>
      <c r="F10899" s="66"/>
    </row>
    <row r="10900" spans="4:6" x14ac:dyDescent="0.35">
      <c r="D10900" s="66"/>
      <c r="E10900" s="66"/>
      <c r="F10900" s="66"/>
    </row>
    <row r="10901" spans="4:6" x14ac:dyDescent="0.35">
      <c r="D10901" s="66"/>
      <c r="E10901" s="66"/>
      <c r="F10901" s="66"/>
    </row>
    <row r="10902" spans="4:6" x14ac:dyDescent="0.35">
      <c r="D10902" s="66"/>
      <c r="E10902" s="66"/>
      <c r="F10902" s="66"/>
    </row>
    <row r="10903" spans="4:6" x14ac:dyDescent="0.35">
      <c r="D10903" s="66"/>
      <c r="E10903" s="66"/>
      <c r="F10903" s="66"/>
    </row>
    <row r="10904" spans="4:6" x14ac:dyDescent="0.35">
      <c r="D10904" s="66"/>
      <c r="E10904" s="66"/>
      <c r="F10904" s="66"/>
    </row>
    <row r="10905" spans="4:6" x14ac:dyDescent="0.35">
      <c r="D10905" s="66"/>
      <c r="E10905" s="66"/>
      <c r="F10905" s="66"/>
    </row>
    <row r="10906" spans="4:6" x14ac:dyDescent="0.35">
      <c r="D10906" s="66"/>
      <c r="E10906" s="66"/>
      <c r="F10906" s="66"/>
    </row>
    <row r="10907" spans="4:6" x14ac:dyDescent="0.35">
      <c r="D10907" s="66"/>
      <c r="E10907" s="66"/>
      <c r="F10907" s="66"/>
    </row>
    <row r="10908" spans="4:6" x14ac:dyDescent="0.35">
      <c r="D10908" s="66"/>
      <c r="E10908" s="66"/>
      <c r="F10908" s="66"/>
    </row>
    <row r="10909" spans="4:6" x14ac:dyDescent="0.35">
      <c r="D10909" s="66"/>
      <c r="E10909" s="66"/>
      <c r="F10909" s="66"/>
    </row>
    <row r="10910" spans="4:6" x14ac:dyDescent="0.35">
      <c r="D10910" s="66"/>
      <c r="E10910" s="66"/>
      <c r="F10910" s="66"/>
    </row>
    <row r="10911" spans="4:6" x14ac:dyDescent="0.35">
      <c r="D10911" s="66"/>
      <c r="E10911" s="66"/>
      <c r="F10911" s="66"/>
    </row>
    <row r="10912" spans="4:6" x14ac:dyDescent="0.35">
      <c r="D10912" s="66"/>
      <c r="E10912" s="66"/>
      <c r="F10912" s="66"/>
    </row>
    <row r="10913" spans="4:6" x14ac:dyDescent="0.35">
      <c r="D10913" s="66"/>
      <c r="E10913" s="66"/>
      <c r="F10913" s="66"/>
    </row>
    <row r="10914" spans="4:6" x14ac:dyDescent="0.35">
      <c r="D10914" s="66"/>
      <c r="E10914" s="66"/>
      <c r="F10914" s="66"/>
    </row>
    <row r="10915" spans="4:6" x14ac:dyDescent="0.35">
      <c r="D10915" s="66"/>
      <c r="E10915" s="66"/>
      <c r="F10915" s="66"/>
    </row>
    <row r="10916" spans="4:6" x14ac:dyDescent="0.35">
      <c r="D10916" s="66"/>
      <c r="E10916" s="66"/>
      <c r="F10916" s="66"/>
    </row>
    <row r="10917" spans="4:6" x14ac:dyDescent="0.35">
      <c r="D10917" s="66"/>
      <c r="E10917" s="66"/>
      <c r="F10917" s="66"/>
    </row>
    <row r="10918" spans="4:6" x14ac:dyDescent="0.35">
      <c r="D10918" s="66"/>
      <c r="E10918" s="66"/>
      <c r="F10918" s="66"/>
    </row>
    <row r="10919" spans="4:6" x14ac:dyDescent="0.35">
      <c r="D10919" s="66"/>
      <c r="E10919" s="66"/>
      <c r="F10919" s="66"/>
    </row>
    <row r="10920" spans="4:6" x14ac:dyDescent="0.35">
      <c r="D10920" s="66"/>
      <c r="E10920" s="66"/>
      <c r="F10920" s="66"/>
    </row>
    <row r="10921" spans="4:6" x14ac:dyDescent="0.35">
      <c r="D10921" s="66"/>
      <c r="E10921" s="66"/>
      <c r="F10921" s="66"/>
    </row>
    <row r="10922" spans="4:6" x14ac:dyDescent="0.35">
      <c r="D10922" s="66"/>
      <c r="E10922" s="66"/>
      <c r="F10922" s="66"/>
    </row>
    <row r="10923" spans="4:6" x14ac:dyDescent="0.35">
      <c r="D10923" s="66"/>
      <c r="E10923" s="66"/>
      <c r="F10923" s="66"/>
    </row>
    <row r="10924" spans="4:6" x14ac:dyDescent="0.35">
      <c r="D10924" s="66"/>
      <c r="E10924" s="66"/>
      <c r="F10924" s="66"/>
    </row>
    <row r="10925" spans="4:6" x14ac:dyDescent="0.35">
      <c r="D10925" s="66"/>
      <c r="E10925" s="66"/>
      <c r="F10925" s="66"/>
    </row>
    <row r="10926" spans="4:6" x14ac:dyDescent="0.35">
      <c r="D10926" s="66"/>
      <c r="E10926" s="66"/>
      <c r="F10926" s="66"/>
    </row>
    <row r="10927" spans="4:6" x14ac:dyDescent="0.35">
      <c r="D10927" s="66"/>
      <c r="E10927" s="66"/>
      <c r="F10927" s="66"/>
    </row>
    <row r="10928" spans="4:6" x14ac:dyDescent="0.35">
      <c r="D10928" s="66"/>
      <c r="E10928" s="66"/>
      <c r="F10928" s="66"/>
    </row>
    <row r="10929" spans="4:6" x14ac:dyDescent="0.35">
      <c r="D10929" s="66"/>
      <c r="E10929" s="66"/>
      <c r="F10929" s="66"/>
    </row>
    <row r="10930" spans="4:6" x14ac:dyDescent="0.35">
      <c r="D10930" s="66"/>
      <c r="E10930" s="66"/>
      <c r="F10930" s="66"/>
    </row>
    <row r="10931" spans="4:6" x14ac:dyDescent="0.35">
      <c r="D10931" s="66"/>
      <c r="E10931" s="66"/>
      <c r="F10931" s="66"/>
    </row>
    <row r="10932" spans="4:6" x14ac:dyDescent="0.35">
      <c r="D10932" s="66"/>
      <c r="E10932" s="66"/>
      <c r="F10932" s="66"/>
    </row>
    <row r="10933" spans="4:6" x14ac:dyDescent="0.35">
      <c r="D10933" s="66"/>
      <c r="E10933" s="66"/>
      <c r="F10933" s="66"/>
    </row>
    <row r="10934" spans="4:6" x14ac:dyDescent="0.35">
      <c r="D10934" s="66"/>
      <c r="E10934" s="66"/>
      <c r="F10934" s="66"/>
    </row>
    <row r="10935" spans="4:6" x14ac:dyDescent="0.35">
      <c r="D10935" s="66"/>
      <c r="E10935" s="66"/>
      <c r="F10935" s="66"/>
    </row>
    <row r="10936" spans="4:6" x14ac:dyDescent="0.35">
      <c r="D10936" s="66"/>
      <c r="E10936" s="66"/>
      <c r="F10936" s="66"/>
    </row>
    <row r="10937" spans="4:6" x14ac:dyDescent="0.35">
      <c r="D10937" s="66"/>
      <c r="E10937" s="66"/>
      <c r="F10937" s="66"/>
    </row>
    <row r="10938" spans="4:6" x14ac:dyDescent="0.35">
      <c r="D10938" s="66"/>
      <c r="E10938" s="66"/>
      <c r="F10938" s="66"/>
    </row>
    <row r="10939" spans="4:6" x14ac:dyDescent="0.35">
      <c r="D10939" s="66"/>
      <c r="E10939" s="66"/>
      <c r="F10939" s="66"/>
    </row>
    <row r="10940" spans="4:6" x14ac:dyDescent="0.35">
      <c r="D10940" s="66"/>
      <c r="E10940" s="66"/>
      <c r="F10940" s="66"/>
    </row>
    <row r="10941" spans="4:6" x14ac:dyDescent="0.35">
      <c r="D10941" s="66"/>
      <c r="E10941" s="66"/>
      <c r="F10941" s="66"/>
    </row>
    <row r="10942" spans="4:6" x14ac:dyDescent="0.35">
      <c r="D10942" s="66"/>
      <c r="E10942" s="66"/>
      <c r="F10942" s="66"/>
    </row>
    <row r="10943" spans="4:6" x14ac:dyDescent="0.35">
      <c r="D10943" s="66"/>
      <c r="E10943" s="66"/>
      <c r="F10943" s="66"/>
    </row>
    <row r="10944" spans="4:6" x14ac:dyDescent="0.35">
      <c r="D10944" s="66"/>
      <c r="E10944" s="66"/>
      <c r="F10944" s="66"/>
    </row>
    <row r="10945" spans="4:6" x14ac:dyDescent="0.35">
      <c r="D10945" s="66"/>
      <c r="E10945" s="66"/>
      <c r="F10945" s="66"/>
    </row>
    <row r="10946" spans="4:6" x14ac:dyDescent="0.35">
      <c r="D10946" s="66"/>
      <c r="E10946" s="66"/>
      <c r="F10946" s="66"/>
    </row>
    <row r="10947" spans="4:6" x14ac:dyDescent="0.35">
      <c r="D10947" s="66"/>
      <c r="E10947" s="66"/>
      <c r="F10947" s="66"/>
    </row>
    <row r="10948" spans="4:6" x14ac:dyDescent="0.35">
      <c r="D10948" s="66"/>
      <c r="E10948" s="66"/>
      <c r="F10948" s="66"/>
    </row>
    <row r="10949" spans="4:6" x14ac:dyDescent="0.35">
      <c r="D10949" s="66"/>
      <c r="E10949" s="66"/>
      <c r="F10949" s="66"/>
    </row>
    <row r="10950" spans="4:6" x14ac:dyDescent="0.35">
      <c r="D10950" s="66"/>
      <c r="E10950" s="66"/>
      <c r="F10950" s="66"/>
    </row>
    <row r="10951" spans="4:6" x14ac:dyDescent="0.35">
      <c r="D10951" s="66"/>
      <c r="E10951" s="66"/>
      <c r="F10951" s="66"/>
    </row>
    <row r="10952" spans="4:6" x14ac:dyDescent="0.35">
      <c r="D10952" s="66"/>
      <c r="E10952" s="66"/>
      <c r="F10952" s="66"/>
    </row>
    <row r="10953" spans="4:6" x14ac:dyDescent="0.35">
      <c r="D10953" s="66"/>
      <c r="E10953" s="66"/>
      <c r="F10953" s="66"/>
    </row>
    <row r="10954" spans="4:6" x14ac:dyDescent="0.35">
      <c r="D10954" s="66"/>
      <c r="E10954" s="66"/>
      <c r="F10954" s="66"/>
    </row>
    <row r="10955" spans="4:6" x14ac:dyDescent="0.35">
      <c r="D10955" s="66"/>
      <c r="E10955" s="66"/>
      <c r="F10955" s="66"/>
    </row>
    <row r="10956" spans="4:6" x14ac:dyDescent="0.35">
      <c r="D10956" s="66"/>
      <c r="E10956" s="66"/>
      <c r="F10956" s="66"/>
    </row>
    <row r="10957" spans="4:6" x14ac:dyDescent="0.35">
      <c r="D10957" s="66"/>
      <c r="E10957" s="66"/>
      <c r="F10957" s="66"/>
    </row>
    <row r="10958" spans="4:6" x14ac:dyDescent="0.35">
      <c r="D10958" s="66"/>
      <c r="E10958" s="66"/>
      <c r="F10958" s="66"/>
    </row>
    <row r="10959" spans="4:6" x14ac:dyDescent="0.35">
      <c r="D10959" s="66"/>
      <c r="E10959" s="66"/>
      <c r="F10959" s="66"/>
    </row>
    <row r="10960" spans="4:6" x14ac:dyDescent="0.35">
      <c r="D10960" s="66"/>
      <c r="E10960" s="66"/>
      <c r="F10960" s="66"/>
    </row>
    <row r="10961" spans="4:6" x14ac:dyDescent="0.35">
      <c r="D10961" s="66"/>
      <c r="E10961" s="66"/>
      <c r="F10961" s="66"/>
    </row>
    <row r="10962" spans="4:6" x14ac:dyDescent="0.35">
      <c r="D10962" s="66"/>
      <c r="E10962" s="66"/>
      <c r="F10962" s="66"/>
    </row>
    <row r="10963" spans="4:6" x14ac:dyDescent="0.35">
      <c r="D10963" s="66"/>
      <c r="E10963" s="66"/>
      <c r="F10963" s="66"/>
    </row>
    <row r="10964" spans="4:6" x14ac:dyDescent="0.35">
      <c r="D10964" s="66"/>
      <c r="E10964" s="66"/>
      <c r="F10964" s="66"/>
    </row>
    <row r="10965" spans="4:6" x14ac:dyDescent="0.35">
      <c r="D10965" s="66"/>
      <c r="E10965" s="66"/>
      <c r="F10965" s="66"/>
    </row>
    <row r="10966" spans="4:6" x14ac:dyDescent="0.35">
      <c r="D10966" s="66"/>
      <c r="E10966" s="66"/>
      <c r="F10966" s="66"/>
    </row>
    <row r="10967" spans="4:6" x14ac:dyDescent="0.35">
      <c r="D10967" s="66"/>
      <c r="E10967" s="66"/>
      <c r="F10967" s="66"/>
    </row>
    <row r="10968" spans="4:6" x14ac:dyDescent="0.35">
      <c r="D10968" s="66"/>
      <c r="E10968" s="66"/>
      <c r="F10968" s="66"/>
    </row>
    <row r="10969" spans="4:6" x14ac:dyDescent="0.35">
      <c r="D10969" s="66"/>
      <c r="E10969" s="66"/>
      <c r="F10969" s="66"/>
    </row>
    <row r="10970" spans="4:6" x14ac:dyDescent="0.35">
      <c r="D10970" s="66"/>
      <c r="E10970" s="66"/>
      <c r="F10970" s="66"/>
    </row>
    <row r="10971" spans="4:6" x14ac:dyDescent="0.35">
      <c r="D10971" s="66"/>
      <c r="E10971" s="66"/>
      <c r="F10971" s="66"/>
    </row>
    <row r="10972" spans="4:6" x14ac:dyDescent="0.35">
      <c r="D10972" s="66"/>
      <c r="E10972" s="66"/>
      <c r="F10972" s="66"/>
    </row>
    <row r="10973" spans="4:6" x14ac:dyDescent="0.35">
      <c r="D10973" s="66"/>
      <c r="E10973" s="66"/>
      <c r="F10973" s="66"/>
    </row>
    <row r="10974" spans="4:6" x14ac:dyDescent="0.35">
      <c r="D10974" s="66"/>
      <c r="E10974" s="66"/>
      <c r="F10974" s="66"/>
    </row>
    <row r="10975" spans="4:6" x14ac:dyDescent="0.35">
      <c r="D10975" s="66"/>
      <c r="E10975" s="66"/>
      <c r="F10975" s="66"/>
    </row>
    <row r="10976" spans="4:6" x14ac:dyDescent="0.35">
      <c r="D10976" s="66"/>
      <c r="E10976" s="66"/>
      <c r="F10976" s="66"/>
    </row>
    <row r="10977" spans="4:6" x14ac:dyDescent="0.35">
      <c r="D10977" s="66"/>
      <c r="E10977" s="66"/>
      <c r="F10977" s="66"/>
    </row>
    <row r="10978" spans="4:6" x14ac:dyDescent="0.35">
      <c r="D10978" s="66"/>
      <c r="E10978" s="66"/>
      <c r="F10978" s="66"/>
    </row>
    <row r="10979" spans="4:6" x14ac:dyDescent="0.35">
      <c r="D10979" s="66"/>
      <c r="E10979" s="66"/>
      <c r="F10979" s="66"/>
    </row>
    <row r="10980" spans="4:6" x14ac:dyDescent="0.35">
      <c r="D10980" s="66"/>
      <c r="E10980" s="66"/>
      <c r="F10980" s="66"/>
    </row>
    <row r="10981" spans="4:6" x14ac:dyDescent="0.35">
      <c r="D10981" s="66"/>
      <c r="E10981" s="66"/>
      <c r="F10981" s="66"/>
    </row>
    <row r="10982" spans="4:6" x14ac:dyDescent="0.35">
      <c r="D10982" s="66"/>
      <c r="E10982" s="66"/>
      <c r="F10982" s="66"/>
    </row>
    <row r="10983" spans="4:6" x14ac:dyDescent="0.35">
      <c r="D10983" s="66"/>
      <c r="E10983" s="66"/>
      <c r="F10983" s="66"/>
    </row>
    <row r="10984" spans="4:6" x14ac:dyDescent="0.35">
      <c r="D10984" s="66"/>
      <c r="E10984" s="66"/>
      <c r="F10984" s="66"/>
    </row>
    <row r="10985" spans="4:6" x14ac:dyDescent="0.35">
      <c r="D10985" s="66"/>
      <c r="E10985" s="66"/>
      <c r="F10985" s="66"/>
    </row>
    <row r="10986" spans="4:6" x14ac:dyDescent="0.35">
      <c r="D10986" s="66"/>
      <c r="E10986" s="66"/>
      <c r="F10986" s="66"/>
    </row>
    <row r="10987" spans="4:6" x14ac:dyDescent="0.35">
      <c r="D10987" s="66"/>
      <c r="E10987" s="66"/>
      <c r="F10987" s="66"/>
    </row>
    <row r="10988" spans="4:6" x14ac:dyDescent="0.35">
      <c r="D10988" s="66"/>
      <c r="E10988" s="66"/>
      <c r="F10988" s="66"/>
    </row>
    <row r="10989" spans="4:6" x14ac:dyDescent="0.35">
      <c r="D10989" s="66"/>
      <c r="E10989" s="66"/>
      <c r="F10989" s="66"/>
    </row>
    <row r="10990" spans="4:6" x14ac:dyDescent="0.35">
      <c r="D10990" s="66"/>
      <c r="E10990" s="66"/>
      <c r="F10990" s="66"/>
    </row>
    <row r="10991" spans="4:6" x14ac:dyDescent="0.35">
      <c r="D10991" s="66"/>
      <c r="E10991" s="66"/>
      <c r="F10991" s="66"/>
    </row>
    <row r="10992" spans="4:6" x14ac:dyDescent="0.35">
      <c r="D10992" s="66"/>
      <c r="E10992" s="66"/>
      <c r="F10992" s="66"/>
    </row>
    <row r="10993" spans="4:6" x14ac:dyDescent="0.35">
      <c r="D10993" s="66"/>
      <c r="E10993" s="66"/>
      <c r="F10993" s="66"/>
    </row>
  </sheetData>
  <pageMargins left="0.7" right="0.7" top="0.75" bottom="0.75" header="0.3" footer="0.3"/>
  <pageSetup orientation="portrait" r:id="rId2"/>
  <customProperties>
    <customPr name="_pios_id" r:id="rId3"/>
    <customPr name="EpmWorksheetKeyString_GUID" r:id="rId4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1B62-C41B-4906-8D69-9D00A9F6C45A}">
  <dimension ref="A1:P13"/>
  <sheetViews>
    <sheetView zoomScale="90" zoomScaleNormal="90" workbookViewId="0">
      <selection activeCell="R13" sqref="R13"/>
    </sheetView>
  </sheetViews>
  <sheetFormatPr defaultRowHeight="12.5" outlineLevelCol="1" x14ac:dyDescent="0.25"/>
  <cols>
    <col min="1" max="7" width="12.69921875" style="3" customWidth="1"/>
    <col min="8" max="14" width="12.69921875" style="3" hidden="1" customWidth="1" outlineLevel="1"/>
    <col min="15" max="15" width="8.796875" style="3" collapsed="1"/>
    <col min="16" max="16" width="9.5" style="3" bestFit="1" customWidth="1"/>
    <col min="17" max="16384" width="8.796875" style="3"/>
  </cols>
  <sheetData>
    <row r="1" spans="1:16" ht="13" x14ac:dyDescent="0.3">
      <c r="A1" s="4" t="s">
        <v>2521</v>
      </c>
    </row>
    <row r="3" spans="1:16" ht="13" x14ac:dyDescent="0.3">
      <c r="A3" s="168" t="s">
        <v>2519</v>
      </c>
      <c r="B3" s="168" t="s">
        <v>2520</v>
      </c>
      <c r="C3" s="168" t="s">
        <v>2503</v>
      </c>
      <c r="D3" s="168" t="s">
        <v>2504</v>
      </c>
      <c r="E3" s="168" t="s">
        <v>2505</v>
      </c>
      <c r="F3" s="168" t="s">
        <v>2506</v>
      </c>
      <c r="G3" s="168" t="s">
        <v>2507</v>
      </c>
      <c r="H3" s="168" t="s">
        <v>2508</v>
      </c>
      <c r="I3" s="168" t="s">
        <v>2509</v>
      </c>
      <c r="J3" s="168" t="s">
        <v>2510</v>
      </c>
      <c r="K3" s="168" t="s">
        <v>2511</v>
      </c>
      <c r="L3" s="168" t="s">
        <v>2512</v>
      </c>
      <c r="M3" s="168" t="s">
        <v>2513</v>
      </c>
      <c r="N3" s="168" t="s">
        <v>2514</v>
      </c>
    </row>
    <row r="4" spans="1:16" x14ac:dyDescent="0.25">
      <c r="A4" s="178" t="s">
        <v>1155</v>
      </c>
      <c r="B4" s="169" t="s">
        <v>2515</v>
      </c>
      <c r="C4" s="170">
        <v>86956.51999999999</v>
      </c>
      <c r="D4" s="170">
        <v>92538.73</v>
      </c>
      <c r="E4" s="170">
        <v>57291.349999999991</v>
      </c>
      <c r="F4" s="170">
        <v>59614.06</v>
      </c>
      <c r="G4" s="170">
        <v>85047.56</v>
      </c>
      <c r="H4" s="170"/>
      <c r="I4" s="170"/>
      <c r="J4" s="170"/>
      <c r="K4" s="170"/>
      <c r="L4" s="170"/>
      <c r="M4" s="170"/>
      <c r="N4" s="170"/>
    </row>
    <row r="5" spans="1:16" x14ac:dyDescent="0.25">
      <c r="A5" s="179"/>
      <c r="B5" s="169" t="s">
        <v>2516</v>
      </c>
      <c r="C5" s="170">
        <v>92003.46</v>
      </c>
      <c r="D5" s="170">
        <v>99289.73</v>
      </c>
      <c r="E5" s="170">
        <v>107022.88</v>
      </c>
      <c r="F5" s="170">
        <v>89652.010000000009</v>
      </c>
      <c r="G5" s="170">
        <v>84329.959999999992</v>
      </c>
      <c r="H5" s="170"/>
      <c r="I5" s="170"/>
      <c r="J5" s="170"/>
      <c r="K5" s="170"/>
      <c r="L5" s="170"/>
      <c r="M5" s="170"/>
      <c r="N5" s="170"/>
    </row>
    <row r="6" spans="1:16" x14ac:dyDescent="0.25">
      <c r="A6" s="179"/>
      <c r="B6" s="169" t="s">
        <v>2517</v>
      </c>
      <c r="C6" s="170">
        <v>32178.629999999997</v>
      </c>
      <c r="D6" s="170">
        <v>32692.41</v>
      </c>
      <c r="E6" s="170">
        <v>40197.270000000004</v>
      </c>
      <c r="F6" s="170">
        <v>47409.72</v>
      </c>
      <c r="G6" s="170">
        <v>54146.39</v>
      </c>
      <c r="H6" s="170"/>
      <c r="I6" s="170"/>
      <c r="J6" s="170"/>
      <c r="K6" s="170"/>
      <c r="L6" s="170"/>
      <c r="M6" s="170"/>
      <c r="N6" s="170"/>
    </row>
    <row r="7" spans="1:16" x14ac:dyDescent="0.25">
      <c r="A7" s="179"/>
      <c r="B7" s="169" t="s">
        <v>2518</v>
      </c>
      <c r="C7" s="170">
        <v>2297.27</v>
      </c>
      <c r="D7" s="170">
        <v>458.66999999999996</v>
      </c>
      <c r="E7" s="170">
        <v>458.66999999999996</v>
      </c>
      <c r="F7" s="170">
        <v>724.77</v>
      </c>
      <c r="G7" s="170">
        <v>3511.13</v>
      </c>
      <c r="H7" s="170"/>
      <c r="I7" s="170"/>
      <c r="J7" s="170"/>
      <c r="K7" s="170"/>
      <c r="L7" s="170"/>
      <c r="M7" s="170"/>
      <c r="N7" s="170"/>
    </row>
    <row r="8" spans="1:16" ht="13" x14ac:dyDescent="0.3">
      <c r="A8" s="180"/>
      <c r="B8" s="171" t="s">
        <v>1456</v>
      </c>
      <c r="C8" s="172">
        <f>SUM(C4:C7)</f>
        <v>213435.87999999998</v>
      </c>
      <c r="D8" s="172">
        <f t="shared" ref="D8:N8" si="0">SUM(D4:D7)</f>
        <v>224979.54</v>
      </c>
      <c r="E8" s="172">
        <f t="shared" si="0"/>
        <v>204970.17</v>
      </c>
      <c r="F8" s="172">
        <f t="shared" si="0"/>
        <v>197400.56</v>
      </c>
      <c r="G8" s="172">
        <f t="shared" si="0"/>
        <v>227035.03999999998</v>
      </c>
      <c r="H8" s="172">
        <f t="shared" si="0"/>
        <v>0</v>
      </c>
      <c r="I8" s="172">
        <f t="shared" si="0"/>
        <v>0</v>
      </c>
      <c r="J8" s="172">
        <f t="shared" si="0"/>
        <v>0</v>
      </c>
      <c r="K8" s="172">
        <f t="shared" si="0"/>
        <v>0</v>
      </c>
      <c r="L8" s="172">
        <f t="shared" si="0"/>
        <v>0</v>
      </c>
      <c r="M8" s="172">
        <f t="shared" si="0"/>
        <v>0</v>
      </c>
      <c r="N8" s="172">
        <f t="shared" si="0"/>
        <v>0</v>
      </c>
      <c r="P8" s="174"/>
    </row>
    <row r="9" spans="1:16" x14ac:dyDescent="0.25">
      <c r="A9" s="177" t="s">
        <v>1158</v>
      </c>
      <c r="B9" s="169" t="s">
        <v>2515</v>
      </c>
      <c r="C9" s="170">
        <v>113007.44</v>
      </c>
      <c r="D9" s="170">
        <v>59869.030000000006</v>
      </c>
      <c r="E9" s="170">
        <v>52139.76</v>
      </c>
      <c r="F9" s="170">
        <v>74553.2</v>
      </c>
      <c r="G9" s="170">
        <v>308137.21000000002</v>
      </c>
      <c r="H9" s="170"/>
      <c r="I9" s="170"/>
      <c r="J9" s="170"/>
      <c r="K9" s="170"/>
      <c r="L9" s="170"/>
      <c r="M9" s="170"/>
      <c r="N9" s="170"/>
    </row>
    <row r="10" spans="1:16" x14ac:dyDescent="0.25">
      <c r="A10" s="177"/>
      <c r="B10" s="169" t="s">
        <v>2516</v>
      </c>
      <c r="C10" s="173">
        <v>162412.62</v>
      </c>
      <c r="D10" s="170">
        <v>166354.16</v>
      </c>
      <c r="E10" s="170">
        <v>110348.93</v>
      </c>
      <c r="F10" s="170">
        <v>93375.28</v>
      </c>
      <c r="G10" s="170">
        <v>82438.48</v>
      </c>
      <c r="H10" s="170"/>
      <c r="I10" s="170"/>
      <c r="J10" s="170"/>
      <c r="K10" s="170"/>
      <c r="L10" s="170"/>
      <c r="M10" s="170"/>
      <c r="N10" s="170"/>
    </row>
    <row r="11" spans="1:16" x14ac:dyDescent="0.25">
      <c r="A11" s="177"/>
      <c r="B11" s="169" t="s">
        <v>2517</v>
      </c>
      <c r="C11" s="170">
        <v>25147.75</v>
      </c>
      <c r="D11" s="170">
        <v>29652.41</v>
      </c>
      <c r="E11" s="170">
        <v>102724.38</v>
      </c>
      <c r="F11" s="170">
        <v>104354.25</v>
      </c>
      <c r="G11" s="170">
        <v>86813.27</v>
      </c>
      <c r="H11" s="170"/>
      <c r="I11" s="170"/>
      <c r="J11" s="170"/>
      <c r="K11" s="170"/>
      <c r="L11" s="170"/>
      <c r="M11" s="170"/>
      <c r="N11" s="170"/>
    </row>
    <row r="12" spans="1:16" x14ac:dyDescent="0.25">
      <c r="A12" s="177"/>
      <c r="B12" s="169" t="s">
        <v>2518</v>
      </c>
      <c r="C12" s="170">
        <v>4640.1900000000005</v>
      </c>
      <c r="D12" s="170">
        <v>4664.1500000000015</v>
      </c>
      <c r="E12" s="170">
        <v>4649.0500000000011</v>
      </c>
      <c r="F12" s="170">
        <v>4928.9800000000005</v>
      </c>
      <c r="G12" s="170">
        <v>5289.7500000000009</v>
      </c>
      <c r="H12" s="170"/>
      <c r="I12" s="170"/>
      <c r="J12" s="170"/>
      <c r="K12" s="170"/>
      <c r="L12" s="170"/>
      <c r="M12" s="170"/>
      <c r="N12" s="170"/>
    </row>
    <row r="13" spans="1:16" ht="13" x14ac:dyDescent="0.3">
      <c r="A13" s="177"/>
      <c r="B13" s="171" t="s">
        <v>1457</v>
      </c>
      <c r="C13" s="172">
        <f>SUM(C9:C12)</f>
        <v>305208</v>
      </c>
      <c r="D13" s="172">
        <f t="shared" ref="D13:N13" si="1">SUM(D9:D12)</f>
        <v>260539.75</v>
      </c>
      <c r="E13" s="172">
        <f t="shared" si="1"/>
        <v>269862.12</v>
      </c>
      <c r="F13" s="172">
        <f t="shared" si="1"/>
        <v>277211.70999999996</v>
      </c>
      <c r="G13" s="172">
        <f t="shared" si="1"/>
        <v>482678.71</v>
      </c>
      <c r="H13" s="172">
        <f t="shared" si="1"/>
        <v>0</v>
      </c>
      <c r="I13" s="172">
        <f t="shared" si="1"/>
        <v>0</v>
      </c>
      <c r="J13" s="172">
        <f t="shared" si="1"/>
        <v>0</v>
      </c>
      <c r="K13" s="172">
        <f t="shared" si="1"/>
        <v>0</v>
      </c>
      <c r="L13" s="172">
        <f t="shared" si="1"/>
        <v>0</v>
      </c>
      <c r="M13" s="172">
        <f t="shared" si="1"/>
        <v>0</v>
      </c>
      <c r="N13" s="172">
        <f t="shared" si="1"/>
        <v>0</v>
      </c>
      <c r="P13" s="174"/>
    </row>
  </sheetData>
  <mergeCells count="2">
    <mergeCell ref="A9:A13"/>
    <mergeCell ref="A4:A8"/>
  </mergeCells>
  <phoneticPr fontId="49" type="noConversion"/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H198"/>
  <sheetViews>
    <sheetView zoomScale="70" zoomScaleNormal="70" workbookViewId="0">
      <pane xSplit="24" ySplit="8" topLeftCell="Y9" activePane="bottomRight" state="frozen"/>
      <selection activeCell="X24" sqref="X24:AH25"/>
      <selection pane="topRight" activeCell="X24" sqref="X24:AH25"/>
      <selection pane="bottomLeft" activeCell="X24" sqref="X24:AH25"/>
      <selection pane="bottomRight" activeCell="X24" sqref="X24:AH25"/>
    </sheetView>
  </sheetViews>
  <sheetFormatPr defaultRowHeight="13" outlineLevelCol="1" x14ac:dyDescent="0.3"/>
  <cols>
    <col min="1" max="1" width="8.8984375" hidden="1" customWidth="1" outlineLevel="1"/>
    <col min="2" max="2" width="14.3984375" hidden="1" customWidth="1" outlineLevel="1"/>
    <col min="3" max="3" width="21.69921875" hidden="1" customWidth="1" outlineLevel="1"/>
    <col min="4" max="4" width="11.09765625" hidden="1" customWidth="1" outlineLevel="1"/>
    <col min="5" max="5" width="10" hidden="1" customWidth="1" outlineLevel="1"/>
    <col min="6" max="7" width="10.796875" hidden="1" customWidth="1" outlineLevel="1"/>
    <col min="8" max="17" width="8.8984375" hidden="1" customWidth="1" outlineLevel="1"/>
    <col min="18" max="18" width="10" hidden="1" customWidth="1" outlineLevel="1"/>
    <col min="19" max="19" width="8.8984375" hidden="1" customWidth="1" outlineLevel="1"/>
    <col min="20" max="20" width="8.8984375" collapsed="1"/>
    <col min="23" max="23" width="18.69921875" bestFit="1" customWidth="1"/>
    <col min="24" max="24" width="12.296875" customWidth="1"/>
    <col min="25" max="29" width="21.09765625" customWidth="1"/>
    <col min="30" max="30" width="22.3984375" customWidth="1"/>
    <col min="31" max="31" width="19.3984375" customWidth="1"/>
    <col min="32" max="32" width="19.3984375" style="27" customWidth="1"/>
    <col min="33" max="33" width="18.296875" customWidth="1"/>
    <col min="34" max="34" width="15.19921875" customWidth="1"/>
    <col min="35" max="35" width="15.19921875" bestFit="1" customWidth="1"/>
  </cols>
  <sheetData>
    <row r="1" spans="1:34" ht="44.5" thickTop="1" thickBot="1" x14ac:dyDescent="0.4">
      <c r="A1" t="s">
        <v>1145</v>
      </c>
      <c r="B1" s="91" t="s">
        <v>1414</v>
      </c>
      <c r="C1" s="91" t="s">
        <v>1428</v>
      </c>
      <c r="D1" s="92" t="s">
        <v>1114</v>
      </c>
      <c r="E1" s="93" t="s">
        <v>1119</v>
      </c>
      <c r="F1" s="93" t="s">
        <v>1120</v>
      </c>
      <c r="G1" s="93" t="s">
        <v>1121</v>
      </c>
      <c r="H1" s="93" t="s">
        <v>1122</v>
      </c>
      <c r="I1" s="93" t="s">
        <v>1123</v>
      </c>
      <c r="J1" s="94" t="s">
        <v>1124</v>
      </c>
      <c r="K1" s="93" t="s">
        <v>1125</v>
      </c>
      <c r="L1" s="93" t="s">
        <v>1126</v>
      </c>
      <c r="M1" s="93" t="s">
        <v>1127</v>
      </c>
      <c r="N1" s="93" t="s">
        <v>1128</v>
      </c>
      <c r="O1" s="93" t="s">
        <v>1129</v>
      </c>
      <c r="P1" s="93" t="s">
        <v>1130</v>
      </c>
      <c r="Q1" s="95" t="s">
        <v>1117</v>
      </c>
      <c r="R1" s="96" t="s">
        <v>1115</v>
      </c>
      <c r="S1" s="96" t="s">
        <v>1118</v>
      </c>
      <c r="T1" s="97" t="s">
        <v>1116</v>
      </c>
      <c r="W1" s="67" t="s">
        <v>1414</v>
      </c>
      <c r="X1" t="s">
        <v>1374</v>
      </c>
    </row>
    <row r="2" spans="1:34" ht="13.5" thickTop="1" x14ac:dyDescent="0.3">
      <c r="A2" t="s">
        <v>1365</v>
      </c>
      <c r="B2" s="131" t="s">
        <v>1374</v>
      </c>
      <c r="C2" s="131" t="s">
        <v>1374</v>
      </c>
      <c r="D2" s="133">
        <v>198110.7</v>
      </c>
      <c r="E2" s="61">
        <v>0</v>
      </c>
      <c r="F2" s="68">
        <v>0</v>
      </c>
      <c r="G2" s="61">
        <v>141065.31</v>
      </c>
      <c r="H2" s="68">
        <v>0.71205295827030035</v>
      </c>
      <c r="I2" s="61">
        <v>26844.25</v>
      </c>
      <c r="J2" s="69">
        <v>0.13550126267788665</v>
      </c>
      <c r="K2" s="61">
        <v>7389.75</v>
      </c>
      <c r="L2" s="68">
        <v>3.7301114982683924E-2</v>
      </c>
      <c r="M2" s="61">
        <v>12191.15</v>
      </c>
      <c r="N2" s="68">
        <v>6.1537059835738296E-2</v>
      </c>
      <c r="O2" s="61">
        <v>10620.24</v>
      </c>
      <c r="P2" s="68">
        <v>5.360760423339072E-2</v>
      </c>
      <c r="Q2" s="79">
        <v>18598.389999999996</v>
      </c>
      <c r="R2" s="138">
        <v>38505.423333333238</v>
      </c>
      <c r="S2" s="98">
        <v>9.3878775856124863E-2</v>
      </c>
      <c r="T2" s="99">
        <v>154.35023135702048</v>
      </c>
    </row>
    <row r="3" spans="1:34" x14ac:dyDescent="0.3">
      <c r="A3" t="s">
        <v>1365</v>
      </c>
      <c r="B3" s="131" t="s">
        <v>1386</v>
      </c>
      <c r="C3" s="131" t="s">
        <v>1386</v>
      </c>
      <c r="D3" s="134">
        <v>348760</v>
      </c>
      <c r="E3" s="61">
        <v>348760</v>
      </c>
      <c r="F3" s="68">
        <v>1</v>
      </c>
      <c r="G3" s="61">
        <v>0</v>
      </c>
      <c r="H3" s="68">
        <v>0</v>
      </c>
      <c r="I3" s="61">
        <v>0</v>
      </c>
      <c r="J3" s="69">
        <v>0</v>
      </c>
      <c r="K3" s="61">
        <v>0</v>
      </c>
      <c r="L3" s="68">
        <v>0</v>
      </c>
      <c r="M3" s="61">
        <v>0</v>
      </c>
      <c r="N3" s="68">
        <v>0</v>
      </c>
      <c r="O3" s="61">
        <v>0</v>
      </c>
      <c r="P3" s="68">
        <v>0</v>
      </c>
      <c r="Q3" s="81">
        <v>0</v>
      </c>
      <c r="R3" s="139">
        <v>99515.603333333303</v>
      </c>
      <c r="S3" s="100">
        <v>0</v>
      </c>
      <c r="T3" s="101">
        <v>105.13728148694676</v>
      </c>
      <c r="Y3" s="67" t="s">
        <v>186</v>
      </c>
      <c r="AF3"/>
    </row>
    <row r="4" spans="1:34" x14ac:dyDescent="0.3">
      <c r="A4" t="s">
        <v>1365</v>
      </c>
      <c r="B4" s="131" t="s">
        <v>1416</v>
      </c>
      <c r="C4" s="131" t="s">
        <v>1421</v>
      </c>
      <c r="D4" s="134">
        <v>87501.440000000002</v>
      </c>
      <c r="E4" s="61">
        <v>0</v>
      </c>
      <c r="F4" s="68">
        <v>0</v>
      </c>
      <c r="G4" s="61">
        <v>85124.98</v>
      </c>
      <c r="H4" s="68">
        <v>0.97284090410397805</v>
      </c>
      <c r="I4" s="61">
        <v>441.09999999999997</v>
      </c>
      <c r="J4" s="69">
        <v>5.0410598957000017E-3</v>
      </c>
      <c r="K4" s="61">
        <v>1935.36</v>
      </c>
      <c r="L4" s="68">
        <v>2.2118036000321823E-2</v>
      </c>
      <c r="M4" s="61">
        <v>0</v>
      </c>
      <c r="N4" s="68">
        <v>0</v>
      </c>
      <c r="O4" s="61">
        <v>0</v>
      </c>
      <c r="P4" s="68">
        <v>0</v>
      </c>
      <c r="Q4" s="81">
        <v>107.53</v>
      </c>
      <c r="R4" s="139">
        <v>116793.03333333331</v>
      </c>
      <c r="S4" s="100">
        <v>1.2288940616291572E-3</v>
      </c>
      <c r="T4" s="101">
        <v>22.476025539194552</v>
      </c>
      <c r="W4" s="67" t="s">
        <v>1428</v>
      </c>
      <c r="X4" s="67" t="s">
        <v>1145</v>
      </c>
      <c r="Y4" t="s">
        <v>1146</v>
      </c>
      <c r="Z4" t="s">
        <v>1147</v>
      </c>
      <c r="AA4" t="s">
        <v>1148</v>
      </c>
      <c r="AB4" t="s">
        <v>1149</v>
      </c>
      <c r="AC4" t="s">
        <v>1150</v>
      </c>
      <c r="AD4" t="s">
        <v>1151</v>
      </c>
      <c r="AE4" t="s">
        <v>1153</v>
      </c>
      <c r="AF4" t="s">
        <v>1166</v>
      </c>
      <c r="AG4" s="90" t="s">
        <v>1167</v>
      </c>
      <c r="AH4" t="s">
        <v>1152</v>
      </c>
    </row>
    <row r="5" spans="1:34" x14ac:dyDescent="0.3">
      <c r="A5" t="s">
        <v>1365</v>
      </c>
      <c r="B5" s="131" t="str">
        <f t="shared" ref="B5:B7" si="0">B4</f>
        <v>PE</v>
      </c>
      <c r="C5" s="131" t="s">
        <v>1422</v>
      </c>
      <c r="D5" s="134">
        <v>199796.53</v>
      </c>
      <c r="E5" s="61">
        <v>0</v>
      </c>
      <c r="F5" s="68">
        <v>0</v>
      </c>
      <c r="G5" s="61">
        <v>188659.28</v>
      </c>
      <c r="H5" s="68">
        <v>0.94425703989954179</v>
      </c>
      <c r="I5" s="61">
        <v>6568.97</v>
      </c>
      <c r="J5" s="69">
        <v>3.2878298737220313E-2</v>
      </c>
      <c r="K5" s="61">
        <v>3058.05</v>
      </c>
      <c r="L5" s="68">
        <v>1.5305821377378277E-2</v>
      </c>
      <c r="M5" s="61">
        <v>1033.23</v>
      </c>
      <c r="N5" s="68">
        <v>5.1714111351183131E-3</v>
      </c>
      <c r="O5" s="61">
        <v>477</v>
      </c>
      <c r="P5" s="68">
        <v>2.3874288507413017E-3</v>
      </c>
      <c r="Q5" s="81">
        <v>2011.21</v>
      </c>
      <c r="R5" s="139">
        <v>151537.09333333332</v>
      </c>
      <c r="S5" s="100">
        <v>1.0066290941088917E-2</v>
      </c>
      <c r="T5" s="101">
        <v>39.553984890124156</v>
      </c>
      <c r="W5" t="s">
        <v>1374</v>
      </c>
      <c r="X5" t="s">
        <v>1435</v>
      </c>
      <c r="Y5" s="38">
        <v>174896.2</v>
      </c>
      <c r="Z5" s="84">
        <v>116445.32999999997</v>
      </c>
      <c r="AA5" s="84">
        <v>27936.109999999997</v>
      </c>
      <c r="AB5" s="84">
        <v>9349.93</v>
      </c>
      <c r="AC5" s="84">
        <v>9659.7100000000009</v>
      </c>
      <c r="AD5" s="84">
        <v>11505.130000000001</v>
      </c>
      <c r="AE5" s="84">
        <v>18515.870000000003</v>
      </c>
      <c r="AF5">
        <v>39199.556666666569</v>
      </c>
      <c r="AG5" s="90">
        <v>0.10586776613785778</v>
      </c>
      <c r="AH5" s="85">
        <v>133.8506464401344</v>
      </c>
    </row>
    <row r="6" spans="1:34" x14ac:dyDescent="0.3">
      <c r="A6" t="s">
        <v>1365</v>
      </c>
      <c r="B6" s="131" t="str">
        <f t="shared" si="0"/>
        <v>PE</v>
      </c>
      <c r="C6" s="131" t="s">
        <v>1423</v>
      </c>
      <c r="D6" s="134">
        <v>15020.64</v>
      </c>
      <c r="E6" s="61">
        <v>0</v>
      </c>
      <c r="F6" s="68">
        <v>0</v>
      </c>
      <c r="G6" s="61">
        <v>15020.64</v>
      </c>
      <c r="H6" s="68">
        <v>1</v>
      </c>
      <c r="I6" s="61">
        <v>0</v>
      </c>
      <c r="J6" s="69">
        <v>0</v>
      </c>
      <c r="K6" s="61">
        <v>0</v>
      </c>
      <c r="L6" s="68">
        <v>0</v>
      </c>
      <c r="M6" s="61">
        <v>0</v>
      </c>
      <c r="N6" s="68">
        <v>0</v>
      </c>
      <c r="O6" s="61">
        <v>0</v>
      </c>
      <c r="P6" s="68">
        <v>0</v>
      </c>
      <c r="Q6" s="81">
        <v>0</v>
      </c>
      <c r="R6" s="139">
        <v>4723.2</v>
      </c>
      <c r="S6" s="100">
        <v>0</v>
      </c>
      <c r="T6" s="101">
        <v>95.405487804878049</v>
      </c>
      <c r="X6" t="s">
        <v>1365</v>
      </c>
      <c r="Y6" s="38">
        <v>198110.7</v>
      </c>
      <c r="Z6" s="84">
        <v>141065.31</v>
      </c>
      <c r="AA6" s="84">
        <v>26844.25</v>
      </c>
      <c r="AB6" s="84">
        <v>7389.75</v>
      </c>
      <c r="AC6" s="84">
        <v>12191.15</v>
      </c>
      <c r="AD6" s="84">
        <v>10620.24</v>
      </c>
      <c r="AE6" s="84">
        <v>18598.389999999996</v>
      </c>
      <c r="AF6">
        <v>38505.423333333238</v>
      </c>
      <c r="AG6" s="90">
        <v>9.3878775856124863E-2</v>
      </c>
      <c r="AH6" s="85">
        <v>154.35023135702048</v>
      </c>
    </row>
    <row r="7" spans="1:34" x14ac:dyDescent="0.3">
      <c r="A7" t="s">
        <v>1365</v>
      </c>
      <c r="B7" s="131" t="str">
        <f t="shared" si="0"/>
        <v>PE</v>
      </c>
      <c r="C7" s="131" t="s">
        <v>1376</v>
      </c>
      <c r="D7" s="134">
        <v>553555.01</v>
      </c>
      <c r="E7" s="61">
        <v>0</v>
      </c>
      <c r="F7" s="68">
        <v>0</v>
      </c>
      <c r="G7" s="61">
        <v>467691.23</v>
      </c>
      <c r="H7" s="68">
        <v>0.84488663556671628</v>
      </c>
      <c r="I7" s="61">
        <v>56898.8</v>
      </c>
      <c r="J7" s="69">
        <v>0.10278797765736056</v>
      </c>
      <c r="K7" s="61">
        <v>11330.5</v>
      </c>
      <c r="L7" s="68">
        <v>2.0468607085680608E-2</v>
      </c>
      <c r="M7" s="61">
        <v>14126.84</v>
      </c>
      <c r="N7" s="68">
        <v>2.5520209816184303E-2</v>
      </c>
      <c r="O7" s="61">
        <v>3507.64</v>
      </c>
      <c r="P7" s="68">
        <v>6.3365698740582253E-3</v>
      </c>
      <c r="Q7" s="81">
        <v>11519.949999999999</v>
      </c>
      <c r="R7" s="139">
        <v>139695.04666666628</v>
      </c>
      <c r="S7" s="100">
        <v>2.0810849494434163E-2</v>
      </c>
      <c r="T7" s="101">
        <v>118.87787503035811</v>
      </c>
    </row>
    <row r="8" spans="1:34" x14ac:dyDescent="0.3">
      <c r="A8" t="s">
        <v>1365</v>
      </c>
      <c r="B8" s="131" t="s">
        <v>1417</v>
      </c>
      <c r="C8" s="131" t="s">
        <v>1421</v>
      </c>
      <c r="D8" s="134">
        <v>513467.78999999992</v>
      </c>
      <c r="E8" s="61">
        <v>0</v>
      </c>
      <c r="F8" s="68">
        <v>0</v>
      </c>
      <c r="G8" s="61">
        <v>479836.04000000004</v>
      </c>
      <c r="H8" s="68">
        <v>0.93450076001846216</v>
      </c>
      <c r="I8" s="61">
        <v>16175.02</v>
      </c>
      <c r="J8" s="69">
        <v>3.1501528070533892E-2</v>
      </c>
      <c r="K8" s="61">
        <v>102.03</v>
      </c>
      <c r="L8" s="68">
        <v>1.987076930375711E-4</v>
      </c>
      <c r="M8" s="61">
        <v>17232.599999999999</v>
      </c>
      <c r="N8" s="68">
        <v>3.356120936037682E-2</v>
      </c>
      <c r="O8" s="61">
        <v>122.1</v>
      </c>
      <c r="P8" s="68">
        <v>2.3779485758980133E-4</v>
      </c>
      <c r="Q8" s="81">
        <v>12455.46</v>
      </c>
      <c r="R8" s="139">
        <v>685418.31666666688</v>
      </c>
      <c r="S8" s="100">
        <v>2.4257529376867048E-2</v>
      </c>
      <c r="T8" s="101">
        <v>22.473916038475668</v>
      </c>
    </row>
    <row r="9" spans="1:34" x14ac:dyDescent="0.3">
      <c r="A9" t="s">
        <v>1365</v>
      </c>
      <c r="B9" s="131" t="str">
        <f t="shared" ref="B9:B12" si="1">B8</f>
        <v>PET</v>
      </c>
      <c r="C9" s="131" t="s">
        <v>1424</v>
      </c>
      <c r="D9" s="134">
        <v>325367.07000000007</v>
      </c>
      <c r="E9" s="61">
        <v>0</v>
      </c>
      <c r="F9" s="68">
        <v>0</v>
      </c>
      <c r="G9" s="61">
        <v>249635.37000000005</v>
      </c>
      <c r="H9" s="68">
        <v>0.76724227193612438</v>
      </c>
      <c r="I9" s="61">
        <v>62527.020000000004</v>
      </c>
      <c r="J9" s="69">
        <v>0.19217378083160042</v>
      </c>
      <c r="K9" s="61">
        <v>10964.7</v>
      </c>
      <c r="L9" s="68">
        <v>3.3699476717173618E-2</v>
      </c>
      <c r="M9" s="61">
        <v>216.3</v>
      </c>
      <c r="N9" s="68">
        <v>6.6478761971824614E-4</v>
      </c>
      <c r="O9" s="61">
        <v>2023.68</v>
      </c>
      <c r="P9" s="68">
        <v>6.2196828953833576E-3</v>
      </c>
      <c r="Q9" s="81">
        <v>3219.16</v>
      </c>
      <c r="R9" s="139">
        <v>205978.26</v>
      </c>
      <c r="S9" s="100">
        <v>9.893933027703139E-3</v>
      </c>
      <c r="T9" s="101">
        <v>47.388554986336914</v>
      </c>
    </row>
    <row r="10" spans="1:34" x14ac:dyDescent="0.3">
      <c r="A10" t="s">
        <v>1365</v>
      </c>
      <c r="B10" s="131" t="str">
        <f t="shared" si="1"/>
        <v>PET</v>
      </c>
      <c r="C10" s="131" t="s">
        <v>1425</v>
      </c>
      <c r="D10" s="134">
        <v>35554.14</v>
      </c>
      <c r="E10" s="61">
        <v>0</v>
      </c>
      <c r="F10" s="68">
        <v>0</v>
      </c>
      <c r="G10" s="61">
        <v>35554.14</v>
      </c>
      <c r="H10" s="68">
        <v>1</v>
      </c>
      <c r="I10" s="61">
        <v>0</v>
      </c>
      <c r="J10" s="69">
        <v>0</v>
      </c>
      <c r="K10" s="61">
        <v>0</v>
      </c>
      <c r="L10" s="68">
        <v>0</v>
      </c>
      <c r="M10" s="61">
        <v>0</v>
      </c>
      <c r="N10" s="68">
        <v>0</v>
      </c>
      <c r="O10" s="61">
        <v>0</v>
      </c>
      <c r="P10" s="68">
        <v>0</v>
      </c>
      <c r="Q10" s="81">
        <v>0</v>
      </c>
      <c r="R10" s="139">
        <v>58072.403333333001</v>
      </c>
      <c r="S10" s="100">
        <v>0</v>
      </c>
      <c r="T10" s="101">
        <v>18.36714409558056</v>
      </c>
      <c r="W10" s="67" t="s">
        <v>1414</v>
      </c>
      <c r="X10" t="s">
        <v>1386</v>
      </c>
    </row>
    <row r="11" spans="1:34" x14ac:dyDescent="0.3">
      <c r="A11" t="s">
        <v>1365</v>
      </c>
      <c r="B11" s="131" t="str">
        <f t="shared" si="1"/>
        <v>PET</v>
      </c>
      <c r="C11" s="131" t="s">
        <v>1398</v>
      </c>
      <c r="D11" s="134">
        <v>60085.87</v>
      </c>
      <c r="E11" s="61">
        <v>0</v>
      </c>
      <c r="F11" s="68">
        <v>0</v>
      </c>
      <c r="G11" s="61">
        <v>60085.87</v>
      </c>
      <c r="H11" s="68">
        <v>1</v>
      </c>
      <c r="I11" s="61">
        <v>0</v>
      </c>
      <c r="J11" s="69">
        <v>0</v>
      </c>
      <c r="K11" s="61">
        <v>0</v>
      </c>
      <c r="L11" s="68">
        <v>0</v>
      </c>
      <c r="M11" s="61">
        <v>0</v>
      </c>
      <c r="N11" s="68">
        <v>0</v>
      </c>
      <c r="O11" s="61">
        <v>0</v>
      </c>
      <c r="P11" s="68">
        <v>0</v>
      </c>
      <c r="Q11" s="81">
        <v>0</v>
      </c>
      <c r="R11" s="139">
        <v>20640.276666666668</v>
      </c>
      <c r="S11" s="100">
        <v>0</v>
      </c>
      <c r="T11" s="101">
        <v>87.332942727027387</v>
      </c>
    </row>
    <row r="12" spans="1:34" x14ac:dyDescent="0.3">
      <c r="A12" t="s">
        <v>1365</v>
      </c>
      <c r="B12" s="131" t="str">
        <f t="shared" si="1"/>
        <v>PET</v>
      </c>
      <c r="C12" s="131" t="s">
        <v>1376</v>
      </c>
      <c r="D12" s="134">
        <v>750671.75</v>
      </c>
      <c r="E12" s="61">
        <v>0</v>
      </c>
      <c r="F12" s="68">
        <v>0</v>
      </c>
      <c r="G12" s="61">
        <v>740379.79</v>
      </c>
      <c r="H12" s="68">
        <v>0.98628966655532202</v>
      </c>
      <c r="I12" s="61">
        <v>0</v>
      </c>
      <c r="J12" s="69">
        <v>0</v>
      </c>
      <c r="K12" s="61">
        <v>10291.950000000001</v>
      </c>
      <c r="L12" s="68">
        <v>1.3710320123276254E-2</v>
      </c>
      <c r="M12" s="61">
        <v>0.01</v>
      </c>
      <c r="N12" s="68">
        <v>1.332140179778978E-8</v>
      </c>
      <c r="O12" s="61">
        <v>0</v>
      </c>
      <c r="P12" s="68">
        <v>0</v>
      </c>
      <c r="Q12" s="81">
        <v>1143.6500000000001</v>
      </c>
      <c r="R12" s="139">
        <v>474365.14333332999</v>
      </c>
      <c r="S12" s="100">
        <v>1.5235021166042284E-3</v>
      </c>
      <c r="T12" s="101">
        <v>47.47429868424247</v>
      </c>
      <c r="Y12" s="67" t="s">
        <v>186</v>
      </c>
    </row>
    <row r="13" spans="1:34" x14ac:dyDescent="0.3">
      <c r="A13" t="s">
        <v>1365</v>
      </c>
      <c r="B13" s="131" t="s">
        <v>1418</v>
      </c>
      <c r="C13" s="131" t="s">
        <v>1421</v>
      </c>
      <c r="D13" s="134">
        <v>365184.62</v>
      </c>
      <c r="E13" s="61">
        <v>11241.9</v>
      </c>
      <c r="F13" s="68">
        <v>3.0784155148702592E-2</v>
      </c>
      <c r="G13" s="61">
        <v>348702.92000000004</v>
      </c>
      <c r="H13" s="68">
        <v>0.95486748593081505</v>
      </c>
      <c r="I13" s="61">
        <v>4131</v>
      </c>
      <c r="J13" s="69">
        <v>1.1312086472864054E-2</v>
      </c>
      <c r="K13" s="61">
        <v>1108.8</v>
      </c>
      <c r="L13" s="68">
        <v>3.0362724476184128E-3</v>
      </c>
      <c r="M13" s="61">
        <v>0</v>
      </c>
      <c r="N13" s="68">
        <v>0</v>
      </c>
      <c r="O13" s="61">
        <v>0</v>
      </c>
      <c r="P13" s="68">
        <v>0</v>
      </c>
      <c r="Q13" s="81">
        <v>308.02</v>
      </c>
      <c r="R13" s="139">
        <v>445025.0599999993</v>
      </c>
      <c r="S13" s="100">
        <v>8.4346378004637756E-4</v>
      </c>
      <c r="T13" s="101">
        <v>24.617801523356949</v>
      </c>
      <c r="W13" s="67" t="s">
        <v>1428</v>
      </c>
      <c r="X13" s="67" t="s">
        <v>1145</v>
      </c>
      <c r="Y13" t="s">
        <v>1146</v>
      </c>
      <c r="Z13" t="s">
        <v>1147</v>
      </c>
      <c r="AA13" t="s">
        <v>1148</v>
      </c>
      <c r="AB13" t="s">
        <v>1149</v>
      </c>
      <c r="AC13" t="s">
        <v>1150</v>
      </c>
      <c r="AD13" t="s">
        <v>1151</v>
      </c>
      <c r="AE13" t="s">
        <v>1153</v>
      </c>
      <c r="AF13" s="27" t="s">
        <v>1166</v>
      </c>
      <c r="AG13" s="90" t="s">
        <v>1167</v>
      </c>
      <c r="AH13" t="s">
        <v>1152</v>
      </c>
    </row>
    <row r="14" spans="1:34" x14ac:dyDescent="0.3">
      <c r="A14" t="s">
        <v>1365</v>
      </c>
      <c r="B14" s="131" t="str">
        <f t="shared" ref="B14:B16" si="2">B13</f>
        <v>PP</v>
      </c>
      <c r="C14" s="131" t="s">
        <v>1422</v>
      </c>
      <c r="D14" s="134">
        <v>184403.23</v>
      </c>
      <c r="E14" s="61">
        <v>0</v>
      </c>
      <c r="F14" s="68">
        <v>0</v>
      </c>
      <c r="G14" s="61">
        <v>159894.98000000004</v>
      </c>
      <c r="H14" s="68">
        <v>0.86709424775260191</v>
      </c>
      <c r="I14" s="61">
        <v>0</v>
      </c>
      <c r="J14" s="69">
        <v>0</v>
      </c>
      <c r="K14" s="61">
        <v>10739.869999999999</v>
      </c>
      <c r="L14" s="68">
        <v>5.8241224950343867E-2</v>
      </c>
      <c r="M14" s="61">
        <v>8308.380000000001</v>
      </c>
      <c r="N14" s="68">
        <v>4.5055501468168432E-2</v>
      </c>
      <c r="O14" s="61">
        <v>5460</v>
      </c>
      <c r="P14" s="68">
        <v>2.9609025828885967E-2</v>
      </c>
      <c r="Q14" s="81">
        <v>13072.619999999999</v>
      </c>
      <c r="R14" s="139">
        <v>137963.63333333324</v>
      </c>
      <c r="S14" s="100">
        <v>7.0891491434287773E-2</v>
      </c>
      <c r="T14" s="101">
        <v>40.098225643521062</v>
      </c>
      <c r="W14" t="s">
        <v>1386</v>
      </c>
      <c r="X14" t="s">
        <v>1365</v>
      </c>
      <c r="Y14" s="38">
        <v>348760</v>
      </c>
      <c r="Z14" s="84">
        <v>0</v>
      </c>
      <c r="AA14" s="84">
        <v>0</v>
      </c>
      <c r="AB14" s="84">
        <v>0</v>
      </c>
      <c r="AC14" s="84">
        <v>0</v>
      </c>
      <c r="AD14" s="84">
        <v>0</v>
      </c>
      <c r="AE14" s="84">
        <v>0</v>
      </c>
      <c r="AF14" s="27">
        <v>99515.603333333303</v>
      </c>
      <c r="AG14" s="90">
        <v>0</v>
      </c>
      <c r="AH14" s="85">
        <v>105.13728148694676</v>
      </c>
    </row>
    <row r="15" spans="1:34" x14ac:dyDescent="0.3">
      <c r="A15" t="s">
        <v>1365</v>
      </c>
      <c r="B15" s="131" t="str">
        <f t="shared" si="2"/>
        <v>PP</v>
      </c>
      <c r="C15" s="131" t="s">
        <v>1424</v>
      </c>
      <c r="D15" s="134">
        <v>30733.09</v>
      </c>
      <c r="E15" s="61">
        <v>0</v>
      </c>
      <c r="F15" s="68">
        <v>0</v>
      </c>
      <c r="G15" s="61">
        <v>30733.09</v>
      </c>
      <c r="H15" s="68">
        <v>1</v>
      </c>
      <c r="I15" s="61">
        <v>0</v>
      </c>
      <c r="J15" s="69">
        <v>0</v>
      </c>
      <c r="K15" s="61">
        <v>0</v>
      </c>
      <c r="L15" s="68">
        <v>0</v>
      </c>
      <c r="M15" s="61">
        <v>0</v>
      </c>
      <c r="N15" s="68">
        <v>0</v>
      </c>
      <c r="O15" s="61">
        <v>0</v>
      </c>
      <c r="P15" s="68">
        <v>0</v>
      </c>
      <c r="Q15" s="81">
        <v>0</v>
      </c>
      <c r="R15" s="139">
        <v>47157.759999999966</v>
      </c>
      <c r="S15" s="100">
        <v>0</v>
      </c>
      <c r="T15" s="101">
        <v>19.551240347293863</v>
      </c>
      <c r="X15" t="s">
        <v>1435</v>
      </c>
      <c r="Y15" s="38">
        <v>380628.31</v>
      </c>
      <c r="Z15" s="84">
        <v>0</v>
      </c>
      <c r="AA15" s="84">
        <v>0</v>
      </c>
      <c r="AB15" s="84">
        <v>0</v>
      </c>
      <c r="AC15" s="84">
        <v>0</v>
      </c>
      <c r="AD15" s="84">
        <v>0</v>
      </c>
      <c r="AE15" s="84">
        <v>0</v>
      </c>
      <c r="AF15" s="27">
        <v>99515.603333333303</v>
      </c>
      <c r="AG15" s="90">
        <v>0</v>
      </c>
      <c r="AH15" s="85">
        <v>114.74431061581268</v>
      </c>
    </row>
    <row r="16" spans="1:34" x14ac:dyDescent="0.3">
      <c r="A16" t="s">
        <v>1365</v>
      </c>
      <c r="B16" s="132" t="str">
        <f t="shared" si="2"/>
        <v>PP</v>
      </c>
      <c r="C16" s="131" t="s">
        <v>1376</v>
      </c>
      <c r="D16" s="134">
        <v>425606.81</v>
      </c>
      <c r="E16" s="61">
        <v>0</v>
      </c>
      <c r="F16" s="68">
        <v>0</v>
      </c>
      <c r="G16" s="61">
        <v>422176.14</v>
      </c>
      <c r="H16" s="68">
        <v>0.9919393442036325</v>
      </c>
      <c r="I16" s="61">
        <v>1987.34</v>
      </c>
      <c r="J16" s="69">
        <v>4.6694271644760572E-3</v>
      </c>
      <c r="K16" s="61">
        <v>0</v>
      </c>
      <c r="L16" s="68">
        <v>0</v>
      </c>
      <c r="M16" s="61">
        <v>103.99</v>
      </c>
      <c r="N16" s="68">
        <v>2.4433349644945767E-4</v>
      </c>
      <c r="O16" s="61">
        <v>1339.33</v>
      </c>
      <c r="P16" s="68">
        <v>3.1468716395773835E-3</v>
      </c>
      <c r="Q16" s="81">
        <v>1408.66</v>
      </c>
      <c r="R16" s="139">
        <v>373444.79999999993</v>
      </c>
      <c r="S16" s="100">
        <v>3.3097684691652373E-3</v>
      </c>
      <c r="T16" s="101">
        <v>34.190338973792116</v>
      </c>
    </row>
    <row r="17" spans="1:34" x14ac:dyDescent="0.3">
      <c r="A17" t="s">
        <v>1365</v>
      </c>
      <c r="B17" s="132" t="s">
        <v>1419</v>
      </c>
      <c r="C17" s="131" t="s">
        <v>1426</v>
      </c>
      <c r="D17" s="134">
        <v>233438.85000000003</v>
      </c>
      <c r="E17" s="61">
        <v>0</v>
      </c>
      <c r="F17" s="68">
        <v>0</v>
      </c>
      <c r="G17" s="61">
        <v>207493.26000000004</v>
      </c>
      <c r="H17" s="68">
        <v>0.8888548756987108</v>
      </c>
      <c r="I17" s="61">
        <v>13209.079999999998</v>
      </c>
      <c r="J17" s="69">
        <v>5.6584754422839195E-2</v>
      </c>
      <c r="K17" s="61">
        <v>1116.75</v>
      </c>
      <c r="L17" s="68">
        <v>4.7839080769974656E-3</v>
      </c>
      <c r="M17" s="61">
        <v>7499.14</v>
      </c>
      <c r="N17" s="68">
        <v>3.2124644205538191E-2</v>
      </c>
      <c r="O17" s="61">
        <v>4120.62</v>
      </c>
      <c r="P17" s="68">
        <v>1.7651817595914301E-2</v>
      </c>
      <c r="Q17" s="81">
        <v>7856.29</v>
      </c>
      <c r="R17" s="139">
        <v>175979.31999999992</v>
      </c>
      <c r="S17" s="100">
        <v>3.365459519698627E-2</v>
      </c>
      <c r="T17" s="101">
        <v>39.795389026392442</v>
      </c>
    </row>
    <row r="18" spans="1:34" x14ac:dyDescent="0.3">
      <c r="A18" t="s">
        <v>1365</v>
      </c>
      <c r="B18" s="131" t="s">
        <v>1420</v>
      </c>
      <c r="C18" s="131" t="s">
        <v>1427</v>
      </c>
      <c r="D18" s="134">
        <v>0</v>
      </c>
      <c r="E18" s="61">
        <v>0</v>
      </c>
      <c r="F18" s="68">
        <v>0</v>
      </c>
      <c r="G18" s="61">
        <v>0</v>
      </c>
      <c r="H18" s="68">
        <v>0</v>
      </c>
      <c r="I18" s="61">
        <v>0</v>
      </c>
      <c r="J18" s="69">
        <v>0</v>
      </c>
      <c r="K18" s="61">
        <v>0</v>
      </c>
      <c r="L18" s="68">
        <v>0</v>
      </c>
      <c r="M18" s="61">
        <v>0</v>
      </c>
      <c r="N18" s="68">
        <v>0</v>
      </c>
      <c r="O18" s="61">
        <v>0</v>
      </c>
      <c r="P18" s="68">
        <v>0</v>
      </c>
      <c r="Q18" s="81">
        <v>0</v>
      </c>
      <c r="R18" s="139">
        <v>0</v>
      </c>
      <c r="S18" s="100">
        <v>0</v>
      </c>
      <c r="T18" s="101">
        <v>0</v>
      </c>
    </row>
    <row r="19" spans="1:34" x14ac:dyDescent="0.3">
      <c r="A19" t="s">
        <v>1435</v>
      </c>
      <c r="B19" s="131" t="s">
        <v>1374</v>
      </c>
      <c r="C19" s="131" t="s">
        <v>1374</v>
      </c>
      <c r="D19" s="134">
        <v>174896.2</v>
      </c>
      <c r="E19" s="61">
        <v>0</v>
      </c>
      <c r="F19" s="68">
        <v>0</v>
      </c>
      <c r="G19" s="61">
        <v>116445.32999999997</v>
      </c>
      <c r="H19" s="68">
        <v>0.66579679832952321</v>
      </c>
      <c r="I19" s="61">
        <v>27936.109999999997</v>
      </c>
      <c r="J19" s="69">
        <v>0.15972965679071355</v>
      </c>
      <c r="K19" s="61">
        <v>9349.93</v>
      </c>
      <c r="L19" s="68">
        <v>5.3459880774996825E-2</v>
      </c>
      <c r="M19" s="61">
        <v>9659.7100000000009</v>
      </c>
      <c r="N19" s="68">
        <v>5.5231102791255614E-2</v>
      </c>
      <c r="O19" s="61">
        <v>11505.130000000001</v>
      </c>
      <c r="P19" s="68">
        <v>6.5782618490281664E-2</v>
      </c>
      <c r="Q19" s="81">
        <v>18515.870000000003</v>
      </c>
      <c r="R19" s="139">
        <v>39199.556666666569</v>
      </c>
      <c r="S19" s="100">
        <v>0.10586776613785778</v>
      </c>
      <c r="T19" s="101">
        <v>133.8506464401344</v>
      </c>
    </row>
    <row r="20" spans="1:34" x14ac:dyDescent="0.3">
      <c r="A20" t="s">
        <v>1435</v>
      </c>
      <c r="B20" s="131" t="s">
        <v>1386</v>
      </c>
      <c r="C20" s="131" t="s">
        <v>1386</v>
      </c>
      <c r="D20" s="134">
        <v>380628.31</v>
      </c>
      <c r="E20" s="61">
        <v>380628.31</v>
      </c>
      <c r="F20" s="68">
        <v>1</v>
      </c>
      <c r="G20" s="61">
        <v>0</v>
      </c>
      <c r="H20" s="68">
        <v>0</v>
      </c>
      <c r="I20" s="61">
        <v>0</v>
      </c>
      <c r="J20" s="69">
        <v>0</v>
      </c>
      <c r="K20" s="61">
        <v>0</v>
      </c>
      <c r="L20" s="68">
        <v>0</v>
      </c>
      <c r="M20" s="61">
        <v>0</v>
      </c>
      <c r="N20" s="68">
        <v>0</v>
      </c>
      <c r="O20" s="61">
        <v>0</v>
      </c>
      <c r="P20" s="68">
        <v>0</v>
      </c>
      <c r="Q20" s="81">
        <v>0</v>
      </c>
      <c r="R20" s="139">
        <v>99515.603333333303</v>
      </c>
      <c r="S20" s="100">
        <v>0</v>
      </c>
      <c r="T20" s="101">
        <v>114.74431061581268</v>
      </c>
      <c r="W20" s="67" t="s">
        <v>1414</v>
      </c>
      <c r="X20" t="s">
        <v>1416</v>
      </c>
    </row>
    <row r="21" spans="1:34" x14ac:dyDescent="0.3">
      <c r="A21" t="s">
        <v>1435</v>
      </c>
      <c r="B21" s="131" t="s">
        <v>1416</v>
      </c>
      <c r="C21" s="131" t="s">
        <v>1421</v>
      </c>
      <c r="D21" s="134">
        <v>150156.35999999999</v>
      </c>
      <c r="E21" s="61">
        <v>0</v>
      </c>
      <c r="F21" s="68">
        <v>0</v>
      </c>
      <c r="G21" s="61">
        <v>148033.72</v>
      </c>
      <c r="H21" s="68">
        <v>0.98586380223921266</v>
      </c>
      <c r="I21" s="61">
        <v>671.12</v>
      </c>
      <c r="J21" s="69">
        <v>4.4694743532674875E-3</v>
      </c>
      <c r="K21" s="61">
        <v>1451.52</v>
      </c>
      <c r="L21" s="68">
        <v>9.6667234075200024E-3</v>
      </c>
      <c r="M21" s="61">
        <v>0</v>
      </c>
      <c r="N21" s="68">
        <v>0</v>
      </c>
      <c r="O21" s="61">
        <v>0</v>
      </c>
      <c r="P21" s="68">
        <v>0</v>
      </c>
      <c r="Q21" s="81">
        <v>161.29</v>
      </c>
      <c r="R21" s="61">
        <v>122912.14666666664</v>
      </c>
      <c r="S21" s="100">
        <v>1.0741469758590312E-3</v>
      </c>
      <c r="T21" s="101">
        <v>36.649679646524767</v>
      </c>
    </row>
    <row r="22" spans="1:34" x14ac:dyDescent="0.3">
      <c r="A22" t="s">
        <v>1435</v>
      </c>
      <c r="B22" s="131" t="str">
        <f t="shared" ref="B22:B24" si="3">B21</f>
        <v>PE</v>
      </c>
      <c r="C22" s="131" t="s">
        <v>1422</v>
      </c>
      <c r="D22" s="134">
        <v>287882.14999999991</v>
      </c>
      <c r="E22" s="61">
        <v>0</v>
      </c>
      <c r="F22" s="68">
        <v>0</v>
      </c>
      <c r="G22" s="61">
        <v>274522.31999999989</v>
      </c>
      <c r="H22" s="68">
        <v>0.95359271146196445</v>
      </c>
      <c r="I22" s="61">
        <v>7380.9299999999994</v>
      </c>
      <c r="J22" s="69">
        <v>2.5638720566731915E-2</v>
      </c>
      <c r="K22" s="61">
        <v>4758.7</v>
      </c>
      <c r="L22" s="68">
        <v>1.6530027999304583E-2</v>
      </c>
      <c r="M22" s="61">
        <v>796.2</v>
      </c>
      <c r="N22" s="68">
        <v>2.765715067780341E-3</v>
      </c>
      <c r="O22" s="61">
        <v>424</v>
      </c>
      <c r="P22" s="68">
        <v>1.472824904218619E-3</v>
      </c>
      <c r="Q22" s="81">
        <v>2069.3000000000002</v>
      </c>
      <c r="R22" s="61">
        <v>139223.01666666666</v>
      </c>
      <c r="S22" s="100">
        <v>7.1880107884424267E-3</v>
      </c>
      <c r="T22" s="101">
        <v>62.033309626365636</v>
      </c>
      <c r="Y22" s="67" t="s">
        <v>186</v>
      </c>
    </row>
    <row r="23" spans="1:34" x14ac:dyDescent="0.3">
      <c r="A23" t="s">
        <v>1435</v>
      </c>
      <c r="B23" s="131" t="str">
        <f t="shared" si="3"/>
        <v>PE</v>
      </c>
      <c r="C23" s="131" t="s">
        <v>1423</v>
      </c>
      <c r="D23" s="134">
        <v>58181.760000000002</v>
      </c>
      <c r="E23" s="61">
        <v>0</v>
      </c>
      <c r="F23" s="68">
        <v>0</v>
      </c>
      <c r="G23" s="61">
        <v>58181.760000000002</v>
      </c>
      <c r="H23" s="68">
        <v>1</v>
      </c>
      <c r="I23" s="61">
        <v>0</v>
      </c>
      <c r="J23" s="69">
        <v>0</v>
      </c>
      <c r="K23" s="61">
        <v>0</v>
      </c>
      <c r="L23" s="68">
        <v>0</v>
      </c>
      <c r="M23" s="61">
        <v>0</v>
      </c>
      <c r="N23" s="68">
        <v>0</v>
      </c>
      <c r="O23" s="61">
        <v>0</v>
      </c>
      <c r="P23" s="68">
        <v>0</v>
      </c>
      <c r="Q23" s="81">
        <v>0</v>
      </c>
      <c r="R23" s="61">
        <v>7344</v>
      </c>
      <c r="S23" s="100">
        <v>0</v>
      </c>
      <c r="T23" s="101">
        <v>237.67058823529413</v>
      </c>
      <c r="W23" s="67" t="s">
        <v>1428</v>
      </c>
      <c r="X23" s="67" t="s">
        <v>1145</v>
      </c>
      <c r="Y23" t="s">
        <v>1146</v>
      </c>
      <c r="Z23" t="s">
        <v>1147</v>
      </c>
      <c r="AA23" t="s">
        <v>1148</v>
      </c>
      <c r="AB23" t="s">
        <v>1149</v>
      </c>
      <c r="AC23" t="s">
        <v>1150</v>
      </c>
      <c r="AD23" t="s">
        <v>1151</v>
      </c>
      <c r="AE23" t="s">
        <v>1153</v>
      </c>
      <c r="AF23" s="27" t="s">
        <v>1166</v>
      </c>
      <c r="AG23" s="90" t="s">
        <v>1167</v>
      </c>
      <c r="AH23" t="s">
        <v>1152</v>
      </c>
    </row>
    <row r="24" spans="1:34" ht="13.5" thickBot="1" x14ac:dyDescent="0.35">
      <c r="A24" t="s">
        <v>1435</v>
      </c>
      <c r="B24" s="132" t="str">
        <f t="shared" si="3"/>
        <v>PE</v>
      </c>
      <c r="C24" s="131" t="s">
        <v>1376</v>
      </c>
      <c r="D24" s="134">
        <v>555388.21</v>
      </c>
      <c r="E24" s="61">
        <v>0</v>
      </c>
      <c r="F24" s="68">
        <v>0</v>
      </c>
      <c r="G24" s="61">
        <v>495663.06999999995</v>
      </c>
      <c r="H24" s="68">
        <v>0.89246235529558682</v>
      </c>
      <c r="I24" s="61">
        <v>31736.639999999999</v>
      </c>
      <c r="J24" s="69">
        <v>5.7143164778380877E-2</v>
      </c>
      <c r="K24" s="61">
        <v>11857.7</v>
      </c>
      <c r="L24" s="68">
        <v>2.1350291177409043E-2</v>
      </c>
      <c r="M24" s="61">
        <v>12623.16</v>
      </c>
      <c r="N24" s="68">
        <v>2.2728534334569329E-2</v>
      </c>
      <c r="O24" s="61">
        <v>3507.64</v>
      </c>
      <c r="P24" s="68">
        <v>6.3156544140539105E-3</v>
      </c>
      <c r="Q24" s="81">
        <v>12158.009999999998</v>
      </c>
      <c r="R24" s="61">
        <v>156079.95999999961</v>
      </c>
      <c r="S24" s="100">
        <v>2.189101205443306E-2</v>
      </c>
      <c r="T24" s="101">
        <v>106.75070841894143</v>
      </c>
      <c r="W24" t="s">
        <v>1421</v>
      </c>
      <c r="X24" t="s">
        <v>1365</v>
      </c>
      <c r="Y24" s="38">
        <v>87501.440000000002</v>
      </c>
      <c r="Z24" s="84">
        <v>85124.98</v>
      </c>
      <c r="AA24" s="84">
        <v>441.09999999999997</v>
      </c>
      <c r="AB24" s="84">
        <v>1935.36</v>
      </c>
      <c r="AC24" s="84">
        <v>0</v>
      </c>
      <c r="AD24" s="84">
        <v>0</v>
      </c>
      <c r="AE24" s="84">
        <v>107.53</v>
      </c>
      <c r="AF24" s="27">
        <v>116793.03333333331</v>
      </c>
      <c r="AG24" s="90">
        <v>1.2288940616291572E-3</v>
      </c>
      <c r="AH24" s="85">
        <v>22.476025539194552</v>
      </c>
    </row>
    <row r="25" spans="1:34" ht="13.5" thickTop="1" x14ac:dyDescent="0.3">
      <c r="A25" t="s">
        <v>1435</v>
      </c>
      <c r="B25" s="131" t="s">
        <v>1417</v>
      </c>
      <c r="C25" s="131" t="s">
        <v>1421</v>
      </c>
      <c r="D25" s="133">
        <v>645557.34000000008</v>
      </c>
      <c r="E25" s="61">
        <v>0</v>
      </c>
      <c r="F25" s="68">
        <v>0</v>
      </c>
      <c r="G25" s="61">
        <v>611600.9</v>
      </c>
      <c r="H25" s="68">
        <v>0.94739980804803481</v>
      </c>
      <c r="I25" s="61">
        <v>16372.710000000003</v>
      </c>
      <c r="J25" s="69">
        <v>2.5362131270941789E-2</v>
      </c>
      <c r="K25" s="61">
        <v>229.03</v>
      </c>
      <c r="L25" s="68">
        <v>3.5477870951014197E-4</v>
      </c>
      <c r="M25" s="61">
        <v>17232.599999999999</v>
      </c>
      <c r="N25" s="68">
        <v>2.6694143079528762E-2</v>
      </c>
      <c r="O25" s="61">
        <v>122.1</v>
      </c>
      <c r="P25" s="68">
        <v>1.8913889198440525E-4</v>
      </c>
      <c r="Q25" s="79">
        <v>13425.63</v>
      </c>
      <c r="R25" s="58">
        <v>683365.14000000025</v>
      </c>
      <c r="S25" s="98">
        <v>2.0796959724755041E-2</v>
      </c>
      <c r="T25" s="99">
        <v>28.340222622418224</v>
      </c>
      <c r="X25" t="s">
        <v>1435</v>
      </c>
      <c r="Y25" s="38">
        <v>150156.35999999999</v>
      </c>
      <c r="Z25" s="84">
        <v>148033.72</v>
      </c>
      <c r="AA25" s="84">
        <v>671.12</v>
      </c>
      <c r="AB25" s="84">
        <v>1451.52</v>
      </c>
      <c r="AC25" s="84">
        <v>0</v>
      </c>
      <c r="AD25" s="84">
        <v>0</v>
      </c>
      <c r="AE25" s="84">
        <v>161.29</v>
      </c>
      <c r="AF25" s="27">
        <v>122912.14666666664</v>
      </c>
      <c r="AG25" s="90">
        <v>1.0741469758590312E-3</v>
      </c>
      <c r="AH25" s="85">
        <v>36.649679646524767</v>
      </c>
    </row>
    <row r="26" spans="1:34" x14ac:dyDescent="0.3">
      <c r="A26" t="s">
        <v>1435</v>
      </c>
      <c r="B26" s="131" t="str">
        <f t="shared" ref="B26:B29" si="4">B25</f>
        <v>PET</v>
      </c>
      <c r="C26" s="131" t="s">
        <v>1424</v>
      </c>
      <c r="D26" s="134">
        <v>321946.26</v>
      </c>
      <c r="E26" s="61">
        <v>0</v>
      </c>
      <c r="F26" s="68">
        <v>0</v>
      </c>
      <c r="G26" s="61">
        <v>187806.45</v>
      </c>
      <c r="H26" s="68">
        <v>0.58334720210758162</v>
      </c>
      <c r="I26" s="61">
        <v>122342.73000000001</v>
      </c>
      <c r="J26" s="69">
        <v>0.38000978796896107</v>
      </c>
      <c r="K26" s="61">
        <v>9557.1</v>
      </c>
      <c r="L26" s="68">
        <v>2.9685389108107672E-2</v>
      </c>
      <c r="M26" s="61">
        <v>216.3</v>
      </c>
      <c r="N26" s="68">
        <v>6.7185125865416178E-4</v>
      </c>
      <c r="O26" s="61">
        <v>2023.68</v>
      </c>
      <c r="P26" s="68">
        <v>6.2857695566955803E-3</v>
      </c>
      <c r="Q26" s="81">
        <v>3449.34</v>
      </c>
      <c r="R26" s="61">
        <v>204201.88333333319</v>
      </c>
      <c r="S26" s="100">
        <v>1.0714024135580889E-2</v>
      </c>
      <c r="T26" s="101">
        <v>47.29823076231834</v>
      </c>
      <c r="W26" t="s">
        <v>1422</v>
      </c>
      <c r="X26" t="s">
        <v>1365</v>
      </c>
      <c r="Y26" s="38">
        <v>199796.53</v>
      </c>
      <c r="Z26" s="84">
        <v>188659.28</v>
      </c>
      <c r="AA26" s="84">
        <v>6568.97</v>
      </c>
      <c r="AB26" s="84">
        <v>3058.05</v>
      </c>
      <c r="AC26" s="84">
        <v>1033.23</v>
      </c>
      <c r="AD26" s="84">
        <v>477</v>
      </c>
      <c r="AE26" s="84">
        <v>2011.21</v>
      </c>
      <c r="AF26" s="27">
        <v>151537.09333333332</v>
      </c>
      <c r="AG26" s="90">
        <v>1.0066290941088917E-2</v>
      </c>
      <c r="AH26" s="85">
        <v>39.553984890124156</v>
      </c>
    </row>
    <row r="27" spans="1:34" x14ac:dyDescent="0.3">
      <c r="A27" t="s">
        <v>1435</v>
      </c>
      <c r="B27" s="131" t="str">
        <f t="shared" si="4"/>
        <v>PET</v>
      </c>
      <c r="C27" s="131" t="s">
        <v>1425</v>
      </c>
      <c r="D27" s="134">
        <v>34724.699999999997</v>
      </c>
      <c r="E27" s="61">
        <v>0</v>
      </c>
      <c r="F27" s="68">
        <v>0</v>
      </c>
      <c r="G27" s="61">
        <v>34724.699999999997</v>
      </c>
      <c r="H27" s="68">
        <v>1</v>
      </c>
      <c r="I27" s="61">
        <v>0</v>
      </c>
      <c r="J27" s="69">
        <v>0</v>
      </c>
      <c r="K27" s="61">
        <v>0</v>
      </c>
      <c r="L27" s="68">
        <v>0</v>
      </c>
      <c r="M27" s="61">
        <v>0</v>
      </c>
      <c r="N27" s="68">
        <v>0</v>
      </c>
      <c r="O27" s="61">
        <v>0</v>
      </c>
      <c r="P27" s="68">
        <v>0</v>
      </c>
      <c r="Q27" s="81">
        <v>0</v>
      </c>
      <c r="R27" s="61">
        <v>57390.893333332999</v>
      </c>
      <c r="S27" s="100">
        <v>0</v>
      </c>
      <c r="T27" s="101">
        <v>18.151677722621368</v>
      </c>
      <c r="X27" t="s">
        <v>1435</v>
      </c>
      <c r="Y27" s="38">
        <v>287882.14999999991</v>
      </c>
      <c r="Z27" s="84">
        <v>274522.31999999989</v>
      </c>
      <c r="AA27" s="84">
        <v>7380.9299999999994</v>
      </c>
      <c r="AB27" s="84">
        <v>4758.7</v>
      </c>
      <c r="AC27" s="84">
        <v>796.2</v>
      </c>
      <c r="AD27" s="84">
        <v>424</v>
      </c>
      <c r="AE27" s="84">
        <v>2069.3000000000002</v>
      </c>
      <c r="AF27" s="27">
        <v>139223.01666666666</v>
      </c>
      <c r="AG27" s="90">
        <v>7.1880107884424267E-3</v>
      </c>
      <c r="AH27" s="85">
        <v>62.033309626365636</v>
      </c>
    </row>
    <row r="28" spans="1:34" x14ac:dyDescent="0.3">
      <c r="A28" t="s">
        <v>1435</v>
      </c>
      <c r="B28" s="131" t="str">
        <f t="shared" si="4"/>
        <v>PET</v>
      </c>
      <c r="C28" s="131" t="s">
        <v>1398</v>
      </c>
      <c r="D28" s="134">
        <v>39794.75</v>
      </c>
      <c r="E28" s="61">
        <v>0</v>
      </c>
      <c r="F28" s="68">
        <v>0</v>
      </c>
      <c r="G28" s="61">
        <v>39794.75</v>
      </c>
      <c r="H28" s="68">
        <v>1</v>
      </c>
      <c r="I28" s="61">
        <v>0</v>
      </c>
      <c r="J28" s="69">
        <v>0</v>
      </c>
      <c r="K28" s="61">
        <v>0</v>
      </c>
      <c r="L28" s="68">
        <v>0</v>
      </c>
      <c r="M28" s="61">
        <v>0</v>
      </c>
      <c r="N28" s="68">
        <v>0</v>
      </c>
      <c r="O28" s="61">
        <v>0</v>
      </c>
      <c r="P28" s="68">
        <v>0</v>
      </c>
      <c r="Q28" s="81">
        <v>0</v>
      </c>
      <c r="R28" s="61">
        <v>20967.773333333334</v>
      </c>
      <c r="S28" s="100">
        <v>0</v>
      </c>
      <c r="T28" s="101">
        <v>56.937018586618315</v>
      </c>
      <c r="W28" t="s">
        <v>1423</v>
      </c>
      <c r="X28" t="s">
        <v>1365</v>
      </c>
      <c r="Y28" s="38">
        <v>15020.64</v>
      </c>
      <c r="Z28" s="84">
        <v>15020.64</v>
      </c>
      <c r="AA28" s="84">
        <v>0</v>
      </c>
      <c r="AB28" s="84">
        <v>0</v>
      </c>
      <c r="AC28" s="84">
        <v>0</v>
      </c>
      <c r="AD28" s="84">
        <v>0</v>
      </c>
      <c r="AE28" s="84">
        <v>0</v>
      </c>
      <c r="AF28" s="27">
        <v>4723.2</v>
      </c>
      <c r="AG28" s="90">
        <v>0</v>
      </c>
      <c r="AH28" s="85">
        <v>95.405487804878049</v>
      </c>
    </row>
    <row r="29" spans="1:34" x14ac:dyDescent="0.3">
      <c r="A29" t="s">
        <v>1435</v>
      </c>
      <c r="B29" s="131" t="str">
        <f t="shared" si="4"/>
        <v>PET</v>
      </c>
      <c r="C29" s="131" t="s">
        <v>1376</v>
      </c>
      <c r="D29" s="134">
        <v>741415.45</v>
      </c>
      <c r="E29" s="61">
        <v>0</v>
      </c>
      <c r="F29" s="68">
        <v>0</v>
      </c>
      <c r="G29" s="61">
        <v>731033.02</v>
      </c>
      <c r="H29" s="68">
        <v>0.98599647471603147</v>
      </c>
      <c r="I29" s="61">
        <v>0</v>
      </c>
      <c r="J29" s="69">
        <v>0</v>
      </c>
      <c r="K29" s="61">
        <v>10382.42</v>
      </c>
      <c r="L29" s="68">
        <v>1.4003511796254045E-2</v>
      </c>
      <c r="M29" s="61">
        <v>0.01</v>
      </c>
      <c r="N29" s="68">
        <v>1.3487714613985993E-8</v>
      </c>
      <c r="O29" s="61">
        <v>0</v>
      </c>
      <c r="P29" s="68">
        <v>0</v>
      </c>
      <c r="Q29" s="81">
        <v>1730.55</v>
      </c>
      <c r="R29" s="61">
        <v>492597.21333332994</v>
      </c>
      <c r="S29" s="100">
        <v>2.3341164525233458E-3</v>
      </c>
      <c r="T29" s="101">
        <v>45.153449710948735</v>
      </c>
      <c r="X29" t="s">
        <v>1435</v>
      </c>
      <c r="Y29" s="38">
        <v>58181.760000000002</v>
      </c>
      <c r="Z29" s="84">
        <v>58181.760000000002</v>
      </c>
      <c r="AA29" s="84">
        <v>0</v>
      </c>
      <c r="AB29" s="84">
        <v>0</v>
      </c>
      <c r="AC29" s="84">
        <v>0</v>
      </c>
      <c r="AD29" s="84">
        <v>0</v>
      </c>
      <c r="AE29" s="84">
        <v>0</v>
      </c>
      <c r="AF29" s="27">
        <v>7344</v>
      </c>
      <c r="AG29" s="90">
        <v>0</v>
      </c>
      <c r="AH29" s="85">
        <v>237.67058823529413</v>
      </c>
    </row>
    <row r="30" spans="1:34" x14ac:dyDescent="0.3">
      <c r="A30" t="s">
        <v>1435</v>
      </c>
      <c r="B30" s="131" t="s">
        <v>1418</v>
      </c>
      <c r="C30" s="131" t="s">
        <v>1421</v>
      </c>
      <c r="D30" s="134">
        <v>366226.82</v>
      </c>
      <c r="E30" s="61">
        <v>153.9</v>
      </c>
      <c r="F30" s="68">
        <v>4.2023137464372492E-4</v>
      </c>
      <c r="G30" s="61">
        <v>360833.12</v>
      </c>
      <c r="H30" s="68">
        <v>0.98527224194011787</v>
      </c>
      <c r="I30" s="61">
        <v>0</v>
      </c>
      <c r="J30" s="69">
        <v>0</v>
      </c>
      <c r="K30" s="61">
        <v>5239.8</v>
      </c>
      <c r="L30" s="68">
        <v>1.43075266852384E-2</v>
      </c>
      <c r="M30" s="61">
        <v>0</v>
      </c>
      <c r="N30" s="68">
        <v>0</v>
      </c>
      <c r="O30" s="61">
        <v>0</v>
      </c>
      <c r="P30" s="68">
        <v>0</v>
      </c>
      <c r="Q30" s="81">
        <v>599.15</v>
      </c>
      <c r="R30" s="61">
        <v>486580.35333333234</v>
      </c>
      <c r="S30" s="100">
        <v>1.63600797997263E-3</v>
      </c>
      <c r="T30" s="101">
        <v>22.579630527074485</v>
      </c>
      <c r="W30" t="s">
        <v>1376</v>
      </c>
      <c r="X30" t="s">
        <v>1365</v>
      </c>
      <c r="Y30" s="38">
        <v>553555.01</v>
      </c>
      <c r="Z30" s="84">
        <v>467691.23</v>
      </c>
      <c r="AA30" s="84">
        <v>56898.8</v>
      </c>
      <c r="AB30" s="84">
        <v>11330.5</v>
      </c>
      <c r="AC30" s="84">
        <v>14126.84</v>
      </c>
      <c r="AD30" s="84">
        <v>3507.64</v>
      </c>
      <c r="AE30" s="84">
        <v>11519.949999999999</v>
      </c>
      <c r="AF30" s="27">
        <v>139695.04666666628</v>
      </c>
      <c r="AG30" s="90">
        <v>2.0810849494434163E-2</v>
      </c>
      <c r="AH30" s="85">
        <v>118.87787503035811</v>
      </c>
    </row>
    <row r="31" spans="1:34" x14ac:dyDescent="0.3">
      <c r="A31" t="s">
        <v>1435</v>
      </c>
      <c r="B31" s="131" t="str">
        <f t="shared" ref="B31:B33" si="5">B30</f>
        <v>PP</v>
      </c>
      <c r="C31" s="131" t="s">
        <v>1422</v>
      </c>
      <c r="D31" s="134">
        <v>161880.85</v>
      </c>
      <c r="E31" s="61">
        <v>0</v>
      </c>
      <c r="F31" s="68">
        <v>0</v>
      </c>
      <c r="G31" s="61">
        <v>138986.84</v>
      </c>
      <c r="H31" s="68">
        <v>0.85857493335375978</v>
      </c>
      <c r="I31" s="61">
        <v>482.52</v>
      </c>
      <c r="J31" s="69">
        <v>2.9807108129219729E-3</v>
      </c>
      <c r="K31" s="61">
        <v>8643.1099999999988</v>
      </c>
      <c r="L31" s="68">
        <v>5.3391800203668308E-2</v>
      </c>
      <c r="M31" s="61">
        <v>5675.0999999999995</v>
      </c>
      <c r="N31" s="68">
        <v>3.5057265884136386E-2</v>
      </c>
      <c r="O31" s="61">
        <v>8093.2800000000007</v>
      </c>
      <c r="P31" s="68">
        <v>4.9995289745513448E-2</v>
      </c>
      <c r="Q31" s="81">
        <v>13635.150000000001</v>
      </c>
      <c r="R31" s="61">
        <v>138883.49333333335</v>
      </c>
      <c r="S31" s="100">
        <v>8.4229542901461174E-2</v>
      </c>
      <c r="T31" s="101">
        <v>34.967622022180315</v>
      </c>
      <c r="X31" t="s">
        <v>1435</v>
      </c>
      <c r="Y31" s="38">
        <v>555388.21</v>
      </c>
      <c r="Z31" s="84">
        <v>495663.06999999995</v>
      </c>
      <c r="AA31" s="84">
        <v>31736.639999999999</v>
      </c>
      <c r="AB31" s="84">
        <v>11857.7</v>
      </c>
      <c r="AC31" s="84">
        <v>12623.16</v>
      </c>
      <c r="AD31" s="84">
        <v>3507.64</v>
      </c>
      <c r="AE31" s="84">
        <v>12158.009999999998</v>
      </c>
      <c r="AF31" s="27">
        <v>156079.95999999961</v>
      </c>
      <c r="AG31" s="90">
        <v>2.189101205443306E-2</v>
      </c>
      <c r="AH31" s="85">
        <v>106.75070841894143</v>
      </c>
    </row>
    <row r="32" spans="1:34" x14ac:dyDescent="0.3">
      <c r="A32" t="s">
        <v>1435</v>
      </c>
      <c r="B32" s="131" t="str">
        <f t="shared" si="5"/>
        <v>PP</v>
      </c>
      <c r="C32" s="131" t="s">
        <v>1424</v>
      </c>
      <c r="D32" s="134">
        <v>33477.68</v>
      </c>
      <c r="E32" s="61">
        <v>0</v>
      </c>
      <c r="F32" s="68">
        <v>0</v>
      </c>
      <c r="G32" s="61">
        <v>33477.68</v>
      </c>
      <c r="H32" s="68">
        <v>1</v>
      </c>
      <c r="I32" s="61">
        <v>0</v>
      </c>
      <c r="J32" s="69">
        <v>0</v>
      </c>
      <c r="K32" s="61">
        <v>0</v>
      </c>
      <c r="L32" s="68">
        <v>0</v>
      </c>
      <c r="M32" s="61">
        <v>0</v>
      </c>
      <c r="N32" s="68">
        <v>0</v>
      </c>
      <c r="O32" s="61">
        <v>0</v>
      </c>
      <c r="P32" s="68">
        <v>0</v>
      </c>
      <c r="Q32" s="81">
        <v>0</v>
      </c>
      <c r="R32" s="61">
        <v>37667.923333333303</v>
      </c>
      <c r="S32" s="100">
        <v>0</v>
      </c>
      <c r="T32" s="101">
        <v>26.662749393228228</v>
      </c>
    </row>
    <row r="33" spans="1:34" x14ac:dyDescent="0.3">
      <c r="A33" t="s">
        <v>1435</v>
      </c>
      <c r="B33" s="131" t="str">
        <f t="shared" si="5"/>
        <v>PP</v>
      </c>
      <c r="C33" s="131" t="s">
        <v>1376</v>
      </c>
      <c r="D33" s="134">
        <v>435459.66</v>
      </c>
      <c r="E33" s="61">
        <v>0</v>
      </c>
      <c r="F33" s="68">
        <v>0</v>
      </c>
      <c r="G33" s="61">
        <v>434016.74</v>
      </c>
      <c r="H33" s="68">
        <v>0.99668644392915762</v>
      </c>
      <c r="I33" s="61">
        <v>0</v>
      </c>
      <c r="J33" s="69">
        <v>0</v>
      </c>
      <c r="K33" s="61">
        <v>0</v>
      </c>
      <c r="L33" s="68">
        <v>0</v>
      </c>
      <c r="M33" s="61">
        <v>103.59</v>
      </c>
      <c r="N33" s="68">
        <v>2.3788655876872731E-4</v>
      </c>
      <c r="O33" s="61">
        <v>1339.3400000000001</v>
      </c>
      <c r="P33" s="68">
        <v>3.0756924763134207E-3</v>
      </c>
      <c r="Q33" s="81">
        <v>1414.16</v>
      </c>
      <c r="R33" s="61">
        <v>369047.03333333292</v>
      </c>
      <c r="S33" s="100">
        <v>3.2475109175440042E-3</v>
      </c>
      <c r="T33" s="101">
        <v>35.398712413440386</v>
      </c>
    </row>
    <row r="34" spans="1:34" x14ac:dyDescent="0.3">
      <c r="A34" t="s">
        <v>1435</v>
      </c>
      <c r="B34" s="131" t="s">
        <v>1419</v>
      </c>
      <c r="C34" s="131" t="s">
        <v>1426</v>
      </c>
      <c r="D34" s="134">
        <v>271897.34000000003</v>
      </c>
      <c r="E34" s="61">
        <v>0</v>
      </c>
      <c r="F34" s="68">
        <v>0</v>
      </c>
      <c r="G34" s="61">
        <v>239643.75000000003</v>
      </c>
      <c r="H34" s="68">
        <v>0.88137585310691158</v>
      </c>
      <c r="I34" s="61">
        <v>13312.65</v>
      </c>
      <c r="J34" s="69">
        <v>4.8962045748590255E-2</v>
      </c>
      <c r="K34" s="61">
        <v>7469.4400000000005</v>
      </c>
      <c r="L34" s="68">
        <v>2.7471544958843658E-2</v>
      </c>
      <c r="M34" s="61">
        <v>7350.88</v>
      </c>
      <c r="N34" s="68">
        <v>2.7035498030249207E-2</v>
      </c>
      <c r="O34" s="61">
        <v>4120.62</v>
      </c>
      <c r="P34" s="68">
        <v>1.5155058155405269E-2</v>
      </c>
      <c r="Q34" s="81">
        <v>8594.590000000002</v>
      </c>
      <c r="R34" s="61">
        <v>162216.94999999998</v>
      </c>
      <c r="S34" s="100">
        <v>3.160968768580083E-2</v>
      </c>
      <c r="T34" s="101">
        <v>50.284019025138875</v>
      </c>
    </row>
    <row r="35" spans="1:34" x14ac:dyDescent="0.3">
      <c r="A35" t="s">
        <v>1435</v>
      </c>
      <c r="B35" s="131" t="s">
        <v>1420</v>
      </c>
      <c r="C35" s="131" t="s">
        <v>1427</v>
      </c>
      <c r="D35" s="134">
        <v>0</v>
      </c>
      <c r="E35" s="61">
        <v>0</v>
      </c>
      <c r="F35" s="68">
        <v>0</v>
      </c>
      <c r="G35" s="61">
        <v>0</v>
      </c>
      <c r="H35" s="68">
        <v>0</v>
      </c>
      <c r="I35" s="61">
        <v>0</v>
      </c>
      <c r="J35" s="69">
        <v>0</v>
      </c>
      <c r="K35" s="61">
        <v>0</v>
      </c>
      <c r="L35" s="68">
        <v>0</v>
      </c>
      <c r="M35" s="61">
        <v>0</v>
      </c>
      <c r="N35" s="68">
        <v>0</v>
      </c>
      <c r="O35" s="61">
        <v>0</v>
      </c>
      <c r="P35" s="68">
        <v>0</v>
      </c>
      <c r="Q35" s="81">
        <v>0</v>
      </c>
      <c r="R35" s="61">
        <v>0</v>
      </c>
      <c r="S35" s="100">
        <v>0</v>
      </c>
      <c r="T35" s="101">
        <v>0</v>
      </c>
    </row>
    <row r="36" spans="1:34" x14ac:dyDescent="0.3">
      <c r="B36" s="131"/>
      <c r="C36" s="131"/>
      <c r="D36" s="134"/>
      <c r="E36" s="61"/>
      <c r="F36" s="68"/>
      <c r="G36" s="61"/>
      <c r="H36" s="68"/>
      <c r="I36" s="61"/>
      <c r="J36" s="69"/>
      <c r="K36" s="61"/>
      <c r="L36" s="68"/>
      <c r="M36" s="61"/>
      <c r="N36" s="68"/>
      <c r="O36" s="61"/>
      <c r="P36" s="68"/>
      <c r="Q36" s="81"/>
      <c r="R36" s="61"/>
      <c r="S36" s="100"/>
      <c r="T36" s="101"/>
    </row>
    <row r="37" spans="1:34" x14ac:dyDescent="0.3">
      <c r="B37" s="131"/>
      <c r="C37" s="131"/>
      <c r="D37" s="134"/>
      <c r="E37" s="61"/>
      <c r="F37" s="68"/>
      <c r="G37" s="61"/>
      <c r="H37" s="68"/>
      <c r="I37" s="61"/>
      <c r="J37" s="69"/>
      <c r="K37" s="61"/>
      <c r="L37" s="68"/>
      <c r="M37" s="61"/>
      <c r="N37" s="68"/>
      <c r="O37" s="61"/>
      <c r="P37" s="68"/>
      <c r="Q37" s="81"/>
      <c r="R37" s="61"/>
      <c r="S37" s="100"/>
      <c r="T37" s="101"/>
      <c r="W37" s="67" t="s">
        <v>1414</v>
      </c>
      <c r="X37" t="s">
        <v>1417</v>
      </c>
    </row>
    <row r="38" spans="1:34" x14ac:dyDescent="0.3">
      <c r="B38" s="131"/>
      <c r="C38" s="131"/>
      <c r="D38" s="134"/>
      <c r="E38" s="61"/>
      <c r="F38" s="68"/>
      <c r="G38" s="61"/>
      <c r="H38" s="68"/>
      <c r="I38" s="61"/>
      <c r="J38" s="69"/>
      <c r="K38" s="61"/>
      <c r="L38" s="68"/>
      <c r="M38" s="61"/>
      <c r="N38" s="68"/>
      <c r="O38" s="61"/>
      <c r="P38" s="68"/>
      <c r="Q38" s="81"/>
      <c r="R38" s="61"/>
      <c r="S38" s="100"/>
      <c r="T38" s="101"/>
    </row>
    <row r="39" spans="1:34" x14ac:dyDescent="0.3">
      <c r="B39" s="131"/>
      <c r="C39" s="131"/>
      <c r="D39" s="134"/>
      <c r="E39" s="61"/>
      <c r="F39" s="68"/>
      <c r="G39" s="61"/>
      <c r="H39" s="68"/>
      <c r="I39" s="61"/>
      <c r="J39" s="69"/>
      <c r="K39" s="61"/>
      <c r="L39" s="68"/>
      <c r="M39" s="61"/>
      <c r="N39" s="68"/>
      <c r="O39" s="61"/>
      <c r="P39" s="68"/>
      <c r="Q39" s="81"/>
      <c r="R39" s="61"/>
      <c r="S39" s="100"/>
      <c r="T39" s="101"/>
      <c r="Y39" s="67" t="s">
        <v>186</v>
      </c>
    </row>
    <row r="40" spans="1:34" x14ac:dyDescent="0.3">
      <c r="B40" s="132"/>
      <c r="C40" s="131"/>
      <c r="D40" s="134"/>
      <c r="E40" s="61"/>
      <c r="F40" s="68"/>
      <c r="G40" s="61"/>
      <c r="H40" s="68"/>
      <c r="I40" s="61"/>
      <c r="J40" s="69"/>
      <c r="K40" s="61"/>
      <c r="L40" s="68"/>
      <c r="M40" s="61"/>
      <c r="N40" s="68"/>
      <c r="O40" s="61"/>
      <c r="P40" s="68"/>
      <c r="Q40" s="81"/>
      <c r="R40" s="61"/>
      <c r="S40" s="100"/>
      <c r="T40" s="101"/>
      <c r="W40" s="67" t="s">
        <v>1428</v>
      </c>
      <c r="X40" s="67" t="s">
        <v>1145</v>
      </c>
      <c r="Y40" t="s">
        <v>1146</v>
      </c>
      <c r="Z40" t="s">
        <v>1147</v>
      </c>
      <c r="AA40" t="s">
        <v>1148</v>
      </c>
      <c r="AB40" t="s">
        <v>1149</v>
      </c>
      <c r="AC40" t="s">
        <v>1150</v>
      </c>
      <c r="AD40" t="s">
        <v>1151</v>
      </c>
      <c r="AE40" t="s">
        <v>1153</v>
      </c>
      <c r="AF40" s="27" t="s">
        <v>1166</v>
      </c>
      <c r="AG40" s="90" t="s">
        <v>1167</v>
      </c>
      <c r="AH40" t="s">
        <v>1152</v>
      </c>
    </row>
    <row r="41" spans="1:34" x14ac:dyDescent="0.3">
      <c r="B41" s="132"/>
      <c r="C41" s="131"/>
      <c r="D41" s="134"/>
      <c r="E41" s="61"/>
      <c r="F41" s="68"/>
      <c r="G41" s="61"/>
      <c r="H41" s="68"/>
      <c r="I41" s="61"/>
      <c r="J41" s="69"/>
      <c r="K41" s="61"/>
      <c r="L41" s="68"/>
      <c r="M41" s="61"/>
      <c r="N41" s="68"/>
      <c r="O41" s="61"/>
      <c r="P41" s="68"/>
      <c r="Q41" s="81"/>
      <c r="R41" s="61"/>
      <c r="S41" s="100"/>
      <c r="T41" s="101"/>
      <c r="W41" t="s">
        <v>1421</v>
      </c>
      <c r="X41" t="s">
        <v>1365</v>
      </c>
      <c r="Y41" s="38">
        <v>513467.78999999992</v>
      </c>
      <c r="Z41" s="84">
        <v>479836.04000000004</v>
      </c>
      <c r="AA41" s="84">
        <v>16175.02</v>
      </c>
      <c r="AB41" s="84">
        <v>102.03</v>
      </c>
      <c r="AC41" s="84">
        <v>17232.599999999999</v>
      </c>
      <c r="AD41" s="84">
        <v>122.1</v>
      </c>
      <c r="AE41" s="84">
        <v>12455.46</v>
      </c>
      <c r="AF41" s="27">
        <v>685418.31666666688</v>
      </c>
      <c r="AG41" s="90">
        <v>2.4257529376867048E-2</v>
      </c>
      <c r="AH41" s="85">
        <v>22.473916038475668</v>
      </c>
    </row>
    <row r="42" spans="1:34" x14ac:dyDescent="0.3">
      <c r="B42" s="131"/>
      <c r="C42" s="131"/>
      <c r="D42" s="134"/>
      <c r="E42" s="61"/>
      <c r="F42" s="68"/>
      <c r="G42" s="61"/>
      <c r="H42" s="68"/>
      <c r="I42" s="61"/>
      <c r="J42" s="69"/>
      <c r="K42" s="61"/>
      <c r="L42" s="68"/>
      <c r="M42" s="61"/>
      <c r="N42" s="68"/>
      <c r="O42" s="61"/>
      <c r="P42" s="68"/>
      <c r="Q42" s="81"/>
      <c r="R42" s="61"/>
      <c r="S42" s="100"/>
      <c r="T42" s="101"/>
      <c r="X42" t="s">
        <v>1435</v>
      </c>
      <c r="Y42" s="38">
        <v>645557.34000000008</v>
      </c>
      <c r="Z42" s="84">
        <v>611600.9</v>
      </c>
      <c r="AA42" s="84">
        <v>16372.710000000003</v>
      </c>
      <c r="AB42" s="84">
        <v>229.03</v>
      </c>
      <c r="AC42" s="84">
        <v>17232.599999999999</v>
      </c>
      <c r="AD42" s="84">
        <v>122.1</v>
      </c>
      <c r="AE42" s="84">
        <v>13425.63</v>
      </c>
      <c r="AF42" s="27">
        <v>683365.14000000025</v>
      </c>
      <c r="AG42" s="90">
        <v>2.0796959724755041E-2</v>
      </c>
      <c r="AH42" s="85">
        <v>28.340222622418224</v>
      </c>
    </row>
    <row r="43" spans="1:34" x14ac:dyDescent="0.3">
      <c r="B43" s="131"/>
      <c r="C43" s="131"/>
      <c r="D43" s="134"/>
      <c r="E43" s="61"/>
      <c r="F43" s="68"/>
      <c r="G43" s="61"/>
      <c r="H43" s="68"/>
      <c r="I43" s="61"/>
      <c r="J43" s="69"/>
      <c r="K43" s="61"/>
      <c r="L43" s="68"/>
      <c r="M43" s="61"/>
      <c r="N43" s="68"/>
      <c r="O43" s="61"/>
      <c r="P43" s="68"/>
      <c r="Q43" s="81"/>
      <c r="R43" s="61"/>
      <c r="S43" s="100"/>
      <c r="T43" s="101"/>
      <c r="W43" t="s">
        <v>1424</v>
      </c>
      <c r="X43" t="s">
        <v>1365</v>
      </c>
      <c r="Y43" s="38">
        <v>325367.07000000007</v>
      </c>
      <c r="Z43" s="84">
        <v>249635.37000000005</v>
      </c>
      <c r="AA43" s="84">
        <v>62527.020000000004</v>
      </c>
      <c r="AB43" s="84">
        <v>10964.7</v>
      </c>
      <c r="AC43" s="84">
        <v>216.3</v>
      </c>
      <c r="AD43" s="84">
        <v>2023.68</v>
      </c>
      <c r="AE43" s="84">
        <v>3219.16</v>
      </c>
      <c r="AF43" s="27">
        <v>205978.26</v>
      </c>
      <c r="AG43" s="90">
        <v>9.893933027703139E-3</v>
      </c>
      <c r="AH43" s="85">
        <v>47.388554986336914</v>
      </c>
    </row>
    <row r="44" spans="1:34" x14ac:dyDescent="0.3">
      <c r="B44" s="131"/>
      <c r="C44" s="131"/>
      <c r="D44" s="134"/>
      <c r="E44" s="61"/>
      <c r="F44" s="68"/>
      <c r="G44" s="61"/>
      <c r="H44" s="68"/>
      <c r="I44" s="61"/>
      <c r="J44" s="69"/>
      <c r="K44" s="61"/>
      <c r="L44" s="68"/>
      <c r="M44" s="61"/>
      <c r="N44" s="68"/>
      <c r="O44" s="61"/>
      <c r="P44" s="68"/>
      <c r="Q44" s="81"/>
      <c r="R44" s="61"/>
      <c r="S44" s="100"/>
      <c r="T44" s="101"/>
      <c r="X44" t="s">
        <v>1435</v>
      </c>
      <c r="Y44" s="38">
        <v>321946.26</v>
      </c>
      <c r="Z44" s="84">
        <v>187806.45</v>
      </c>
      <c r="AA44" s="84">
        <v>122342.73000000001</v>
      </c>
      <c r="AB44" s="84">
        <v>9557.1</v>
      </c>
      <c r="AC44" s="84">
        <v>216.3</v>
      </c>
      <c r="AD44" s="84">
        <v>2023.68</v>
      </c>
      <c r="AE44" s="84">
        <v>3449.34</v>
      </c>
      <c r="AF44" s="27">
        <v>204201.88333333319</v>
      </c>
      <c r="AG44" s="90">
        <v>1.0714024135580889E-2</v>
      </c>
      <c r="AH44" s="85">
        <v>47.29823076231834</v>
      </c>
    </row>
    <row r="45" spans="1:34" x14ac:dyDescent="0.3">
      <c r="B45" s="131"/>
      <c r="C45" s="131"/>
      <c r="D45" s="134"/>
      <c r="E45" s="61"/>
      <c r="F45" s="68"/>
      <c r="G45" s="61"/>
      <c r="H45" s="68"/>
      <c r="I45" s="61"/>
      <c r="J45" s="69"/>
      <c r="K45" s="61"/>
      <c r="L45" s="68"/>
      <c r="M45" s="61"/>
      <c r="N45" s="68"/>
      <c r="O45" s="61"/>
      <c r="P45" s="68"/>
      <c r="Q45" s="81"/>
      <c r="R45" s="61"/>
      <c r="S45" s="100"/>
      <c r="T45" s="101"/>
      <c r="W45" t="s">
        <v>1425</v>
      </c>
      <c r="X45" t="s">
        <v>1365</v>
      </c>
      <c r="Y45" s="38">
        <v>35554.14</v>
      </c>
      <c r="Z45" s="84">
        <v>35554.14</v>
      </c>
      <c r="AA45" s="84">
        <v>0</v>
      </c>
      <c r="AB45" s="84">
        <v>0</v>
      </c>
      <c r="AC45" s="84">
        <v>0</v>
      </c>
      <c r="AD45" s="84">
        <v>0</v>
      </c>
      <c r="AE45" s="84">
        <v>0</v>
      </c>
      <c r="AF45" s="27">
        <v>58072.403333333001</v>
      </c>
      <c r="AG45" s="90">
        <v>0</v>
      </c>
      <c r="AH45" s="85">
        <v>18.36714409558056</v>
      </c>
    </row>
    <row r="46" spans="1:34" x14ac:dyDescent="0.3">
      <c r="B46" s="131"/>
      <c r="C46" s="131"/>
      <c r="D46" s="134"/>
      <c r="E46" s="61"/>
      <c r="F46" s="68"/>
      <c r="G46" s="61"/>
      <c r="H46" s="68"/>
      <c r="I46" s="61"/>
      <c r="J46" s="69"/>
      <c r="K46" s="61"/>
      <c r="L46" s="68"/>
      <c r="M46" s="61"/>
      <c r="N46" s="68"/>
      <c r="O46" s="61"/>
      <c r="P46" s="68"/>
      <c r="Q46" s="81"/>
      <c r="R46" s="61"/>
      <c r="S46" s="100"/>
      <c r="T46" s="101"/>
      <c r="X46" t="s">
        <v>1435</v>
      </c>
      <c r="Y46" s="38">
        <v>34724.699999999997</v>
      </c>
      <c r="Z46" s="84">
        <v>34724.699999999997</v>
      </c>
      <c r="AA46" s="84">
        <v>0</v>
      </c>
      <c r="AB46" s="84">
        <v>0</v>
      </c>
      <c r="AC46" s="84">
        <v>0</v>
      </c>
      <c r="AD46" s="84">
        <v>0</v>
      </c>
      <c r="AE46" s="84">
        <v>0</v>
      </c>
      <c r="AF46" s="27">
        <v>57390.893333332999</v>
      </c>
      <c r="AG46" s="90">
        <v>0</v>
      </c>
      <c r="AH46" s="85">
        <v>18.151677722621368</v>
      </c>
    </row>
    <row r="47" spans="1:34" x14ac:dyDescent="0.3">
      <c r="B47" s="131"/>
      <c r="C47" s="131"/>
      <c r="D47" s="134"/>
      <c r="E47" s="61"/>
      <c r="F47" s="68"/>
      <c r="G47" s="61"/>
      <c r="H47" s="68"/>
      <c r="I47" s="61"/>
      <c r="J47" s="69"/>
      <c r="K47" s="61"/>
      <c r="L47" s="68"/>
      <c r="M47" s="61"/>
      <c r="N47" s="68"/>
      <c r="O47" s="61"/>
      <c r="P47" s="68"/>
      <c r="Q47" s="81"/>
      <c r="R47" s="61"/>
      <c r="S47" s="100"/>
      <c r="T47" s="101"/>
      <c r="W47" t="s">
        <v>1398</v>
      </c>
      <c r="X47" t="s">
        <v>1365</v>
      </c>
      <c r="Y47" s="38">
        <v>60085.87</v>
      </c>
      <c r="Z47" s="84">
        <v>60085.87</v>
      </c>
      <c r="AA47" s="84">
        <v>0</v>
      </c>
      <c r="AB47" s="84">
        <v>0</v>
      </c>
      <c r="AC47" s="84">
        <v>0</v>
      </c>
      <c r="AD47" s="84">
        <v>0</v>
      </c>
      <c r="AE47" s="84">
        <v>0</v>
      </c>
      <c r="AF47" s="27">
        <v>20640.276666666668</v>
      </c>
      <c r="AG47" s="90">
        <v>0</v>
      </c>
      <c r="AH47" s="85">
        <v>87.332942727027387</v>
      </c>
    </row>
    <row r="48" spans="1:34" ht="13.5" thickBot="1" x14ac:dyDescent="0.35">
      <c r="B48" s="132"/>
      <c r="C48" s="131"/>
      <c r="D48" s="134"/>
      <c r="E48" s="61"/>
      <c r="F48" s="68"/>
      <c r="G48" s="61"/>
      <c r="H48" s="68"/>
      <c r="I48" s="61"/>
      <c r="J48" s="69"/>
      <c r="K48" s="61"/>
      <c r="L48" s="68"/>
      <c r="M48" s="61"/>
      <c r="N48" s="68"/>
      <c r="O48" s="61"/>
      <c r="P48" s="68"/>
      <c r="Q48" s="81"/>
      <c r="R48" s="61"/>
      <c r="S48" s="100"/>
      <c r="T48" s="101"/>
      <c r="X48" t="s">
        <v>1435</v>
      </c>
      <c r="Y48" s="38">
        <v>39794.75</v>
      </c>
      <c r="Z48" s="84">
        <v>39794.75</v>
      </c>
      <c r="AA48" s="84">
        <v>0</v>
      </c>
      <c r="AB48" s="84">
        <v>0</v>
      </c>
      <c r="AC48" s="84">
        <v>0</v>
      </c>
      <c r="AD48" s="84">
        <v>0</v>
      </c>
      <c r="AE48" s="84">
        <v>0</v>
      </c>
      <c r="AF48" s="27">
        <v>20967.773333333334</v>
      </c>
      <c r="AG48" s="90">
        <v>0</v>
      </c>
      <c r="AH48" s="85">
        <v>56.937018586618315</v>
      </c>
    </row>
    <row r="49" spans="2:34" ht="13.5" thickTop="1" x14ac:dyDescent="0.3">
      <c r="B49" s="131"/>
      <c r="C49" s="131"/>
      <c r="D49" s="133"/>
      <c r="E49" s="61"/>
      <c r="F49" s="68"/>
      <c r="G49" s="61"/>
      <c r="H49" s="68"/>
      <c r="I49" s="61"/>
      <c r="J49" s="69"/>
      <c r="K49" s="61"/>
      <c r="L49" s="68"/>
      <c r="M49" s="61"/>
      <c r="N49" s="68"/>
      <c r="O49" s="61"/>
      <c r="P49" s="68"/>
      <c r="Q49" s="79"/>
      <c r="R49" s="58"/>
      <c r="S49" s="98"/>
      <c r="T49" s="99"/>
      <c r="W49" t="s">
        <v>1376</v>
      </c>
      <c r="X49" t="s">
        <v>1365</v>
      </c>
      <c r="Y49" s="38">
        <v>750671.75</v>
      </c>
      <c r="Z49" s="84">
        <v>740379.79</v>
      </c>
      <c r="AA49" s="84">
        <v>0</v>
      </c>
      <c r="AB49" s="84">
        <v>10291.950000000001</v>
      </c>
      <c r="AC49" s="84">
        <v>0.01</v>
      </c>
      <c r="AD49" s="84">
        <v>0</v>
      </c>
      <c r="AE49" s="84">
        <v>1143.6500000000001</v>
      </c>
      <c r="AF49" s="27">
        <v>474365.14333332999</v>
      </c>
      <c r="AG49" s="90">
        <v>1.5235021166042284E-3</v>
      </c>
      <c r="AH49" s="85">
        <v>47.47429868424247</v>
      </c>
    </row>
    <row r="50" spans="2:34" x14ac:dyDescent="0.3">
      <c r="B50" s="131"/>
      <c r="C50" s="131"/>
      <c r="D50" s="134"/>
      <c r="E50" s="61"/>
      <c r="F50" s="68"/>
      <c r="G50" s="61"/>
      <c r="H50" s="68"/>
      <c r="I50" s="61"/>
      <c r="J50" s="69"/>
      <c r="K50" s="61"/>
      <c r="L50" s="68"/>
      <c r="M50" s="61"/>
      <c r="N50" s="68"/>
      <c r="O50" s="61"/>
      <c r="P50" s="68"/>
      <c r="Q50" s="81"/>
      <c r="R50" s="61"/>
      <c r="S50" s="100"/>
      <c r="T50" s="101"/>
      <c r="X50" t="s">
        <v>1435</v>
      </c>
      <c r="Y50" s="38">
        <v>741415.45</v>
      </c>
      <c r="Z50" s="84">
        <v>731033.02</v>
      </c>
      <c r="AA50" s="84">
        <v>0</v>
      </c>
      <c r="AB50" s="84">
        <v>10382.42</v>
      </c>
      <c r="AC50" s="84">
        <v>0.01</v>
      </c>
      <c r="AD50" s="84">
        <v>0</v>
      </c>
      <c r="AE50" s="84">
        <v>1730.55</v>
      </c>
      <c r="AF50" s="27">
        <v>492597.21333332994</v>
      </c>
      <c r="AG50" s="90">
        <v>2.3341164525233458E-3</v>
      </c>
      <c r="AH50" s="85">
        <v>45.153449710948735</v>
      </c>
    </row>
    <row r="51" spans="2:34" x14ac:dyDescent="0.3">
      <c r="B51" s="131"/>
      <c r="C51" s="131"/>
      <c r="D51" s="134"/>
      <c r="E51" s="61"/>
      <c r="F51" s="68"/>
      <c r="G51" s="61"/>
      <c r="H51" s="68"/>
      <c r="I51" s="61"/>
      <c r="J51" s="69"/>
      <c r="K51" s="61"/>
      <c r="L51" s="68"/>
      <c r="M51" s="61"/>
      <c r="N51" s="68"/>
      <c r="O51" s="61"/>
      <c r="P51" s="68"/>
      <c r="Q51" s="81"/>
      <c r="R51" s="61"/>
      <c r="S51" s="100"/>
      <c r="T51" s="101"/>
    </row>
    <row r="52" spans="2:34" x14ac:dyDescent="0.3">
      <c r="B52" s="131"/>
      <c r="C52" s="131"/>
      <c r="D52" s="134"/>
      <c r="E52" s="61"/>
      <c r="F52" s="68"/>
      <c r="G52" s="61"/>
      <c r="H52" s="68"/>
      <c r="I52" s="61"/>
      <c r="J52" s="69"/>
      <c r="K52" s="61"/>
      <c r="L52" s="68"/>
      <c r="M52" s="61"/>
      <c r="N52" s="68"/>
      <c r="O52" s="61"/>
      <c r="P52" s="68"/>
      <c r="Q52" s="81"/>
      <c r="R52" s="61"/>
      <c r="S52" s="100"/>
      <c r="T52" s="101"/>
    </row>
    <row r="53" spans="2:34" x14ac:dyDescent="0.3">
      <c r="B53" s="131"/>
      <c r="C53" s="131"/>
      <c r="D53" s="134"/>
      <c r="E53" s="61"/>
      <c r="F53" s="68"/>
      <c r="G53" s="61"/>
      <c r="H53" s="68"/>
      <c r="I53" s="61"/>
      <c r="J53" s="69"/>
      <c r="K53" s="61"/>
      <c r="L53" s="68"/>
      <c r="M53" s="61"/>
      <c r="N53" s="68"/>
      <c r="O53" s="61"/>
      <c r="P53" s="68"/>
      <c r="Q53" s="81"/>
      <c r="R53" s="61"/>
      <c r="S53" s="100"/>
      <c r="T53" s="101"/>
    </row>
    <row r="54" spans="2:34" x14ac:dyDescent="0.3">
      <c r="B54" s="131"/>
      <c r="C54" s="131"/>
      <c r="D54" s="134"/>
      <c r="E54" s="61"/>
      <c r="F54" s="68"/>
      <c r="G54" s="61"/>
      <c r="H54" s="68"/>
      <c r="I54" s="61"/>
      <c r="J54" s="69"/>
      <c r="K54" s="61"/>
      <c r="L54" s="68"/>
      <c r="M54" s="61"/>
      <c r="N54" s="68"/>
      <c r="O54" s="61"/>
      <c r="P54" s="68"/>
      <c r="Q54" s="81"/>
      <c r="R54" s="61"/>
      <c r="S54" s="100"/>
      <c r="T54" s="101"/>
    </row>
    <row r="55" spans="2:34" x14ac:dyDescent="0.3">
      <c r="B55" s="131"/>
      <c r="C55" s="131"/>
      <c r="D55" s="134"/>
      <c r="E55" s="61"/>
      <c r="F55" s="68"/>
      <c r="G55" s="61"/>
      <c r="H55" s="68"/>
      <c r="I55" s="61"/>
      <c r="J55" s="69"/>
      <c r="K55" s="61"/>
      <c r="L55" s="68"/>
      <c r="M55" s="61"/>
      <c r="N55" s="68"/>
      <c r="O55" s="61"/>
      <c r="P55" s="68"/>
      <c r="Q55" s="81"/>
      <c r="R55" s="61"/>
      <c r="S55" s="100"/>
      <c r="T55" s="101"/>
      <c r="W55" s="67" t="s">
        <v>1414</v>
      </c>
      <c r="X55" t="s">
        <v>1418</v>
      </c>
    </row>
    <row r="56" spans="2:34" x14ac:dyDescent="0.3">
      <c r="B56" s="131"/>
      <c r="C56" s="131"/>
      <c r="D56" s="134"/>
      <c r="E56" s="61"/>
      <c r="F56" s="68"/>
      <c r="G56" s="61"/>
      <c r="H56" s="68"/>
      <c r="I56" s="61"/>
      <c r="J56" s="69"/>
      <c r="K56" s="61"/>
      <c r="L56" s="68"/>
      <c r="M56" s="61"/>
      <c r="N56" s="68"/>
      <c r="O56" s="61"/>
      <c r="P56" s="68"/>
      <c r="Q56" s="81"/>
      <c r="R56" s="61"/>
      <c r="S56" s="100"/>
      <c r="T56" s="101"/>
    </row>
    <row r="57" spans="2:34" x14ac:dyDescent="0.3">
      <c r="B57" s="131"/>
      <c r="C57" s="131"/>
      <c r="D57" s="134"/>
      <c r="E57" s="61"/>
      <c r="F57" s="68"/>
      <c r="G57" s="61"/>
      <c r="H57" s="68"/>
      <c r="I57" s="61"/>
      <c r="J57" s="69"/>
      <c r="K57" s="61"/>
      <c r="L57" s="68"/>
      <c r="M57" s="61"/>
      <c r="N57" s="68"/>
      <c r="O57" s="61"/>
      <c r="P57" s="68"/>
      <c r="Q57" s="81"/>
      <c r="R57" s="61"/>
      <c r="S57" s="100"/>
      <c r="T57" s="101"/>
      <c r="Y57" s="67" t="s">
        <v>186</v>
      </c>
    </row>
    <row r="58" spans="2:34" x14ac:dyDescent="0.3">
      <c r="B58" s="131"/>
      <c r="C58" s="131"/>
      <c r="D58" s="134"/>
      <c r="E58" s="61"/>
      <c r="F58" s="68"/>
      <c r="G58" s="61"/>
      <c r="H58" s="68"/>
      <c r="I58" s="61"/>
      <c r="J58" s="69"/>
      <c r="K58" s="61"/>
      <c r="L58" s="68"/>
      <c r="M58" s="61"/>
      <c r="N58" s="68"/>
      <c r="O58" s="61"/>
      <c r="P58" s="68"/>
      <c r="Q58" s="81"/>
      <c r="R58" s="61"/>
      <c r="S58" s="100"/>
      <c r="T58" s="101"/>
      <c r="W58" s="67" t="s">
        <v>1428</v>
      </c>
      <c r="X58" s="67" t="s">
        <v>1145</v>
      </c>
      <c r="Y58" t="s">
        <v>1146</v>
      </c>
      <c r="Z58" t="s">
        <v>1147</v>
      </c>
      <c r="AA58" t="s">
        <v>1148</v>
      </c>
      <c r="AB58" t="s">
        <v>1149</v>
      </c>
      <c r="AC58" t="s">
        <v>1150</v>
      </c>
      <c r="AD58" t="s">
        <v>1151</v>
      </c>
      <c r="AE58" t="s">
        <v>1153</v>
      </c>
      <c r="AF58" s="27" t="s">
        <v>1166</v>
      </c>
      <c r="AG58" s="90" t="s">
        <v>1167</v>
      </c>
      <c r="AH58" t="s">
        <v>1152</v>
      </c>
    </row>
    <row r="59" spans="2:34" x14ac:dyDescent="0.3">
      <c r="B59" s="131"/>
      <c r="C59" s="131"/>
      <c r="D59" s="134"/>
      <c r="E59" s="61"/>
      <c r="F59" s="68"/>
      <c r="G59" s="61"/>
      <c r="H59" s="68"/>
      <c r="I59" s="61"/>
      <c r="J59" s="69"/>
      <c r="K59" s="61"/>
      <c r="L59" s="68"/>
      <c r="M59" s="61"/>
      <c r="N59" s="68"/>
      <c r="O59" s="61"/>
      <c r="P59" s="68"/>
      <c r="Q59" s="81"/>
      <c r="R59" s="61"/>
      <c r="S59" s="100"/>
      <c r="T59" s="101"/>
      <c r="W59" t="s">
        <v>1421</v>
      </c>
      <c r="X59" t="s">
        <v>1365</v>
      </c>
      <c r="Y59" s="38">
        <v>365184.62</v>
      </c>
      <c r="Z59" s="84">
        <v>348702.92000000004</v>
      </c>
      <c r="AA59" s="84">
        <v>4131</v>
      </c>
      <c r="AB59" s="84">
        <v>1108.8</v>
      </c>
      <c r="AC59" s="84">
        <v>0</v>
      </c>
      <c r="AD59" s="84">
        <v>0</v>
      </c>
      <c r="AE59" s="84">
        <v>308.02</v>
      </c>
      <c r="AF59" s="27">
        <v>445025.0599999993</v>
      </c>
      <c r="AG59" s="90">
        <v>8.4346378004637756E-4</v>
      </c>
      <c r="AH59" s="85">
        <v>24.617801523356949</v>
      </c>
    </row>
    <row r="60" spans="2:34" x14ac:dyDescent="0.3">
      <c r="B60" s="131"/>
      <c r="C60" s="131"/>
      <c r="D60" s="134"/>
      <c r="E60" s="61"/>
      <c r="F60" s="68"/>
      <c r="G60" s="61"/>
      <c r="H60" s="68"/>
      <c r="I60" s="61"/>
      <c r="J60" s="69"/>
      <c r="K60" s="61"/>
      <c r="L60" s="68"/>
      <c r="M60" s="61"/>
      <c r="N60" s="68"/>
      <c r="O60" s="61"/>
      <c r="P60" s="68"/>
      <c r="Q60" s="81"/>
      <c r="R60" s="61"/>
      <c r="S60" s="100"/>
      <c r="T60" s="101"/>
      <c r="X60" t="s">
        <v>1435</v>
      </c>
      <c r="Y60" s="38">
        <v>366226.82</v>
      </c>
      <c r="Z60" s="84">
        <v>360833.12</v>
      </c>
      <c r="AA60" s="84">
        <v>0</v>
      </c>
      <c r="AB60" s="84">
        <v>5239.8</v>
      </c>
      <c r="AC60" s="84">
        <v>0</v>
      </c>
      <c r="AD60" s="84">
        <v>0</v>
      </c>
      <c r="AE60" s="84">
        <v>599.15</v>
      </c>
      <c r="AF60" s="27">
        <v>486580.35333333234</v>
      </c>
      <c r="AG60" s="90">
        <v>1.63600797997263E-3</v>
      </c>
      <c r="AH60" s="85">
        <v>22.579630527074485</v>
      </c>
    </row>
    <row r="61" spans="2:34" x14ac:dyDescent="0.3">
      <c r="B61" s="131"/>
      <c r="C61" s="131"/>
      <c r="D61" s="134"/>
      <c r="E61" s="61"/>
      <c r="F61" s="68"/>
      <c r="G61" s="61"/>
      <c r="H61" s="68"/>
      <c r="I61" s="61"/>
      <c r="J61" s="69"/>
      <c r="K61" s="61"/>
      <c r="L61" s="68"/>
      <c r="M61" s="61"/>
      <c r="N61" s="68"/>
      <c r="O61" s="61"/>
      <c r="P61" s="68"/>
      <c r="Q61" s="81"/>
      <c r="R61" s="61"/>
      <c r="S61" s="100"/>
      <c r="T61" s="101"/>
      <c r="W61" t="s">
        <v>1422</v>
      </c>
      <c r="X61" t="s">
        <v>1365</v>
      </c>
      <c r="Y61" s="38">
        <v>184403.23</v>
      </c>
      <c r="Z61" s="84">
        <v>159894.98000000004</v>
      </c>
      <c r="AA61" s="84">
        <v>0</v>
      </c>
      <c r="AB61" s="84">
        <v>10739.869999999999</v>
      </c>
      <c r="AC61" s="84">
        <v>8308.380000000001</v>
      </c>
      <c r="AD61" s="84">
        <v>5460</v>
      </c>
      <c r="AE61" s="84">
        <v>13072.619999999999</v>
      </c>
      <c r="AF61" s="27">
        <v>137963.63333333324</v>
      </c>
      <c r="AG61" s="90">
        <v>7.0891491434287773E-2</v>
      </c>
      <c r="AH61" s="85">
        <v>40.098225643521062</v>
      </c>
    </row>
    <row r="62" spans="2:34" x14ac:dyDescent="0.3">
      <c r="B62" s="131"/>
      <c r="C62" s="131"/>
      <c r="D62" s="134"/>
      <c r="E62" s="61"/>
      <c r="F62" s="68"/>
      <c r="G62" s="61"/>
      <c r="H62" s="68"/>
      <c r="I62" s="61"/>
      <c r="J62" s="69"/>
      <c r="K62" s="61"/>
      <c r="L62" s="68"/>
      <c r="M62" s="61"/>
      <c r="N62" s="68"/>
      <c r="O62" s="61"/>
      <c r="P62" s="68"/>
      <c r="Q62" s="81"/>
      <c r="R62" s="61"/>
      <c r="S62" s="100"/>
      <c r="T62" s="101"/>
      <c r="X62" t="s">
        <v>1435</v>
      </c>
      <c r="Y62" s="38">
        <v>161880.85</v>
      </c>
      <c r="Z62" s="84">
        <v>138986.84</v>
      </c>
      <c r="AA62" s="84">
        <v>482.52</v>
      </c>
      <c r="AB62" s="84">
        <v>8643.1099999999988</v>
      </c>
      <c r="AC62" s="84">
        <v>5675.0999999999995</v>
      </c>
      <c r="AD62" s="84">
        <v>8093.2800000000007</v>
      </c>
      <c r="AE62" s="84">
        <v>13635.150000000001</v>
      </c>
      <c r="AF62" s="27">
        <v>138883.49333333335</v>
      </c>
      <c r="AG62" s="90">
        <v>8.4229542901461174E-2</v>
      </c>
      <c r="AH62" s="85">
        <v>34.967622022180315</v>
      </c>
    </row>
    <row r="63" spans="2:34" x14ac:dyDescent="0.3">
      <c r="B63" s="131"/>
      <c r="C63" s="131"/>
      <c r="D63" s="134"/>
      <c r="E63" s="61"/>
      <c r="F63" s="68"/>
      <c r="G63" s="61"/>
      <c r="H63" s="68"/>
      <c r="I63" s="61"/>
      <c r="J63" s="69"/>
      <c r="K63" s="61"/>
      <c r="L63" s="68"/>
      <c r="M63" s="61"/>
      <c r="N63" s="68"/>
      <c r="O63" s="61"/>
      <c r="P63" s="68"/>
      <c r="Q63" s="81"/>
      <c r="R63" s="61"/>
      <c r="S63" s="100"/>
      <c r="T63" s="101"/>
      <c r="W63" t="s">
        <v>1424</v>
      </c>
      <c r="X63" t="s">
        <v>1365</v>
      </c>
      <c r="Y63" s="38">
        <v>30733.09</v>
      </c>
      <c r="Z63" s="84">
        <v>30733.09</v>
      </c>
      <c r="AA63" s="84">
        <v>0</v>
      </c>
      <c r="AB63" s="84">
        <v>0</v>
      </c>
      <c r="AC63" s="84">
        <v>0</v>
      </c>
      <c r="AD63" s="84">
        <v>0</v>
      </c>
      <c r="AE63" s="84">
        <v>0</v>
      </c>
      <c r="AF63" s="27">
        <v>47157.759999999966</v>
      </c>
      <c r="AG63" s="90">
        <v>0</v>
      </c>
      <c r="AH63" s="85">
        <v>19.551240347293863</v>
      </c>
    </row>
    <row r="64" spans="2:34" x14ac:dyDescent="0.3">
      <c r="B64" s="131"/>
      <c r="C64" s="131"/>
      <c r="D64" s="134"/>
      <c r="E64" s="61"/>
      <c r="F64" s="68"/>
      <c r="G64" s="61"/>
      <c r="H64" s="68"/>
      <c r="I64" s="61"/>
      <c r="J64" s="69"/>
      <c r="K64" s="61"/>
      <c r="L64" s="68"/>
      <c r="M64" s="61"/>
      <c r="N64" s="68"/>
      <c r="O64" s="61"/>
      <c r="P64" s="68"/>
      <c r="Q64" s="81"/>
      <c r="R64" s="61"/>
      <c r="S64" s="100"/>
      <c r="T64" s="101"/>
      <c r="X64" t="s">
        <v>1435</v>
      </c>
      <c r="Y64" s="38">
        <v>33477.68</v>
      </c>
      <c r="Z64" s="84">
        <v>33477.68</v>
      </c>
      <c r="AA64" s="84">
        <v>0</v>
      </c>
      <c r="AB64" s="84">
        <v>0</v>
      </c>
      <c r="AC64" s="84">
        <v>0</v>
      </c>
      <c r="AD64" s="84">
        <v>0</v>
      </c>
      <c r="AE64" s="84">
        <v>0</v>
      </c>
      <c r="AF64" s="27">
        <v>37667.923333333303</v>
      </c>
      <c r="AG64" s="90">
        <v>0</v>
      </c>
      <c r="AH64" s="85">
        <v>26.662749393228228</v>
      </c>
    </row>
    <row r="65" spans="2:34" x14ac:dyDescent="0.3">
      <c r="B65" s="132"/>
      <c r="C65" s="131"/>
      <c r="D65" s="134"/>
      <c r="E65" s="61"/>
      <c r="F65" s="68"/>
      <c r="G65" s="61"/>
      <c r="H65" s="68"/>
      <c r="I65" s="61"/>
      <c r="J65" s="69"/>
      <c r="K65" s="61"/>
      <c r="L65" s="68"/>
      <c r="M65" s="61"/>
      <c r="N65" s="68"/>
      <c r="O65" s="61"/>
      <c r="P65" s="68"/>
      <c r="Q65" s="81"/>
      <c r="R65" s="61"/>
      <c r="S65" s="100"/>
      <c r="T65" s="101"/>
      <c r="W65" t="s">
        <v>1376</v>
      </c>
      <c r="X65" t="s">
        <v>1365</v>
      </c>
      <c r="Y65" s="38">
        <v>425606.81</v>
      </c>
      <c r="Z65" s="84">
        <v>422176.14</v>
      </c>
      <c r="AA65" s="84">
        <v>1987.34</v>
      </c>
      <c r="AB65" s="84">
        <v>0</v>
      </c>
      <c r="AC65" s="84">
        <v>103.99</v>
      </c>
      <c r="AD65" s="84">
        <v>1339.33</v>
      </c>
      <c r="AE65" s="84">
        <v>1408.66</v>
      </c>
      <c r="AF65" s="27">
        <v>373444.79999999993</v>
      </c>
      <c r="AG65" s="90">
        <v>3.3097684691652373E-3</v>
      </c>
      <c r="AH65" s="85">
        <v>34.190338973792116</v>
      </c>
    </row>
    <row r="66" spans="2:34" x14ac:dyDescent="0.3">
      <c r="B66" s="132"/>
      <c r="C66" s="131"/>
      <c r="D66" s="134"/>
      <c r="E66" s="61"/>
      <c r="F66" s="68"/>
      <c r="G66" s="61"/>
      <c r="H66" s="68"/>
      <c r="I66" s="61"/>
      <c r="J66" s="69"/>
      <c r="K66" s="61"/>
      <c r="L66" s="68"/>
      <c r="M66" s="61"/>
      <c r="N66" s="68"/>
      <c r="O66" s="61"/>
      <c r="P66" s="68"/>
      <c r="Q66" s="81"/>
      <c r="R66" s="61"/>
      <c r="S66" s="100"/>
      <c r="T66" s="101"/>
      <c r="X66" t="s">
        <v>1435</v>
      </c>
      <c r="Y66" s="38">
        <v>435459.66</v>
      </c>
      <c r="Z66" s="84">
        <v>434016.74</v>
      </c>
      <c r="AA66" s="84">
        <v>0</v>
      </c>
      <c r="AB66" s="84">
        <v>0</v>
      </c>
      <c r="AC66" s="84">
        <v>103.59</v>
      </c>
      <c r="AD66" s="84">
        <v>1339.3400000000001</v>
      </c>
      <c r="AE66" s="84">
        <v>1414.16</v>
      </c>
      <c r="AF66" s="27">
        <v>369047.03333333292</v>
      </c>
      <c r="AG66" s="90">
        <v>3.2475109175440042E-3</v>
      </c>
      <c r="AH66" s="85">
        <v>35.398712413440386</v>
      </c>
    </row>
    <row r="67" spans="2:34" x14ac:dyDescent="0.3">
      <c r="B67" s="131"/>
      <c r="C67" s="131"/>
      <c r="D67" s="134"/>
      <c r="E67" s="61"/>
      <c r="F67" s="68"/>
      <c r="G67" s="61"/>
      <c r="H67" s="68"/>
      <c r="I67" s="61"/>
      <c r="J67" s="69"/>
      <c r="K67" s="61"/>
      <c r="L67" s="68"/>
      <c r="M67" s="61"/>
      <c r="N67" s="68"/>
      <c r="O67" s="61"/>
      <c r="P67" s="68"/>
      <c r="Q67" s="81"/>
      <c r="R67" s="61"/>
      <c r="S67" s="100"/>
      <c r="T67" s="101"/>
    </row>
    <row r="68" spans="2:34" x14ac:dyDescent="0.3">
      <c r="B68" s="131"/>
      <c r="C68" s="131"/>
      <c r="D68" s="134"/>
      <c r="E68" s="61"/>
      <c r="F68" s="68"/>
      <c r="G68" s="61"/>
      <c r="H68" s="68"/>
      <c r="I68" s="61"/>
      <c r="J68" s="69"/>
      <c r="K68" s="61"/>
      <c r="L68" s="68"/>
      <c r="M68" s="61"/>
      <c r="N68" s="68"/>
      <c r="O68" s="61"/>
      <c r="P68" s="68"/>
      <c r="Q68" s="81"/>
      <c r="R68" s="61"/>
      <c r="S68" s="100"/>
      <c r="T68" s="101"/>
    </row>
    <row r="69" spans="2:34" x14ac:dyDescent="0.3">
      <c r="B69" s="131"/>
      <c r="C69" s="131"/>
      <c r="D69" s="134"/>
      <c r="E69" s="61"/>
      <c r="F69" s="68"/>
      <c r="G69" s="61"/>
      <c r="H69" s="68"/>
      <c r="I69" s="61"/>
      <c r="J69" s="69"/>
      <c r="K69" s="61"/>
      <c r="L69" s="68"/>
      <c r="M69" s="61"/>
      <c r="N69" s="68"/>
      <c r="O69" s="61"/>
      <c r="P69" s="68"/>
      <c r="Q69" s="81"/>
      <c r="R69" s="61"/>
      <c r="S69" s="100"/>
      <c r="T69" s="101"/>
    </row>
    <row r="70" spans="2:34" x14ac:dyDescent="0.3">
      <c r="B70" s="131"/>
      <c r="C70" s="131"/>
      <c r="D70" s="134"/>
      <c r="E70" s="61"/>
      <c r="F70" s="68"/>
      <c r="G70" s="61"/>
      <c r="H70" s="68"/>
      <c r="I70" s="61"/>
      <c r="J70" s="69"/>
      <c r="K70" s="61"/>
      <c r="L70" s="68"/>
      <c r="M70" s="61"/>
      <c r="N70" s="68"/>
      <c r="O70" s="61"/>
      <c r="P70" s="68"/>
      <c r="Q70" s="81"/>
      <c r="R70" s="61"/>
      <c r="S70" s="100"/>
      <c r="T70" s="101"/>
      <c r="W70" s="67" t="s">
        <v>1414</v>
      </c>
      <c r="X70" t="s">
        <v>1419</v>
      </c>
    </row>
    <row r="71" spans="2:34" x14ac:dyDescent="0.3">
      <c r="B71" s="131"/>
      <c r="C71" s="131"/>
      <c r="D71" s="134"/>
      <c r="E71" s="61"/>
      <c r="F71" s="68"/>
      <c r="G71" s="61"/>
      <c r="H71" s="68"/>
      <c r="I71" s="61"/>
      <c r="J71" s="69"/>
      <c r="K71" s="61"/>
      <c r="L71" s="68"/>
      <c r="M71" s="61"/>
      <c r="N71" s="68"/>
      <c r="O71" s="61"/>
      <c r="P71" s="68"/>
      <c r="Q71" s="81"/>
      <c r="R71" s="61"/>
      <c r="S71" s="100"/>
      <c r="T71" s="101"/>
    </row>
    <row r="72" spans="2:34" x14ac:dyDescent="0.3">
      <c r="B72" s="131"/>
      <c r="C72" s="131"/>
      <c r="D72" s="134"/>
      <c r="E72" s="61"/>
      <c r="F72" s="68"/>
      <c r="G72" s="61"/>
      <c r="H72" s="68"/>
      <c r="I72" s="61"/>
      <c r="J72" s="69"/>
      <c r="K72" s="61"/>
      <c r="L72" s="68"/>
      <c r="M72" s="61"/>
      <c r="N72" s="68"/>
      <c r="O72" s="61"/>
      <c r="P72" s="68"/>
      <c r="Q72" s="81"/>
      <c r="R72" s="61"/>
      <c r="S72" s="100"/>
      <c r="T72" s="101"/>
      <c r="Y72" s="67" t="s">
        <v>186</v>
      </c>
    </row>
    <row r="73" spans="2:34" ht="13.5" thickBot="1" x14ac:dyDescent="0.35">
      <c r="B73" s="132"/>
      <c r="C73" s="131"/>
      <c r="D73" s="134"/>
      <c r="E73" s="61"/>
      <c r="F73" s="68"/>
      <c r="G73" s="61"/>
      <c r="H73" s="68"/>
      <c r="I73" s="61"/>
      <c r="J73" s="69"/>
      <c r="K73" s="61"/>
      <c r="L73" s="68"/>
      <c r="M73" s="61"/>
      <c r="N73" s="68"/>
      <c r="O73" s="61"/>
      <c r="P73" s="68"/>
      <c r="Q73" s="81"/>
      <c r="R73" s="61"/>
      <c r="S73" s="100"/>
      <c r="T73" s="101"/>
      <c r="W73" s="67" t="s">
        <v>1428</v>
      </c>
      <c r="X73" s="67" t="s">
        <v>1145</v>
      </c>
      <c r="Y73" t="s">
        <v>1146</v>
      </c>
      <c r="Z73" t="s">
        <v>1147</v>
      </c>
      <c r="AA73" t="s">
        <v>1148</v>
      </c>
      <c r="AB73" t="s">
        <v>1149</v>
      </c>
      <c r="AC73" t="s">
        <v>1150</v>
      </c>
      <c r="AD73" t="s">
        <v>1151</v>
      </c>
      <c r="AE73" t="s">
        <v>1153</v>
      </c>
      <c r="AF73" s="27" t="s">
        <v>1166</v>
      </c>
      <c r="AG73" s="90" t="s">
        <v>1167</v>
      </c>
      <c r="AH73" t="s">
        <v>1152</v>
      </c>
    </row>
    <row r="74" spans="2:34" ht="13.5" thickTop="1" x14ac:dyDescent="0.3">
      <c r="B74" s="131"/>
      <c r="C74" s="131"/>
      <c r="D74" s="133"/>
      <c r="E74" s="61"/>
      <c r="F74" s="68"/>
      <c r="G74" s="61"/>
      <c r="H74" s="68"/>
      <c r="I74" s="61"/>
      <c r="J74" s="69"/>
      <c r="K74" s="61"/>
      <c r="L74" s="68"/>
      <c r="M74" s="61"/>
      <c r="N74" s="68"/>
      <c r="O74" s="61"/>
      <c r="P74" s="68"/>
      <c r="Q74" s="79"/>
      <c r="R74" s="58"/>
      <c r="S74" s="98"/>
      <c r="T74" s="99"/>
      <c r="W74" t="s">
        <v>1426</v>
      </c>
      <c r="X74" t="s">
        <v>1365</v>
      </c>
      <c r="Y74" s="38">
        <v>233438.85000000003</v>
      </c>
      <c r="Z74" s="84">
        <v>207493.26000000004</v>
      </c>
      <c r="AA74" s="84">
        <v>13209.079999999998</v>
      </c>
      <c r="AB74" s="84">
        <v>1116.75</v>
      </c>
      <c r="AC74" s="84">
        <v>7499.14</v>
      </c>
      <c r="AD74" s="84">
        <v>4120.62</v>
      </c>
      <c r="AE74" s="84">
        <v>7856.29</v>
      </c>
      <c r="AF74" s="27">
        <v>175979.31999999992</v>
      </c>
      <c r="AG74" s="90">
        <v>3.365459519698627E-2</v>
      </c>
      <c r="AH74" s="85">
        <v>39.795389026392442</v>
      </c>
    </row>
    <row r="75" spans="2:34" x14ac:dyDescent="0.3">
      <c r="B75" s="131"/>
      <c r="C75" s="131"/>
      <c r="D75" s="134"/>
      <c r="E75" s="61"/>
      <c r="F75" s="68"/>
      <c r="G75" s="61"/>
      <c r="H75" s="68"/>
      <c r="I75" s="61"/>
      <c r="J75" s="69"/>
      <c r="K75" s="61"/>
      <c r="L75" s="68"/>
      <c r="M75" s="61"/>
      <c r="N75" s="68"/>
      <c r="O75" s="61"/>
      <c r="P75" s="68"/>
      <c r="Q75" s="81"/>
      <c r="R75" s="61"/>
      <c r="S75" s="100"/>
      <c r="T75" s="101"/>
      <c r="X75" t="s">
        <v>1435</v>
      </c>
      <c r="Y75" s="38">
        <v>271897.34000000003</v>
      </c>
      <c r="Z75" s="84">
        <v>239643.75000000003</v>
      </c>
      <c r="AA75" s="84">
        <v>13312.65</v>
      </c>
      <c r="AB75" s="84">
        <v>7469.4400000000005</v>
      </c>
      <c r="AC75" s="84">
        <v>7350.88</v>
      </c>
      <c r="AD75" s="84">
        <v>4120.62</v>
      </c>
      <c r="AE75" s="84">
        <v>8594.590000000002</v>
      </c>
      <c r="AF75" s="27">
        <v>162216.94999999998</v>
      </c>
      <c r="AG75" s="90">
        <v>3.160968768580083E-2</v>
      </c>
      <c r="AH75" s="85">
        <v>50.284019025138875</v>
      </c>
    </row>
    <row r="76" spans="2:34" x14ac:dyDescent="0.3">
      <c r="B76" s="131"/>
      <c r="C76" s="131"/>
      <c r="D76" s="134"/>
      <c r="E76" s="61"/>
      <c r="F76" s="68"/>
      <c r="G76" s="61"/>
      <c r="H76" s="68"/>
      <c r="I76" s="61"/>
      <c r="J76" s="69"/>
      <c r="K76" s="61"/>
      <c r="L76" s="68"/>
      <c r="M76" s="61"/>
      <c r="N76" s="68"/>
      <c r="O76" s="61"/>
      <c r="P76" s="68"/>
      <c r="Q76" s="81"/>
      <c r="R76" s="61"/>
      <c r="S76" s="100"/>
      <c r="T76" s="101"/>
    </row>
    <row r="77" spans="2:34" x14ac:dyDescent="0.3">
      <c r="B77" s="131"/>
      <c r="C77" s="131"/>
      <c r="D77" s="134"/>
      <c r="E77" s="61"/>
      <c r="F77" s="68"/>
      <c r="G77" s="61"/>
      <c r="H77" s="68"/>
      <c r="I77" s="61"/>
      <c r="J77" s="69"/>
      <c r="K77" s="61"/>
      <c r="L77" s="68"/>
      <c r="M77" s="61"/>
      <c r="N77" s="68"/>
      <c r="O77" s="61"/>
      <c r="P77" s="68"/>
      <c r="Q77" s="81"/>
      <c r="R77" s="61"/>
      <c r="S77" s="100"/>
      <c r="T77" s="101"/>
    </row>
    <row r="78" spans="2:34" x14ac:dyDescent="0.3">
      <c r="B78" s="131"/>
      <c r="C78" s="131"/>
      <c r="D78" s="134"/>
      <c r="E78" s="61"/>
      <c r="F78" s="68"/>
      <c r="G78" s="61"/>
      <c r="H78" s="68"/>
      <c r="I78" s="61"/>
      <c r="J78" s="69"/>
      <c r="K78" s="61"/>
      <c r="L78" s="68"/>
      <c r="M78" s="61"/>
      <c r="N78" s="68"/>
      <c r="O78" s="61"/>
      <c r="P78" s="68"/>
      <c r="Q78" s="81"/>
      <c r="R78" s="61"/>
      <c r="S78" s="100"/>
      <c r="T78" s="101"/>
    </row>
    <row r="79" spans="2:34" x14ac:dyDescent="0.3">
      <c r="B79" s="131"/>
      <c r="C79" s="131"/>
      <c r="D79" s="134"/>
      <c r="E79" s="61"/>
      <c r="F79" s="68"/>
      <c r="G79" s="61"/>
      <c r="H79" s="68"/>
      <c r="I79" s="61"/>
      <c r="J79" s="69"/>
      <c r="K79" s="61"/>
      <c r="L79" s="68"/>
      <c r="M79" s="61"/>
      <c r="N79" s="68"/>
      <c r="O79" s="61"/>
      <c r="P79" s="68"/>
      <c r="Q79" s="81"/>
      <c r="R79" s="61"/>
      <c r="S79" s="100"/>
      <c r="T79" s="101"/>
    </row>
    <row r="80" spans="2:34" x14ac:dyDescent="0.3">
      <c r="B80" s="131"/>
      <c r="C80" s="131"/>
      <c r="D80" s="134"/>
      <c r="E80" s="61"/>
      <c r="F80" s="68"/>
      <c r="G80" s="61"/>
      <c r="H80" s="68"/>
      <c r="I80" s="61"/>
      <c r="J80" s="69"/>
      <c r="K80" s="61"/>
      <c r="L80" s="68"/>
      <c r="M80" s="61"/>
      <c r="N80" s="68"/>
      <c r="O80" s="61"/>
      <c r="P80" s="68"/>
      <c r="Q80" s="81"/>
      <c r="R80" s="61"/>
      <c r="S80" s="100"/>
      <c r="T80" s="101"/>
      <c r="W80" s="67" t="s">
        <v>1414</v>
      </c>
      <c r="X80" t="s">
        <v>1420</v>
      </c>
    </row>
    <row r="81" spans="2:34" x14ac:dyDescent="0.3">
      <c r="B81" s="131"/>
      <c r="C81" s="131"/>
      <c r="D81" s="134"/>
      <c r="E81" s="61"/>
      <c r="F81" s="68"/>
      <c r="G81" s="61"/>
      <c r="H81" s="68"/>
      <c r="I81" s="61"/>
      <c r="J81" s="69"/>
      <c r="K81" s="61"/>
      <c r="L81" s="68"/>
      <c r="M81" s="61"/>
      <c r="N81" s="68"/>
      <c r="O81" s="61"/>
      <c r="P81" s="68"/>
      <c r="Q81" s="81"/>
      <c r="R81" s="61"/>
      <c r="S81" s="100"/>
      <c r="T81" s="101"/>
    </row>
    <row r="82" spans="2:34" x14ac:dyDescent="0.3">
      <c r="B82" s="131"/>
      <c r="C82" s="131"/>
      <c r="D82" s="134"/>
      <c r="E82" s="61"/>
      <c r="F82" s="68"/>
      <c r="G82" s="61"/>
      <c r="H82" s="68"/>
      <c r="I82" s="61"/>
      <c r="J82" s="69"/>
      <c r="K82" s="61"/>
      <c r="L82" s="68"/>
      <c r="M82" s="61"/>
      <c r="N82" s="68"/>
      <c r="O82" s="61"/>
      <c r="P82" s="68"/>
      <c r="Q82" s="81"/>
      <c r="R82" s="61"/>
      <c r="S82" s="100"/>
      <c r="T82" s="101"/>
      <c r="Y82" s="67" t="s">
        <v>186</v>
      </c>
    </row>
    <row r="83" spans="2:34" x14ac:dyDescent="0.3">
      <c r="B83" s="131"/>
      <c r="C83" s="131"/>
      <c r="D83" s="134"/>
      <c r="E83" s="61"/>
      <c r="F83" s="68"/>
      <c r="G83" s="61"/>
      <c r="H83" s="68"/>
      <c r="I83" s="61"/>
      <c r="J83" s="69"/>
      <c r="K83" s="61"/>
      <c r="L83" s="68"/>
      <c r="M83" s="61"/>
      <c r="N83" s="68"/>
      <c r="O83" s="61"/>
      <c r="P83" s="68"/>
      <c r="Q83" s="81"/>
      <c r="R83" s="61"/>
      <c r="S83" s="100"/>
      <c r="T83" s="101"/>
      <c r="W83" s="67" t="s">
        <v>1428</v>
      </c>
      <c r="X83" s="67" t="s">
        <v>1145</v>
      </c>
      <c r="Y83" t="s">
        <v>1146</v>
      </c>
      <c r="Z83" t="s">
        <v>1147</v>
      </c>
      <c r="AA83" t="s">
        <v>1148</v>
      </c>
      <c r="AB83" t="s">
        <v>1149</v>
      </c>
      <c r="AC83" t="s">
        <v>1150</v>
      </c>
      <c r="AD83" t="s">
        <v>1151</v>
      </c>
      <c r="AE83" t="s">
        <v>1153</v>
      </c>
      <c r="AF83" s="27" t="s">
        <v>1166</v>
      </c>
      <c r="AG83" s="90" t="s">
        <v>1167</v>
      </c>
      <c r="AH83" t="s">
        <v>1152</v>
      </c>
    </row>
    <row r="84" spans="2:34" x14ac:dyDescent="0.3">
      <c r="B84" s="131"/>
      <c r="C84" s="131"/>
      <c r="D84" s="134"/>
      <c r="E84" s="61"/>
      <c r="F84" s="68"/>
      <c r="G84" s="61"/>
      <c r="H84" s="68"/>
      <c r="I84" s="61"/>
      <c r="J84" s="69"/>
      <c r="K84" s="61"/>
      <c r="L84" s="68"/>
      <c r="M84" s="61"/>
      <c r="N84" s="68"/>
      <c r="O84" s="61"/>
      <c r="P84" s="68"/>
      <c r="Q84" s="81"/>
      <c r="R84" s="61"/>
      <c r="S84" s="100"/>
      <c r="T84" s="101"/>
      <c r="W84" t="s">
        <v>1427</v>
      </c>
      <c r="X84" t="s">
        <v>1365</v>
      </c>
      <c r="Y84" s="38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27">
        <v>0</v>
      </c>
      <c r="AG84" s="90">
        <v>0</v>
      </c>
      <c r="AH84" s="85">
        <v>0</v>
      </c>
    </row>
    <row r="85" spans="2:34" x14ac:dyDescent="0.3">
      <c r="B85" s="131"/>
      <c r="C85" s="131"/>
      <c r="D85" s="134"/>
      <c r="E85" s="61"/>
      <c r="F85" s="68"/>
      <c r="G85" s="61"/>
      <c r="H85" s="68"/>
      <c r="I85" s="61"/>
      <c r="J85" s="69"/>
      <c r="K85" s="61"/>
      <c r="L85" s="68"/>
      <c r="M85" s="61"/>
      <c r="N85" s="68"/>
      <c r="O85" s="61"/>
      <c r="P85" s="68"/>
      <c r="Q85" s="81"/>
      <c r="R85" s="61"/>
      <c r="S85" s="100"/>
      <c r="T85" s="101"/>
      <c r="X85" t="s">
        <v>1435</v>
      </c>
      <c r="Y85" s="38">
        <v>0</v>
      </c>
      <c r="Z85" s="84">
        <v>0</v>
      </c>
      <c r="AA85" s="84">
        <v>0</v>
      </c>
      <c r="AB85" s="84">
        <v>0</v>
      </c>
      <c r="AC85" s="84">
        <v>0</v>
      </c>
      <c r="AD85" s="84">
        <v>0</v>
      </c>
      <c r="AE85" s="84">
        <v>0</v>
      </c>
      <c r="AF85" s="27">
        <v>0</v>
      </c>
      <c r="AG85" s="90">
        <v>0</v>
      </c>
      <c r="AH85" s="85">
        <v>0</v>
      </c>
    </row>
    <row r="86" spans="2:34" x14ac:dyDescent="0.3">
      <c r="B86" s="131"/>
      <c r="C86" s="131"/>
      <c r="D86" s="134"/>
      <c r="E86" s="61"/>
      <c r="F86" s="68"/>
      <c r="G86" s="61"/>
      <c r="H86" s="68"/>
      <c r="I86" s="61"/>
      <c r="J86" s="69"/>
      <c r="K86" s="61"/>
      <c r="L86" s="68"/>
      <c r="M86" s="61"/>
      <c r="N86" s="68"/>
      <c r="O86" s="61"/>
      <c r="P86" s="68"/>
      <c r="Q86" s="81"/>
      <c r="R86" s="61"/>
      <c r="S86" s="100"/>
      <c r="T86" s="101"/>
    </row>
    <row r="87" spans="2:34" x14ac:dyDescent="0.3">
      <c r="B87" s="131"/>
      <c r="C87" s="131"/>
      <c r="D87" s="134"/>
      <c r="E87" s="61"/>
      <c r="F87" s="68"/>
      <c r="G87" s="61"/>
      <c r="H87" s="68"/>
      <c r="I87" s="61"/>
      <c r="J87" s="69"/>
      <c r="K87" s="61"/>
      <c r="L87" s="68"/>
      <c r="M87" s="61"/>
      <c r="N87" s="68"/>
      <c r="O87" s="61"/>
      <c r="P87" s="68"/>
      <c r="Q87" s="81"/>
      <c r="R87" s="61"/>
      <c r="S87" s="100"/>
      <c r="T87" s="101"/>
    </row>
    <row r="88" spans="2:34" x14ac:dyDescent="0.3">
      <c r="B88" s="131"/>
      <c r="C88" s="131"/>
      <c r="D88" s="134"/>
      <c r="E88" s="61"/>
      <c r="F88" s="68"/>
      <c r="G88" s="61"/>
      <c r="H88" s="68"/>
      <c r="I88" s="61"/>
      <c r="J88" s="69"/>
      <c r="K88" s="61"/>
      <c r="L88" s="68"/>
      <c r="M88" s="61"/>
      <c r="N88" s="68"/>
      <c r="O88" s="61"/>
      <c r="P88" s="68"/>
      <c r="Q88" s="81"/>
      <c r="R88" s="61"/>
      <c r="S88" s="100"/>
      <c r="T88" s="101"/>
    </row>
    <row r="89" spans="2:34" x14ac:dyDescent="0.3">
      <c r="B89" s="131"/>
      <c r="C89" s="131"/>
      <c r="D89" s="134"/>
      <c r="E89" s="61"/>
      <c r="F89" s="68"/>
      <c r="G89" s="61"/>
      <c r="H89" s="68"/>
      <c r="I89" s="61"/>
      <c r="J89" s="69"/>
      <c r="K89" s="61"/>
      <c r="L89" s="68"/>
      <c r="M89" s="61"/>
      <c r="N89" s="68"/>
      <c r="O89" s="61"/>
      <c r="P89" s="68"/>
      <c r="Q89" s="81"/>
      <c r="R89" s="61"/>
      <c r="S89" s="100"/>
      <c r="T89" s="101"/>
    </row>
    <row r="90" spans="2:34" x14ac:dyDescent="0.3">
      <c r="B90" s="132"/>
      <c r="C90" s="131"/>
      <c r="D90" s="134"/>
      <c r="E90" s="61"/>
      <c r="F90" s="68"/>
      <c r="G90" s="61"/>
      <c r="H90" s="68"/>
      <c r="I90" s="61"/>
      <c r="J90" s="69"/>
      <c r="K90" s="61"/>
      <c r="L90" s="68"/>
      <c r="M90" s="61"/>
      <c r="N90" s="68"/>
      <c r="O90" s="61"/>
      <c r="P90" s="68"/>
      <c r="Q90" s="81"/>
      <c r="R90" s="61"/>
      <c r="S90" s="100"/>
      <c r="T90" s="101"/>
    </row>
    <row r="91" spans="2:34" x14ac:dyDescent="0.3">
      <c r="B91" s="132"/>
      <c r="C91" s="131"/>
      <c r="D91" s="134"/>
      <c r="E91" s="61"/>
      <c r="F91" s="68"/>
      <c r="G91" s="61"/>
      <c r="H91" s="68"/>
      <c r="I91" s="61"/>
      <c r="J91" s="69"/>
      <c r="K91" s="61"/>
      <c r="L91" s="68"/>
      <c r="M91" s="61"/>
      <c r="N91" s="68"/>
      <c r="O91" s="61"/>
      <c r="P91" s="68"/>
      <c r="Q91" s="81"/>
      <c r="R91" s="61"/>
      <c r="S91" s="100"/>
      <c r="T91" s="101"/>
    </row>
    <row r="92" spans="2:34" x14ac:dyDescent="0.3">
      <c r="B92" s="131"/>
      <c r="C92" s="131"/>
      <c r="D92" s="134"/>
      <c r="E92" s="61"/>
      <c r="F92" s="68"/>
      <c r="G92" s="61"/>
      <c r="H92" s="68"/>
      <c r="I92" s="61"/>
      <c r="J92" s="69"/>
      <c r="K92" s="61"/>
      <c r="L92" s="68"/>
      <c r="M92" s="61"/>
      <c r="N92" s="68"/>
      <c r="O92" s="61"/>
      <c r="P92" s="68"/>
      <c r="Q92" s="81"/>
      <c r="R92" s="61"/>
      <c r="S92" s="100"/>
      <c r="T92" s="101"/>
    </row>
    <row r="93" spans="2:34" x14ac:dyDescent="0.3">
      <c r="B93" s="131"/>
      <c r="C93" s="131"/>
      <c r="D93" s="134"/>
      <c r="E93" s="61"/>
      <c r="F93" s="68"/>
      <c r="G93" s="61"/>
      <c r="H93" s="68"/>
      <c r="I93" s="61"/>
      <c r="J93" s="69"/>
      <c r="K93" s="61"/>
      <c r="L93" s="68"/>
      <c r="M93" s="61"/>
      <c r="N93" s="68"/>
      <c r="O93" s="61"/>
      <c r="P93" s="68"/>
      <c r="Q93" s="81"/>
      <c r="R93" s="61"/>
      <c r="S93" s="100"/>
      <c r="T93" s="101"/>
    </row>
    <row r="94" spans="2:34" x14ac:dyDescent="0.3">
      <c r="B94" s="131"/>
      <c r="C94" s="131"/>
      <c r="D94" s="134"/>
      <c r="E94" s="61"/>
      <c r="F94" s="68"/>
      <c r="G94" s="61"/>
      <c r="H94" s="68"/>
      <c r="I94" s="61"/>
      <c r="J94" s="69"/>
      <c r="K94" s="61"/>
      <c r="L94" s="68"/>
      <c r="M94" s="61"/>
      <c r="N94" s="68"/>
      <c r="O94" s="61"/>
      <c r="P94" s="68"/>
      <c r="Q94" s="81"/>
      <c r="R94" s="61"/>
      <c r="S94" s="100"/>
      <c r="T94" s="101"/>
    </row>
    <row r="95" spans="2:34" x14ac:dyDescent="0.3">
      <c r="B95" s="131"/>
      <c r="C95" s="131"/>
      <c r="D95" s="134"/>
      <c r="E95" s="61"/>
      <c r="F95" s="68"/>
      <c r="G95" s="61"/>
      <c r="H95" s="68"/>
      <c r="I95" s="61"/>
      <c r="J95" s="69"/>
      <c r="K95" s="61"/>
      <c r="L95" s="68"/>
      <c r="M95" s="61"/>
      <c r="N95" s="68"/>
      <c r="O95" s="61"/>
      <c r="P95" s="68"/>
      <c r="Q95" s="81"/>
      <c r="R95" s="61"/>
      <c r="S95" s="100"/>
      <c r="T95" s="101"/>
    </row>
    <row r="96" spans="2:34" x14ac:dyDescent="0.3">
      <c r="B96" s="131"/>
      <c r="C96" s="131"/>
      <c r="D96" s="134"/>
      <c r="E96" s="61"/>
      <c r="F96" s="68"/>
      <c r="G96" s="61"/>
      <c r="H96" s="68"/>
      <c r="I96" s="61"/>
      <c r="J96" s="69"/>
      <c r="K96" s="61"/>
      <c r="L96" s="68"/>
      <c r="M96" s="61"/>
      <c r="N96" s="68"/>
      <c r="O96" s="61"/>
      <c r="P96" s="68"/>
      <c r="Q96" s="81"/>
      <c r="R96" s="61"/>
      <c r="S96" s="100"/>
      <c r="T96" s="101"/>
    </row>
    <row r="97" spans="2:20" x14ac:dyDescent="0.3">
      <c r="B97" s="131"/>
      <c r="C97" s="131"/>
      <c r="D97" s="134"/>
      <c r="E97" s="61"/>
      <c r="F97" s="68"/>
      <c r="G97" s="61"/>
      <c r="H97" s="68"/>
      <c r="I97" s="61"/>
      <c r="J97" s="69"/>
      <c r="K97" s="61"/>
      <c r="L97" s="68"/>
      <c r="M97" s="61"/>
      <c r="N97" s="68"/>
      <c r="O97" s="61"/>
      <c r="P97" s="68"/>
      <c r="Q97" s="81"/>
      <c r="R97" s="61"/>
      <c r="S97" s="100"/>
      <c r="T97" s="101"/>
    </row>
    <row r="98" spans="2:20" ht="13.5" thickBot="1" x14ac:dyDescent="0.35">
      <c r="B98" s="132"/>
      <c r="C98" s="131"/>
      <c r="D98" s="134"/>
      <c r="E98" s="61"/>
      <c r="F98" s="68"/>
      <c r="G98" s="61"/>
      <c r="H98" s="68"/>
      <c r="I98" s="61"/>
      <c r="J98" s="69"/>
      <c r="K98" s="61"/>
      <c r="L98" s="68"/>
      <c r="M98" s="61"/>
      <c r="N98" s="68"/>
      <c r="O98" s="61"/>
      <c r="P98" s="68"/>
      <c r="Q98" s="81"/>
      <c r="R98" s="61"/>
      <c r="S98" s="100"/>
      <c r="T98" s="101"/>
    </row>
    <row r="99" spans="2:20" ht="13.5" thickTop="1" x14ac:dyDescent="0.3">
      <c r="B99" s="131"/>
      <c r="C99" s="131"/>
      <c r="D99" s="133"/>
      <c r="E99" s="61"/>
      <c r="F99" s="68"/>
      <c r="G99" s="61"/>
      <c r="H99" s="68"/>
      <c r="I99" s="61"/>
      <c r="J99" s="69"/>
      <c r="K99" s="61"/>
      <c r="L99" s="68"/>
      <c r="M99" s="61"/>
      <c r="N99" s="68"/>
      <c r="O99" s="61"/>
      <c r="P99" s="68"/>
      <c r="Q99" s="79"/>
      <c r="R99" s="58"/>
      <c r="S99" s="98"/>
      <c r="T99" s="99"/>
    </row>
    <row r="100" spans="2:20" x14ac:dyDescent="0.3">
      <c r="B100" s="131"/>
      <c r="C100" s="131"/>
      <c r="D100" s="134"/>
      <c r="E100" s="61"/>
      <c r="F100" s="68"/>
      <c r="G100" s="61"/>
      <c r="H100" s="68"/>
      <c r="I100" s="61"/>
      <c r="J100" s="69"/>
      <c r="K100" s="61"/>
      <c r="L100" s="68"/>
      <c r="M100" s="61"/>
      <c r="N100" s="68"/>
      <c r="O100" s="61"/>
      <c r="P100" s="68"/>
      <c r="Q100" s="81"/>
      <c r="R100" s="61"/>
      <c r="S100" s="100"/>
      <c r="T100" s="101"/>
    </row>
    <row r="101" spans="2:20" x14ac:dyDescent="0.3">
      <c r="B101" s="131"/>
      <c r="C101" s="131"/>
      <c r="D101" s="134"/>
      <c r="E101" s="61"/>
      <c r="F101" s="68"/>
      <c r="G101" s="61"/>
      <c r="H101" s="68"/>
      <c r="I101" s="61"/>
      <c r="J101" s="69"/>
      <c r="K101" s="61"/>
      <c r="L101" s="68"/>
      <c r="M101" s="61"/>
      <c r="N101" s="68"/>
      <c r="O101" s="61"/>
      <c r="P101" s="68"/>
      <c r="Q101" s="81"/>
      <c r="R101" s="61"/>
      <c r="S101" s="100"/>
      <c r="T101" s="101"/>
    </row>
    <row r="102" spans="2:20" x14ac:dyDescent="0.3">
      <c r="B102" s="131"/>
      <c r="C102" s="131"/>
      <c r="D102" s="134"/>
      <c r="E102" s="61"/>
      <c r="F102" s="68"/>
      <c r="G102" s="61"/>
      <c r="H102" s="68"/>
      <c r="I102" s="61"/>
      <c r="J102" s="69"/>
      <c r="K102" s="61"/>
      <c r="L102" s="68"/>
      <c r="M102" s="61"/>
      <c r="N102" s="68"/>
      <c r="O102" s="61"/>
      <c r="P102" s="68"/>
      <c r="Q102" s="81"/>
      <c r="R102" s="61"/>
      <c r="S102" s="100"/>
      <c r="T102" s="101"/>
    </row>
    <row r="103" spans="2:20" x14ac:dyDescent="0.3">
      <c r="B103" s="131"/>
      <c r="C103" s="131"/>
      <c r="D103" s="134"/>
      <c r="E103" s="61"/>
      <c r="F103" s="68"/>
      <c r="G103" s="61"/>
      <c r="H103" s="68"/>
      <c r="I103" s="61"/>
      <c r="J103" s="69"/>
      <c r="K103" s="61"/>
      <c r="L103" s="68"/>
      <c r="M103" s="61"/>
      <c r="N103" s="68"/>
      <c r="O103" s="61"/>
      <c r="P103" s="68"/>
      <c r="Q103" s="81"/>
      <c r="R103" s="61"/>
      <c r="S103" s="100"/>
      <c r="T103" s="101"/>
    </row>
    <row r="104" spans="2:20" x14ac:dyDescent="0.3">
      <c r="B104" s="131"/>
      <c r="C104" s="131"/>
      <c r="D104" s="134"/>
      <c r="E104" s="61"/>
      <c r="F104" s="68"/>
      <c r="G104" s="61"/>
      <c r="H104" s="68"/>
      <c r="I104" s="61"/>
      <c r="J104" s="69"/>
      <c r="K104" s="61"/>
      <c r="L104" s="68"/>
      <c r="M104" s="61"/>
      <c r="N104" s="68"/>
      <c r="O104" s="61"/>
      <c r="P104" s="68"/>
      <c r="Q104" s="81"/>
      <c r="R104" s="61"/>
      <c r="S104" s="100"/>
      <c r="T104" s="101"/>
    </row>
    <row r="105" spans="2:20" x14ac:dyDescent="0.3">
      <c r="B105" s="131"/>
      <c r="C105" s="131"/>
      <c r="D105" s="134"/>
      <c r="E105" s="61"/>
      <c r="F105" s="68"/>
      <c r="G105" s="61"/>
      <c r="H105" s="68"/>
      <c r="I105" s="61"/>
      <c r="J105" s="69"/>
      <c r="K105" s="61"/>
      <c r="L105" s="68"/>
      <c r="M105" s="61"/>
      <c r="N105" s="68"/>
      <c r="O105" s="61"/>
      <c r="P105" s="68"/>
      <c r="Q105" s="81"/>
      <c r="R105" s="61"/>
      <c r="S105" s="100"/>
      <c r="T105" s="101"/>
    </row>
    <row r="106" spans="2:20" x14ac:dyDescent="0.3">
      <c r="B106" s="131"/>
      <c r="C106" s="131"/>
      <c r="D106" s="134"/>
      <c r="E106" s="61"/>
      <c r="F106" s="68"/>
      <c r="G106" s="61"/>
      <c r="H106" s="68"/>
      <c r="I106" s="61"/>
      <c r="J106" s="69"/>
      <c r="K106" s="61"/>
      <c r="L106" s="68"/>
      <c r="M106" s="61"/>
      <c r="N106" s="68"/>
      <c r="O106" s="61"/>
      <c r="P106" s="68"/>
      <c r="Q106" s="81"/>
      <c r="R106" s="61"/>
      <c r="S106" s="100"/>
      <c r="T106" s="101"/>
    </row>
    <row r="107" spans="2:20" x14ac:dyDescent="0.3">
      <c r="B107" s="131"/>
      <c r="C107" s="131"/>
      <c r="D107" s="134"/>
      <c r="E107" s="61"/>
      <c r="F107" s="68"/>
      <c r="G107" s="61"/>
      <c r="H107" s="68"/>
      <c r="I107" s="61"/>
      <c r="J107" s="69"/>
      <c r="K107" s="61"/>
      <c r="L107" s="68"/>
      <c r="M107" s="61"/>
      <c r="N107" s="68"/>
      <c r="O107" s="61"/>
      <c r="P107" s="68"/>
      <c r="Q107" s="81"/>
      <c r="R107" s="61"/>
      <c r="S107" s="100"/>
      <c r="T107" s="101"/>
    </row>
    <row r="108" spans="2:20" x14ac:dyDescent="0.3">
      <c r="B108" s="131"/>
      <c r="C108" s="131"/>
      <c r="D108" s="134"/>
      <c r="E108" s="61"/>
      <c r="F108" s="68"/>
      <c r="G108" s="61"/>
      <c r="H108" s="68"/>
      <c r="I108" s="61"/>
      <c r="J108" s="69"/>
      <c r="K108" s="61"/>
      <c r="L108" s="68"/>
      <c r="M108" s="61"/>
      <c r="N108" s="68"/>
      <c r="O108" s="61"/>
      <c r="P108" s="68"/>
      <c r="Q108" s="81"/>
      <c r="R108" s="61"/>
      <c r="S108" s="100"/>
      <c r="T108" s="101"/>
    </row>
    <row r="109" spans="2:20" x14ac:dyDescent="0.3">
      <c r="B109" s="131"/>
      <c r="C109" s="131"/>
      <c r="D109" s="134"/>
      <c r="E109" s="61"/>
      <c r="F109" s="68"/>
      <c r="G109" s="61"/>
      <c r="H109" s="68"/>
      <c r="I109" s="61"/>
      <c r="J109" s="69"/>
      <c r="K109" s="61"/>
      <c r="L109" s="68"/>
      <c r="M109" s="61"/>
      <c r="N109" s="68"/>
      <c r="O109" s="61"/>
      <c r="P109" s="68"/>
      <c r="Q109" s="81"/>
      <c r="R109" s="61"/>
      <c r="S109" s="100"/>
      <c r="T109" s="101"/>
    </row>
    <row r="110" spans="2:20" x14ac:dyDescent="0.3">
      <c r="B110" s="131"/>
      <c r="C110" s="131"/>
      <c r="D110" s="134"/>
      <c r="E110" s="61"/>
      <c r="F110" s="68"/>
      <c r="G110" s="61"/>
      <c r="H110" s="68"/>
      <c r="I110" s="61"/>
      <c r="J110" s="69"/>
      <c r="K110" s="61"/>
      <c r="L110" s="68"/>
      <c r="M110" s="61"/>
      <c r="N110" s="68"/>
      <c r="O110" s="61"/>
      <c r="P110" s="68"/>
      <c r="Q110" s="81"/>
      <c r="R110" s="61"/>
      <c r="S110" s="100"/>
      <c r="T110" s="101"/>
    </row>
    <row r="111" spans="2:20" x14ac:dyDescent="0.3">
      <c r="B111" s="131"/>
      <c r="C111" s="131"/>
      <c r="D111" s="134"/>
      <c r="E111" s="61"/>
      <c r="F111" s="68"/>
      <c r="G111" s="61"/>
      <c r="H111" s="68"/>
      <c r="I111" s="61"/>
      <c r="J111" s="69"/>
      <c r="K111" s="61"/>
      <c r="L111" s="68"/>
      <c r="M111" s="61"/>
      <c r="N111" s="68"/>
      <c r="O111" s="61"/>
      <c r="P111" s="68"/>
      <c r="Q111" s="81"/>
      <c r="R111" s="61"/>
      <c r="S111" s="100"/>
      <c r="T111" s="101"/>
    </row>
    <row r="112" spans="2:20" x14ac:dyDescent="0.3">
      <c r="B112" s="131"/>
      <c r="C112" s="131"/>
      <c r="D112" s="134"/>
      <c r="E112" s="61"/>
      <c r="F112" s="68"/>
      <c r="G112" s="61"/>
      <c r="H112" s="68"/>
      <c r="I112" s="61"/>
      <c r="J112" s="69"/>
      <c r="K112" s="61"/>
      <c r="L112" s="68"/>
      <c r="M112" s="61"/>
      <c r="N112" s="68"/>
      <c r="O112" s="61"/>
      <c r="P112" s="68"/>
      <c r="Q112" s="81"/>
      <c r="R112" s="61"/>
      <c r="S112" s="100"/>
      <c r="T112" s="101"/>
    </row>
    <row r="113" spans="2:20" x14ac:dyDescent="0.3">
      <c r="B113" s="131"/>
      <c r="C113" s="131"/>
      <c r="D113" s="134"/>
      <c r="E113" s="61"/>
      <c r="F113" s="68"/>
      <c r="G113" s="61"/>
      <c r="H113" s="68"/>
      <c r="I113" s="61"/>
      <c r="J113" s="69"/>
      <c r="K113" s="61"/>
      <c r="L113" s="68"/>
      <c r="M113" s="61"/>
      <c r="N113" s="68"/>
      <c r="O113" s="61"/>
      <c r="P113" s="68"/>
      <c r="Q113" s="81"/>
      <c r="R113" s="61"/>
      <c r="S113" s="100"/>
      <c r="T113" s="101"/>
    </row>
    <row r="114" spans="2:20" x14ac:dyDescent="0.3">
      <c r="B114" s="131"/>
      <c r="C114" s="131"/>
      <c r="D114" s="134"/>
      <c r="E114" s="61"/>
      <c r="F114" s="68"/>
      <c r="G114" s="61"/>
      <c r="H114" s="68"/>
      <c r="I114" s="61"/>
      <c r="J114" s="69"/>
      <c r="K114" s="61"/>
      <c r="L114" s="68"/>
      <c r="M114" s="61"/>
      <c r="N114" s="68"/>
      <c r="O114" s="61"/>
      <c r="P114" s="68"/>
      <c r="Q114" s="81"/>
      <c r="R114" s="61"/>
      <c r="S114" s="100"/>
      <c r="T114" s="101"/>
    </row>
    <row r="115" spans="2:20" x14ac:dyDescent="0.3">
      <c r="B115" s="132"/>
      <c r="C115" s="131"/>
      <c r="D115" s="134"/>
      <c r="E115" s="61"/>
      <c r="F115" s="68"/>
      <c r="G115" s="61"/>
      <c r="H115" s="68"/>
      <c r="I115" s="61"/>
      <c r="J115" s="69"/>
      <c r="K115" s="61"/>
      <c r="L115" s="68"/>
      <c r="M115" s="61"/>
      <c r="N115" s="68"/>
      <c r="O115" s="61"/>
      <c r="P115" s="68"/>
      <c r="Q115" s="81"/>
      <c r="R115" s="61"/>
      <c r="S115" s="100"/>
      <c r="T115" s="101"/>
    </row>
    <row r="116" spans="2:20" x14ac:dyDescent="0.3">
      <c r="B116" s="132"/>
      <c r="C116" s="131"/>
      <c r="D116" s="134"/>
      <c r="E116" s="61"/>
      <c r="F116" s="68"/>
      <c r="G116" s="61"/>
      <c r="H116" s="68"/>
      <c r="I116" s="61"/>
      <c r="J116" s="69"/>
      <c r="K116" s="61"/>
      <c r="L116" s="68"/>
      <c r="M116" s="61"/>
      <c r="N116" s="68"/>
      <c r="O116" s="61"/>
      <c r="P116" s="68"/>
      <c r="Q116" s="81"/>
      <c r="R116" s="61"/>
      <c r="S116" s="100"/>
      <c r="T116" s="101"/>
    </row>
    <row r="117" spans="2:20" x14ac:dyDescent="0.3">
      <c r="B117" s="131"/>
      <c r="C117" s="131"/>
      <c r="D117" s="134"/>
      <c r="E117" s="61"/>
      <c r="F117" s="68"/>
      <c r="G117" s="61"/>
      <c r="H117" s="68"/>
      <c r="I117" s="61"/>
      <c r="J117" s="69"/>
      <c r="K117" s="61"/>
      <c r="L117" s="68"/>
      <c r="M117" s="61"/>
      <c r="N117" s="68"/>
      <c r="O117" s="61"/>
      <c r="P117" s="68"/>
      <c r="Q117" s="81"/>
      <c r="R117" s="61"/>
      <c r="S117" s="100"/>
      <c r="T117" s="101"/>
    </row>
    <row r="118" spans="2:20" x14ac:dyDescent="0.3">
      <c r="B118" s="131"/>
      <c r="C118" s="131"/>
      <c r="D118" s="134"/>
      <c r="E118" s="61"/>
      <c r="F118" s="68"/>
      <c r="G118" s="61"/>
      <c r="H118" s="68"/>
      <c r="I118" s="61"/>
      <c r="J118" s="69"/>
      <c r="K118" s="61"/>
      <c r="L118" s="68"/>
      <c r="M118" s="61"/>
      <c r="N118" s="68"/>
      <c r="O118" s="61"/>
      <c r="P118" s="68"/>
      <c r="Q118" s="81"/>
      <c r="R118" s="61"/>
      <c r="S118" s="100"/>
      <c r="T118" s="101"/>
    </row>
    <row r="119" spans="2:20" x14ac:dyDescent="0.3">
      <c r="B119" s="131"/>
      <c r="C119" s="131"/>
      <c r="D119" s="134"/>
      <c r="E119" s="61"/>
      <c r="F119" s="68"/>
      <c r="G119" s="61"/>
      <c r="H119" s="68"/>
      <c r="I119" s="61"/>
      <c r="J119" s="69"/>
      <c r="K119" s="61"/>
      <c r="L119" s="68"/>
      <c r="M119" s="61"/>
      <c r="N119" s="68"/>
      <c r="O119" s="61"/>
      <c r="P119" s="68"/>
      <c r="Q119" s="81"/>
      <c r="R119" s="61"/>
      <c r="S119" s="100"/>
      <c r="T119" s="101"/>
    </row>
    <row r="120" spans="2:20" x14ac:dyDescent="0.3">
      <c r="B120" s="131"/>
      <c r="C120" s="131"/>
      <c r="D120" s="134"/>
      <c r="E120" s="61"/>
      <c r="F120" s="68"/>
      <c r="G120" s="61"/>
      <c r="H120" s="68"/>
      <c r="I120" s="61"/>
      <c r="J120" s="69"/>
      <c r="K120" s="61"/>
      <c r="L120" s="68"/>
      <c r="M120" s="61"/>
      <c r="N120" s="68"/>
      <c r="O120" s="61"/>
      <c r="P120" s="68"/>
      <c r="Q120" s="81"/>
      <c r="R120" s="61"/>
      <c r="S120" s="100"/>
      <c r="T120" s="101"/>
    </row>
    <row r="121" spans="2:20" x14ac:dyDescent="0.3">
      <c r="B121" s="131"/>
      <c r="C121" s="131"/>
      <c r="D121" s="134"/>
      <c r="E121" s="61"/>
      <c r="F121" s="68"/>
      <c r="G121" s="61"/>
      <c r="H121" s="68"/>
      <c r="I121" s="61"/>
      <c r="J121" s="69"/>
      <c r="K121" s="61"/>
      <c r="L121" s="68"/>
      <c r="M121" s="61"/>
      <c r="N121" s="68"/>
      <c r="O121" s="61"/>
      <c r="P121" s="68"/>
      <c r="Q121" s="81"/>
      <c r="R121" s="61"/>
      <c r="S121" s="100"/>
      <c r="T121" s="101"/>
    </row>
    <row r="122" spans="2:20" x14ac:dyDescent="0.3">
      <c r="B122" s="131"/>
      <c r="C122" s="131"/>
      <c r="D122" s="134"/>
      <c r="E122" s="61"/>
      <c r="F122" s="68"/>
      <c r="G122" s="61"/>
      <c r="H122" s="68"/>
      <c r="I122" s="61"/>
      <c r="J122" s="69"/>
      <c r="K122" s="61"/>
      <c r="L122" s="68"/>
      <c r="M122" s="61"/>
      <c r="N122" s="68"/>
      <c r="O122" s="61"/>
      <c r="P122" s="68"/>
      <c r="Q122" s="81"/>
      <c r="R122" s="61"/>
      <c r="S122" s="100"/>
      <c r="T122" s="101"/>
    </row>
    <row r="123" spans="2:20" ht="13.5" thickBot="1" x14ac:dyDescent="0.35">
      <c r="B123" s="132"/>
      <c r="C123" s="131"/>
      <c r="D123" s="134"/>
      <c r="E123" s="61"/>
      <c r="F123" s="68"/>
      <c r="G123" s="61"/>
      <c r="H123" s="68"/>
      <c r="I123" s="61"/>
      <c r="J123" s="69"/>
      <c r="K123" s="61"/>
      <c r="L123" s="68"/>
      <c r="M123" s="61"/>
      <c r="N123" s="68"/>
      <c r="O123" s="61"/>
      <c r="P123" s="68"/>
      <c r="Q123" s="81"/>
      <c r="R123" s="61"/>
      <c r="S123" s="100"/>
      <c r="T123" s="101"/>
    </row>
    <row r="124" spans="2:20" ht="13.5" thickTop="1" x14ac:dyDescent="0.3">
      <c r="B124" s="131"/>
      <c r="C124" s="131"/>
      <c r="D124" s="133"/>
      <c r="E124" s="61"/>
      <c r="F124" s="68"/>
      <c r="G124" s="61"/>
      <c r="H124" s="68"/>
      <c r="I124" s="61"/>
      <c r="J124" s="69"/>
      <c r="K124" s="61"/>
      <c r="L124" s="68"/>
      <c r="M124" s="61"/>
      <c r="N124" s="68"/>
      <c r="O124" s="61"/>
      <c r="P124" s="68"/>
      <c r="Q124" s="79"/>
      <c r="R124" s="58"/>
      <c r="S124" s="98"/>
      <c r="T124" s="99"/>
    </row>
    <row r="125" spans="2:20" x14ac:dyDescent="0.3">
      <c r="B125" s="131"/>
      <c r="C125" s="131"/>
      <c r="D125" s="134"/>
      <c r="E125" s="61"/>
      <c r="F125" s="68"/>
      <c r="G125" s="61"/>
      <c r="H125" s="68"/>
      <c r="I125" s="61"/>
      <c r="J125" s="69"/>
      <c r="K125" s="61"/>
      <c r="L125" s="68"/>
      <c r="M125" s="61"/>
      <c r="N125" s="68"/>
      <c r="O125" s="61"/>
      <c r="P125" s="68"/>
      <c r="Q125" s="81"/>
      <c r="R125" s="61"/>
      <c r="S125" s="100"/>
      <c r="T125" s="101"/>
    </row>
    <row r="126" spans="2:20" x14ac:dyDescent="0.3">
      <c r="B126" s="131"/>
      <c r="C126" s="131"/>
      <c r="D126" s="134"/>
      <c r="E126" s="61"/>
      <c r="F126" s="68"/>
      <c r="G126" s="61"/>
      <c r="H126" s="68"/>
      <c r="I126" s="61"/>
      <c r="J126" s="69"/>
      <c r="K126" s="61"/>
      <c r="L126" s="68"/>
      <c r="M126" s="61"/>
      <c r="N126" s="68"/>
      <c r="O126" s="61"/>
      <c r="P126" s="68"/>
      <c r="Q126" s="81"/>
      <c r="R126" s="61"/>
      <c r="S126" s="100"/>
      <c r="T126" s="101"/>
    </row>
    <row r="127" spans="2:20" x14ac:dyDescent="0.3">
      <c r="B127" s="131"/>
      <c r="C127" s="131"/>
      <c r="D127" s="134"/>
      <c r="E127" s="61"/>
      <c r="F127" s="68"/>
      <c r="G127" s="61"/>
      <c r="H127" s="68"/>
      <c r="I127" s="61"/>
      <c r="J127" s="69"/>
      <c r="K127" s="61"/>
      <c r="L127" s="68"/>
      <c r="M127" s="61"/>
      <c r="N127" s="68"/>
      <c r="O127" s="61"/>
      <c r="P127" s="68"/>
      <c r="Q127" s="81"/>
      <c r="R127" s="61"/>
      <c r="S127" s="100"/>
      <c r="T127" s="101"/>
    </row>
    <row r="128" spans="2:20" x14ac:dyDescent="0.3">
      <c r="B128" s="131"/>
      <c r="C128" s="131"/>
      <c r="D128" s="134"/>
      <c r="E128" s="61"/>
      <c r="F128" s="68"/>
      <c r="G128" s="61"/>
      <c r="H128" s="68"/>
      <c r="I128" s="61"/>
      <c r="J128" s="69"/>
      <c r="K128" s="61"/>
      <c r="L128" s="68"/>
      <c r="M128" s="61"/>
      <c r="N128" s="68"/>
      <c r="O128" s="61"/>
      <c r="P128" s="68"/>
      <c r="Q128" s="81"/>
      <c r="R128" s="61"/>
      <c r="S128" s="100"/>
      <c r="T128" s="101"/>
    </row>
    <row r="129" spans="2:20" x14ac:dyDescent="0.3">
      <c r="B129" s="131"/>
      <c r="C129" s="131"/>
      <c r="D129" s="134"/>
      <c r="E129" s="61"/>
      <c r="F129" s="68"/>
      <c r="G129" s="61"/>
      <c r="H129" s="68"/>
      <c r="I129" s="61"/>
      <c r="J129" s="69"/>
      <c r="K129" s="61"/>
      <c r="L129" s="68"/>
      <c r="M129" s="61"/>
      <c r="N129" s="68"/>
      <c r="O129" s="61"/>
      <c r="P129" s="68"/>
      <c r="Q129" s="81"/>
      <c r="R129" s="61"/>
      <c r="S129" s="100"/>
      <c r="T129" s="101"/>
    </row>
    <row r="130" spans="2:20" x14ac:dyDescent="0.3">
      <c r="B130" s="131"/>
      <c r="C130" s="131"/>
      <c r="D130" s="134"/>
      <c r="E130" s="61"/>
      <c r="F130" s="68"/>
      <c r="G130" s="61"/>
      <c r="H130" s="68"/>
      <c r="I130" s="61"/>
      <c r="J130" s="69"/>
      <c r="K130" s="61"/>
      <c r="L130" s="68"/>
      <c r="M130" s="61"/>
      <c r="N130" s="68"/>
      <c r="O130" s="61"/>
      <c r="P130" s="68"/>
      <c r="Q130" s="81"/>
      <c r="R130" s="61"/>
      <c r="S130" s="100"/>
      <c r="T130" s="101"/>
    </row>
    <row r="131" spans="2:20" x14ac:dyDescent="0.3">
      <c r="B131" s="131"/>
      <c r="C131" s="131"/>
      <c r="D131" s="134"/>
      <c r="E131" s="61"/>
      <c r="F131" s="68"/>
      <c r="G131" s="61"/>
      <c r="H131" s="68"/>
      <c r="I131" s="61"/>
      <c r="J131" s="69"/>
      <c r="K131" s="61"/>
      <c r="L131" s="68"/>
      <c r="M131" s="61"/>
      <c r="N131" s="68"/>
      <c r="O131" s="61"/>
      <c r="P131" s="68"/>
      <c r="Q131" s="81"/>
      <c r="R131" s="61"/>
      <c r="S131" s="100"/>
      <c r="T131" s="101"/>
    </row>
    <row r="132" spans="2:20" x14ac:dyDescent="0.3">
      <c r="B132" s="131"/>
      <c r="C132" s="131"/>
      <c r="D132" s="134"/>
      <c r="E132" s="61"/>
      <c r="F132" s="68"/>
      <c r="G132" s="61"/>
      <c r="H132" s="68"/>
      <c r="I132" s="61"/>
      <c r="J132" s="69"/>
      <c r="K132" s="61"/>
      <c r="L132" s="68"/>
      <c r="M132" s="61"/>
      <c r="N132" s="68"/>
      <c r="O132" s="61"/>
      <c r="P132" s="68"/>
      <c r="Q132" s="81"/>
      <c r="R132" s="61"/>
      <c r="S132" s="100"/>
      <c r="T132" s="101"/>
    </row>
    <row r="133" spans="2:20" x14ac:dyDescent="0.3">
      <c r="B133" s="131"/>
      <c r="C133" s="131"/>
      <c r="D133" s="134"/>
      <c r="E133" s="61"/>
      <c r="F133" s="68"/>
      <c r="G133" s="61"/>
      <c r="H133" s="68"/>
      <c r="I133" s="61"/>
      <c r="J133" s="69"/>
      <c r="K133" s="61"/>
      <c r="L133" s="68"/>
      <c r="M133" s="61"/>
      <c r="N133" s="68"/>
      <c r="O133" s="61"/>
      <c r="P133" s="68"/>
      <c r="Q133" s="81"/>
      <c r="R133" s="61"/>
      <c r="S133" s="100"/>
      <c r="T133" s="101"/>
    </row>
    <row r="134" spans="2:20" x14ac:dyDescent="0.3">
      <c r="B134" s="131"/>
      <c r="C134" s="131"/>
      <c r="D134" s="134"/>
      <c r="E134" s="61"/>
      <c r="F134" s="68"/>
      <c r="G134" s="61"/>
      <c r="H134" s="68"/>
      <c r="I134" s="61"/>
      <c r="J134" s="69"/>
      <c r="K134" s="61"/>
      <c r="L134" s="68"/>
      <c r="M134" s="61"/>
      <c r="N134" s="68"/>
      <c r="O134" s="61"/>
      <c r="P134" s="68"/>
      <c r="Q134" s="81"/>
      <c r="R134" s="61"/>
      <c r="S134" s="100"/>
      <c r="T134" s="101"/>
    </row>
    <row r="135" spans="2:20" x14ac:dyDescent="0.3">
      <c r="B135" s="131"/>
      <c r="C135" s="131"/>
      <c r="D135" s="134"/>
      <c r="E135" s="61"/>
      <c r="F135" s="68"/>
      <c r="G135" s="61"/>
      <c r="H135" s="68"/>
      <c r="I135" s="61"/>
      <c r="J135" s="69"/>
      <c r="K135" s="61"/>
      <c r="L135" s="68"/>
      <c r="M135" s="61"/>
      <c r="N135" s="68"/>
      <c r="O135" s="61"/>
      <c r="P135" s="68"/>
      <c r="Q135" s="81"/>
      <c r="R135" s="61"/>
      <c r="S135" s="100"/>
      <c r="T135" s="101"/>
    </row>
    <row r="136" spans="2:20" x14ac:dyDescent="0.3">
      <c r="B136" s="131"/>
      <c r="C136" s="131"/>
      <c r="D136" s="134"/>
      <c r="E136" s="61"/>
      <c r="F136" s="68"/>
      <c r="G136" s="61"/>
      <c r="H136" s="68"/>
      <c r="I136" s="61"/>
      <c r="J136" s="69"/>
      <c r="K136" s="61"/>
      <c r="L136" s="68"/>
      <c r="M136" s="61"/>
      <c r="N136" s="68"/>
      <c r="O136" s="61"/>
      <c r="P136" s="68"/>
      <c r="Q136" s="81"/>
      <c r="R136" s="61"/>
      <c r="S136" s="100"/>
      <c r="T136" s="101"/>
    </row>
    <row r="137" spans="2:20" x14ac:dyDescent="0.3">
      <c r="B137" s="131"/>
      <c r="C137" s="131"/>
      <c r="D137" s="134"/>
      <c r="E137" s="61"/>
      <c r="F137" s="68"/>
      <c r="G137" s="61"/>
      <c r="H137" s="68"/>
      <c r="I137" s="61"/>
      <c r="J137" s="69"/>
      <c r="K137" s="61"/>
      <c r="L137" s="68"/>
      <c r="M137" s="61"/>
      <c r="N137" s="68"/>
      <c r="O137" s="61"/>
      <c r="P137" s="68"/>
      <c r="Q137" s="81"/>
      <c r="R137" s="61"/>
      <c r="S137" s="100"/>
      <c r="T137" s="101"/>
    </row>
    <row r="138" spans="2:20" x14ac:dyDescent="0.3">
      <c r="B138" s="131"/>
      <c r="C138" s="131"/>
      <c r="D138" s="134"/>
      <c r="E138" s="61"/>
      <c r="F138" s="68"/>
      <c r="G138" s="61"/>
      <c r="H138" s="68"/>
      <c r="I138" s="61"/>
      <c r="J138" s="69"/>
      <c r="K138" s="61"/>
      <c r="L138" s="68"/>
      <c r="M138" s="61"/>
      <c r="N138" s="68"/>
      <c r="O138" s="61"/>
      <c r="P138" s="68"/>
      <c r="Q138" s="81"/>
      <c r="R138" s="61"/>
      <c r="S138" s="100"/>
      <c r="T138" s="101"/>
    </row>
    <row r="139" spans="2:20" x14ac:dyDescent="0.3">
      <c r="B139" s="131"/>
      <c r="C139" s="131"/>
      <c r="D139" s="134"/>
      <c r="E139" s="61"/>
      <c r="F139" s="68"/>
      <c r="G139" s="61"/>
      <c r="H139" s="68"/>
      <c r="I139" s="61"/>
      <c r="J139" s="69"/>
      <c r="K139" s="61"/>
      <c r="L139" s="68"/>
      <c r="M139" s="61"/>
      <c r="N139" s="68"/>
      <c r="O139" s="61"/>
      <c r="P139" s="68"/>
      <c r="Q139" s="81"/>
      <c r="R139" s="61"/>
      <c r="S139" s="100"/>
      <c r="T139" s="101"/>
    </row>
    <row r="140" spans="2:20" x14ac:dyDescent="0.3">
      <c r="B140" s="132"/>
      <c r="C140" s="131"/>
      <c r="D140" s="134"/>
      <c r="E140" s="61"/>
      <c r="F140" s="68"/>
      <c r="G140" s="61"/>
      <c r="H140" s="68"/>
      <c r="I140" s="61"/>
      <c r="J140" s="69"/>
      <c r="K140" s="61"/>
      <c r="L140" s="68"/>
      <c r="M140" s="61"/>
      <c r="N140" s="68"/>
      <c r="O140" s="61"/>
      <c r="P140" s="68"/>
      <c r="Q140" s="81"/>
      <c r="R140" s="61"/>
      <c r="S140" s="100"/>
      <c r="T140" s="101"/>
    </row>
    <row r="141" spans="2:20" x14ac:dyDescent="0.3">
      <c r="B141" s="132"/>
      <c r="C141" s="131"/>
      <c r="D141" s="134"/>
      <c r="E141" s="61"/>
      <c r="F141" s="68"/>
      <c r="G141" s="61"/>
      <c r="H141" s="68"/>
      <c r="I141" s="61"/>
      <c r="J141" s="69"/>
      <c r="K141" s="61"/>
      <c r="L141" s="68"/>
      <c r="M141" s="61"/>
      <c r="N141" s="68"/>
      <c r="O141" s="61"/>
      <c r="P141" s="68"/>
      <c r="Q141" s="81"/>
      <c r="R141" s="61"/>
      <c r="S141" s="100"/>
      <c r="T141" s="101"/>
    </row>
    <row r="142" spans="2:20" x14ac:dyDescent="0.3">
      <c r="B142" s="131"/>
      <c r="C142" s="131"/>
      <c r="D142" s="134"/>
      <c r="E142" s="61"/>
      <c r="F142" s="68"/>
      <c r="G142" s="61"/>
      <c r="H142" s="68"/>
      <c r="I142" s="61"/>
      <c r="J142" s="69"/>
      <c r="K142" s="61"/>
      <c r="L142" s="68"/>
      <c r="M142" s="61"/>
      <c r="N142" s="68"/>
      <c r="O142" s="61"/>
      <c r="P142" s="68"/>
      <c r="Q142" s="81"/>
      <c r="R142" s="61"/>
      <c r="S142" s="100"/>
      <c r="T142" s="101"/>
    </row>
    <row r="143" spans="2:20" x14ac:dyDescent="0.3">
      <c r="B143" s="131"/>
      <c r="C143" s="131"/>
      <c r="D143" s="134"/>
      <c r="E143" s="61"/>
      <c r="F143" s="68"/>
      <c r="G143" s="61"/>
      <c r="H143" s="68"/>
      <c r="I143" s="61"/>
      <c r="J143" s="69"/>
      <c r="K143" s="61"/>
      <c r="L143" s="68"/>
      <c r="M143" s="61"/>
      <c r="N143" s="68"/>
      <c r="O143" s="61"/>
      <c r="P143" s="68"/>
      <c r="Q143" s="81"/>
      <c r="R143" s="61"/>
      <c r="S143" s="100"/>
      <c r="T143" s="101"/>
    </row>
    <row r="144" spans="2:20" x14ac:dyDescent="0.3">
      <c r="B144" s="131"/>
      <c r="C144" s="131"/>
      <c r="D144" s="134"/>
      <c r="E144" s="61"/>
      <c r="F144" s="68"/>
      <c r="G144" s="61"/>
      <c r="H144" s="68"/>
      <c r="I144" s="61"/>
      <c r="J144" s="69"/>
      <c r="K144" s="61"/>
      <c r="L144" s="68"/>
      <c r="M144" s="61"/>
      <c r="N144" s="68"/>
      <c r="O144" s="61"/>
      <c r="P144" s="68"/>
      <c r="Q144" s="81"/>
      <c r="R144" s="61"/>
      <c r="S144" s="100"/>
      <c r="T144" s="101"/>
    </row>
    <row r="145" spans="2:20" x14ac:dyDescent="0.3">
      <c r="B145" s="131"/>
      <c r="C145" s="131"/>
      <c r="D145" s="134"/>
      <c r="E145" s="61"/>
      <c r="F145" s="68"/>
      <c r="G145" s="61"/>
      <c r="H145" s="68"/>
      <c r="I145" s="61"/>
      <c r="J145" s="69"/>
      <c r="K145" s="61"/>
      <c r="L145" s="68"/>
      <c r="M145" s="61"/>
      <c r="N145" s="68"/>
      <c r="O145" s="61"/>
      <c r="P145" s="68"/>
      <c r="Q145" s="81"/>
      <c r="R145" s="61"/>
      <c r="S145" s="100"/>
      <c r="T145" s="101"/>
    </row>
    <row r="146" spans="2:20" x14ac:dyDescent="0.3">
      <c r="B146" s="131"/>
      <c r="C146" s="131"/>
      <c r="D146" s="134"/>
      <c r="E146" s="61"/>
      <c r="F146" s="68"/>
      <c r="G146" s="61"/>
      <c r="H146" s="68"/>
      <c r="I146" s="61"/>
      <c r="J146" s="69"/>
      <c r="K146" s="61"/>
      <c r="L146" s="68"/>
      <c r="M146" s="61"/>
      <c r="N146" s="68"/>
      <c r="O146" s="61"/>
      <c r="P146" s="68"/>
      <c r="Q146" s="81"/>
      <c r="R146" s="61"/>
      <c r="S146" s="100"/>
      <c r="T146" s="101"/>
    </row>
    <row r="147" spans="2:20" x14ac:dyDescent="0.3">
      <c r="B147" s="131"/>
      <c r="C147" s="131"/>
      <c r="D147" s="134"/>
      <c r="E147" s="61"/>
      <c r="F147" s="68"/>
      <c r="G147" s="61"/>
      <c r="H147" s="68"/>
      <c r="I147" s="61"/>
      <c r="J147" s="69"/>
      <c r="K147" s="61"/>
      <c r="L147" s="68"/>
      <c r="M147" s="61"/>
      <c r="N147" s="68"/>
      <c r="O147" s="61"/>
      <c r="P147" s="68"/>
      <c r="Q147" s="81"/>
      <c r="R147" s="61"/>
      <c r="S147" s="100"/>
      <c r="T147" s="101"/>
    </row>
    <row r="148" spans="2:20" ht="13.5" thickBot="1" x14ac:dyDescent="0.35">
      <c r="B148" s="132"/>
      <c r="C148" s="131"/>
      <c r="D148" s="134"/>
      <c r="E148" s="61"/>
      <c r="F148" s="68"/>
      <c r="G148" s="61"/>
      <c r="H148" s="68"/>
      <c r="I148" s="61"/>
      <c r="J148" s="69"/>
      <c r="K148" s="61"/>
      <c r="L148" s="68"/>
      <c r="M148" s="61"/>
      <c r="N148" s="68"/>
      <c r="O148" s="61"/>
      <c r="P148" s="68"/>
      <c r="Q148" s="81"/>
      <c r="R148" s="61"/>
      <c r="S148" s="100"/>
      <c r="T148" s="101"/>
    </row>
    <row r="149" spans="2:20" ht="13.5" thickTop="1" x14ac:dyDescent="0.3">
      <c r="B149" s="131"/>
      <c r="C149" s="131"/>
      <c r="D149" s="133"/>
      <c r="E149" s="61"/>
      <c r="F149" s="68"/>
      <c r="G149" s="61"/>
      <c r="H149" s="68"/>
      <c r="I149" s="61"/>
      <c r="J149" s="69"/>
      <c r="K149" s="61"/>
      <c r="L149" s="68"/>
      <c r="M149" s="61"/>
      <c r="N149" s="68"/>
      <c r="O149" s="61"/>
      <c r="P149" s="68"/>
      <c r="Q149" s="79"/>
      <c r="R149" s="58"/>
      <c r="S149" s="98"/>
      <c r="T149" s="99"/>
    </row>
    <row r="150" spans="2:20" x14ac:dyDescent="0.3">
      <c r="B150" s="131"/>
      <c r="C150" s="131"/>
      <c r="D150" s="134"/>
      <c r="E150" s="61"/>
      <c r="F150" s="68"/>
      <c r="G150" s="61"/>
      <c r="H150" s="68"/>
      <c r="I150" s="61"/>
      <c r="J150" s="69"/>
      <c r="K150" s="61"/>
      <c r="L150" s="68"/>
      <c r="M150" s="61"/>
      <c r="N150" s="68"/>
      <c r="O150" s="61"/>
      <c r="P150" s="68"/>
      <c r="Q150" s="81"/>
      <c r="R150" s="61"/>
      <c r="S150" s="100"/>
      <c r="T150" s="101"/>
    </row>
    <row r="151" spans="2:20" x14ac:dyDescent="0.3">
      <c r="B151" s="131"/>
      <c r="C151" s="131"/>
      <c r="D151" s="134"/>
      <c r="E151" s="61"/>
      <c r="F151" s="68"/>
      <c r="G151" s="61"/>
      <c r="H151" s="68"/>
      <c r="I151" s="61"/>
      <c r="J151" s="69"/>
      <c r="K151" s="61"/>
      <c r="L151" s="68"/>
      <c r="M151" s="61"/>
      <c r="N151" s="68"/>
      <c r="O151" s="61"/>
      <c r="P151" s="68"/>
      <c r="Q151" s="81"/>
      <c r="R151" s="61"/>
      <c r="S151" s="100"/>
      <c r="T151" s="101"/>
    </row>
    <row r="152" spans="2:20" x14ac:dyDescent="0.3">
      <c r="B152" s="131"/>
      <c r="C152" s="131"/>
      <c r="D152" s="134"/>
      <c r="E152" s="61"/>
      <c r="F152" s="68"/>
      <c r="G152" s="61"/>
      <c r="H152" s="68"/>
      <c r="I152" s="61"/>
      <c r="J152" s="69"/>
      <c r="K152" s="61"/>
      <c r="L152" s="68"/>
      <c r="M152" s="61"/>
      <c r="N152" s="68"/>
      <c r="O152" s="61"/>
      <c r="P152" s="68"/>
      <c r="Q152" s="81"/>
      <c r="R152" s="61"/>
      <c r="S152" s="100"/>
      <c r="T152" s="101"/>
    </row>
    <row r="153" spans="2:20" x14ac:dyDescent="0.3">
      <c r="B153" s="131"/>
      <c r="C153" s="131"/>
      <c r="D153" s="134"/>
      <c r="E153" s="61"/>
      <c r="F153" s="68"/>
      <c r="G153" s="61"/>
      <c r="H153" s="68"/>
      <c r="I153" s="61"/>
      <c r="J153" s="69"/>
      <c r="K153" s="61"/>
      <c r="L153" s="68"/>
      <c r="M153" s="61"/>
      <c r="N153" s="68"/>
      <c r="O153" s="61"/>
      <c r="P153" s="68"/>
      <c r="Q153" s="81"/>
      <c r="R153" s="61"/>
      <c r="S153" s="100"/>
      <c r="T153" s="101"/>
    </row>
    <row r="154" spans="2:20" x14ac:dyDescent="0.3">
      <c r="B154" s="131"/>
      <c r="C154" s="131"/>
      <c r="D154" s="134"/>
      <c r="E154" s="61"/>
      <c r="F154" s="68"/>
      <c r="G154" s="61"/>
      <c r="H154" s="68"/>
      <c r="I154" s="61"/>
      <c r="J154" s="69"/>
      <c r="K154" s="61"/>
      <c r="L154" s="68"/>
      <c r="M154" s="61"/>
      <c r="N154" s="68"/>
      <c r="O154" s="61"/>
      <c r="P154" s="68"/>
      <c r="Q154" s="81"/>
      <c r="R154" s="61"/>
      <c r="S154" s="100"/>
      <c r="T154" s="101"/>
    </row>
    <row r="155" spans="2:20" x14ac:dyDescent="0.3">
      <c r="B155" s="131"/>
      <c r="C155" s="131"/>
      <c r="D155" s="134"/>
      <c r="E155" s="61"/>
      <c r="F155" s="68"/>
      <c r="G155" s="61"/>
      <c r="H155" s="68"/>
      <c r="I155" s="61"/>
      <c r="J155" s="69"/>
      <c r="K155" s="61"/>
      <c r="L155" s="68"/>
      <c r="M155" s="61"/>
      <c r="N155" s="68"/>
      <c r="O155" s="61"/>
      <c r="P155" s="68"/>
      <c r="Q155" s="81"/>
      <c r="R155" s="61"/>
      <c r="S155" s="100"/>
      <c r="T155" s="101"/>
    </row>
    <row r="156" spans="2:20" x14ac:dyDescent="0.3">
      <c r="B156" s="131"/>
      <c r="C156" s="131"/>
      <c r="D156" s="134"/>
      <c r="E156" s="61"/>
      <c r="F156" s="68"/>
      <c r="G156" s="61"/>
      <c r="H156" s="68"/>
      <c r="I156" s="61"/>
      <c r="J156" s="69"/>
      <c r="K156" s="61"/>
      <c r="L156" s="68"/>
      <c r="M156" s="61"/>
      <c r="N156" s="68"/>
      <c r="O156" s="61"/>
      <c r="P156" s="68"/>
      <c r="Q156" s="81"/>
      <c r="R156" s="61"/>
      <c r="S156" s="100"/>
      <c r="T156" s="101"/>
    </row>
    <row r="157" spans="2:20" x14ac:dyDescent="0.3">
      <c r="B157" s="131"/>
      <c r="C157" s="131"/>
      <c r="D157" s="134"/>
      <c r="E157" s="61"/>
      <c r="F157" s="68"/>
      <c r="G157" s="61"/>
      <c r="H157" s="68"/>
      <c r="I157" s="61"/>
      <c r="J157" s="69"/>
      <c r="K157" s="61"/>
      <c r="L157" s="68"/>
      <c r="M157" s="61"/>
      <c r="N157" s="68"/>
      <c r="O157" s="61"/>
      <c r="P157" s="68"/>
      <c r="Q157" s="81"/>
      <c r="R157" s="61"/>
      <c r="S157" s="100"/>
      <c r="T157" s="101"/>
    </row>
    <row r="158" spans="2:20" x14ac:dyDescent="0.3">
      <c r="B158" s="131"/>
      <c r="C158" s="131"/>
      <c r="D158" s="134"/>
      <c r="E158" s="61"/>
      <c r="F158" s="68"/>
      <c r="G158" s="61"/>
      <c r="H158" s="68"/>
      <c r="I158" s="61"/>
      <c r="J158" s="69"/>
      <c r="K158" s="61"/>
      <c r="L158" s="68"/>
      <c r="M158" s="61"/>
      <c r="N158" s="68"/>
      <c r="O158" s="61"/>
      <c r="P158" s="68"/>
      <c r="Q158" s="81"/>
      <c r="R158" s="61"/>
      <c r="S158" s="100"/>
      <c r="T158" s="101"/>
    </row>
    <row r="159" spans="2:20" x14ac:dyDescent="0.3">
      <c r="B159" s="131"/>
      <c r="C159" s="131"/>
      <c r="D159" s="134"/>
      <c r="E159" s="61"/>
      <c r="F159" s="68"/>
      <c r="G159" s="61"/>
      <c r="H159" s="68"/>
      <c r="I159" s="61"/>
      <c r="J159" s="69"/>
      <c r="K159" s="61"/>
      <c r="L159" s="68"/>
      <c r="M159" s="61"/>
      <c r="N159" s="68"/>
      <c r="O159" s="61"/>
      <c r="P159" s="68"/>
      <c r="Q159" s="81"/>
      <c r="R159" s="61"/>
      <c r="S159" s="100"/>
      <c r="T159" s="101"/>
    </row>
    <row r="160" spans="2:20" x14ac:dyDescent="0.3">
      <c r="B160" s="131"/>
      <c r="C160" s="131"/>
      <c r="D160" s="134"/>
      <c r="E160" s="61"/>
      <c r="F160" s="68"/>
      <c r="G160" s="61"/>
      <c r="H160" s="68"/>
      <c r="I160" s="61"/>
      <c r="J160" s="69"/>
      <c r="K160" s="61"/>
      <c r="L160" s="68"/>
      <c r="M160" s="61"/>
      <c r="N160" s="68"/>
      <c r="O160" s="61"/>
      <c r="P160" s="68"/>
      <c r="Q160" s="81"/>
      <c r="R160" s="61"/>
      <c r="S160" s="100"/>
      <c r="T160" s="101"/>
    </row>
    <row r="161" spans="2:20" x14ac:dyDescent="0.3">
      <c r="B161" s="131"/>
      <c r="C161" s="131"/>
      <c r="D161" s="134"/>
      <c r="E161" s="61"/>
      <c r="F161" s="68"/>
      <c r="G161" s="61"/>
      <c r="H161" s="68"/>
      <c r="I161" s="61"/>
      <c r="J161" s="69"/>
      <c r="K161" s="61"/>
      <c r="L161" s="68"/>
      <c r="M161" s="61"/>
      <c r="N161" s="68"/>
      <c r="O161" s="61"/>
      <c r="P161" s="68"/>
      <c r="Q161" s="81"/>
      <c r="R161" s="61"/>
      <c r="S161" s="100"/>
      <c r="T161" s="101"/>
    </row>
    <row r="162" spans="2:20" x14ac:dyDescent="0.3">
      <c r="B162" s="131"/>
      <c r="C162" s="131"/>
      <c r="D162" s="134"/>
      <c r="E162" s="61"/>
      <c r="F162" s="68"/>
      <c r="G162" s="61"/>
      <c r="H162" s="68"/>
      <c r="I162" s="61"/>
      <c r="J162" s="69"/>
      <c r="K162" s="61"/>
      <c r="L162" s="68"/>
      <c r="M162" s="61"/>
      <c r="N162" s="68"/>
      <c r="O162" s="61"/>
      <c r="P162" s="68"/>
      <c r="Q162" s="81"/>
      <c r="R162" s="61"/>
      <c r="S162" s="100"/>
      <c r="T162" s="101"/>
    </row>
    <row r="163" spans="2:20" x14ac:dyDescent="0.3">
      <c r="B163" s="131"/>
      <c r="C163" s="131"/>
      <c r="D163" s="134"/>
      <c r="E163" s="61"/>
      <c r="F163" s="68"/>
      <c r="G163" s="61"/>
      <c r="H163" s="68"/>
      <c r="I163" s="61"/>
      <c r="J163" s="69"/>
      <c r="K163" s="61"/>
      <c r="L163" s="68"/>
      <c r="M163" s="61"/>
      <c r="N163" s="68"/>
      <c r="O163" s="61"/>
      <c r="P163" s="68"/>
      <c r="Q163" s="81"/>
      <c r="R163" s="61"/>
      <c r="S163" s="100"/>
      <c r="T163" s="101"/>
    </row>
    <row r="164" spans="2:20" x14ac:dyDescent="0.3">
      <c r="B164" s="131"/>
      <c r="C164" s="131"/>
      <c r="D164" s="134"/>
      <c r="E164" s="61"/>
      <c r="F164" s="68"/>
      <c r="G164" s="61"/>
      <c r="H164" s="68"/>
      <c r="I164" s="61"/>
      <c r="J164" s="69"/>
      <c r="K164" s="61"/>
      <c r="L164" s="68"/>
      <c r="M164" s="61"/>
      <c r="N164" s="68"/>
      <c r="O164" s="61"/>
      <c r="P164" s="68"/>
      <c r="Q164" s="81"/>
      <c r="R164" s="61"/>
      <c r="S164" s="100"/>
      <c r="T164" s="101"/>
    </row>
    <row r="165" spans="2:20" x14ac:dyDescent="0.3">
      <c r="B165" s="132"/>
      <c r="C165" s="131"/>
      <c r="D165" s="134"/>
      <c r="E165" s="61"/>
      <c r="F165" s="68"/>
      <c r="G165" s="61"/>
      <c r="H165" s="68"/>
      <c r="I165" s="61"/>
      <c r="J165" s="69"/>
      <c r="K165" s="61"/>
      <c r="L165" s="68"/>
      <c r="M165" s="61"/>
      <c r="N165" s="68"/>
      <c r="O165" s="61"/>
      <c r="P165" s="68"/>
      <c r="Q165" s="81"/>
      <c r="R165" s="61"/>
      <c r="S165" s="100"/>
      <c r="T165" s="101"/>
    </row>
    <row r="166" spans="2:20" x14ac:dyDescent="0.3">
      <c r="B166" s="132"/>
      <c r="C166" s="131"/>
      <c r="D166" s="134"/>
      <c r="E166" s="61"/>
      <c r="F166" s="68"/>
      <c r="G166" s="61"/>
      <c r="H166" s="68"/>
      <c r="I166" s="61"/>
      <c r="J166" s="69"/>
      <c r="K166" s="61"/>
      <c r="L166" s="68"/>
      <c r="M166" s="61"/>
      <c r="N166" s="68"/>
      <c r="O166" s="61"/>
      <c r="P166" s="68"/>
      <c r="Q166" s="81"/>
      <c r="R166" s="61"/>
      <c r="S166" s="100"/>
      <c r="T166" s="101"/>
    </row>
    <row r="167" spans="2:20" x14ac:dyDescent="0.3">
      <c r="B167" s="131"/>
      <c r="C167" s="131"/>
      <c r="D167" s="134"/>
      <c r="E167" s="61"/>
      <c r="F167" s="68"/>
      <c r="G167" s="61"/>
      <c r="H167" s="68"/>
      <c r="I167" s="61"/>
      <c r="J167" s="69"/>
      <c r="K167" s="61"/>
      <c r="L167" s="68"/>
      <c r="M167" s="61"/>
      <c r="N167" s="68"/>
      <c r="O167" s="61"/>
      <c r="P167" s="68"/>
      <c r="Q167" s="81"/>
      <c r="R167" s="61"/>
      <c r="S167" s="100"/>
      <c r="T167" s="101"/>
    </row>
    <row r="168" spans="2:20" x14ac:dyDescent="0.3">
      <c r="B168" s="131"/>
      <c r="C168" s="131"/>
      <c r="D168" s="134"/>
      <c r="E168" s="61"/>
      <c r="F168" s="68"/>
      <c r="G168" s="61"/>
      <c r="H168" s="68"/>
      <c r="I168" s="61"/>
      <c r="J168" s="69"/>
      <c r="K168" s="61"/>
      <c r="L168" s="68"/>
      <c r="M168" s="61"/>
      <c r="N168" s="68"/>
      <c r="O168" s="61"/>
      <c r="P168" s="68"/>
      <c r="Q168" s="81"/>
      <c r="R168" s="61"/>
      <c r="S168" s="100"/>
      <c r="T168" s="101"/>
    </row>
    <row r="169" spans="2:20" x14ac:dyDescent="0.3">
      <c r="B169" s="131"/>
      <c r="C169" s="131"/>
      <c r="D169" s="134"/>
      <c r="E169" s="61"/>
      <c r="F169" s="68"/>
      <c r="G169" s="61"/>
      <c r="H169" s="68"/>
      <c r="I169" s="61"/>
      <c r="J169" s="69"/>
      <c r="K169" s="61"/>
      <c r="L169" s="68"/>
      <c r="M169" s="61"/>
      <c r="N169" s="68"/>
      <c r="O169" s="61"/>
      <c r="P169" s="68"/>
      <c r="Q169" s="81"/>
      <c r="R169" s="61"/>
      <c r="S169" s="100"/>
      <c r="T169" s="101"/>
    </row>
    <row r="170" spans="2:20" x14ac:dyDescent="0.3">
      <c r="B170" s="131"/>
      <c r="C170" s="131"/>
      <c r="D170" s="134"/>
      <c r="E170" s="61"/>
      <c r="F170" s="68"/>
      <c r="G170" s="61"/>
      <c r="H170" s="68"/>
      <c r="I170" s="61"/>
      <c r="J170" s="69"/>
      <c r="K170" s="61"/>
      <c r="L170" s="68"/>
      <c r="M170" s="61"/>
      <c r="N170" s="68"/>
      <c r="O170" s="61"/>
      <c r="P170" s="68"/>
      <c r="Q170" s="81"/>
      <c r="R170" s="61"/>
      <c r="S170" s="100"/>
      <c r="T170" s="101"/>
    </row>
    <row r="171" spans="2:20" x14ac:dyDescent="0.3">
      <c r="B171" s="131"/>
      <c r="C171" s="131"/>
      <c r="D171" s="134"/>
      <c r="E171" s="61"/>
      <c r="F171" s="68"/>
      <c r="G171" s="61"/>
      <c r="H171" s="68"/>
      <c r="I171" s="61"/>
      <c r="J171" s="69"/>
      <c r="K171" s="61"/>
      <c r="L171" s="68"/>
      <c r="M171" s="61"/>
      <c r="N171" s="68"/>
      <c r="O171" s="61"/>
      <c r="P171" s="68"/>
      <c r="Q171" s="81"/>
      <c r="R171" s="61"/>
      <c r="S171" s="100"/>
      <c r="T171" s="101"/>
    </row>
    <row r="172" spans="2:20" x14ac:dyDescent="0.3">
      <c r="B172" s="131"/>
      <c r="C172" s="131"/>
      <c r="D172" s="134"/>
      <c r="E172" s="61"/>
      <c r="F172" s="68"/>
      <c r="G172" s="61"/>
      <c r="H172" s="68"/>
      <c r="I172" s="61"/>
      <c r="J172" s="69"/>
      <c r="K172" s="61"/>
      <c r="L172" s="68"/>
      <c r="M172" s="61"/>
      <c r="N172" s="68"/>
      <c r="O172" s="61"/>
      <c r="P172" s="68"/>
      <c r="Q172" s="81"/>
      <c r="R172" s="61"/>
      <c r="S172" s="100"/>
      <c r="T172" s="101"/>
    </row>
    <row r="173" spans="2:20" ht="13.5" thickBot="1" x14ac:dyDescent="0.35">
      <c r="B173" s="132"/>
      <c r="C173" s="131"/>
      <c r="D173" s="134"/>
      <c r="E173" s="61"/>
      <c r="F173" s="68"/>
      <c r="G173" s="61"/>
      <c r="H173" s="68"/>
      <c r="I173" s="61"/>
      <c r="J173" s="69"/>
      <c r="K173" s="61"/>
      <c r="L173" s="68"/>
      <c r="M173" s="61"/>
      <c r="N173" s="68"/>
      <c r="O173" s="61"/>
      <c r="P173" s="68"/>
      <c r="Q173" s="81"/>
      <c r="R173" s="61"/>
      <c r="S173" s="100"/>
      <c r="T173" s="101"/>
    </row>
    <row r="174" spans="2:20" ht="13.5" thickTop="1" x14ac:dyDescent="0.3">
      <c r="B174" s="131"/>
      <c r="C174" s="131"/>
      <c r="D174" s="133"/>
      <c r="E174" s="61"/>
      <c r="F174" s="68"/>
      <c r="G174" s="61"/>
      <c r="H174" s="68"/>
      <c r="I174" s="61"/>
      <c r="J174" s="69"/>
      <c r="K174" s="61"/>
      <c r="L174" s="68"/>
      <c r="M174" s="61"/>
      <c r="N174" s="68"/>
      <c r="O174" s="61"/>
      <c r="P174" s="68"/>
      <c r="Q174" s="79"/>
      <c r="R174" s="58"/>
      <c r="S174" s="98"/>
      <c r="T174" s="99"/>
    </row>
    <row r="175" spans="2:20" x14ac:dyDescent="0.3">
      <c r="B175" s="131"/>
      <c r="C175" s="131"/>
      <c r="D175" s="134"/>
      <c r="E175" s="61"/>
      <c r="F175" s="68"/>
      <c r="G175" s="61"/>
      <c r="H175" s="68"/>
      <c r="I175" s="61"/>
      <c r="J175" s="69"/>
      <c r="K175" s="61"/>
      <c r="L175" s="68"/>
      <c r="M175" s="61"/>
      <c r="N175" s="68"/>
      <c r="O175" s="61"/>
      <c r="P175" s="68"/>
      <c r="Q175" s="81"/>
      <c r="R175" s="61"/>
      <c r="S175" s="100"/>
      <c r="T175" s="101"/>
    </row>
    <row r="176" spans="2:20" x14ac:dyDescent="0.3">
      <c r="B176" s="131"/>
      <c r="C176" s="131"/>
      <c r="D176" s="134"/>
      <c r="E176" s="61"/>
      <c r="F176" s="68"/>
      <c r="G176" s="61"/>
      <c r="H176" s="68"/>
      <c r="I176" s="61"/>
      <c r="J176" s="69"/>
      <c r="K176" s="61"/>
      <c r="L176" s="68"/>
      <c r="M176" s="61"/>
      <c r="N176" s="68"/>
      <c r="O176" s="61"/>
      <c r="P176" s="68"/>
      <c r="Q176" s="81"/>
      <c r="R176" s="61"/>
      <c r="S176" s="100"/>
      <c r="T176" s="101"/>
    </row>
    <row r="177" spans="2:20" x14ac:dyDescent="0.3">
      <c r="B177" s="131"/>
      <c r="C177" s="131"/>
      <c r="D177" s="134"/>
      <c r="E177" s="61"/>
      <c r="F177" s="68"/>
      <c r="G177" s="61"/>
      <c r="H177" s="68"/>
      <c r="I177" s="61"/>
      <c r="J177" s="69"/>
      <c r="K177" s="61"/>
      <c r="L177" s="68"/>
      <c r="M177" s="61"/>
      <c r="N177" s="68"/>
      <c r="O177" s="61"/>
      <c r="P177" s="68"/>
      <c r="Q177" s="81"/>
      <c r="R177" s="61"/>
      <c r="S177" s="100"/>
      <c r="T177" s="101"/>
    </row>
    <row r="178" spans="2:20" x14ac:dyDescent="0.3">
      <c r="B178" s="131"/>
      <c r="C178" s="131"/>
      <c r="D178" s="134"/>
      <c r="E178" s="61"/>
      <c r="F178" s="68"/>
      <c r="G178" s="61"/>
      <c r="H178" s="68"/>
      <c r="I178" s="61"/>
      <c r="J178" s="69"/>
      <c r="K178" s="61"/>
      <c r="L178" s="68"/>
      <c r="M178" s="61"/>
      <c r="N178" s="68"/>
      <c r="O178" s="61"/>
      <c r="P178" s="68"/>
      <c r="Q178" s="81"/>
      <c r="R178" s="61"/>
      <c r="S178" s="100"/>
      <c r="T178" s="101"/>
    </row>
    <row r="179" spans="2:20" x14ac:dyDescent="0.3">
      <c r="B179" s="131"/>
      <c r="C179" s="131"/>
      <c r="D179" s="134"/>
      <c r="E179" s="61"/>
      <c r="F179" s="68"/>
      <c r="G179" s="61"/>
      <c r="H179" s="68"/>
      <c r="I179" s="61"/>
      <c r="J179" s="69"/>
      <c r="K179" s="61"/>
      <c r="L179" s="68"/>
      <c r="M179" s="61"/>
      <c r="N179" s="68"/>
      <c r="O179" s="61"/>
      <c r="P179" s="68"/>
      <c r="Q179" s="81"/>
      <c r="R179" s="61"/>
      <c r="S179" s="100"/>
      <c r="T179" s="101"/>
    </row>
    <row r="180" spans="2:20" x14ac:dyDescent="0.3">
      <c r="B180" s="131"/>
      <c r="C180" s="131"/>
      <c r="D180" s="134"/>
      <c r="E180" s="61"/>
      <c r="F180" s="68"/>
      <c r="G180" s="61"/>
      <c r="H180" s="68"/>
      <c r="I180" s="61"/>
      <c r="J180" s="69"/>
      <c r="K180" s="61"/>
      <c r="L180" s="68"/>
      <c r="M180" s="61"/>
      <c r="N180" s="68"/>
      <c r="O180" s="61"/>
      <c r="P180" s="68"/>
      <c r="Q180" s="81"/>
      <c r="R180" s="61"/>
      <c r="S180" s="100"/>
      <c r="T180" s="101"/>
    </row>
    <row r="181" spans="2:20" x14ac:dyDescent="0.3">
      <c r="B181" s="131"/>
      <c r="C181" s="131"/>
      <c r="D181" s="134"/>
      <c r="E181" s="61"/>
      <c r="F181" s="68"/>
      <c r="G181" s="61"/>
      <c r="H181" s="68"/>
      <c r="I181" s="61"/>
      <c r="J181" s="69"/>
      <c r="K181" s="61"/>
      <c r="L181" s="68"/>
      <c r="M181" s="61"/>
      <c r="N181" s="68"/>
      <c r="O181" s="61"/>
      <c r="P181" s="68"/>
      <c r="Q181" s="81"/>
      <c r="R181" s="61"/>
      <c r="S181" s="100"/>
      <c r="T181" s="101"/>
    </row>
    <row r="182" spans="2:20" x14ac:dyDescent="0.3">
      <c r="B182" s="131"/>
      <c r="C182" s="131"/>
      <c r="D182" s="134"/>
      <c r="E182" s="61"/>
      <c r="F182" s="68"/>
      <c r="G182" s="61"/>
      <c r="H182" s="68"/>
      <c r="I182" s="61"/>
      <c r="J182" s="69"/>
      <c r="K182" s="61"/>
      <c r="L182" s="68"/>
      <c r="M182" s="61"/>
      <c r="N182" s="68"/>
      <c r="O182" s="61"/>
      <c r="P182" s="68"/>
      <c r="Q182" s="81"/>
      <c r="R182" s="61"/>
      <c r="S182" s="100"/>
      <c r="T182" s="101"/>
    </row>
    <row r="183" spans="2:20" x14ac:dyDescent="0.3">
      <c r="B183" s="131"/>
      <c r="C183" s="131"/>
      <c r="D183" s="134"/>
      <c r="E183" s="61"/>
      <c r="F183" s="68"/>
      <c r="G183" s="61"/>
      <c r="H183" s="68"/>
      <c r="I183" s="61"/>
      <c r="J183" s="69"/>
      <c r="K183" s="61"/>
      <c r="L183" s="68"/>
      <c r="M183" s="61"/>
      <c r="N183" s="68"/>
      <c r="O183" s="61"/>
      <c r="P183" s="68"/>
      <c r="Q183" s="81"/>
      <c r="R183" s="61"/>
      <c r="S183" s="100"/>
      <c r="T183" s="101"/>
    </row>
    <row r="184" spans="2:20" x14ac:dyDescent="0.3">
      <c r="B184" s="131"/>
      <c r="C184" s="131"/>
      <c r="D184" s="134"/>
      <c r="E184" s="61"/>
      <c r="F184" s="68"/>
      <c r="G184" s="61"/>
      <c r="H184" s="68"/>
      <c r="I184" s="61"/>
      <c r="J184" s="69"/>
      <c r="K184" s="61"/>
      <c r="L184" s="68"/>
      <c r="M184" s="61"/>
      <c r="N184" s="68"/>
      <c r="O184" s="61"/>
      <c r="P184" s="68"/>
      <c r="Q184" s="81"/>
      <c r="R184" s="61"/>
      <c r="S184" s="100"/>
      <c r="T184" s="101"/>
    </row>
    <row r="185" spans="2:20" x14ac:dyDescent="0.3">
      <c r="B185" s="131"/>
      <c r="C185" s="131"/>
      <c r="D185" s="134"/>
      <c r="E185" s="61"/>
      <c r="F185" s="68"/>
      <c r="G185" s="61"/>
      <c r="H185" s="68"/>
      <c r="I185" s="61"/>
      <c r="J185" s="69"/>
      <c r="K185" s="61"/>
      <c r="L185" s="68"/>
      <c r="M185" s="61"/>
      <c r="N185" s="68"/>
      <c r="O185" s="61"/>
      <c r="P185" s="68"/>
      <c r="Q185" s="81"/>
      <c r="R185" s="61"/>
      <c r="S185" s="100"/>
      <c r="T185" s="101"/>
    </row>
    <row r="186" spans="2:20" x14ac:dyDescent="0.3">
      <c r="B186" s="131"/>
      <c r="C186" s="131"/>
      <c r="D186" s="134"/>
      <c r="E186" s="61"/>
      <c r="F186" s="68"/>
      <c r="G186" s="61"/>
      <c r="H186" s="68"/>
      <c r="I186" s="61"/>
      <c r="J186" s="69"/>
      <c r="K186" s="61"/>
      <c r="L186" s="68"/>
      <c r="M186" s="61"/>
      <c r="N186" s="68"/>
      <c r="O186" s="61"/>
      <c r="P186" s="68"/>
      <c r="Q186" s="81"/>
      <c r="R186" s="61"/>
      <c r="S186" s="100"/>
      <c r="T186" s="101"/>
    </row>
    <row r="187" spans="2:20" x14ac:dyDescent="0.3">
      <c r="B187" s="131"/>
      <c r="C187" s="131"/>
      <c r="D187" s="134"/>
      <c r="E187" s="61"/>
      <c r="F187" s="68"/>
      <c r="G187" s="61"/>
      <c r="H187" s="68"/>
      <c r="I187" s="61"/>
      <c r="J187" s="69"/>
      <c r="K187" s="61"/>
      <c r="L187" s="68"/>
      <c r="M187" s="61"/>
      <c r="N187" s="68"/>
      <c r="O187" s="61"/>
      <c r="P187" s="68"/>
      <c r="Q187" s="81"/>
      <c r="R187" s="61"/>
      <c r="S187" s="100"/>
      <c r="T187" s="101"/>
    </row>
    <row r="188" spans="2:20" x14ac:dyDescent="0.3">
      <c r="B188" s="131"/>
      <c r="C188" s="131"/>
      <c r="D188" s="134"/>
      <c r="E188" s="61"/>
      <c r="F188" s="68"/>
      <c r="G188" s="61"/>
      <c r="H188" s="68"/>
      <c r="I188" s="61"/>
      <c r="J188" s="69"/>
      <c r="K188" s="61"/>
      <c r="L188" s="68"/>
      <c r="M188" s="61"/>
      <c r="N188" s="68"/>
      <c r="O188" s="61"/>
      <c r="P188" s="68"/>
      <c r="Q188" s="81"/>
      <c r="R188" s="61"/>
      <c r="S188" s="100"/>
      <c r="T188" s="101"/>
    </row>
    <row r="189" spans="2:20" x14ac:dyDescent="0.3">
      <c r="B189" s="131"/>
      <c r="C189" s="131"/>
      <c r="D189" s="134"/>
      <c r="E189" s="61"/>
      <c r="F189" s="68"/>
      <c r="G189" s="61"/>
      <c r="H189" s="68"/>
      <c r="I189" s="61"/>
      <c r="J189" s="69"/>
      <c r="K189" s="61"/>
      <c r="L189" s="68"/>
      <c r="M189" s="61"/>
      <c r="N189" s="68"/>
      <c r="O189" s="61"/>
      <c r="P189" s="68"/>
      <c r="Q189" s="81"/>
      <c r="R189" s="61"/>
      <c r="S189" s="100"/>
      <c r="T189" s="101"/>
    </row>
    <row r="190" spans="2:20" x14ac:dyDescent="0.3">
      <c r="B190" s="132"/>
      <c r="C190" s="131"/>
      <c r="D190" s="134"/>
      <c r="E190" s="61"/>
      <c r="F190" s="68"/>
      <c r="G190" s="61"/>
      <c r="H190" s="68"/>
      <c r="I190" s="61"/>
      <c r="J190" s="69"/>
      <c r="K190" s="61"/>
      <c r="L190" s="68"/>
      <c r="M190" s="61"/>
      <c r="N190" s="68"/>
      <c r="O190" s="61"/>
      <c r="P190" s="68"/>
      <c r="Q190" s="81"/>
      <c r="R190" s="61"/>
      <c r="S190" s="100"/>
      <c r="T190" s="101"/>
    </row>
    <row r="191" spans="2:20" x14ac:dyDescent="0.3">
      <c r="B191" s="132"/>
      <c r="C191" s="131"/>
      <c r="D191" s="134"/>
      <c r="E191" s="61"/>
      <c r="F191" s="68"/>
      <c r="G191" s="61"/>
      <c r="H191" s="68"/>
      <c r="I191" s="61"/>
      <c r="J191" s="69"/>
      <c r="K191" s="61"/>
      <c r="L191" s="68"/>
      <c r="M191" s="61"/>
      <c r="N191" s="68"/>
      <c r="O191" s="61"/>
      <c r="P191" s="68"/>
      <c r="Q191" s="81"/>
      <c r="R191" s="61"/>
      <c r="S191" s="100"/>
      <c r="T191" s="101"/>
    </row>
    <row r="192" spans="2:20" x14ac:dyDescent="0.3">
      <c r="B192" s="131"/>
      <c r="C192" s="131"/>
      <c r="D192" s="134"/>
      <c r="E192" s="61"/>
      <c r="F192" s="68"/>
      <c r="G192" s="61"/>
      <c r="H192" s="68"/>
      <c r="I192" s="61"/>
      <c r="J192" s="69"/>
      <c r="K192" s="61"/>
      <c r="L192" s="68"/>
      <c r="M192" s="61"/>
      <c r="N192" s="68"/>
      <c r="O192" s="61"/>
      <c r="P192" s="68"/>
      <c r="Q192" s="81"/>
      <c r="R192" s="61"/>
      <c r="S192" s="100"/>
      <c r="T192" s="101"/>
    </row>
    <row r="193" spans="2:20" x14ac:dyDescent="0.3">
      <c r="B193" s="131"/>
      <c r="C193" s="131"/>
      <c r="D193" s="134"/>
      <c r="E193" s="61"/>
      <c r="F193" s="68"/>
      <c r="G193" s="61"/>
      <c r="H193" s="68"/>
      <c r="I193" s="61"/>
      <c r="J193" s="69"/>
      <c r="K193" s="61"/>
      <c r="L193" s="68"/>
      <c r="M193" s="61"/>
      <c r="N193" s="68"/>
      <c r="O193" s="61"/>
      <c r="P193" s="68"/>
      <c r="Q193" s="81"/>
      <c r="R193" s="61"/>
      <c r="S193" s="100"/>
      <c r="T193" s="101"/>
    </row>
    <row r="194" spans="2:20" x14ac:dyDescent="0.3">
      <c r="B194" s="131"/>
      <c r="C194" s="131"/>
      <c r="D194" s="134"/>
      <c r="E194" s="61"/>
      <c r="F194" s="68"/>
      <c r="G194" s="61"/>
      <c r="H194" s="68"/>
      <c r="I194" s="61"/>
      <c r="J194" s="69"/>
      <c r="K194" s="61"/>
      <c r="L194" s="68"/>
      <c r="M194" s="61"/>
      <c r="N194" s="68"/>
      <c r="O194" s="61"/>
      <c r="P194" s="68"/>
      <c r="Q194" s="81"/>
      <c r="R194" s="61"/>
      <c r="S194" s="100"/>
      <c r="T194" s="101"/>
    </row>
    <row r="195" spans="2:20" x14ac:dyDescent="0.3">
      <c r="B195" s="131"/>
      <c r="C195" s="131"/>
      <c r="D195" s="134"/>
      <c r="E195" s="61"/>
      <c r="F195" s="68"/>
      <c r="G195" s="61"/>
      <c r="H195" s="68"/>
      <c r="I195" s="61"/>
      <c r="J195" s="69"/>
      <c r="K195" s="61"/>
      <c r="L195" s="68"/>
      <c r="M195" s="61"/>
      <c r="N195" s="68"/>
      <c r="O195" s="61"/>
      <c r="P195" s="68"/>
      <c r="Q195" s="81"/>
      <c r="R195" s="61"/>
      <c r="S195" s="100"/>
      <c r="T195" s="101"/>
    </row>
    <row r="196" spans="2:20" x14ac:dyDescent="0.3">
      <c r="B196" s="131"/>
      <c r="C196" s="131"/>
      <c r="D196" s="134"/>
      <c r="E196" s="61"/>
      <c r="F196" s="68"/>
      <c r="G196" s="61"/>
      <c r="H196" s="68"/>
      <c r="I196" s="61"/>
      <c r="J196" s="69"/>
      <c r="K196" s="61"/>
      <c r="L196" s="68"/>
      <c r="M196" s="61"/>
      <c r="N196" s="68"/>
      <c r="O196" s="61"/>
      <c r="P196" s="68"/>
      <c r="Q196" s="81"/>
      <c r="R196" s="61"/>
      <c r="S196" s="100"/>
      <c r="T196" s="101"/>
    </row>
    <row r="197" spans="2:20" x14ac:dyDescent="0.3">
      <c r="B197" s="131"/>
      <c r="C197" s="131"/>
      <c r="D197" s="134"/>
      <c r="E197" s="61"/>
      <c r="F197" s="68"/>
      <c r="G197" s="61"/>
      <c r="H197" s="68"/>
      <c r="I197" s="61"/>
      <c r="J197" s="69"/>
      <c r="K197" s="61"/>
      <c r="L197" s="68"/>
      <c r="M197" s="61"/>
      <c r="N197" s="68"/>
      <c r="O197" s="61"/>
      <c r="P197" s="68"/>
      <c r="Q197" s="81"/>
      <c r="R197" s="61"/>
      <c r="S197" s="100"/>
      <c r="T197" s="101"/>
    </row>
    <row r="198" spans="2:20" x14ac:dyDescent="0.3">
      <c r="B198" s="132"/>
      <c r="C198" s="131"/>
      <c r="D198" s="134"/>
      <c r="E198" s="61"/>
      <c r="F198" s="68"/>
      <c r="G198" s="61"/>
      <c r="H198" s="68"/>
      <c r="I198" s="61"/>
      <c r="J198" s="69"/>
      <c r="K198" s="61"/>
      <c r="L198" s="68"/>
      <c r="M198" s="61"/>
      <c r="N198" s="68"/>
      <c r="O198" s="61"/>
      <c r="P198" s="68"/>
      <c r="Q198" s="81"/>
      <c r="R198" s="61"/>
      <c r="S198" s="100"/>
      <c r="T198" s="101"/>
    </row>
  </sheetData>
  <pageMargins left="0.7" right="0.7" top="0.75" bottom="0.75" header="0.3" footer="0.3"/>
  <pageSetup orientation="portrait" r:id="rId8"/>
  <customProperties>
    <customPr name="_pios_id" r:id="rId9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S29"/>
  <sheetViews>
    <sheetView zoomScale="70" zoomScaleNormal="70" workbookViewId="0">
      <selection activeCell="X24" sqref="X24:AH25"/>
    </sheetView>
  </sheetViews>
  <sheetFormatPr defaultRowHeight="13" x14ac:dyDescent="0.3"/>
  <cols>
    <col min="2" max="2" width="31.296875" bestFit="1" customWidth="1"/>
    <col min="3" max="3" width="21.69921875" bestFit="1" customWidth="1"/>
    <col min="4" max="5" width="11.09765625" bestFit="1" customWidth="1"/>
    <col min="6" max="7" width="10.09765625" bestFit="1" customWidth="1"/>
    <col min="17" max="18" width="10" bestFit="1" customWidth="1"/>
  </cols>
  <sheetData>
    <row r="1" spans="1:19" ht="14" thickTop="1" thickBot="1" x14ac:dyDescent="0.35">
      <c r="A1" s="48"/>
      <c r="B1" s="48"/>
      <c r="C1" s="71" t="s">
        <v>186</v>
      </c>
      <c r="D1" s="72"/>
      <c r="E1" s="73"/>
      <c r="F1" s="73"/>
      <c r="G1" s="74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19" ht="40" thickTop="1" thickBot="1" x14ac:dyDescent="0.35">
      <c r="A2" s="67" t="s">
        <v>1414</v>
      </c>
      <c r="B2" s="67" t="s">
        <v>1428</v>
      </c>
      <c r="C2" s="136" t="s">
        <v>1114</v>
      </c>
      <c r="D2" s="56" t="s">
        <v>1119</v>
      </c>
      <c r="E2" s="56" t="s">
        <v>1120</v>
      </c>
      <c r="F2" s="56" t="s">
        <v>1121</v>
      </c>
      <c r="G2" s="56" t="s">
        <v>1122</v>
      </c>
      <c r="H2" s="56" t="s">
        <v>1123</v>
      </c>
      <c r="I2" s="57" t="s">
        <v>1124</v>
      </c>
      <c r="J2" s="56" t="s">
        <v>1125</v>
      </c>
      <c r="K2" s="56" t="s">
        <v>1126</v>
      </c>
      <c r="L2" s="56" t="s">
        <v>1127</v>
      </c>
      <c r="M2" s="56" t="s">
        <v>1128</v>
      </c>
      <c r="N2" s="56" t="s">
        <v>1129</v>
      </c>
      <c r="O2" s="56" t="s">
        <v>1130</v>
      </c>
      <c r="P2" s="76" t="s">
        <v>1117</v>
      </c>
      <c r="Q2" s="75" t="s">
        <v>1115</v>
      </c>
      <c r="R2" s="75" t="s">
        <v>1118</v>
      </c>
      <c r="S2" s="78" t="s">
        <v>1116</v>
      </c>
    </row>
    <row r="3" spans="1:19" ht="13.5" thickTop="1" x14ac:dyDescent="0.3">
      <c r="A3" t="s">
        <v>1374</v>
      </c>
      <c r="B3" t="s">
        <v>1374</v>
      </c>
      <c r="C3" s="133">
        <v>174896.2</v>
      </c>
      <c r="D3" s="61">
        <v>0</v>
      </c>
      <c r="E3" s="68">
        <v>0</v>
      </c>
      <c r="F3" s="61">
        <v>116445.32999999997</v>
      </c>
      <c r="G3" s="68">
        <v>0.66579679832952321</v>
      </c>
      <c r="H3" s="61">
        <v>27936.109999999997</v>
      </c>
      <c r="I3" s="69">
        <v>0.15972965679071355</v>
      </c>
      <c r="J3" s="61">
        <v>9349.93</v>
      </c>
      <c r="K3" s="68">
        <v>5.3459880774996825E-2</v>
      </c>
      <c r="L3" s="61">
        <v>9659.7100000000009</v>
      </c>
      <c r="M3" s="68">
        <v>5.5231102791255614E-2</v>
      </c>
      <c r="N3" s="61">
        <v>11505.130000000001</v>
      </c>
      <c r="O3" s="68">
        <v>6.5782618490281664E-2</v>
      </c>
      <c r="P3" s="79">
        <v>18515.870000000003</v>
      </c>
      <c r="Q3" s="58">
        <v>39199.556666666569</v>
      </c>
      <c r="R3" s="98">
        <v>0.10586776613785778</v>
      </c>
      <c r="S3" s="99">
        <v>133.8506464401344</v>
      </c>
    </row>
    <row r="4" spans="1:19" x14ac:dyDescent="0.3">
      <c r="A4" t="s">
        <v>1386</v>
      </c>
      <c r="B4" t="s">
        <v>1386</v>
      </c>
      <c r="C4" s="134">
        <v>380628.31</v>
      </c>
      <c r="D4" s="61">
        <v>380628.31</v>
      </c>
      <c r="E4" s="68">
        <v>1</v>
      </c>
      <c r="F4" s="61">
        <v>0</v>
      </c>
      <c r="G4" s="68">
        <v>0</v>
      </c>
      <c r="H4" s="61">
        <v>0</v>
      </c>
      <c r="I4" s="69">
        <v>0</v>
      </c>
      <c r="J4" s="61">
        <v>0</v>
      </c>
      <c r="K4" s="68">
        <v>0</v>
      </c>
      <c r="L4" s="61">
        <v>0</v>
      </c>
      <c r="M4" s="68">
        <v>0</v>
      </c>
      <c r="N4" s="61">
        <v>0</v>
      </c>
      <c r="O4" s="68">
        <v>0</v>
      </c>
      <c r="P4" s="81">
        <v>0</v>
      </c>
      <c r="Q4" s="61">
        <v>99515.603333333303</v>
      </c>
      <c r="R4" s="100">
        <v>0</v>
      </c>
      <c r="S4" s="101">
        <v>114.74431061581268</v>
      </c>
    </row>
    <row r="5" spans="1:19" x14ac:dyDescent="0.3">
      <c r="A5" t="s">
        <v>1416</v>
      </c>
      <c r="B5" t="s">
        <v>1421</v>
      </c>
      <c r="C5" s="134">
        <v>150156.35999999999</v>
      </c>
      <c r="D5" s="61">
        <v>0</v>
      </c>
      <c r="E5" s="68">
        <v>0</v>
      </c>
      <c r="F5" s="61">
        <v>148033.72</v>
      </c>
      <c r="G5" s="68">
        <v>0.98586380223921266</v>
      </c>
      <c r="H5" s="61">
        <v>671.12</v>
      </c>
      <c r="I5" s="69">
        <v>4.4694743532674875E-3</v>
      </c>
      <c r="J5" s="61">
        <v>1451.52</v>
      </c>
      <c r="K5" s="68">
        <v>9.6667234075200024E-3</v>
      </c>
      <c r="L5" s="61">
        <v>0</v>
      </c>
      <c r="M5" s="68">
        <v>0</v>
      </c>
      <c r="N5" s="61">
        <v>0</v>
      </c>
      <c r="O5" s="68">
        <v>0</v>
      </c>
      <c r="P5" s="81">
        <v>161.29</v>
      </c>
      <c r="Q5" s="61">
        <v>122912.14666666664</v>
      </c>
      <c r="R5" s="100">
        <v>1.0741469758590312E-3</v>
      </c>
      <c r="S5" s="101">
        <v>36.649679646524767</v>
      </c>
    </row>
    <row r="6" spans="1:19" x14ac:dyDescent="0.3">
      <c r="B6" t="s">
        <v>1422</v>
      </c>
      <c r="C6" s="134">
        <v>287882.14999999991</v>
      </c>
      <c r="D6" s="61">
        <v>0</v>
      </c>
      <c r="E6" s="68">
        <v>0</v>
      </c>
      <c r="F6" s="61">
        <v>274522.31999999989</v>
      </c>
      <c r="G6" s="68">
        <v>0.95359271146196445</v>
      </c>
      <c r="H6" s="61">
        <v>7380.9299999999994</v>
      </c>
      <c r="I6" s="69">
        <v>2.5638720566731915E-2</v>
      </c>
      <c r="J6" s="61">
        <v>4758.7</v>
      </c>
      <c r="K6" s="68">
        <v>1.6530027999304583E-2</v>
      </c>
      <c r="L6" s="61">
        <v>796.2</v>
      </c>
      <c r="M6" s="68">
        <v>2.765715067780341E-3</v>
      </c>
      <c r="N6" s="61">
        <v>424</v>
      </c>
      <c r="O6" s="68">
        <v>1.472824904218619E-3</v>
      </c>
      <c r="P6" s="81">
        <v>2069.3000000000002</v>
      </c>
      <c r="Q6" s="61">
        <v>139223.01666666666</v>
      </c>
      <c r="R6" s="100">
        <v>7.1880107884424267E-3</v>
      </c>
      <c r="S6" s="101">
        <v>62.033309626365636</v>
      </c>
    </row>
    <row r="7" spans="1:19" x14ac:dyDescent="0.3">
      <c r="B7" t="s">
        <v>1423</v>
      </c>
      <c r="C7" s="134">
        <v>58181.760000000002</v>
      </c>
      <c r="D7" s="61">
        <v>0</v>
      </c>
      <c r="E7" s="68">
        <v>0</v>
      </c>
      <c r="F7" s="61">
        <v>58181.760000000002</v>
      </c>
      <c r="G7" s="68">
        <v>1</v>
      </c>
      <c r="H7" s="61">
        <v>0</v>
      </c>
      <c r="I7" s="69">
        <v>0</v>
      </c>
      <c r="J7" s="61">
        <v>0</v>
      </c>
      <c r="K7" s="68">
        <v>0</v>
      </c>
      <c r="L7" s="61">
        <v>0</v>
      </c>
      <c r="M7" s="68">
        <v>0</v>
      </c>
      <c r="N7" s="61">
        <v>0</v>
      </c>
      <c r="O7" s="68">
        <v>0</v>
      </c>
      <c r="P7" s="81">
        <v>0</v>
      </c>
      <c r="Q7" s="61">
        <v>7344</v>
      </c>
      <c r="R7" s="100">
        <v>0</v>
      </c>
      <c r="S7" s="101">
        <v>237.67058823529413</v>
      </c>
    </row>
    <row r="8" spans="1:19" x14ac:dyDescent="0.3">
      <c r="B8" t="s">
        <v>1376</v>
      </c>
      <c r="C8" s="134">
        <v>555388.21</v>
      </c>
      <c r="D8" s="61">
        <v>0</v>
      </c>
      <c r="E8" s="68">
        <v>0</v>
      </c>
      <c r="F8" s="61">
        <v>495663.06999999995</v>
      </c>
      <c r="G8" s="68">
        <v>0.89246235529558682</v>
      </c>
      <c r="H8" s="61">
        <v>31736.639999999999</v>
      </c>
      <c r="I8" s="69">
        <v>5.7143164778380877E-2</v>
      </c>
      <c r="J8" s="61">
        <v>11857.7</v>
      </c>
      <c r="K8" s="68">
        <v>2.1350291177409043E-2</v>
      </c>
      <c r="L8" s="61">
        <v>12623.16</v>
      </c>
      <c r="M8" s="68">
        <v>2.2728534334569329E-2</v>
      </c>
      <c r="N8" s="61">
        <v>3507.64</v>
      </c>
      <c r="O8" s="68">
        <v>6.3156544140539105E-3</v>
      </c>
      <c r="P8" s="81">
        <v>12158.009999999998</v>
      </c>
      <c r="Q8" s="61">
        <v>156079.95999999961</v>
      </c>
      <c r="R8" s="100">
        <v>2.189101205443306E-2</v>
      </c>
      <c r="S8" s="101">
        <v>106.75070841894143</v>
      </c>
    </row>
    <row r="9" spans="1:19" x14ac:dyDescent="0.3">
      <c r="A9" t="s">
        <v>1417</v>
      </c>
      <c r="B9" t="s">
        <v>1421</v>
      </c>
      <c r="C9" s="134">
        <v>645557.34000000008</v>
      </c>
      <c r="D9" s="61">
        <v>0</v>
      </c>
      <c r="E9" s="68">
        <v>0</v>
      </c>
      <c r="F9" s="61">
        <v>611600.9</v>
      </c>
      <c r="G9" s="68">
        <v>0.94739980804803481</v>
      </c>
      <c r="H9" s="61">
        <v>16372.710000000003</v>
      </c>
      <c r="I9" s="69">
        <v>2.5362131270941789E-2</v>
      </c>
      <c r="J9" s="61">
        <v>229.03</v>
      </c>
      <c r="K9" s="68">
        <v>3.5477870951014197E-4</v>
      </c>
      <c r="L9" s="61">
        <v>17232.599999999999</v>
      </c>
      <c r="M9" s="68">
        <v>2.6694143079528762E-2</v>
      </c>
      <c r="N9" s="61">
        <v>122.1</v>
      </c>
      <c r="O9" s="68">
        <v>1.8913889198440525E-4</v>
      </c>
      <c r="P9" s="81">
        <v>13425.63</v>
      </c>
      <c r="Q9" s="61">
        <v>683365.14000000025</v>
      </c>
      <c r="R9" s="100">
        <v>2.0796959724755041E-2</v>
      </c>
      <c r="S9" s="101">
        <v>28.340222622418224</v>
      </c>
    </row>
    <row r="10" spans="1:19" x14ac:dyDescent="0.3">
      <c r="B10" t="s">
        <v>1424</v>
      </c>
      <c r="C10" s="134">
        <v>321946.26</v>
      </c>
      <c r="D10" s="61">
        <v>0</v>
      </c>
      <c r="E10" s="68">
        <v>0</v>
      </c>
      <c r="F10" s="61">
        <v>187806.45</v>
      </c>
      <c r="G10" s="68">
        <v>0.58334720210758162</v>
      </c>
      <c r="H10" s="61">
        <v>122342.73000000001</v>
      </c>
      <c r="I10" s="69">
        <v>0.38000978796896107</v>
      </c>
      <c r="J10" s="61">
        <v>9557.1</v>
      </c>
      <c r="K10" s="68">
        <v>2.9685389108107672E-2</v>
      </c>
      <c r="L10" s="61">
        <v>216.3</v>
      </c>
      <c r="M10" s="68">
        <v>6.7185125865416178E-4</v>
      </c>
      <c r="N10" s="61">
        <v>2023.68</v>
      </c>
      <c r="O10" s="68">
        <v>6.2857695566955803E-3</v>
      </c>
      <c r="P10" s="81">
        <v>3449.34</v>
      </c>
      <c r="Q10" s="61">
        <v>204201.88333333319</v>
      </c>
      <c r="R10" s="100">
        <v>1.0714024135580889E-2</v>
      </c>
      <c r="S10" s="101">
        <v>47.29823076231834</v>
      </c>
    </row>
    <row r="11" spans="1:19" x14ac:dyDescent="0.3">
      <c r="B11" t="s">
        <v>1425</v>
      </c>
      <c r="C11" s="134">
        <v>34724.699999999997</v>
      </c>
      <c r="D11" s="61">
        <v>0</v>
      </c>
      <c r="E11" s="68">
        <v>0</v>
      </c>
      <c r="F11" s="61">
        <v>34724.699999999997</v>
      </c>
      <c r="G11" s="68">
        <v>1</v>
      </c>
      <c r="H11" s="61">
        <v>0</v>
      </c>
      <c r="I11" s="69">
        <v>0</v>
      </c>
      <c r="J11" s="61">
        <v>0</v>
      </c>
      <c r="K11" s="68">
        <v>0</v>
      </c>
      <c r="L11" s="61">
        <v>0</v>
      </c>
      <c r="M11" s="68">
        <v>0</v>
      </c>
      <c r="N11" s="61">
        <v>0</v>
      </c>
      <c r="O11" s="68">
        <v>0</v>
      </c>
      <c r="P11" s="81">
        <v>0</v>
      </c>
      <c r="Q11" s="61">
        <v>57390.893333332999</v>
      </c>
      <c r="R11" s="100">
        <v>0</v>
      </c>
      <c r="S11" s="101">
        <v>18.151677722621368</v>
      </c>
    </row>
    <row r="12" spans="1:19" x14ac:dyDescent="0.3">
      <c r="B12" t="s">
        <v>1398</v>
      </c>
      <c r="C12" s="134">
        <v>39794.75</v>
      </c>
      <c r="D12" s="61">
        <v>0</v>
      </c>
      <c r="E12" s="68">
        <v>0</v>
      </c>
      <c r="F12" s="61">
        <v>39794.75</v>
      </c>
      <c r="G12" s="68">
        <v>1</v>
      </c>
      <c r="H12" s="61">
        <v>0</v>
      </c>
      <c r="I12" s="69">
        <v>0</v>
      </c>
      <c r="J12" s="61">
        <v>0</v>
      </c>
      <c r="K12" s="68">
        <v>0</v>
      </c>
      <c r="L12" s="61">
        <v>0</v>
      </c>
      <c r="M12" s="68">
        <v>0</v>
      </c>
      <c r="N12" s="61">
        <v>0</v>
      </c>
      <c r="O12" s="68">
        <v>0</v>
      </c>
      <c r="P12" s="81">
        <v>0</v>
      </c>
      <c r="Q12" s="61">
        <v>20967.773333333334</v>
      </c>
      <c r="R12" s="100">
        <v>0</v>
      </c>
      <c r="S12" s="101">
        <v>56.937018586618315</v>
      </c>
    </row>
    <row r="13" spans="1:19" x14ac:dyDescent="0.3">
      <c r="B13" t="s">
        <v>1376</v>
      </c>
      <c r="C13" s="134">
        <v>741415.45</v>
      </c>
      <c r="D13" s="61">
        <v>0</v>
      </c>
      <c r="E13" s="68">
        <v>0</v>
      </c>
      <c r="F13" s="61">
        <v>731033.02</v>
      </c>
      <c r="G13" s="68">
        <v>0.98599647471603147</v>
      </c>
      <c r="H13" s="61">
        <v>0</v>
      </c>
      <c r="I13" s="69">
        <v>0</v>
      </c>
      <c r="J13" s="61">
        <v>10382.42</v>
      </c>
      <c r="K13" s="68">
        <v>1.4003511796254045E-2</v>
      </c>
      <c r="L13" s="61">
        <v>0.01</v>
      </c>
      <c r="M13" s="68">
        <v>1.3487714613985993E-8</v>
      </c>
      <c r="N13" s="61">
        <v>0</v>
      </c>
      <c r="O13" s="68">
        <v>0</v>
      </c>
      <c r="P13" s="81">
        <v>1730.55</v>
      </c>
      <c r="Q13" s="61">
        <v>492597.21333332994</v>
      </c>
      <c r="R13" s="100">
        <v>2.3341164525233458E-3</v>
      </c>
      <c r="S13" s="101">
        <v>45.153449710948735</v>
      </c>
    </row>
    <row r="14" spans="1:19" x14ac:dyDescent="0.3">
      <c r="A14" t="s">
        <v>1418</v>
      </c>
      <c r="B14" t="s">
        <v>1421</v>
      </c>
      <c r="C14" s="134">
        <v>366226.82</v>
      </c>
      <c r="D14" s="61">
        <v>153.9</v>
      </c>
      <c r="E14" s="68">
        <v>4.2023137464372492E-4</v>
      </c>
      <c r="F14" s="61">
        <v>360833.12</v>
      </c>
      <c r="G14" s="68">
        <v>0.98527224194011787</v>
      </c>
      <c r="H14" s="61">
        <v>0</v>
      </c>
      <c r="I14" s="69">
        <v>0</v>
      </c>
      <c r="J14" s="61">
        <v>5239.8</v>
      </c>
      <c r="K14" s="68">
        <v>1.43075266852384E-2</v>
      </c>
      <c r="L14" s="61">
        <v>0</v>
      </c>
      <c r="M14" s="68">
        <v>0</v>
      </c>
      <c r="N14" s="61">
        <v>0</v>
      </c>
      <c r="O14" s="68">
        <v>0</v>
      </c>
      <c r="P14" s="81">
        <v>599.15</v>
      </c>
      <c r="Q14" s="61">
        <v>486580.35333333234</v>
      </c>
      <c r="R14" s="100">
        <v>1.63600797997263E-3</v>
      </c>
      <c r="S14" s="101">
        <v>22.579630527074485</v>
      </c>
    </row>
    <row r="15" spans="1:19" x14ac:dyDescent="0.3">
      <c r="B15" t="s">
        <v>1422</v>
      </c>
      <c r="C15" s="134">
        <v>161880.85</v>
      </c>
      <c r="D15" s="61">
        <v>0</v>
      </c>
      <c r="E15" s="68">
        <v>0</v>
      </c>
      <c r="F15" s="61">
        <v>138986.84</v>
      </c>
      <c r="G15" s="68">
        <v>0.85857493335375978</v>
      </c>
      <c r="H15" s="61">
        <v>482.52</v>
      </c>
      <c r="I15" s="69">
        <v>2.9807108129219729E-3</v>
      </c>
      <c r="J15" s="61">
        <v>8643.1099999999988</v>
      </c>
      <c r="K15" s="68">
        <v>5.3391800203668308E-2</v>
      </c>
      <c r="L15" s="61">
        <v>5675.0999999999995</v>
      </c>
      <c r="M15" s="68">
        <v>3.5057265884136386E-2</v>
      </c>
      <c r="N15" s="61">
        <v>8093.2800000000007</v>
      </c>
      <c r="O15" s="68">
        <v>4.9995289745513448E-2</v>
      </c>
      <c r="P15" s="81">
        <v>13635.150000000001</v>
      </c>
      <c r="Q15" s="61">
        <v>138883.49333333335</v>
      </c>
      <c r="R15" s="100">
        <v>8.4229542901461174E-2</v>
      </c>
      <c r="S15" s="101">
        <v>34.967622022180315</v>
      </c>
    </row>
    <row r="16" spans="1:19" x14ac:dyDescent="0.3">
      <c r="B16" t="s">
        <v>1424</v>
      </c>
      <c r="C16" s="134">
        <v>33477.68</v>
      </c>
      <c r="D16" s="61">
        <v>0</v>
      </c>
      <c r="E16" s="68">
        <v>0</v>
      </c>
      <c r="F16" s="61">
        <v>33477.68</v>
      </c>
      <c r="G16" s="68">
        <v>1</v>
      </c>
      <c r="H16" s="61">
        <v>0</v>
      </c>
      <c r="I16" s="69">
        <v>0</v>
      </c>
      <c r="J16" s="61">
        <v>0</v>
      </c>
      <c r="K16" s="68">
        <v>0</v>
      </c>
      <c r="L16" s="61">
        <v>0</v>
      </c>
      <c r="M16" s="68">
        <v>0</v>
      </c>
      <c r="N16" s="61">
        <v>0</v>
      </c>
      <c r="O16" s="68">
        <v>0</v>
      </c>
      <c r="P16" s="81">
        <v>0</v>
      </c>
      <c r="Q16" s="61">
        <v>37667.923333333303</v>
      </c>
      <c r="R16" s="100">
        <v>0</v>
      </c>
      <c r="S16" s="101">
        <v>26.662749393228228</v>
      </c>
    </row>
    <row r="17" spans="1:19" x14ac:dyDescent="0.3">
      <c r="B17" t="s">
        <v>1376</v>
      </c>
      <c r="C17" s="134">
        <v>435459.66</v>
      </c>
      <c r="D17" s="61">
        <v>0</v>
      </c>
      <c r="E17" s="68">
        <v>0</v>
      </c>
      <c r="F17" s="61">
        <v>434016.74</v>
      </c>
      <c r="G17" s="68">
        <v>0.99668644392915762</v>
      </c>
      <c r="H17" s="61">
        <v>0</v>
      </c>
      <c r="I17" s="69">
        <v>0</v>
      </c>
      <c r="J17" s="61">
        <v>0</v>
      </c>
      <c r="K17" s="68">
        <v>0</v>
      </c>
      <c r="L17" s="61">
        <v>103.59</v>
      </c>
      <c r="M17" s="68">
        <v>2.3788655876872731E-4</v>
      </c>
      <c r="N17" s="61">
        <v>1339.3400000000001</v>
      </c>
      <c r="O17" s="68">
        <v>3.0756924763134207E-3</v>
      </c>
      <c r="P17" s="81">
        <v>1414.16</v>
      </c>
      <c r="Q17" s="61">
        <v>369047.03333333292</v>
      </c>
      <c r="R17" s="100">
        <v>3.2475109175440042E-3</v>
      </c>
      <c r="S17" s="101">
        <v>35.398712413440386</v>
      </c>
    </row>
    <row r="18" spans="1:19" x14ac:dyDescent="0.3">
      <c r="A18" t="s">
        <v>1419</v>
      </c>
      <c r="B18" t="s">
        <v>1426</v>
      </c>
      <c r="C18" s="134">
        <v>271897.34000000003</v>
      </c>
      <c r="D18" s="61">
        <v>0</v>
      </c>
      <c r="E18" s="68">
        <v>0</v>
      </c>
      <c r="F18" s="61">
        <v>239643.75000000003</v>
      </c>
      <c r="G18" s="68">
        <v>0.88137585310691158</v>
      </c>
      <c r="H18" s="61">
        <v>13312.65</v>
      </c>
      <c r="I18" s="69">
        <v>4.8962045748590255E-2</v>
      </c>
      <c r="J18" s="61">
        <v>7469.4400000000005</v>
      </c>
      <c r="K18" s="68">
        <v>2.7471544958843658E-2</v>
      </c>
      <c r="L18" s="61">
        <v>7350.88</v>
      </c>
      <c r="M18" s="68">
        <v>2.7035498030249207E-2</v>
      </c>
      <c r="N18" s="61">
        <v>4120.62</v>
      </c>
      <c r="O18" s="68">
        <v>1.5155058155405269E-2</v>
      </c>
      <c r="P18" s="81">
        <v>8594.590000000002</v>
      </c>
      <c r="Q18" s="61">
        <v>162216.94999999998</v>
      </c>
      <c r="R18" s="100">
        <v>3.160968768580083E-2</v>
      </c>
      <c r="S18" s="101">
        <v>50.284019025138875</v>
      </c>
    </row>
    <row r="19" spans="1:19" x14ac:dyDescent="0.3">
      <c r="A19" t="s">
        <v>1420</v>
      </c>
      <c r="B19" t="s">
        <v>1427</v>
      </c>
      <c r="C19" s="134">
        <v>0</v>
      </c>
      <c r="D19" s="61">
        <v>0</v>
      </c>
      <c r="E19" s="68">
        <v>0</v>
      </c>
      <c r="F19" s="61">
        <v>0</v>
      </c>
      <c r="G19" s="68">
        <v>0</v>
      </c>
      <c r="H19" s="61">
        <v>0</v>
      </c>
      <c r="I19" s="69">
        <v>0</v>
      </c>
      <c r="J19" s="61">
        <v>0</v>
      </c>
      <c r="K19" s="68">
        <v>0</v>
      </c>
      <c r="L19" s="61">
        <v>0</v>
      </c>
      <c r="M19" s="68">
        <v>0</v>
      </c>
      <c r="N19" s="61">
        <v>0</v>
      </c>
      <c r="O19" s="68">
        <v>0</v>
      </c>
      <c r="P19" s="81">
        <v>0</v>
      </c>
      <c r="Q19" s="61">
        <v>0</v>
      </c>
      <c r="R19" s="100">
        <v>0</v>
      </c>
      <c r="S19" s="101">
        <v>0</v>
      </c>
    </row>
    <row r="20" spans="1:19" x14ac:dyDescent="0.3">
      <c r="A20" t="s">
        <v>1415</v>
      </c>
      <c r="B20" t="s">
        <v>1415</v>
      </c>
      <c r="C20" s="134">
        <v>4659513.839999998</v>
      </c>
      <c r="D20" s="61">
        <v>380782.21</v>
      </c>
      <c r="E20" s="68">
        <v>8.1721446287194674E-2</v>
      </c>
      <c r="F20" s="61">
        <v>3904764.15</v>
      </c>
      <c r="G20" s="68">
        <v>0.8380196484189435</v>
      </c>
      <c r="H20" s="61">
        <v>220235.41</v>
      </c>
      <c r="I20" s="69">
        <v>4.7265748651580376E-2</v>
      </c>
      <c r="J20" s="61">
        <v>68938.75</v>
      </c>
      <c r="K20" s="68">
        <v>1.4795266709627377E-2</v>
      </c>
      <c r="L20" s="61">
        <v>53657.55</v>
      </c>
      <c r="M20" s="68">
        <v>1.1515697096845629E-2</v>
      </c>
      <c r="N20" s="61">
        <v>31135.79</v>
      </c>
      <c r="O20" s="68">
        <v>6.6821971281021053E-3</v>
      </c>
      <c r="P20" s="81">
        <v>75753.039999999979</v>
      </c>
      <c r="Q20" s="61"/>
      <c r="R20" s="100">
        <v>1.6257713272507419E-2</v>
      </c>
      <c r="S20" s="101">
        <v>0</v>
      </c>
    </row>
    <row r="21" spans="1:19" ht="13.5" thickBot="1" x14ac:dyDescent="0.35">
      <c r="A21" s="48" t="s">
        <v>159</v>
      </c>
      <c r="B21" s="48"/>
      <c r="C21" s="135">
        <v>9319027.6799999978</v>
      </c>
      <c r="D21" s="61">
        <v>761564.42</v>
      </c>
      <c r="E21" s="68">
        <v>8.1721446287194702E-2</v>
      </c>
      <c r="F21" s="61">
        <v>7809528.2999999989</v>
      </c>
      <c r="G21" s="68">
        <v>0.83801964841894372</v>
      </c>
      <c r="H21" s="61">
        <v>440470.81999999995</v>
      </c>
      <c r="I21" s="69">
        <v>4.726574865158039E-2</v>
      </c>
      <c r="J21" s="61">
        <v>137877.5</v>
      </c>
      <c r="K21" s="68">
        <v>1.4795266709627384E-2</v>
      </c>
      <c r="L21" s="61">
        <v>107315.1</v>
      </c>
      <c r="M21" s="68">
        <v>1.1515697096845632E-2</v>
      </c>
      <c r="N21" s="61">
        <v>62271.58</v>
      </c>
      <c r="O21" s="68">
        <v>6.6821971281021087E-3</v>
      </c>
      <c r="P21" s="82">
        <v>151506.07999999999</v>
      </c>
      <c r="Q21" s="63">
        <v>3217192.9399999944</v>
      </c>
      <c r="R21" s="129">
        <v>1.6257713272507426E-2</v>
      </c>
      <c r="S21" s="130">
        <v>86.898994127470701</v>
      </c>
    </row>
    <row r="22" spans="1:19" ht="13.5" thickTop="1" x14ac:dyDescent="0.3"/>
    <row r="28" spans="1:19" ht="13.5" thickBot="1" x14ac:dyDescent="0.35"/>
    <row r="29" spans="1:19" ht="13.5" thickTop="1" x14ac:dyDescent="0.3"/>
  </sheetData>
  <pageMargins left="0.7" right="0.7" top="0.75" bottom="0.75" header="0.3" footer="0.3"/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L78"/>
  <sheetViews>
    <sheetView zoomScale="70" zoomScaleNormal="70" workbookViewId="0">
      <selection activeCell="D58" sqref="D58"/>
    </sheetView>
  </sheetViews>
  <sheetFormatPr defaultRowHeight="13" x14ac:dyDescent="0.3"/>
  <cols>
    <col min="1" max="1" width="31.09765625" bestFit="1" customWidth="1"/>
    <col min="2" max="2" width="9" bestFit="1" customWidth="1"/>
    <col min="3" max="3" width="28" bestFit="1" customWidth="1"/>
    <col min="4" max="4" width="27.19921875" bestFit="1" customWidth="1"/>
    <col min="5" max="5" width="26" bestFit="1" customWidth="1"/>
    <col min="6" max="7" width="25.69921875" bestFit="1" customWidth="1"/>
    <col min="8" max="8" width="27.59765625" bestFit="1" customWidth="1"/>
    <col min="9" max="9" width="26.69921875" bestFit="1" customWidth="1"/>
    <col min="10" max="10" width="14.8984375" bestFit="1" customWidth="1"/>
    <col min="11" max="11" width="11.69921875" bestFit="1" customWidth="1"/>
    <col min="12" max="12" width="13.8984375" bestFit="1" customWidth="1"/>
  </cols>
  <sheetData>
    <row r="1" spans="1:12" x14ac:dyDescent="0.3">
      <c r="A1" s="102" t="s">
        <v>1449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</row>
    <row r="2" spans="1:12" x14ac:dyDescent="0.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</row>
    <row r="3" spans="1:12" ht="13.5" thickBot="1" x14ac:dyDescent="0.35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1:12" ht="14.5" thickBot="1" x14ac:dyDescent="0.35">
      <c r="A4" s="181" t="s">
        <v>1374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3"/>
    </row>
    <row r="5" spans="1:12" ht="24" thickBot="1" x14ac:dyDescent="0.35">
      <c r="A5" s="104" t="s">
        <v>1164</v>
      </c>
      <c r="B5" s="105" t="s">
        <v>1165</v>
      </c>
      <c r="C5" s="106" t="s">
        <v>1146</v>
      </c>
      <c r="D5" s="106" t="s">
        <v>1147</v>
      </c>
      <c r="E5" s="107" t="s">
        <v>1148</v>
      </c>
      <c r="F5" s="107" t="s">
        <v>1149</v>
      </c>
      <c r="G5" s="107" t="s">
        <v>1150</v>
      </c>
      <c r="H5" s="107" t="s">
        <v>1151</v>
      </c>
      <c r="I5" s="106" t="s">
        <v>1153</v>
      </c>
      <c r="J5" s="108" t="s">
        <v>1166</v>
      </c>
      <c r="K5" s="109" t="s">
        <v>1167</v>
      </c>
      <c r="L5" s="110" t="s">
        <v>1152</v>
      </c>
    </row>
    <row r="6" spans="1:12" x14ac:dyDescent="0.3">
      <c r="A6" s="111"/>
      <c r="B6" s="112"/>
      <c r="C6" s="113"/>
      <c r="D6" s="113"/>
      <c r="E6" s="113"/>
      <c r="F6" s="113"/>
      <c r="G6" s="113"/>
      <c r="H6" s="113"/>
      <c r="I6" s="113"/>
      <c r="J6" s="114"/>
      <c r="K6" s="112"/>
      <c r="L6" s="114"/>
    </row>
    <row r="7" spans="1:12" x14ac:dyDescent="0.3">
      <c r="A7" s="115" t="s">
        <v>1374</v>
      </c>
      <c r="B7" s="116" t="s">
        <v>1435</v>
      </c>
      <c r="C7" s="117">
        <v>174896.2</v>
      </c>
      <c r="D7" s="117">
        <v>116445.32999999997</v>
      </c>
      <c r="E7" s="117">
        <v>27936.109999999997</v>
      </c>
      <c r="F7" s="117">
        <v>9349.93</v>
      </c>
      <c r="G7" s="117">
        <v>9659.7100000000009</v>
      </c>
      <c r="H7" s="117">
        <v>11505.130000000001</v>
      </c>
      <c r="I7" s="117">
        <v>18515.870000000003</v>
      </c>
      <c r="J7" s="118">
        <v>39199.556666666569</v>
      </c>
      <c r="K7" s="119">
        <v>0.10586776613785778</v>
      </c>
      <c r="L7" s="120">
        <v>133.8506464401344</v>
      </c>
    </row>
    <row r="8" spans="1:12" x14ac:dyDescent="0.3">
      <c r="A8" s="115" t="str">
        <f>A7</f>
        <v>Additives</v>
      </c>
      <c r="B8" s="116" t="s">
        <v>1365</v>
      </c>
      <c r="C8" s="117">
        <v>198110.7</v>
      </c>
      <c r="D8" s="117">
        <v>141065.31</v>
      </c>
      <c r="E8" s="117">
        <v>26844.25</v>
      </c>
      <c r="F8" s="117">
        <v>7389.75</v>
      </c>
      <c r="G8" s="117">
        <v>12191.15</v>
      </c>
      <c r="H8" s="117">
        <v>10620.24</v>
      </c>
      <c r="I8" s="117">
        <v>18598.389999999996</v>
      </c>
      <c r="J8" s="118">
        <v>38505.423333333238</v>
      </c>
      <c r="K8" s="119">
        <v>9.3878775856124863E-2</v>
      </c>
      <c r="L8" s="120">
        <v>154.35023135702048</v>
      </c>
    </row>
    <row r="9" spans="1:12" ht="13.5" thickBot="1" x14ac:dyDescent="0.35">
      <c r="A9" s="121" t="s">
        <v>1168</v>
      </c>
      <c r="B9" s="122"/>
      <c r="C9" s="123">
        <f>C7-C8</f>
        <v>-23214.5</v>
      </c>
      <c r="D9" s="123">
        <f t="shared" ref="D9:J9" si="0">D7-D8</f>
        <v>-24619.980000000025</v>
      </c>
      <c r="E9" s="124">
        <f t="shared" si="0"/>
        <v>1091.8599999999969</v>
      </c>
      <c r="F9" s="123">
        <f t="shared" si="0"/>
        <v>1960.1800000000003</v>
      </c>
      <c r="G9" s="123">
        <f t="shared" si="0"/>
        <v>-2531.4399999999987</v>
      </c>
      <c r="H9" s="123">
        <f t="shared" si="0"/>
        <v>884.89000000000124</v>
      </c>
      <c r="I9" s="123">
        <f t="shared" si="0"/>
        <v>-82.519999999993161</v>
      </c>
      <c r="J9" s="125">
        <f t="shared" si="0"/>
        <v>694.13333333333139</v>
      </c>
      <c r="K9" s="126"/>
      <c r="L9" s="127"/>
    </row>
    <row r="10" spans="1:12" x14ac:dyDescent="0.3">
      <c r="A10" s="140"/>
      <c r="B10" s="141"/>
      <c r="C10" s="142"/>
      <c r="D10" s="142"/>
      <c r="E10" s="143"/>
      <c r="F10" s="142"/>
      <c r="G10" s="142"/>
      <c r="H10" s="142"/>
      <c r="I10" s="142"/>
      <c r="J10" s="142"/>
      <c r="K10" s="140"/>
      <c r="L10" s="140"/>
    </row>
    <row r="11" spans="1:12" x14ac:dyDescent="0.3">
      <c r="A11" s="140"/>
      <c r="B11" s="141"/>
      <c r="C11" s="142"/>
      <c r="D11" s="142"/>
      <c r="E11" s="143"/>
      <c r="F11" s="142"/>
      <c r="G11" s="142"/>
      <c r="H11" s="142"/>
      <c r="I11" s="142"/>
      <c r="J11" s="142"/>
      <c r="K11" s="140"/>
      <c r="L11" s="140"/>
    </row>
    <row r="12" spans="1:12" ht="13.5" thickBot="1" x14ac:dyDescent="0.35">
      <c r="A12" s="140"/>
      <c r="B12" s="141"/>
      <c r="C12" s="142"/>
      <c r="D12" s="142"/>
      <c r="E12" s="143"/>
      <c r="F12" s="142"/>
      <c r="G12" s="142"/>
      <c r="H12" s="142"/>
      <c r="I12" s="142"/>
      <c r="J12" s="142"/>
      <c r="K12" s="140"/>
      <c r="L12" s="140"/>
    </row>
    <row r="13" spans="1:12" ht="14.5" thickBot="1" x14ac:dyDescent="0.35">
      <c r="A13" s="181" t="s">
        <v>1386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3"/>
    </row>
    <row r="14" spans="1:12" ht="24" thickBot="1" x14ac:dyDescent="0.35">
      <c r="A14" s="104" t="s">
        <v>1164</v>
      </c>
      <c r="B14" s="105" t="s">
        <v>1165</v>
      </c>
      <c r="C14" s="106" t="s">
        <v>1146</v>
      </c>
      <c r="D14" s="106" t="s">
        <v>1147</v>
      </c>
      <c r="E14" s="107" t="s">
        <v>1148</v>
      </c>
      <c r="F14" s="107" t="s">
        <v>1149</v>
      </c>
      <c r="G14" s="107" t="s">
        <v>1150</v>
      </c>
      <c r="H14" s="107" t="s">
        <v>1151</v>
      </c>
      <c r="I14" s="106" t="s">
        <v>1153</v>
      </c>
      <c r="J14" s="108" t="s">
        <v>1166</v>
      </c>
      <c r="K14" s="109" t="s">
        <v>1167</v>
      </c>
      <c r="L14" s="110" t="s">
        <v>1152</v>
      </c>
    </row>
    <row r="15" spans="1:12" x14ac:dyDescent="0.3">
      <c r="A15" s="111"/>
      <c r="B15" s="112"/>
      <c r="C15" s="113"/>
      <c r="D15" s="113"/>
      <c r="E15" s="113"/>
      <c r="F15" s="113"/>
      <c r="G15" s="113"/>
      <c r="H15" s="113"/>
      <c r="I15" s="113"/>
      <c r="J15" s="114"/>
      <c r="K15" s="112"/>
      <c r="L15" s="114"/>
    </row>
    <row r="16" spans="1:12" x14ac:dyDescent="0.3">
      <c r="A16" s="115" t="s">
        <v>1386</v>
      </c>
      <c r="B16" s="116" t="s">
        <v>1435</v>
      </c>
      <c r="C16" s="117">
        <v>380628.31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8">
        <v>99515.603333333303</v>
      </c>
      <c r="K16" s="119">
        <v>0</v>
      </c>
      <c r="L16" s="120">
        <v>114.74431061581268</v>
      </c>
    </row>
    <row r="17" spans="1:12" x14ac:dyDescent="0.3">
      <c r="A17" s="115" t="str">
        <f>A16</f>
        <v>Mould</v>
      </c>
      <c r="B17" s="116" t="s">
        <v>1365</v>
      </c>
      <c r="C17" s="117">
        <v>348760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8">
        <v>99515.603333333303</v>
      </c>
      <c r="K17" s="119">
        <v>0</v>
      </c>
      <c r="L17" s="120">
        <v>105.13728148694676</v>
      </c>
    </row>
    <row r="18" spans="1:12" ht="13.5" thickBot="1" x14ac:dyDescent="0.35">
      <c r="A18" s="121" t="s">
        <v>1168</v>
      </c>
      <c r="B18" s="122"/>
      <c r="C18" s="123">
        <f>C16-C17</f>
        <v>31868.309999999998</v>
      </c>
      <c r="D18" s="123">
        <f t="shared" ref="D18:J18" si="1">D16-D17</f>
        <v>0</v>
      </c>
      <c r="E18" s="124">
        <f t="shared" si="1"/>
        <v>0</v>
      </c>
      <c r="F18" s="123">
        <f t="shared" si="1"/>
        <v>0</v>
      </c>
      <c r="G18" s="123">
        <f t="shared" si="1"/>
        <v>0</v>
      </c>
      <c r="H18" s="123">
        <f t="shared" si="1"/>
        <v>0</v>
      </c>
      <c r="I18" s="123">
        <f t="shared" si="1"/>
        <v>0</v>
      </c>
      <c r="J18" s="125">
        <f t="shared" si="1"/>
        <v>0</v>
      </c>
      <c r="K18" s="126"/>
      <c r="L18" s="127"/>
    </row>
    <row r="19" spans="1:12" x14ac:dyDescent="0.3">
      <c r="A19" s="140"/>
      <c r="B19" s="141"/>
      <c r="C19" s="142"/>
      <c r="D19" s="142"/>
      <c r="E19" s="143"/>
      <c r="F19" s="142"/>
      <c r="G19" s="142"/>
      <c r="H19" s="142"/>
      <c r="I19" s="142"/>
      <c r="J19" s="142"/>
      <c r="K19" s="140"/>
      <c r="L19" s="140"/>
    </row>
    <row r="20" spans="1:12" x14ac:dyDescent="0.3">
      <c r="A20" s="140"/>
      <c r="B20" s="141"/>
      <c r="C20" s="142"/>
      <c r="D20" s="142"/>
      <c r="E20" s="143"/>
      <c r="F20" s="142"/>
      <c r="G20" s="142"/>
      <c r="H20" s="142"/>
      <c r="I20" s="142"/>
      <c r="J20" s="142"/>
      <c r="K20" s="140"/>
      <c r="L20" s="140"/>
    </row>
    <row r="21" spans="1:12" ht="13.5" thickBot="1" x14ac:dyDescent="0.35">
      <c r="A21" s="140"/>
      <c r="B21" s="141"/>
      <c r="C21" s="142"/>
      <c r="D21" s="142"/>
      <c r="E21" s="143"/>
      <c r="F21" s="142"/>
      <c r="G21" s="142"/>
      <c r="H21" s="142"/>
      <c r="I21" s="142"/>
      <c r="J21" s="142"/>
      <c r="K21" s="140"/>
      <c r="L21" s="140"/>
    </row>
    <row r="22" spans="1:12" ht="14.5" thickBot="1" x14ac:dyDescent="0.35">
      <c r="A22" s="181" t="s">
        <v>1416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3"/>
    </row>
    <row r="23" spans="1:12" ht="24" thickBot="1" x14ac:dyDescent="0.35">
      <c r="A23" s="104" t="s">
        <v>1164</v>
      </c>
      <c r="B23" s="105" t="s">
        <v>1165</v>
      </c>
      <c r="C23" s="106" t="s">
        <v>1146</v>
      </c>
      <c r="D23" s="106" t="s">
        <v>1147</v>
      </c>
      <c r="E23" s="107" t="s">
        <v>1148</v>
      </c>
      <c r="F23" s="107" t="s">
        <v>1149</v>
      </c>
      <c r="G23" s="107" t="s">
        <v>1150</v>
      </c>
      <c r="H23" s="107" t="s">
        <v>1151</v>
      </c>
      <c r="I23" s="106" t="s">
        <v>1153</v>
      </c>
      <c r="J23" s="108" t="s">
        <v>1166</v>
      </c>
      <c r="K23" s="109" t="s">
        <v>1167</v>
      </c>
      <c r="L23" s="110" t="s">
        <v>1152</v>
      </c>
    </row>
    <row r="24" spans="1:12" x14ac:dyDescent="0.3">
      <c r="A24" s="111"/>
      <c r="B24" s="112"/>
      <c r="C24" s="113"/>
      <c r="D24" s="113"/>
      <c r="E24" s="113"/>
      <c r="F24" s="113"/>
      <c r="G24" s="113"/>
      <c r="H24" s="113"/>
      <c r="I24" s="113"/>
      <c r="J24" s="114"/>
      <c r="K24" s="112"/>
      <c r="L24" s="114"/>
    </row>
    <row r="25" spans="1:12" x14ac:dyDescent="0.3">
      <c r="A25" s="115" t="s">
        <v>1421</v>
      </c>
      <c r="B25" s="116" t="s">
        <v>1435</v>
      </c>
      <c r="C25" s="117">
        <v>150156.35999999999</v>
      </c>
      <c r="D25" s="117">
        <v>148033.72</v>
      </c>
      <c r="E25" s="117">
        <v>671.12</v>
      </c>
      <c r="F25" s="117">
        <v>1451.52</v>
      </c>
      <c r="G25" s="117">
        <v>0</v>
      </c>
      <c r="H25" s="117">
        <v>0</v>
      </c>
      <c r="I25" s="117">
        <v>161.29</v>
      </c>
      <c r="J25" s="118">
        <v>122912.14666666664</v>
      </c>
      <c r="K25" s="119">
        <v>1.0741469758590312E-3</v>
      </c>
      <c r="L25" s="120">
        <v>36.649679646524767</v>
      </c>
    </row>
    <row r="26" spans="1:12" x14ac:dyDescent="0.3">
      <c r="A26" s="115" t="str">
        <f>A25</f>
        <v>Bottle</v>
      </c>
      <c r="B26" s="116" t="s">
        <v>1365</v>
      </c>
      <c r="C26" s="117">
        <v>87501.440000000002</v>
      </c>
      <c r="D26" s="117">
        <v>85124.98</v>
      </c>
      <c r="E26" s="117">
        <v>441.09999999999997</v>
      </c>
      <c r="F26" s="117">
        <v>1935.36</v>
      </c>
      <c r="G26" s="117">
        <v>0</v>
      </c>
      <c r="H26" s="117">
        <v>0</v>
      </c>
      <c r="I26" s="117">
        <v>107.53</v>
      </c>
      <c r="J26" s="118">
        <v>116793.03333333331</v>
      </c>
      <c r="K26" s="119">
        <v>1.2288940616291572E-3</v>
      </c>
      <c r="L26" s="120">
        <v>22.476025539194552</v>
      </c>
    </row>
    <row r="27" spans="1:12" ht="13.5" thickBot="1" x14ac:dyDescent="0.35">
      <c r="A27" s="121" t="s">
        <v>1168</v>
      </c>
      <c r="B27" s="122"/>
      <c r="C27" s="123">
        <f>C25-C26</f>
        <v>62654.919999999984</v>
      </c>
      <c r="D27" s="123">
        <f t="shared" ref="D27:J27" si="2">D25-D26</f>
        <v>62908.740000000005</v>
      </c>
      <c r="E27" s="124">
        <f t="shared" si="2"/>
        <v>230.02000000000004</v>
      </c>
      <c r="F27" s="123">
        <f t="shared" si="2"/>
        <v>-483.83999999999992</v>
      </c>
      <c r="G27" s="123">
        <f t="shared" si="2"/>
        <v>0</v>
      </c>
      <c r="H27" s="123">
        <f t="shared" si="2"/>
        <v>0</v>
      </c>
      <c r="I27" s="123">
        <f t="shared" si="2"/>
        <v>53.759999999999991</v>
      </c>
      <c r="J27" s="125">
        <f t="shared" si="2"/>
        <v>6119.1133333333273</v>
      </c>
      <c r="K27" s="126"/>
      <c r="L27" s="127"/>
    </row>
    <row r="28" spans="1:12" x14ac:dyDescent="0.3">
      <c r="A28" s="111"/>
      <c r="B28" s="128"/>
      <c r="C28" s="113"/>
      <c r="D28" s="113"/>
      <c r="E28" s="113"/>
      <c r="F28" s="113"/>
      <c r="G28" s="113"/>
      <c r="H28" s="113"/>
      <c r="I28" s="113"/>
      <c r="J28" s="114"/>
      <c r="K28" s="112"/>
      <c r="L28" s="114"/>
    </row>
    <row r="29" spans="1:12" x14ac:dyDescent="0.3">
      <c r="A29" s="115" t="s">
        <v>1422</v>
      </c>
      <c r="B29" s="116" t="s">
        <v>1435</v>
      </c>
      <c r="C29" s="117">
        <v>287882.14999999991</v>
      </c>
      <c r="D29" s="117">
        <v>274522.31999999989</v>
      </c>
      <c r="E29" s="117">
        <v>7380.9299999999994</v>
      </c>
      <c r="F29" s="117">
        <v>4758.7</v>
      </c>
      <c r="G29" s="117">
        <v>796.2</v>
      </c>
      <c r="H29" s="117">
        <v>424</v>
      </c>
      <c r="I29" s="117">
        <v>2069.3000000000002</v>
      </c>
      <c r="J29" s="118">
        <v>139223.01666666666</v>
      </c>
      <c r="K29" s="119">
        <v>7.1880107884424267E-3</v>
      </c>
      <c r="L29" s="120">
        <v>62.033309626365636</v>
      </c>
    </row>
    <row r="30" spans="1:12" x14ac:dyDescent="0.3">
      <c r="A30" s="115" t="str">
        <f>A29</f>
        <v>Closure/Lid/ Handle</v>
      </c>
      <c r="B30" s="116" t="s">
        <v>1365</v>
      </c>
      <c r="C30" s="117">
        <v>199796.53</v>
      </c>
      <c r="D30" s="117">
        <v>188659.28</v>
      </c>
      <c r="E30" s="117">
        <v>6568.97</v>
      </c>
      <c r="F30" s="117">
        <v>3058.05</v>
      </c>
      <c r="G30" s="117">
        <v>1033.23</v>
      </c>
      <c r="H30" s="117">
        <v>477</v>
      </c>
      <c r="I30" s="117">
        <v>2011.21</v>
      </c>
      <c r="J30" s="118">
        <v>151537.09333333332</v>
      </c>
      <c r="K30" s="119">
        <v>1.0066290941088917E-2</v>
      </c>
      <c r="L30" s="120">
        <v>39.553984890124156</v>
      </c>
    </row>
    <row r="31" spans="1:12" ht="13.5" thickBot="1" x14ac:dyDescent="0.35">
      <c r="A31" s="121" t="s">
        <v>1168</v>
      </c>
      <c r="B31" s="122"/>
      <c r="C31" s="123">
        <f>C29-C30</f>
        <v>88085.619999999908</v>
      </c>
      <c r="D31" s="123">
        <f t="shared" ref="D31:J31" si="3">D29-D30</f>
        <v>85863.039999999892</v>
      </c>
      <c r="E31" s="124">
        <f t="shared" si="3"/>
        <v>811.95999999999913</v>
      </c>
      <c r="F31" s="123">
        <f t="shared" si="3"/>
        <v>1700.6499999999996</v>
      </c>
      <c r="G31" s="123">
        <f t="shared" si="3"/>
        <v>-237.02999999999997</v>
      </c>
      <c r="H31" s="123">
        <f t="shared" si="3"/>
        <v>-53</v>
      </c>
      <c r="I31" s="123">
        <f t="shared" si="3"/>
        <v>58.090000000000146</v>
      </c>
      <c r="J31" s="125">
        <f t="shared" si="3"/>
        <v>-12314.07666666666</v>
      </c>
      <c r="K31" s="126"/>
      <c r="L31" s="127"/>
    </row>
    <row r="32" spans="1:12" x14ac:dyDescent="0.3">
      <c r="A32" s="111"/>
      <c r="B32" s="128"/>
      <c r="C32" s="113"/>
      <c r="D32" s="113"/>
      <c r="E32" s="113"/>
      <c r="F32" s="113"/>
      <c r="G32" s="113"/>
      <c r="H32" s="113"/>
      <c r="I32" s="113"/>
      <c r="J32" s="114"/>
      <c r="K32" s="112"/>
      <c r="L32" s="114"/>
    </row>
    <row r="33" spans="1:12" x14ac:dyDescent="0.3">
      <c r="A33" s="115" t="s">
        <v>1423</v>
      </c>
      <c r="B33" s="116" t="s">
        <v>1435</v>
      </c>
      <c r="C33" s="117">
        <v>58181.760000000002</v>
      </c>
      <c r="D33" s="117">
        <v>58181.760000000002</v>
      </c>
      <c r="E33" s="117">
        <v>0</v>
      </c>
      <c r="F33" s="117">
        <v>0</v>
      </c>
      <c r="G33" s="117">
        <v>0</v>
      </c>
      <c r="H33" s="117">
        <v>0</v>
      </c>
      <c r="I33" s="117">
        <v>0</v>
      </c>
      <c r="J33" s="118">
        <v>7344</v>
      </c>
      <c r="K33" s="119">
        <v>0</v>
      </c>
      <c r="L33" s="120">
        <v>237.67058823529413</v>
      </c>
    </row>
    <row r="34" spans="1:12" x14ac:dyDescent="0.3">
      <c r="A34" s="115" t="str">
        <f>A33</f>
        <v>Jerrycan</v>
      </c>
      <c r="B34" s="116" t="s">
        <v>1365</v>
      </c>
      <c r="C34" s="117">
        <v>15020.64</v>
      </c>
      <c r="D34" s="117">
        <v>15020.64</v>
      </c>
      <c r="E34" s="117">
        <v>0</v>
      </c>
      <c r="F34" s="117">
        <v>0</v>
      </c>
      <c r="G34" s="117">
        <v>0</v>
      </c>
      <c r="H34" s="117">
        <v>0</v>
      </c>
      <c r="I34" s="117">
        <v>0</v>
      </c>
      <c r="J34" s="118">
        <v>4723.2</v>
      </c>
      <c r="K34" s="119">
        <v>0</v>
      </c>
      <c r="L34" s="120">
        <v>95.405487804878049</v>
      </c>
    </row>
    <row r="35" spans="1:12" ht="13.5" thickBot="1" x14ac:dyDescent="0.35">
      <c r="A35" s="121" t="s">
        <v>1168</v>
      </c>
      <c r="B35" s="122"/>
      <c r="C35" s="123">
        <f>C33-C34</f>
        <v>43161.120000000003</v>
      </c>
      <c r="D35" s="123">
        <f t="shared" ref="D35:J35" si="4">D33-D34</f>
        <v>43161.120000000003</v>
      </c>
      <c r="E35" s="124">
        <f t="shared" si="4"/>
        <v>0</v>
      </c>
      <c r="F35" s="123">
        <f t="shared" si="4"/>
        <v>0</v>
      </c>
      <c r="G35" s="123">
        <f t="shared" si="4"/>
        <v>0</v>
      </c>
      <c r="H35" s="123">
        <f t="shared" si="4"/>
        <v>0</v>
      </c>
      <c r="I35" s="123">
        <f t="shared" si="4"/>
        <v>0</v>
      </c>
      <c r="J35" s="125">
        <f t="shared" si="4"/>
        <v>2620.8000000000002</v>
      </c>
      <c r="K35" s="126"/>
      <c r="L35" s="127"/>
    </row>
    <row r="36" spans="1:12" x14ac:dyDescent="0.3">
      <c r="A36" s="111"/>
      <c r="B36" s="128"/>
      <c r="C36" s="113"/>
      <c r="D36" s="113"/>
      <c r="E36" s="113"/>
      <c r="F36" s="113"/>
      <c r="G36" s="113"/>
      <c r="H36" s="113"/>
      <c r="I36" s="113"/>
      <c r="J36" s="114"/>
      <c r="K36" s="112"/>
      <c r="L36" s="114"/>
    </row>
    <row r="37" spans="1:12" x14ac:dyDescent="0.3">
      <c r="A37" s="115" t="s">
        <v>1376</v>
      </c>
      <c r="B37" s="116" t="s">
        <v>1435</v>
      </c>
      <c r="C37" s="117">
        <v>555388.21</v>
      </c>
      <c r="D37" s="117">
        <v>495663.06999999995</v>
      </c>
      <c r="E37" s="117">
        <v>31736.639999999999</v>
      </c>
      <c r="F37" s="117">
        <v>11857.7</v>
      </c>
      <c r="G37" s="117">
        <v>12623.16</v>
      </c>
      <c r="H37" s="117">
        <v>3507.64</v>
      </c>
      <c r="I37" s="117">
        <v>12158.009999999998</v>
      </c>
      <c r="J37" s="118">
        <v>156079.95999999961</v>
      </c>
      <c r="K37" s="119">
        <v>2.189101205443306E-2</v>
      </c>
      <c r="L37" s="120">
        <v>106.75070841894143</v>
      </c>
    </row>
    <row r="38" spans="1:12" x14ac:dyDescent="0.3">
      <c r="A38" s="115" t="str">
        <f>A37</f>
        <v>Virgin grade</v>
      </c>
      <c r="B38" s="116" t="s">
        <v>1365</v>
      </c>
      <c r="C38" s="117">
        <v>553555.01</v>
      </c>
      <c r="D38" s="117">
        <v>467691.23</v>
      </c>
      <c r="E38" s="117">
        <v>56898.8</v>
      </c>
      <c r="F38" s="117">
        <v>11330.5</v>
      </c>
      <c r="G38" s="117">
        <v>14126.84</v>
      </c>
      <c r="H38" s="117">
        <v>3507.64</v>
      </c>
      <c r="I38" s="117">
        <v>11519.949999999999</v>
      </c>
      <c r="J38" s="118">
        <v>139695.04666666628</v>
      </c>
      <c r="K38" s="119">
        <v>2.0810849494434163E-2</v>
      </c>
      <c r="L38" s="120">
        <v>118.87787503035811</v>
      </c>
    </row>
    <row r="39" spans="1:12" ht="13.5" thickBot="1" x14ac:dyDescent="0.35">
      <c r="A39" s="121" t="s">
        <v>1168</v>
      </c>
      <c r="B39" s="122"/>
      <c r="C39" s="123">
        <f>C37-C38</f>
        <v>1833.1999999999534</v>
      </c>
      <c r="D39" s="123">
        <f t="shared" ref="D39:J39" si="5">D37-D38</f>
        <v>27971.839999999967</v>
      </c>
      <c r="E39" s="124">
        <f t="shared" si="5"/>
        <v>-25162.160000000003</v>
      </c>
      <c r="F39" s="123">
        <f t="shared" si="5"/>
        <v>527.20000000000073</v>
      </c>
      <c r="G39" s="123">
        <f t="shared" si="5"/>
        <v>-1503.6800000000003</v>
      </c>
      <c r="H39" s="123">
        <f t="shared" si="5"/>
        <v>0</v>
      </c>
      <c r="I39" s="123">
        <f t="shared" si="5"/>
        <v>638.05999999999949</v>
      </c>
      <c r="J39" s="125">
        <f t="shared" si="5"/>
        <v>16384.91333333333</v>
      </c>
      <c r="K39" s="126"/>
      <c r="L39" s="127"/>
    </row>
    <row r="42" spans="1:12" ht="13.5" thickBot="1" x14ac:dyDescent="0.35"/>
    <row r="43" spans="1:12" ht="14.5" thickBot="1" x14ac:dyDescent="0.35">
      <c r="A43" s="181" t="s">
        <v>1417</v>
      </c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3"/>
    </row>
    <row r="44" spans="1:12" ht="24" thickBot="1" x14ac:dyDescent="0.35">
      <c r="A44" s="104" t="s">
        <v>1164</v>
      </c>
      <c r="B44" s="105" t="s">
        <v>1165</v>
      </c>
      <c r="C44" s="106" t="s">
        <v>1146</v>
      </c>
      <c r="D44" s="106" t="s">
        <v>1147</v>
      </c>
      <c r="E44" s="107" t="s">
        <v>1148</v>
      </c>
      <c r="F44" s="107" t="s">
        <v>1149</v>
      </c>
      <c r="G44" s="107" t="s">
        <v>1150</v>
      </c>
      <c r="H44" s="107" t="s">
        <v>1151</v>
      </c>
      <c r="I44" s="106" t="s">
        <v>1153</v>
      </c>
      <c r="J44" s="108" t="s">
        <v>1166</v>
      </c>
      <c r="K44" s="109" t="s">
        <v>1167</v>
      </c>
      <c r="L44" s="110" t="s">
        <v>1152</v>
      </c>
    </row>
    <row r="45" spans="1:12" x14ac:dyDescent="0.3">
      <c r="A45" s="111"/>
      <c r="B45" s="112"/>
      <c r="C45" s="113"/>
      <c r="D45" s="113"/>
      <c r="E45" s="113"/>
      <c r="F45" s="113"/>
      <c r="G45" s="113"/>
      <c r="H45" s="113"/>
      <c r="I45" s="113"/>
      <c r="J45" s="114"/>
      <c r="K45" s="112"/>
      <c r="L45" s="114"/>
    </row>
    <row r="46" spans="1:12" x14ac:dyDescent="0.3">
      <c r="A46" s="115" t="s">
        <v>1421</v>
      </c>
      <c r="B46" s="116" t="s">
        <v>1435</v>
      </c>
      <c r="C46" s="117">
        <v>366226.82</v>
      </c>
      <c r="D46" s="117">
        <v>360833.12</v>
      </c>
      <c r="E46" s="117">
        <v>0</v>
      </c>
      <c r="F46" s="117">
        <v>5239.8</v>
      </c>
      <c r="G46" s="117">
        <v>0</v>
      </c>
      <c r="H46" s="117">
        <v>0</v>
      </c>
      <c r="I46" s="117">
        <v>599.15</v>
      </c>
      <c r="J46" s="118">
        <v>486580.35333333234</v>
      </c>
      <c r="K46" s="119">
        <v>1.63600797997263E-3</v>
      </c>
      <c r="L46" s="120">
        <v>22.579630527074485</v>
      </c>
    </row>
    <row r="47" spans="1:12" x14ac:dyDescent="0.3">
      <c r="A47" s="115" t="str">
        <f>A46</f>
        <v>Bottle</v>
      </c>
      <c r="B47" s="116" t="s">
        <v>1365</v>
      </c>
      <c r="C47" s="117">
        <v>365184.62</v>
      </c>
      <c r="D47" s="117">
        <v>348702.92000000004</v>
      </c>
      <c r="E47" s="117">
        <v>4131</v>
      </c>
      <c r="F47" s="117">
        <v>1108.8</v>
      </c>
      <c r="G47" s="117">
        <v>0</v>
      </c>
      <c r="H47" s="117">
        <v>0</v>
      </c>
      <c r="I47" s="117">
        <v>308.02</v>
      </c>
      <c r="J47" s="118">
        <v>445025.0599999993</v>
      </c>
      <c r="K47" s="119">
        <v>8.4346378004637756E-4</v>
      </c>
      <c r="L47" s="120">
        <v>24.617801523356949</v>
      </c>
    </row>
    <row r="48" spans="1:12" ht="13.5" thickBot="1" x14ac:dyDescent="0.35">
      <c r="A48" s="121" t="s">
        <v>1168</v>
      </c>
      <c r="B48" s="122"/>
      <c r="C48" s="123">
        <f>C46-C47</f>
        <v>1042.2000000000116</v>
      </c>
      <c r="D48" s="123">
        <f t="shared" ref="D48:J48" si="6">D46-D47</f>
        <v>12130.199999999953</v>
      </c>
      <c r="E48" s="124">
        <f t="shared" si="6"/>
        <v>-4131</v>
      </c>
      <c r="F48" s="123">
        <f t="shared" si="6"/>
        <v>4131</v>
      </c>
      <c r="G48" s="123">
        <f t="shared" si="6"/>
        <v>0</v>
      </c>
      <c r="H48" s="123">
        <f t="shared" si="6"/>
        <v>0</v>
      </c>
      <c r="I48" s="123">
        <f t="shared" si="6"/>
        <v>291.13</v>
      </c>
      <c r="J48" s="125">
        <f t="shared" si="6"/>
        <v>41555.293333333044</v>
      </c>
      <c r="K48" s="126"/>
      <c r="L48" s="127"/>
    </row>
    <row r="49" spans="1:12" x14ac:dyDescent="0.3">
      <c r="A49" s="111"/>
      <c r="B49" s="128"/>
      <c r="C49" s="113"/>
      <c r="D49" s="113"/>
      <c r="E49" s="113"/>
      <c r="F49" s="113"/>
      <c r="G49" s="113"/>
      <c r="H49" s="113"/>
      <c r="I49" s="113"/>
      <c r="J49" s="114"/>
      <c r="K49" s="112"/>
      <c r="L49" s="114"/>
    </row>
    <row r="50" spans="1:12" x14ac:dyDescent="0.3">
      <c r="A50" s="115" t="s">
        <v>1422</v>
      </c>
      <c r="B50" s="116" t="s">
        <v>1435</v>
      </c>
      <c r="C50" s="117">
        <v>161880.85</v>
      </c>
      <c r="D50" s="117">
        <v>138986.84</v>
      </c>
      <c r="E50" s="117">
        <v>482.52</v>
      </c>
      <c r="F50" s="117">
        <v>8643.1099999999988</v>
      </c>
      <c r="G50" s="117">
        <v>5675.0999999999995</v>
      </c>
      <c r="H50" s="117">
        <v>8093.2800000000007</v>
      </c>
      <c r="I50" s="117">
        <v>13635.150000000001</v>
      </c>
      <c r="J50" s="118">
        <v>138883.49333333335</v>
      </c>
      <c r="K50" s="119">
        <v>8.4229542901461174E-2</v>
      </c>
      <c r="L50" s="120">
        <v>34.967622022180315</v>
      </c>
    </row>
    <row r="51" spans="1:12" x14ac:dyDescent="0.3">
      <c r="A51" s="115" t="str">
        <f>A50</f>
        <v>Closure/Lid/ Handle</v>
      </c>
      <c r="B51" s="116" t="s">
        <v>1365</v>
      </c>
      <c r="C51" s="117">
        <v>184403.23</v>
      </c>
      <c r="D51" s="117">
        <v>159894.98000000004</v>
      </c>
      <c r="E51" s="117">
        <v>0</v>
      </c>
      <c r="F51" s="117">
        <v>10739.869999999999</v>
      </c>
      <c r="G51" s="117">
        <v>8308.380000000001</v>
      </c>
      <c r="H51" s="117">
        <v>5460</v>
      </c>
      <c r="I51" s="117">
        <v>13072.619999999999</v>
      </c>
      <c r="J51" s="118">
        <v>137963.63333333324</v>
      </c>
      <c r="K51" s="119">
        <v>7.0891491434287773E-2</v>
      </c>
      <c r="L51" s="120">
        <v>40.098225643521062</v>
      </c>
    </row>
    <row r="52" spans="1:12" ht="13.5" thickBot="1" x14ac:dyDescent="0.35">
      <c r="A52" s="121" t="s">
        <v>1168</v>
      </c>
      <c r="B52" s="122"/>
      <c r="C52" s="123">
        <f>C50-C51</f>
        <v>-22522.380000000005</v>
      </c>
      <c r="D52" s="123">
        <f t="shared" ref="D52:J52" si="7">D50-D51</f>
        <v>-20908.140000000043</v>
      </c>
      <c r="E52" s="124">
        <f t="shared" si="7"/>
        <v>482.52</v>
      </c>
      <c r="F52" s="123">
        <f t="shared" si="7"/>
        <v>-2096.7600000000002</v>
      </c>
      <c r="G52" s="123">
        <f t="shared" si="7"/>
        <v>-2633.2800000000016</v>
      </c>
      <c r="H52" s="123">
        <f t="shared" si="7"/>
        <v>2633.2800000000007</v>
      </c>
      <c r="I52" s="123">
        <f t="shared" si="7"/>
        <v>562.53000000000247</v>
      </c>
      <c r="J52" s="125">
        <f t="shared" si="7"/>
        <v>919.86000000010245</v>
      </c>
      <c r="K52" s="126"/>
      <c r="L52" s="127"/>
    </row>
    <row r="53" spans="1:12" x14ac:dyDescent="0.3">
      <c r="A53" s="111"/>
      <c r="B53" s="128"/>
      <c r="C53" s="113"/>
      <c r="D53" s="113"/>
      <c r="E53" s="113"/>
      <c r="F53" s="113"/>
      <c r="G53" s="113"/>
      <c r="H53" s="113"/>
      <c r="I53" s="113"/>
      <c r="J53" s="114"/>
      <c r="K53" s="112"/>
      <c r="L53" s="114"/>
    </row>
    <row r="54" spans="1:12" x14ac:dyDescent="0.3">
      <c r="A54" s="115" t="s">
        <v>1424</v>
      </c>
      <c r="B54" s="116" t="s">
        <v>1435</v>
      </c>
      <c r="C54" s="117">
        <v>33477.68</v>
      </c>
      <c r="D54" s="117">
        <v>33477.68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8">
        <v>37667.923333333303</v>
      </c>
      <c r="K54" s="119">
        <v>0</v>
      </c>
      <c r="L54" s="120">
        <v>26.662749393228228</v>
      </c>
    </row>
    <row r="55" spans="1:12" x14ac:dyDescent="0.3">
      <c r="A55" s="115" t="str">
        <f>A54</f>
        <v>Jar /Container/Tub</v>
      </c>
      <c r="B55" s="116" t="s">
        <v>1365</v>
      </c>
      <c r="C55" s="117">
        <v>30733.09</v>
      </c>
      <c r="D55" s="117">
        <v>30733.09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8">
        <v>47157.759999999966</v>
      </c>
      <c r="K55" s="119">
        <v>0</v>
      </c>
      <c r="L55" s="120">
        <v>19.551240347293863</v>
      </c>
    </row>
    <row r="56" spans="1:12" ht="13.5" thickBot="1" x14ac:dyDescent="0.35">
      <c r="A56" s="121" t="s">
        <v>1168</v>
      </c>
      <c r="B56" s="122"/>
      <c r="C56" s="123">
        <f>C54-C55</f>
        <v>2744.59</v>
      </c>
      <c r="D56" s="123">
        <f t="shared" ref="D56:J56" si="8">D54-D55</f>
        <v>2744.59</v>
      </c>
      <c r="E56" s="124">
        <f t="shared" si="8"/>
        <v>0</v>
      </c>
      <c r="F56" s="123">
        <f t="shared" si="8"/>
        <v>0</v>
      </c>
      <c r="G56" s="123">
        <f t="shared" si="8"/>
        <v>0</v>
      </c>
      <c r="H56" s="123">
        <f t="shared" si="8"/>
        <v>0</v>
      </c>
      <c r="I56" s="123">
        <f t="shared" si="8"/>
        <v>0</v>
      </c>
      <c r="J56" s="125">
        <f t="shared" si="8"/>
        <v>-9489.8366666666625</v>
      </c>
      <c r="K56" s="126"/>
      <c r="L56" s="127"/>
    </row>
    <row r="57" spans="1:12" x14ac:dyDescent="0.3">
      <c r="A57" s="111"/>
      <c r="B57" s="128"/>
      <c r="C57" s="113"/>
      <c r="D57" s="113"/>
      <c r="E57" s="113"/>
      <c r="F57" s="113"/>
      <c r="G57" s="113"/>
      <c r="H57" s="113"/>
      <c r="I57" s="113"/>
      <c r="J57" s="114"/>
      <c r="K57" s="112"/>
      <c r="L57" s="114"/>
    </row>
    <row r="58" spans="1:12" x14ac:dyDescent="0.3">
      <c r="A58" s="115" t="s">
        <v>1376</v>
      </c>
      <c r="B58" s="116" t="s">
        <v>1435</v>
      </c>
      <c r="C58" s="117">
        <v>435459.66</v>
      </c>
      <c r="D58" s="117">
        <v>434016.74</v>
      </c>
      <c r="E58" s="117">
        <v>0</v>
      </c>
      <c r="F58" s="117">
        <v>0</v>
      </c>
      <c r="G58" s="117">
        <v>103.59</v>
      </c>
      <c r="H58" s="117">
        <v>1339.3400000000001</v>
      </c>
      <c r="I58" s="117">
        <v>1414.16</v>
      </c>
      <c r="J58" s="118">
        <v>369047.03333333292</v>
      </c>
      <c r="K58" s="119">
        <v>3.2475109175440042E-3</v>
      </c>
      <c r="L58" s="120">
        <v>35.398712413440386</v>
      </c>
    </row>
    <row r="59" spans="1:12" x14ac:dyDescent="0.3">
      <c r="A59" s="115" t="str">
        <f>A58</f>
        <v>Virgin grade</v>
      </c>
      <c r="B59" s="116" t="s">
        <v>1365</v>
      </c>
      <c r="C59" s="117">
        <v>425606.81</v>
      </c>
      <c r="D59" s="117">
        <v>422176.14</v>
      </c>
      <c r="E59" s="117">
        <v>1987.34</v>
      </c>
      <c r="F59" s="117">
        <v>0</v>
      </c>
      <c r="G59" s="117">
        <v>103.99</v>
      </c>
      <c r="H59" s="117">
        <v>1339.33</v>
      </c>
      <c r="I59" s="117">
        <v>1408.66</v>
      </c>
      <c r="J59" s="118">
        <v>373444.79999999993</v>
      </c>
      <c r="K59" s="119">
        <v>3.3097684691652373E-3</v>
      </c>
      <c r="L59" s="120">
        <v>34.190338973792116</v>
      </c>
    </row>
    <row r="60" spans="1:12" ht="13.5" thickBot="1" x14ac:dyDescent="0.35">
      <c r="A60" s="121" t="s">
        <v>1168</v>
      </c>
      <c r="B60" s="122"/>
      <c r="C60" s="123">
        <f>C58-C59</f>
        <v>9852.8499999999767</v>
      </c>
      <c r="D60" s="123">
        <f t="shared" ref="D60:J60" si="9">D58-D59</f>
        <v>11840.599999999977</v>
      </c>
      <c r="E60" s="124">
        <f t="shared" si="9"/>
        <v>-1987.34</v>
      </c>
      <c r="F60" s="123">
        <f t="shared" si="9"/>
        <v>0</v>
      </c>
      <c r="G60" s="123">
        <f t="shared" si="9"/>
        <v>-0.39999999999999147</v>
      </c>
      <c r="H60" s="123">
        <f t="shared" si="9"/>
        <v>1.0000000000218279E-2</v>
      </c>
      <c r="I60" s="123">
        <f t="shared" si="9"/>
        <v>5.5</v>
      </c>
      <c r="J60" s="125">
        <f t="shared" si="9"/>
        <v>-4397.766666667012</v>
      </c>
      <c r="K60" s="126"/>
      <c r="L60" s="127"/>
    </row>
    <row r="63" spans="1:12" ht="13.5" thickBot="1" x14ac:dyDescent="0.35"/>
    <row r="64" spans="1:12" ht="14.5" thickBot="1" x14ac:dyDescent="0.35">
      <c r="A64" s="181" t="s">
        <v>1419</v>
      </c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3"/>
    </row>
    <row r="65" spans="1:12" ht="24" thickBot="1" x14ac:dyDescent="0.35">
      <c r="A65" s="104" t="s">
        <v>1164</v>
      </c>
      <c r="B65" s="105" t="s">
        <v>1165</v>
      </c>
      <c r="C65" s="106" t="s">
        <v>1146</v>
      </c>
      <c r="D65" s="106" t="s">
        <v>1147</v>
      </c>
      <c r="E65" s="107" t="s">
        <v>1148</v>
      </c>
      <c r="F65" s="107" t="s">
        <v>1149</v>
      </c>
      <c r="G65" s="107" t="s">
        <v>1150</v>
      </c>
      <c r="H65" s="107" t="s">
        <v>1151</v>
      </c>
      <c r="I65" s="106" t="s">
        <v>1153</v>
      </c>
      <c r="J65" s="108" t="s">
        <v>1166</v>
      </c>
      <c r="K65" s="109" t="s">
        <v>1167</v>
      </c>
      <c r="L65" s="110" t="s">
        <v>1152</v>
      </c>
    </row>
    <row r="66" spans="1:12" x14ac:dyDescent="0.3">
      <c r="A66" s="111"/>
      <c r="B66" s="112"/>
      <c r="C66" s="113"/>
      <c r="D66" s="113"/>
      <c r="E66" s="113"/>
      <c r="F66" s="113"/>
      <c r="G66" s="113"/>
      <c r="H66" s="113"/>
      <c r="I66" s="113"/>
      <c r="J66" s="114"/>
      <c r="K66" s="112"/>
      <c r="L66" s="114"/>
    </row>
    <row r="67" spans="1:12" x14ac:dyDescent="0.3">
      <c r="A67" s="115" t="s">
        <v>1426</v>
      </c>
      <c r="B67" s="116" t="s">
        <v>1435</v>
      </c>
      <c r="C67" s="117">
        <v>271897.34000000003</v>
      </c>
      <c r="D67" s="117">
        <v>239643.75000000003</v>
      </c>
      <c r="E67" s="117">
        <v>13312.65</v>
      </c>
      <c r="F67" s="117">
        <v>7469.4400000000005</v>
      </c>
      <c r="G67" s="117">
        <v>7350.88</v>
      </c>
      <c r="H67" s="117">
        <v>4120.62</v>
      </c>
      <c r="I67" s="117">
        <v>8594.590000000002</v>
      </c>
      <c r="J67" s="118">
        <v>162216.94999999998</v>
      </c>
      <c r="K67" s="119">
        <v>3.160968768580083E-2</v>
      </c>
      <c r="L67" s="120">
        <v>50.284019025138875</v>
      </c>
    </row>
    <row r="68" spans="1:12" x14ac:dyDescent="0.3">
      <c r="A68" s="115" t="str">
        <f>A67</f>
        <v>LABEL, IML, STICKER, SEALED ETC</v>
      </c>
      <c r="B68" s="116" t="s">
        <v>1365</v>
      </c>
      <c r="C68" s="117">
        <v>233438.85000000003</v>
      </c>
      <c r="D68" s="117">
        <v>207493.26000000004</v>
      </c>
      <c r="E68" s="117">
        <v>13209.079999999998</v>
      </c>
      <c r="F68" s="117">
        <v>1116.75</v>
      </c>
      <c r="G68" s="117">
        <v>7499.14</v>
      </c>
      <c r="H68" s="117">
        <v>4120.62</v>
      </c>
      <c r="I68" s="117">
        <v>7856.29</v>
      </c>
      <c r="J68" s="118">
        <v>175979.31999999992</v>
      </c>
      <c r="K68" s="119">
        <v>3.365459519698627E-2</v>
      </c>
      <c r="L68" s="120">
        <v>39.795389026392442</v>
      </c>
    </row>
    <row r="69" spans="1:12" ht="13.5" thickBot="1" x14ac:dyDescent="0.35">
      <c r="A69" s="121" t="s">
        <v>1168</v>
      </c>
      <c r="B69" s="122"/>
      <c r="C69" s="123">
        <f>C67-C68</f>
        <v>38458.489999999991</v>
      </c>
      <c r="D69" s="123">
        <f t="shared" ref="D69:J69" si="10">D67-D68</f>
        <v>32150.489999999991</v>
      </c>
      <c r="E69" s="124">
        <f t="shared" si="10"/>
        <v>103.57000000000153</v>
      </c>
      <c r="F69" s="123">
        <f t="shared" si="10"/>
        <v>6352.6900000000005</v>
      </c>
      <c r="G69" s="123">
        <f t="shared" si="10"/>
        <v>-148.26000000000022</v>
      </c>
      <c r="H69" s="123">
        <f t="shared" si="10"/>
        <v>0</v>
      </c>
      <c r="I69" s="123">
        <f t="shared" si="10"/>
        <v>738.300000000002</v>
      </c>
      <c r="J69" s="125">
        <f t="shared" si="10"/>
        <v>-13762.369999999937</v>
      </c>
      <c r="K69" s="126"/>
      <c r="L69" s="127"/>
    </row>
    <row r="70" spans="1:12" x14ac:dyDescent="0.3">
      <c r="A70" s="140"/>
      <c r="B70" s="141"/>
      <c r="C70" s="142"/>
      <c r="D70" s="142"/>
      <c r="E70" s="143"/>
      <c r="F70" s="142"/>
      <c r="G70" s="142"/>
      <c r="H70" s="142"/>
      <c r="I70" s="142"/>
      <c r="J70" s="142"/>
      <c r="K70" s="140"/>
      <c r="L70" s="140"/>
    </row>
    <row r="71" spans="1:12" x14ac:dyDescent="0.3">
      <c r="A71" s="140"/>
      <c r="B71" s="141"/>
      <c r="C71" s="142"/>
      <c r="D71" s="142"/>
      <c r="E71" s="143"/>
      <c r="F71" s="142"/>
      <c r="G71" s="142"/>
      <c r="H71" s="142"/>
      <c r="I71" s="142"/>
      <c r="J71" s="142"/>
      <c r="K71" s="140"/>
      <c r="L71" s="140"/>
    </row>
    <row r="72" spans="1:12" ht="13.5" thickBot="1" x14ac:dyDescent="0.35">
      <c r="A72" s="140"/>
      <c r="B72" s="141"/>
      <c r="C72" s="142"/>
      <c r="D72" s="142"/>
      <c r="E72" s="143"/>
      <c r="F72" s="142"/>
      <c r="G72" s="142"/>
      <c r="H72" s="142"/>
      <c r="I72" s="142"/>
      <c r="J72" s="142"/>
      <c r="K72" s="140"/>
      <c r="L72" s="140"/>
    </row>
    <row r="73" spans="1:12" ht="14.5" thickBot="1" x14ac:dyDescent="0.35">
      <c r="A73" s="181" t="s">
        <v>1420</v>
      </c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3"/>
    </row>
    <row r="74" spans="1:12" ht="24" thickBot="1" x14ac:dyDescent="0.35">
      <c r="A74" s="104" t="s">
        <v>1164</v>
      </c>
      <c r="B74" s="105" t="s">
        <v>1165</v>
      </c>
      <c r="C74" s="106" t="s">
        <v>1146</v>
      </c>
      <c r="D74" s="106" t="s">
        <v>1147</v>
      </c>
      <c r="E74" s="107" t="s">
        <v>1148</v>
      </c>
      <c r="F74" s="107" t="s">
        <v>1149</v>
      </c>
      <c r="G74" s="107" t="s">
        <v>1150</v>
      </c>
      <c r="H74" s="107" t="s">
        <v>1151</v>
      </c>
      <c r="I74" s="106" t="s">
        <v>1153</v>
      </c>
      <c r="J74" s="108" t="s">
        <v>1166</v>
      </c>
      <c r="K74" s="109" t="s">
        <v>1167</v>
      </c>
      <c r="L74" s="110" t="s">
        <v>1152</v>
      </c>
    </row>
    <row r="75" spans="1:12" x14ac:dyDescent="0.3">
      <c r="A75" s="111"/>
      <c r="B75" s="112"/>
      <c r="C75" s="113"/>
      <c r="D75" s="113"/>
      <c r="E75" s="113"/>
      <c r="F75" s="113"/>
      <c r="G75" s="113"/>
      <c r="H75" s="113"/>
      <c r="I75" s="113"/>
      <c r="J75" s="114"/>
      <c r="K75" s="112"/>
      <c r="L75" s="114"/>
    </row>
    <row r="76" spans="1:12" x14ac:dyDescent="0.3">
      <c r="A76" s="115" t="s">
        <v>1427</v>
      </c>
      <c r="B76" s="116" t="s">
        <v>1435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8">
        <v>0</v>
      </c>
      <c r="K76" s="119">
        <v>0</v>
      </c>
      <c r="L76" s="120">
        <v>0</v>
      </c>
    </row>
    <row r="77" spans="1:12" x14ac:dyDescent="0.3">
      <c r="A77" s="115" t="str">
        <f>A76</f>
        <v>Logistic &amp; Other Supplies</v>
      </c>
      <c r="B77" s="116" t="s">
        <v>1365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8">
        <v>0</v>
      </c>
      <c r="K77" s="119">
        <v>0</v>
      </c>
      <c r="L77" s="120">
        <v>0</v>
      </c>
    </row>
    <row r="78" spans="1:12" ht="13.5" thickBot="1" x14ac:dyDescent="0.35">
      <c r="A78" s="121" t="s">
        <v>1168</v>
      </c>
      <c r="B78" s="122"/>
      <c r="C78" s="123">
        <f>C76-C77</f>
        <v>0</v>
      </c>
      <c r="D78" s="123">
        <f t="shared" ref="D78:J78" si="11">D76-D77</f>
        <v>0</v>
      </c>
      <c r="E78" s="124">
        <f t="shared" si="11"/>
        <v>0</v>
      </c>
      <c r="F78" s="123">
        <f t="shared" si="11"/>
        <v>0</v>
      </c>
      <c r="G78" s="123">
        <f t="shared" si="11"/>
        <v>0</v>
      </c>
      <c r="H78" s="123">
        <f t="shared" si="11"/>
        <v>0</v>
      </c>
      <c r="I78" s="123">
        <f t="shared" si="11"/>
        <v>0</v>
      </c>
      <c r="J78" s="125">
        <f t="shared" si="11"/>
        <v>0</v>
      </c>
      <c r="K78" s="126"/>
      <c r="L78" s="127"/>
    </row>
  </sheetData>
  <mergeCells count="6">
    <mergeCell ref="A64:L64"/>
    <mergeCell ref="A73:L73"/>
    <mergeCell ref="A22:L22"/>
    <mergeCell ref="A4:L4"/>
    <mergeCell ref="A13:L13"/>
    <mergeCell ref="A43:L43"/>
  </mergeCells>
  <conditionalFormatting sqref="C9:J12">
    <cfRule type="cellIs" dxfId="23" priority="15" operator="greaterThan">
      <formula>0</formula>
    </cfRule>
    <cfRule type="cellIs" dxfId="22" priority="16" operator="lessThan">
      <formula>0</formula>
    </cfRule>
  </conditionalFormatting>
  <conditionalFormatting sqref="C18:J21">
    <cfRule type="cellIs" dxfId="21" priority="13" operator="greaterThan">
      <formula>0</formula>
    </cfRule>
    <cfRule type="cellIs" dxfId="20" priority="14" operator="lessThan">
      <formula>0</formula>
    </cfRule>
  </conditionalFormatting>
  <conditionalFormatting sqref="C27:J27">
    <cfRule type="cellIs" dxfId="19" priority="33" operator="greaterThan">
      <formula>0</formula>
    </cfRule>
    <cfRule type="cellIs" dxfId="18" priority="34" operator="lessThan">
      <formula>0</formula>
    </cfRule>
  </conditionalFormatting>
  <conditionalFormatting sqref="C31:J31">
    <cfRule type="cellIs" dxfId="17" priority="31" operator="greaterThan">
      <formula>0</formula>
    </cfRule>
    <cfRule type="cellIs" dxfId="16" priority="32" operator="lessThan">
      <formula>0</formula>
    </cfRule>
  </conditionalFormatting>
  <conditionalFormatting sqref="C35:J35">
    <cfRule type="cellIs" dxfId="15" priority="29" operator="greaterThan">
      <formula>0</formula>
    </cfRule>
    <cfRule type="cellIs" dxfId="14" priority="30" operator="lessThan">
      <formula>0</formula>
    </cfRule>
  </conditionalFormatting>
  <conditionalFormatting sqref="C39:J39">
    <cfRule type="cellIs" dxfId="13" priority="27" operator="greaterThan">
      <formula>0</formula>
    </cfRule>
    <cfRule type="cellIs" dxfId="12" priority="28" operator="lessThan">
      <formula>0</formula>
    </cfRule>
  </conditionalFormatting>
  <conditionalFormatting sqref="C48:J48">
    <cfRule type="cellIs" dxfId="11" priority="11" operator="greaterThan">
      <formula>0</formula>
    </cfRule>
    <cfRule type="cellIs" dxfId="10" priority="12" operator="lessThan">
      <formula>0</formula>
    </cfRule>
  </conditionalFormatting>
  <conditionalFormatting sqref="C52:J52">
    <cfRule type="cellIs" dxfId="9" priority="9" operator="greaterThan">
      <formula>0</formula>
    </cfRule>
    <cfRule type="cellIs" dxfId="8" priority="10" operator="lessThan">
      <formula>0</formula>
    </cfRule>
  </conditionalFormatting>
  <conditionalFormatting sqref="C56:J56">
    <cfRule type="cellIs" dxfId="7" priority="7" operator="greaterThan">
      <formula>0</formula>
    </cfRule>
    <cfRule type="cellIs" dxfId="6" priority="8" operator="lessThan">
      <formula>0</formula>
    </cfRule>
  </conditionalFormatting>
  <conditionalFormatting sqref="C60:J60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C69:J72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C78:J7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4"/>
  <sheetViews>
    <sheetView zoomScale="80" zoomScaleNormal="80" workbookViewId="0">
      <pane xSplit="1" ySplit="3" topLeftCell="B7" activePane="bottomRight" state="frozen"/>
      <selection pane="topRight" activeCell="B1" sqref="B1"/>
      <selection pane="bottomLeft" activeCell="A5" sqref="A5"/>
      <selection pane="bottomRight" activeCell="H17" sqref="H17"/>
    </sheetView>
  </sheetViews>
  <sheetFormatPr defaultColWidth="8.8984375" defaultRowHeight="12.5" x14ac:dyDescent="0.25"/>
  <cols>
    <col min="1" max="1" width="25.69921875" style="3" bestFit="1" customWidth="1"/>
    <col min="2" max="2" width="35.5" style="3" bestFit="1" customWidth="1"/>
    <col min="3" max="4" width="18.296875" style="3" customWidth="1"/>
    <col min="5" max="5" width="23" style="3" customWidth="1"/>
    <col min="6" max="6" width="10.8984375" style="3" customWidth="1"/>
    <col min="7" max="7" width="11.69921875" style="3" bestFit="1" customWidth="1"/>
    <col min="8" max="8" width="10.69921875" style="3" customWidth="1"/>
    <col min="9" max="9" width="11.69921875" style="3" bestFit="1" customWidth="1"/>
    <col min="10" max="16384" width="8.8984375" style="3"/>
  </cols>
  <sheetData>
    <row r="2" spans="1:5" ht="18" customHeight="1" x14ac:dyDescent="0.25">
      <c r="A2" s="189"/>
      <c r="B2" s="189"/>
      <c r="C2" s="190" t="s">
        <v>186</v>
      </c>
      <c r="D2" s="189"/>
      <c r="E2" s="189"/>
    </row>
    <row r="3" spans="1:5" s="15" customFormat="1" ht="26" x14ac:dyDescent="0.25">
      <c r="A3" s="191" t="s">
        <v>1454</v>
      </c>
      <c r="B3" s="191" t="s">
        <v>1455</v>
      </c>
      <c r="C3" s="193" t="s">
        <v>183</v>
      </c>
      <c r="D3" s="193" t="s">
        <v>184</v>
      </c>
      <c r="E3" s="193" t="s">
        <v>185</v>
      </c>
    </row>
    <row r="4" spans="1:5" x14ac:dyDescent="0.25">
      <c r="A4" s="189" t="s">
        <v>1374</v>
      </c>
      <c r="B4" s="189" t="s">
        <v>1374</v>
      </c>
      <c r="C4" s="192">
        <v>206251.86999999994</v>
      </c>
      <c r="D4" s="192">
        <v>15518.060000000001</v>
      </c>
      <c r="E4" s="192">
        <v>5230.3599999999988</v>
      </c>
    </row>
    <row r="5" spans="1:5" x14ac:dyDescent="0.25">
      <c r="A5" s="189" t="s">
        <v>1386</v>
      </c>
      <c r="B5" s="189" t="s">
        <v>1386</v>
      </c>
      <c r="C5" s="192">
        <v>1201517.21</v>
      </c>
      <c r="D5" s="192">
        <v>0</v>
      </c>
      <c r="E5" s="192">
        <v>0</v>
      </c>
    </row>
    <row r="6" spans="1:5" x14ac:dyDescent="0.25">
      <c r="A6" s="189" t="s">
        <v>1416</v>
      </c>
      <c r="B6" s="189" t="s">
        <v>1421</v>
      </c>
      <c r="C6" s="192">
        <v>109804.80000000002</v>
      </c>
      <c r="D6" s="192">
        <v>1767.3000000000002</v>
      </c>
      <c r="E6" s="192">
        <v>10477.452000000001</v>
      </c>
    </row>
    <row r="7" spans="1:5" x14ac:dyDescent="0.25">
      <c r="A7" s="189"/>
      <c r="B7" s="189" t="s">
        <v>1422</v>
      </c>
      <c r="C7" s="192">
        <v>173440.27000000008</v>
      </c>
      <c r="D7" s="192">
        <v>8532.82</v>
      </c>
      <c r="E7" s="192">
        <v>9500.7507500000011</v>
      </c>
    </row>
    <row r="8" spans="1:5" x14ac:dyDescent="0.25">
      <c r="A8" s="189"/>
      <c r="B8" s="189" t="s">
        <v>1423</v>
      </c>
      <c r="C8" s="192">
        <v>63397.89</v>
      </c>
      <c r="D8" s="192">
        <v>543.41999999999996</v>
      </c>
      <c r="E8" s="192">
        <v>14565.96</v>
      </c>
    </row>
    <row r="9" spans="1:5" x14ac:dyDescent="0.25">
      <c r="A9" s="189"/>
      <c r="B9" s="189" t="s">
        <v>1376</v>
      </c>
      <c r="C9" s="192">
        <v>1230752.1899999997</v>
      </c>
      <c r="D9" s="192">
        <v>30684.370000000003</v>
      </c>
      <c r="E9" s="192">
        <v>165389.14300000001</v>
      </c>
    </row>
    <row r="10" spans="1:5" x14ac:dyDescent="0.25">
      <c r="A10" s="189"/>
      <c r="B10" s="189" t="s">
        <v>1543</v>
      </c>
      <c r="C10" s="192">
        <v>0</v>
      </c>
      <c r="D10" s="192">
        <v>0</v>
      </c>
      <c r="E10" s="192">
        <v>10715</v>
      </c>
    </row>
    <row r="11" spans="1:5" x14ac:dyDescent="0.25">
      <c r="A11" s="189" t="s">
        <v>1417</v>
      </c>
      <c r="B11" s="189" t="s">
        <v>1421</v>
      </c>
      <c r="C11" s="192">
        <v>495273.76999999996</v>
      </c>
      <c r="D11" s="192">
        <v>7734.02</v>
      </c>
      <c r="E11" s="192">
        <v>59084.199349999988</v>
      </c>
    </row>
    <row r="12" spans="1:5" x14ac:dyDescent="0.25">
      <c r="A12" s="189"/>
      <c r="B12" s="189" t="s">
        <v>1424</v>
      </c>
      <c r="C12" s="192">
        <v>220149.72</v>
      </c>
      <c r="D12" s="192">
        <v>6671.25</v>
      </c>
      <c r="E12" s="192">
        <v>25018.292159999997</v>
      </c>
    </row>
    <row r="13" spans="1:5" x14ac:dyDescent="0.25">
      <c r="A13" s="189"/>
      <c r="B13" s="189" t="s">
        <v>1425</v>
      </c>
      <c r="C13" s="192">
        <v>84309.069999999992</v>
      </c>
      <c r="D13" s="192">
        <v>766.21</v>
      </c>
      <c r="E13" s="192">
        <v>11862.047900000001</v>
      </c>
    </row>
    <row r="14" spans="1:5" x14ac:dyDescent="0.25">
      <c r="A14" s="189"/>
      <c r="B14" s="189" t="s">
        <v>1398</v>
      </c>
      <c r="C14" s="192">
        <v>189098.44</v>
      </c>
      <c r="D14" s="192">
        <v>0</v>
      </c>
      <c r="E14" s="192">
        <v>33051.599000000002</v>
      </c>
    </row>
    <row r="15" spans="1:5" x14ac:dyDescent="0.25">
      <c r="A15" s="189"/>
      <c r="B15" s="189" t="s">
        <v>1376</v>
      </c>
      <c r="C15" s="192">
        <v>789122.67</v>
      </c>
      <c r="D15" s="192">
        <v>25781.119999999999</v>
      </c>
      <c r="E15" s="192">
        <v>164438.48499999999</v>
      </c>
    </row>
    <row r="16" spans="1:5" x14ac:dyDescent="0.25">
      <c r="A16" s="189" t="s">
        <v>1418</v>
      </c>
      <c r="B16" s="189" t="s">
        <v>1421</v>
      </c>
      <c r="C16" s="192">
        <v>228950.99</v>
      </c>
      <c r="D16" s="192">
        <v>0</v>
      </c>
      <c r="E16" s="192">
        <v>19632.518049999999</v>
      </c>
    </row>
    <row r="17" spans="1:9" x14ac:dyDescent="0.25">
      <c r="A17" s="189"/>
      <c r="B17" s="189" t="s">
        <v>1422</v>
      </c>
      <c r="C17" s="192">
        <v>135062.22</v>
      </c>
      <c r="D17" s="192">
        <v>2077.3199999999997</v>
      </c>
      <c r="E17" s="192">
        <v>7562.3042900000009</v>
      </c>
    </row>
    <row r="18" spans="1:9" x14ac:dyDescent="0.25">
      <c r="A18" s="189"/>
      <c r="B18" s="189" t="s">
        <v>1424</v>
      </c>
      <c r="C18" s="192">
        <v>61137.74</v>
      </c>
      <c r="D18" s="192">
        <v>203.42</v>
      </c>
      <c r="E18" s="192">
        <v>6552.4000000000005</v>
      </c>
    </row>
    <row r="19" spans="1:9" x14ac:dyDescent="0.25">
      <c r="A19" s="189"/>
      <c r="B19" s="189" t="s">
        <v>1376</v>
      </c>
      <c r="C19" s="192">
        <v>1137022.3700000001</v>
      </c>
      <c r="D19" s="192">
        <v>3140.72</v>
      </c>
      <c r="E19" s="192">
        <v>147355.652</v>
      </c>
    </row>
    <row r="20" spans="1:9" x14ac:dyDescent="0.25">
      <c r="A20" s="189"/>
      <c r="B20" s="189" t="s">
        <v>1543</v>
      </c>
      <c r="C20" s="192">
        <v>0</v>
      </c>
      <c r="D20" s="192">
        <v>0</v>
      </c>
      <c r="E20" s="192">
        <v>1829</v>
      </c>
    </row>
    <row r="21" spans="1:9" x14ac:dyDescent="0.25">
      <c r="A21" s="189" t="s">
        <v>1420</v>
      </c>
      <c r="B21" s="189" t="s">
        <v>1427</v>
      </c>
      <c r="C21" s="192">
        <v>0</v>
      </c>
      <c r="D21" s="192">
        <v>0</v>
      </c>
      <c r="E21" s="192">
        <v>0</v>
      </c>
    </row>
    <row r="22" spans="1:9" x14ac:dyDescent="0.25">
      <c r="A22" s="189" t="s">
        <v>1419</v>
      </c>
      <c r="B22" s="189" t="s">
        <v>1426</v>
      </c>
      <c r="C22" s="192">
        <v>275278.59000000003</v>
      </c>
      <c r="D22" s="192">
        <v>22800.670000000002</v>
      </c>
      <c r="E22" s="192">
        <v>0</v>
      </c>
    </row>
    <row r="23" spans="1:9" x14ac:dyDescent="0.25">
      <c r="A23" s="189" t="s">
        <v>2599</v>
      </c>
      <c r="B23" s="189" t="s">
        <v>1376</v>
      </c>
      <c r="C23" s="192">
        <v>1574.52</v>
      </c>
      <c r="D23" s="192">
        <v>0</v>
      </c>
      <c r="E23" s="192">
        <v>108.587</v>
      </c>
    </row>
    <row r="24" spans="1:9" x14ac:dyDescent="0.25">
      <c r="A24" s="189"/>
      <c r="B24" s="189" t="s">
        <v>2823</v>
      </c>
      <c r="C24" s="192"/>
      <c r="D24" s="192"/>
      <c r="E24" s="192">
        <v>0</v>
      </c>
    </row>
    <row r="25" spans="1:9" x14ac:dyDescent="0.25">
      <c r="A25" s="189" t="s">
        <v>159</v>
      </c>
      <c r="B25" s="189"/>
      <c r="C25" s="192">
        <v>6602144.3299999991</v>
      </c>
      <c r="D25" s="192">
        <v>126220.70000000001</v>
      </c>
      <c r="E25" s="192">
        <v>692373.75050000008</v>
      </c>
    </row>
    <row r="26" spans="1:9" ht="13" x14ac:dyDescent="0.3">
      <c r="A26"/>
      <c r="B26"/>
      <c r="C26"/>
      <c r="D26"/>
    </row>
    <row r="27" spans="1:9" ht="13" x14ac:dyDescent="0.3">
      <c r="A27"/>
      <c r="B27"/>
      <c r="C27"/>
      <c r="D27"/>
    </row>
    <row r="28" spans="1:9" ht="13" x14ac:dyDescent="0.3">
      <c r="A28"/>
      <c r="B28"/>
      <c r="C28"/>
      <c r="D28"/>
    </row>
    <row r="29" spans="1:9" ht="13" x14ac:dyDescent="0.3">
      <c r="A29"/>
      <c r="B29"/>
      <c r="C29"/>
      <c r="D29"/>
    </row>
    <row r="30" spans="1:9" ht="13" x14ac:dyDescent="0.3">
      <c r="A30"/>
      <c r="B30"/>
      <c r="C30"/>
      <c r="D30"/>
    </row>
    <row r="31" spans="1:9" ht="13" x14ac:dyDescent="0.3">
      <c r="A31"/>
      <c r="B31"/>
      <c r="C31"/>
      <c r="D31"/>
    </row>
    <row r="32" spans="1:9" ht="13" x14ac:dyDescent="0.3">
      <c r="A32"/>
      <c r="B32"/>
      <c r="C32"/>
      <c r="D32"/>
      <c r="E32"/>
      <c r="I32" s="26"/>
    </row>
    <row r="33" spans="3:8" x14ac:dyDescent="0.25">
      <c r="C33" s="26"/>
      <c r="G33" s="26"/>
      <c r="H33" s="26"/>
    </row>
    <row r="34" spans="3:8" x14ac:dyDescent="0.25">
      <c r="C34" s="176"/>
      <c r="D34" s="26"/>
    </row>
  </sheetData>
  <pageMargins left="0.7" right="0.7" top="0.75" bottom="0.75" header="0.3" footer="0.3"/>
  <pageSetup paperSize="9" orientation="portrait" r:id="rId2"/>
  <customProperties>
    <customPr name="_pios_id" r:id="rId3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429"/>
  <sheetViews>
    <sheetView zoomScale="80" zoomScaleNormal="80" workbookViewId="0">
      <pane xSplit="4" ySplit="6" topLeftCell="E418" activePane="bottomRight" state="frozen"/>
      <selection pane="topRight" activeCell="E1" sqref="E1"/>
      <selection pane="bottomLeft" activeCell="A7" sqref="A7"/>
      <selection pane="bottomRight" activeCell="AA425" sqref="AA425"/>
    </sheetView>
  </sheetViews>
  <sheetFormatPr defaultColWidth="8.8984375" defaultRowHeight="13" outlineLevelCol="1" x14ac:dyDescent="0.3"/>
  <cols>
    <col min="1" max="1" width="14.5" style="12" bestFit="1" customWidth="1"/>
    <col min="2" max="2" width="3.296875" style="3" bestFit="1" customWidth="1"/>
    <col min="3" max="3" width="8.5" style="3" bestFit="1" customWidth="1"/>
    <col min="4" max="4" width="42.09765625" style="3" bestFit="1" customWidth="1"/>
    <col min="5" max="5" width="10.8984375" style="3" bestFit="1" customWidth="1"/>
    <col min="6" max="6" width="10.09765625" style="3" hidden="1" customWidth="1" outlineLevel="1"/>
    <col min="7" max="7" width="11" style="3" hidden="1" customWidth="1" outlineLevel="1"/>
    <col min="8" max="9" width="19.19921875" style="3" hidden="1" customWidth="1" outlineLevel="1"/>
    <col min="10" max="10" width="19.09765625" style="3" hidden="1" customWidth="1" outlineLevel="1"/>
    <col min="11" max="11" width="22.3984375" style="3" hidden="1" customWidth="1" outlineLevel="1"/>
    <col min="12" max="12" width="17.8984375" style="3" hidden="1" customWidth="1" outlineLevel="1"/>
    <col min="13" max="13" width="22.3984375" style="3" hidden="1" customWidth="1" outlineLevel="1"/>
    <col min="14" max="14" width="17.8984375" style="3" hidden="1" customWidth="1" outlineLevel="1"/>
    <col min="15" max="15" width="22.3984375" style="4" hidden="1" customWidth="1" outlineLevel="1"/>
    <col min="16" max="16" width="17.8984375" style="4" hidden="1" customWidth="1" outlineLevel="1"/>
    <col min="17" max="17" width="22.3984375" style="3" hidden="1" customWidth="1" outlineLevel="1"/>
    <col min="18" max="18" width="17.8984375" style="3" hidden="1" customWidth="1" outlineLevel="1"/>
    <col min="19" max="19" width="22" style="4" hidden="1" customWidth="1" outlineLevel="1"/>
    <col min="20" max="20" width="19.09765625" style="4" hidden="1" customWidth="1" outlineLevel="1"/>
    <col min="21" max="21" width="25.19921875" style="3" hidden="1" customWidth="1" outlineLevel="1"/>
    <col min="22" max="22" width="18.19921875" style="3" hidden="1" customWidth="1" outlineLevel="1"/>
    <col min="23" max="23" width="16.59765625" style="3" bestFit="1" customWidth="1" collapsed="1"/>
    <col min="24" max="24" width="19.8984375" style="3" bestFit="1" customWidth="1"/>
    <col min="25" max="25" width="16.19921875" style="3" bestFit="1" customWidth="1"/>
    <col min="26" max="26" width="13.19921875" style="3" bestFit="1" customWidth="1"/>
    <col min="27" max="27" width="18.59765625" style="3" bestFit="1" customWidth="1"/>
    <col min="28" max="28" width="22.3984375" style="3" bestFit="1" customWidth="1"/>
    <col min="29" max="29" width="12.59765625" style="8" customWidth="1"/>
    <col min="30" max="30" width="16" style="11" bestFit="1" customWidth="1"/>
    <col min="31" max="32" width="10.69921875" style="8" customWidth="1"/>
    <col min="33" max="33" width="12.59765625" style="8" customWidth="1"/>
    <col min="34" max="34" width="21.796875" style="3" bestFit="1" customWidth="1"/>
    <col min="35" max="35" width="35.296875" style="3" bestFit="1" customWidth="1"/>
    <col min="36" max="16384" width="8.8984375" style="3"/>
  </cols>
  <sheetData>
    <row r="1" spans="1:35" x14ac:dyDescent="0.3">
      <c r="A1" s="1" t="s">
        <v>160</v>
      </c>
      <c r="B1" s="2" t="s">
        <v>161</v>
      </c>
      <c r="AC1" s="5"/>
      <c r="AD1" s="6"/>
    </row>
    <row r="2" spans="1:35" x14ac:dyDescent="0.3">
      <c r="A2" s="7" t="s">
        <v>162</v>
      </c>
      <c r="B2" s="4"/>
      <c r="C2" s="13" t="s">
        <v>2795</v>
      </c>
      <c r="D2" s="14"/>
      <c r="AD2" s="6"/>
    </row>
    <row r="3" spans="1:35" ht="31.75" customHeight="1" x14ac:dyDescent="0.3">
      <c r="A3" s="7" t="s">
        <v>235</v>
      </c>
      <c r="B3" s="4"/>
      <c r="AD3" s="6"/>
      <c r="AE3" s="45" t="s">
        <v>1109</v>
      </c>
      <c r="AF3" s="45" t="s">
        <v>1110</v>
      </c>
      <c r="AG3" s="46" t="s">
        <v>1539</v>
      </c>
    </row>
    <row r="4" spans="1:35" x14ac:dyDescent="0.3">
      <c r="A4" s="7"/>
      <c r="B4" s="4"/>
      <c r="AD4" s="6"/>
      <c r="AE4" s="42"/>
      <c r="AF4" s="42"/>
      <c r="AG4" s="165"/>
    </row>
    <row r="5" spans="1:35" s="10" customFormat="1" ht="52" x14ac:dyDescent="0.2">
      <c r="A5" s="25" t="s">
        <v>362</v>
      </c>
      <c r="B5" s="167" t="s">
        <v>2483</v>
      </c>
      <c r="C5" s="25" t="s">
        <v>8</v>
      </c>
      <c r="D5" s="167" t="s">
        <v>1531</v>
      </c>
      <c r="E5" s="25" t="s">
        <v>9</v>
      </c>
      <c r="F5" s="25" t="s">
        <v>1436</v>
      </c>
      <c r="G5" s="25" t="s">
        <v>1437</v>
      </c>
      <c r="H5" s="25" t="s">
        <v>1448</v>
      </c>
      <c r="I5" s="25" t="s">
        <v>164</v>
      </c>
      <c r="J5" s="25" t="s">
        <v>2484</v>
      </c>
      <c r="K5" s="24" t="s">
        <v>1</v>
      </c>
      <c r="L5" s="24" t="s">
        <v>154</v>
      </c>
      <c r="M5" s="24" t="s">
        <v>2</v>
      </c>
      <c r="N5" s="24" t="s">
        <v>155</v>
      </c>
      <c r="O5" s="24" t="s">
        <v>3</v>
      </c>
      <c r="P5" s="24" t="s">
        <v>156</v>
      </c>
      <c r="Q5" s="24" t="s">
        <v>4</v>
      </c>
      <c r="R5" s="24" t="s">
        <v>157</v>
      </c>
      <c r="S5" s="24" t="s">
        <v>5</v>
      </c>
      <c r="T5" s="24" t="s">
        <v>182</v>
      </c>
      <c r="U5" s="24" t="s">
        <v>179</v>
      </c>
      <c r="V5" s="24" t="s">
        <v>178</v>
      </c>
      <c r="W5" s="24" t="s">
        <v>0</v>
      </c>
      <c r="X5" s="24" t="s">
        <v>6</v>
      </c>
      <c r="Y5" s="24" t="s">
        <v>7</v>
      </c>
      <c r="Z5" s="24" t="s">
        <v>1450</v>
      </c>
      <c r="AA5" s="24" t="s">
        <v>1451</v>
      </c>
      <c r="AB5" s="24" t="s">
        <v>1452</v>
      </c>
      <c r="AC5" s="34" t="s">
        <v>158</v>
      </c>
      <c r="AD5" s="9" t="s">
        <v>197</v>
      </c>
      <c r="AE5" s="47" t="s">
        <v>1111</v>
      </c>
      <c r="AF5" s="47" t="s">
        <v>1112</v>
      </c>
      <c r="AG5" s="166" t="s">
        <v>1113</v>
      </c>
      <c r="AH5" s="24" t="s">
        <v>1454</v>
      </c>
      <c r="AI5" s="24" t="s">
        <v>1455</v>
      </c>
    </row>
    <row r="6" spans="1:35" x14ac:dyDescent="0.3">
      <c r="A6" s="185" t="s">
        <v>362</v>
      </c>
      <c r="B6" s="184"/>
      <c r="C6" s="185" t="s">
        <v>8</v>
      </c>
      <c r="D6" s="184"/>
      <c r="E6" s="185" t="s">
        <v>9</v>
      </c>
      <c r="F6" s="185" t="s">
        <v>1436</v>
      </c>
      <c r="G6" s="185" t="s">
        <v>1437</v>
      </c>
      <c r="H6" s="185" t="s">
        <v>1448</v>
      </c>
      <c r="I6" s="185" t="s">
        <v>164</v>
      </c>
      <c r="J6" s="185" t="s">
        <v>236</v>
      </c>
      <c r="K6" s="187" t="s">
        <v>236</v>
      </c>
      <c r="L6" s="187" t="s">
        <v>237</v>
      </c>
      <c r="M6" s="187" t="s">
        <v>236</v>
      </c>
      <c r="N6" s="187" t="s">
        <v>237</v>
      </c>
      <c r="O6" s="187" t="s">
        <v>236</v>
      </c>
      <c r="P6" s="187" t="s">
        <v>237</v>
      </c>
      <c r="Q6" s="187" t="s">
        <v>236</v>
      </c>
      <c r="R6" s="187" t="s">
        <v>237</v>
      </c>
      <c r="S6" s="187" t="s">
        <v>236</v>
      </c>
      <c r="T6" s="187" t="s">
        <v>237</v>
      </c>
      <c r="U6" s="187" t="s">
        <v>236</v>
      </c>
      <c r="V6" s="187" t="s">
        <v>237</v>
      </c>
      <c r="W6" s="187" t="s">
        <v>236</v>
      </c>
      <c r="X6" s="187" t="s">
        <v>237</v>
      </c>
      <c r="Y6" s="187" t="s">
        <v>237</v>
      </c>
      <c r="Z6" s="187" t="s">
        <v>237</v>
      </c>
      <c r="AA6" s="187" t="s">
        <v>237</v>
      </c>
      <c r="AB6" s="187" t="s">
        <v>236</v>
      </c>
      <c r="AD6" s="11" t="s">
        <v>1453</v>
      </c>
      <c r="AE6" s="43"/>
      <c r="AF6" s="43" t="s">
        <v>1112</v>
      </c>
      <c r="AG6" s="44"/>
      <c r="AH6" s="25"/>
    </row>
    <row r="7" spans="1:35" x14ac:dyDescent="0.3">
      <c r="A7" s="186" t="s">
        <v>1155</v>
      </c>
      <c r="B7" s="24" t="s">
        <v>1155</v>
      </c>
      <c r="C7" s="156">
        <v>322382</v>
      </c>
      <c r="D7" s="24" t="s">
        <v>2002</v>
      </c>
      <c r="E7" s="24" t="s">
        <v>10</v>
      </c>
      <c r="F7" s="156">
        <v>60104</v>
      </c>
      <c r="G7" s="24" t="s">
        <v>1438</v>
      </c>
      <c r="H7" s="24" t="s">
        <v>1366</v>
      </c>
      <c r="I7" s="24" t="s">
        <v>1366</v>
      </c>
      <c r="J7" s="186" t="s">
        <v>1367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>
        <v>1242</v>
      </c>
      <c r="AA7" s="17">
        <v>414</v>
      </c>
      <c r="AB7" s="144"/>
      <c r="AC7" s="8">
        <f>(AD7*W7)/1000</f>
        <v>0</v>
      </c>
      <c r="AD7" s="11" t="str">
        <f>LEFT(details!E7,5)</f>
        <v>11.30</v>
      </c>
      <c r="AE7" s="42">
        <f>AA7</f>
        <v>414</v>
      </c>
      <c r="AF7" s="42">
        <f>VLOOKUP(C7,MC.5!B:P,15,FALSE)/3</f>
        <v>414</v>
      </c>
      <c r="AG7" s="152">
        <f>AE7</f>
        <v>414</v>
      </c>
      <c r="AH7" s="137" t="str">
        <f>VLOOKUP(F7,REF!B:C,2,FALSE)</f>
        <v>PET</v>
      </c>
      <c r="AI7" s="3" t="str">
        <f>VLOOKUP(G7,REF!E:F,2,FALSE)</f>
        <v>Bottle</v>
      </c>
    </row>
    <row r="8" spans="1:35" x14ac:dyDescent="0.3">
      <c r="A8" s="186" t="s">
        <v>1155</v>
      </c>
      <c r="B8" s="24" t="s">
        <v>1155</v>
      </c>
      <c r="C8" s="156">
        <v>322383</v>
      </c>
      <c r="D8" s="24" t="s">
        <v>11</v>
      </c>
      <c r="E8" s="24" t="s">
        <v>12</v>
      </c>
      <c r="F8" s="156">
        <v>60104</v>
      </c>
      <c r="G8" s="24" t="s">
        <v>1438</v>
      </c>
      <c r="H8" s="24" t="s">
        <v>1366</v>
      </c>
      <c r="I8" s="24" t="s">
        <v>1366</v>
      </c>
      <c r="J8" s="186" t="s">
        <v>1367</v>
      </c>
      <c r="K8" s="16">
        <v>39600</v>
      </c>
      <c r="L8" s="17">
        <v>5940</v>
      </c>
      <c r="M8" s="16">
        <v>0</v>
      </c>
      <c r="N8" s="17">
        <v>0</v>
      </c>
      <c r="O8" s="16">
        <v>0</v>
      </c>
      <c r="P8" s="17">
        <v>0</v>
      </c>
      <c r="Q8" s="16">
        <v>0</v>
      </c>
      <c r="R8" s="17">
        <v>0</v>
      </c>
      <c r="S8" s="16">
        <v>0</v>
      </c>
      <c r="T8" s="17">
        <v>0</v>
      </c>
      <c r="U8" s="16">
        <v>0</v>
      </c>
      <c r="V8" s="17">
        <v>0</v>
      </c>
      <c r="W8" s="18">
        <v>39600</v>
      </c>
      <c r="X8" s="17">
        <v>5940</v>
      </c>
      <c r="Y8" s="17">
        <v>0</v>
      </c>
      <c r="Z8" s="17">
        <v>9570</v>
      </c>
      <c r="AA8" s="17">
        <v>3190</v>
      </c>
      <c r="AB8" s="144">
        <v>55.862068965517203</v>
      </c>
      <c r="AC8" s="8">
        <f>(AD8*W8)/1000</f>
        <v>495</v>
      </c>
      <c r="AD8" s="11" t="str">
        <f>LEFT(details!E8,5)</f>
        <v>12.50</v>
      </c>
      <c r="AE8" s="42">
        <f t="shared" ref="AE8:AE71" si="0">AA8</f>
        <v>3190</v>
      </c>
      <c r="AF8" s="42">
        <f>VLOOKUP(C8,MC.5!B:P,15,FALSE)/3</f>
        <v>3190</v>
      </c>
      <c r="AG8" s="152">
        <f t="shared" ref="AG8:AG10" si="1">AE8</f>
        <v>3190</v>
      </c>
      <c r="AH8" s="137" t="str">
        <f>VLOOKUP(F8,REF!B:C,2,FALSE)</f>
        <v>PET</v>
      </c>
      <c r="AI8" s="3" t="str">
        <f>VLOOKUP(G8,REF!E:F,2,FALSE)</f>
        <v>Bottle</v>
      </c>
    </row>
    <row r="9" spans="1:35" x14ac:dyDescent="0.3">
      <c r="A9" s="186" t="s">
        <v>1155</v>
      </c>
      <c r="B9" s="24" t="s">
        <v>1155</v>
      </c>
      <c r="C9" s="156">
        <v>322389</v>
      </c>
      <c r="D9" s="24" t="s">
        <v>13</v>
      </c>
      <c r="E9" s="24" t="s">
        <v>12</v>
      </c>
      <c r="F9" s="156">
        <v>60104</v>
      </c>
      <c r="G9" s="24" t="s">
        <v>1438</v>
      </c>
      <c r="H9" s="24" t="s">
        <v>1366</v>
      </c>
      <c r="I9" s="24" t="s">
        <v>1366</v>
      </c>
      <c r="J9" s="186" t="s">
        <v>1367</v>
      </c>
      <c r="K9" s="16">
        <v>56160</v>
      </c>
      <c r="L9" s="17">
        <v>8424</v>
      </c>
      <c r="M9" s="16">
        <v>3900</v>
      </c>
      <c r="N9" s="17">
        <v>585</v>
      </c>
      <c r="O9" s="16">
        <v>0</v>
      </c>
      <c r="P9" s="17">
        <v>0</v>
      </c>
      <c r="Q9" s="16">
        <v>0</v>
      </c>
      <c r="R9" s="17">
        <v>0</v>
      </c>
      <c r="S9" s="16">
        <v>0</v>
      </c>
      <c r="T9" s="17">
        <v>0</v>
      </c>
      <c r="U9" s="16">
        <v>0</v>
      </c>
      <c r="V9" s="17">
        <v>0</v>
      </c>
      <c r="W9" s="18">
        <v>60060</v>
      </c>
      <c r="X9" s="17">
        <v>9009</v>
      </c>
      <c r="Y9" s="17">
        <v>0</v>
      </c>
      <c r="Z9" s="17">
        <v>7675.2</v>
      </c>
      <c r="AA9" s="17">
        <v>2558.4</v>
      </c>
      <c r="AB9" s="144">
        <v>105.640243902439</v>
      </c>
      <c r="AC9" s="8">
        <f>(AD9*W9)/1000</f>
        <v>750.75</v>
      </c>
      <c r="AD9" s="11" t="str">
        <f>LEFT(details!E9,5)</f>
        <v>12.50</v>
      </c>
      <c r="AE9" s="42">
        <f t="shared" si="0"/>
        <v>2558.4</v>
      </c>
      <c r="AF9" s="42">
        <f>VLOOKUP(C9,MC.5!B:P,15,FALSE)/3</f>
        <v>2558.4</v>
      </c>
      <c r="AG9" s="152">
        <f t="shared" si="1"/>
        <v>2558.4</v>
      </c>
      <c r="AH9" s="137" t="str">
        <f>VLOOKUP(F9,REF!B:C,2,FALSE)</f>
        <v>PET</v>
      </c>
      <c r="AI9" s="3" t="str">
        <f>VLOOKUP(G9,REF!E:F,2,FALSE)</f>
        <v>Bottle</v>
      </c>
    </row>
    <row r="10" spans="1:35" x14ac:dyDescent="0.3">
      <c r="A10" s="186" t="s">
        <v>1155</v>
      </c>
      <c r="B10" s="24" t="s">
        <v>1155</v>
      </c>
      <c r="C10" s="156">
        <v>322391</v>
      </c>
      <c r="D10" s="24" t="s">
        <v>2004</v>
      </c>
      <c r="E10" s="24" t="s">
        <v>14</v>
      </c>
      <c r="F10" s="156">
        <v>60104</v>
      </c>
      <c r="G10" s="24" t="s">
        <v>1438</v>
      </c>
      <c r="H10" s="24" t="s">
        <v>1366</v>
      </c>
      <c r="I10" s="24" t="s">
        <v>1366</v>
      </c>
      <c r="J10" s="186" t="s">
        <v>1367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>
        <v>1300</v>
      </c>
      <c r="AA10" s="17">
        <v>433.33333333333297</v>
      </c>
      <c r="AB10" s="144"/>
      <c r="AC10" s="8">
        <f t="shared" ref="AC10:AC30" si="2">(AD10*W10)/1000</f>
        <v>0</v>
      </c>
      <c r="AD10" s="11" t="str">
        <f>LEFT(details!E10,5)</f>
        <v>20.00</v>
      </c>
      <c r="AE10" s="42">
        <f t="shared" si="0"/>
        <v>433.33333333333297</v>
      </c>
      <c r="AF10" s="42">
        <f>VLOOKUP(C10,MC.5!B:P,15,FALSE)/3</f>
        <v>433.33333333333331</v>
      </c>
      <c r="AG10" s="152">
        <f t="shared" si="1"/>
        <v>433.33333333333297</v>
      </c>
      <c r="AH10" s="137" t="str">
        <f>VLOOKUP(F10,REF!B:C,2,FALSE)</f>
        <v>PET</v>
      </c>
      <c r="AI10" s="3" t="str">
        <f>VLOOKUP(G10,REF!E:F,2,FALSE)</f>
        <v>Bottle</v>
      </c>
    </row>
    <row r="11" spans="1:35" x14ac:dyDescent="0.3">
      <c r="A11" s="186" t="s">
        <v>1155</v>
      </c>
      <c r="B11" s="24" t="s">
        <v>1155</v>
      </c>
      <c r="C11" s="156">
        <v>322394</v>
      </c>
      <c r="D11" s="24" t="s">
        <v>2005</v>
      </c>
      <c r="E11" s="24" t="s">
        <v>14</v>
      </c>
      <c r="F11" s="156">
        <v>60104</v>
      </c>
      <c r="G11" s="24" t="s">
        <v>1438</v>
      </c>
      <c r="H11" s="24" t="s">
        <v>1366</v>
      </c>
      <c r="I11" s="24" t="s">
        <v>1366</v>
      </c>
      <c r="J11" s="186" t="s">
        <v>1367</v>
      </c>
      <c r="K11" s="16">
        <v>0</v>
      </c>
      <c r="L11" s="17">
        <v>0</v>
      </c>
      <c r="M11" s="16">
        <v>1440</v>
      </c>
      <c r="N11" s="17">
        <v>302.39999999999998</v>
      </c>
      <c r="O11" s="16">
        <v>0</v>
      </c>
      <c r="P11" s="17">
        <v>0</v>
      </c>
      <c r="Q11" s="16">
        <v>0</v>
      </c>
      <c r="R11" s="17">
        <v>0</v>
      </c>
      <c r="S11" s="16">
        <v>0</v>
      </c>
      <c r="T11" s="17">
        <v>0</v>
      </c>
      <c r="U11" s="16">
        <v>0</v>
      </c>
      <c r="V11" s="17">
        <v>0</v>
      </c>
      <c r="W11" s="18">
        <v>1440</v>
      </c>
      <c r="X11" s="17">
        <v>302.39999999999998</v>
      </c>
      <c r="Y11" s="17">
        <v>0</v>
      </c>
      <c r="Z11" s="17"/>
      <c r="AA11" s="17"/>
      <c r="AB11" s="144">
        <v>0</v>
      </c>
      <c r="AC11" s="8">
        <f>(AD11*W11)/1000</f>
        <v>28.8</v>
      </c>
      <c r="AD11" s="11" t="str">
        <f>LEFT(details!E11,5)</f>
        <v>20.00</v>
      </c>
      <c r="AE11" s="42">
        <f t="shared" si="0"/>
        <v>0</v>
      </c>
      <c r="AF11" s="42">
        <f>VLOOKUP(C11,MC.5!B:P,15,FALSE)/3</f>
        <v>0</v>
      </c>
      <c r="AG11" s="152">
        <f>AF11</f>
        <v>0</v>
      </c>
      <c r="AH11" s="137" t="str">
        <f>VLOOKUP(F11,REF!B:C,2,FALSE)</f>
        <v>PET</v>
      </c>
      <c r="AI11" s="3" t="str">
        <f>VLOOKUP(G11,REF!E:F,2,FALSE)</f>
        <v>Bottle</v>
      </c>
    </row>
    <row r="12" spans="1:35" x14ac:dyDescent="0.3">
      <c r="A12" s="186" t="s">
        <v>1155</v>
      </c>
      <c r="B12" s="24" t="s">
        <v>1155</v>
      </c>
      <c r="C12" s="156">
        <v>322405</v>
      </c>
      <c r="D12" s="24" t="s">
        <v>16</v>
      </c>
      <c r="E12" s="24" t="s">
        <v>14</v>
      </c>
      <c r="F12" s="156">
        <v>60104</v>
      </c>
      <c r="G12" s="24" t="s">
        <v>1438</v>
      </c>
      <c r="H12" s="24" t="s">
        <v>1366</v>
      </c>
      <c r="I12" s="24" t="s">
        <v>1366</v>
      </c>
      <c r="J12" s="186" t="s">
        <v>1367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>
        <v>883.2</v>
      </c>
      <c r="AA12" s="17">
        <v>294.39999999999998</v>
      </c>
      <c r="AB12" s="144"/>
      <c r="AC12" s="8">
        <f t="shared" si="2"/>
        <v>0</v>
      </c>
      <c r="AD12" s="11" t="str">
        <f>LEFT(details!E12,5)</f>
        <v>20.00</v>
      </c>
      <c r="AE12" s="42">
        <f t="shared" si="0"/>
        <v>294.39999999999998</v>
      </c>
      <c r="AF12" s="42">
        <f>VLOOKUP(C12,MC.5!B:P,15,FALSE)/3</f>
        <v>294.40000000000003</v>
      </c>
      <c r="AG12" s="152">
        <f t="shared" ref="AG8:AG40" si="3">AE12</f>
        <v>294.39999999999998</v>
      </c>
      <c r="AH12" s="137" t="str">
        <f>VLOOKUP(F12,REF!B:C,2,FALSE)</f>
        <v>PET</v>
      </c>
      <c r="AI12" s="3" t="str">
        <f>VLOOKUP(G12,REF!E:F,2,FALSE)</f>
        <v>Bottle</v>
      </c>
    </row>
    <row r="13" spans="1:35" x14ac:dyDescent="0.3">
      <c r="A13" s="186" t="s">
        <v>1155</v>
      </c>
      <c r="B13" s="24" t="s">
        <v>1155</v>
      </c>
      <c r="C13" s="156">
        <v>322409</v>
      </c>
      <c r="D13" s="24" t="s">
        <v>269</v>
      </c>
      <c r="E13" s="24" t="s">
        <v>18</v>
      </c>
      <c r="F13" s="156">
        <v>60104</v>
      </c>
      <c r="G13" s="24" t="s">
        <v>1439</v>
      </c>
      <c r="H13" s="24" t="s">
        <v>1368</v>
      </c>
      <c r="I13" s="24" t="s">
        <v>1368</v>
      </c>
      <c r="J13" s="186" t="s">
        <v>1367</v>
      </c>
      <c r="K13" s="16">
        <v>47814</v>
      </c>
      <c r="L13" s="17">
        <v>10040.94</v>
      </c>
      <c r="M13" s="16">
        <v>0</v>
      </c>
      <c r="N13" s="17">
        <v>0</v>
      </c>
      <c r="O13" s="16">
        <v>0</v>
      </c>
      <c r="P13" s="17">
        <v>0</v>
      </c>
      <c r="Q13" s="16">
        <v>0</v>
      </c>
      <c r="R13" s="17">
        <v>0</v>
      </c>
      <c r="S13" s="16">
        <v>0</v>
      </c>
      <c r="T13" s="17">
        <v>0</v>
      </c>
      <c r="U13" s="16">
        <v>0</v>
      </c>
      <c r="V13" s="17">
        <v>0</v>
      </c>
      <c r="W13" s="18">
        <v>47814</v>
      </c>
      <c r="X13" s="17">
        <v>10040.94</v>
      </c>
      <c r="Y13" s="17">
        <v>0</v>
      </c>
      <c r="Z13" s="17">
        <v>3303.71</v>
      </c>
      <c r="AA13" s="17">
        <v>1101.2366666666701</v>
      </c>
      <c r="AB13" s="144">
        <v>273.53629707208</v>
      </c>
      <c r="AC13" s="8">
        <f t="shared" si="2"/>
        <v>1147.5360000000001</v>
      </c>
      <c r="AD13" s="11" t="str">
        <f>LEFT(details!E13,5)</f>
        <v>24.00</v>
      </c>
      <c r="AE13" s="42">
        <f t="shared" si="0"/>
        <v>1101.2366666666701</v>
      </c>
      <c r="AF13" s="42">
        <f>VLOOKUP(C13,MC.5!B:P,15,FALSE)/3</f>
        <v>3275.98</v>
      </c>
      <c r="AG13" s="152">
        <f t="shared" si="3"/>
        <v>1101.2366666666701</v>
      </c>
      <c r="AH13" s="137" t="str">
        <f>VLOOKUP(F13,REF!B:C,2,FALSE)</f>
        <v>PET</v>
      </c>
      <c r="AI13" s="3" t="str">
        <f>VLOOKUP(G13,REF!E:F,2,FALSE)</f>
        <v>Jar /Container/Tub</v>
      </c>
    </row>
    <row r="14" spans="1:35" x14ac:dyDescent="0.3">
      <c r="A14" s="186" t="s">
        <v>1155</v>
      </c>
      <c r="B14" s="24" t="s">
        <v>1155</v>
      </c>
      <c r="C14" s="156">
        <v>322411</v>
      </c>
      <c r="D14" s="24" t="s">
        <v>19</v>
      </c>
      <c r="E14" s="24" t="s">
        <v>18</v>
      </c>
      <c r="F14" s="156">
        <v>60104</v>
      </c>
      <c r="G14" s="24" t="s">
        <v>1439</v>
      </c>
      <c r="H14" s="24" t="s">
        <v>1368</v>
      </c>
      <c r="I14" s="24" t="s">
        <v>1368</v>
      </c>
      <c r="J14" s="186" t="s">
        <v>1367</v>
      </c>
      <c r="K14" s="16">
        <v>0</v>
      </c>
      <c r="L14" s="17">
        <v>0</v>
      </c>
      <c r="M14" s="16">
        <v>0</v>
      </c>
      <c r="N14" s="17">
        <v>0</v>
      </c>
      <c r="O14" s="16">
        <v>9720</v>
      </c>
      <c r="P14" s="17">
        <v>2041.2</v>
      </c>
      <c r="Q14" s="16">
        <v>0</v>
      </c>
      <c r="R14" s="17">
        <v>0</v>
      </c>
      <c r="S14" s="16">
        <v>0</v>
      </c>
      <c r="T14" s="17">
        <v>0</v>
      </c>
      <c r="U14" s="16">
        <v>0</v>
      </c>
      <c r="V14" s="17">
        <v>0</v>
      </c>
      <c r="W14" s="18">
        <v>9720</v>
      </c>
      <c r="X14" s="17">
        <v>2041.2</v>
      </c>
      <c r="Y14" s="17">
        <v>453.64</v>
      </c>
      <c r="Z14" s="17">
        <v>1090.8</v>
      </c>
      <c r="AA14" s="17">
        <v>363.6</v>
      </c>
      <c r="AB14" s="144">
        <v>168.41584158415799</v>
      </c>
      <c r="AC14" s="8">
        <f t="shared" si="2"/>
        <v>233.28</v>
      </c>
      <c r="AD14" s="11" t="str">
        <f>LEFT(details!E14,5)</f>
        <v>24.00</v>
      </c>
      <c r="AE14" s="42">
        <f t="shared" si="0"/>
        <v>363.6</v>
      </c>
      <c r="AF14" s="42">
        <f>VLOOKUP(C14,MC.5!B:P,15,FALSE)/3</f>
        <v>363.59999999999997</v>
      </c>
      <c r="AG14" s="152">
        <f t="shared" si="3"/>
        <v>363.6</v>
      </c>
      <c r="AH14" s="137" t="str">
        <f>VLOOKUP(F14,REF!B:C,2,FALSE)</f>
        <v>PET</v>
      </c>
      <c r="AI14" s="3" t="str">
        <f>VLOOKUP(G14,REF!E:F,2,FALSE)</f>
        <v>Jar /Container/Tub</v>
      </c>
    </row>
    <row r="15" spans="1:35" x14ac:dyDescent="0.3">
      <c r="A15" s="186" t="s">
        <v>1155</v>
      </c>
      <c r="B15" s="24" t="s">
        <v>1155</v>
      </c>
      <c r="C15" s="156">
        <v>322412</v>
      </c>
      <c r="D15" s="24" t="s">
        <v>20</v>
      </c>
      <c r="E15" s="24" t="s">
        <v>18</v>
      </c>
      <c r="F15" s="156">
        <v>60104</v>
      </c>
      <c r="G15" s="24" t="s">
        <v>1439</v>
      </c>
      <c r="H15" s="24" t="s">
        <v>1368</v>
      </c>
      <c r="I15" s="24" t="s">
        <v>1368</v>
      </c>
      <c r="J15" s="186" t="s">
        <v>1367</v>
      </c>
      <c r="K15" s="16">
        <v>3045</v>
      </c>
      <c r="L15" s="17">
        <v>639.45000000000005</v>
      </c>
      <c r="M15" s="16">
        <v>412</v>
      </c>
      <c r="N15" s="17">
        <v>86.52</v>
      </c>
      <c r="O15" s="16">
        <v>0</v>
      </c>
      <c r="P15" s="17">
        <v>0</v>
      </c>
      <c r="Q15" s="16">
        <v>0</v>
      </c>
      <c r="R15" s="17">
        <v>0</v>
      </c>
      <c r="S15" s="16">
        <v>0</v>
      </c>
      <c r="T15" s="17">
        <v>0</v>
      </c>
      <c r="U15" s="16">
        <v>0</v>
      </c>
      <c r="V15" s="17">
        <v>0</v>
      </c>
      <c r="W15" s="18">
        <v>3457</v>
      </c>
      <c r="X15" s="17">
        <v>725.97</v>
      </c>
      <c r="Y15" s="17">
        <v>0</v>
      </c>
      <c r="Z15" s="17">
        <v>12799.15</v>
      </c>
      <c r="AA15" s="17">
        <v>4266.3833333333296</v>
      </c>
      <c r="AB15" s="144">
        <v>5.1048155541578897</v>
      </c>
      <c r="AC15" s="8">
        <f t="shared" si="2"/>
        <v>82.968000000000004</v>
      </c>
      <c r="AD15" s="11" t="str">
        <f>LEFT(details!E15,5)</f>
        <v>24.00</v>
      </c>
      <c r="AE15" s="42">
        <f t="shared" si="0"/>
        <v>4266.3833333333296</v>
      </c>
      <c r="AF15" s="42">
        <f>VLOOKUP(C15,MC.5!B:P,15,FALSE)/3</f>
        <v>4266.3833333333332</v>
      </c>
      <c r="AG15" s="152">
        <f t="shared" si="3"/>
        <v>4266.3833333333296</v>
      </c>
      <c r="AH15" s="137" t="str">
        <f>VLOOKUP(F15,REF!B:C,2,FALSE)</f>
        <v>PET</v>
      </c>
      <c r="AI15" s="3" t="str">
        <f>VLOOKUP(G15,REF!E:F,2,FALSE)</f>
        <v>Jar /Container/Tub</v>
      </c>
    </row>
    <row r="16" spans="1:35" x14ac:dyDescent="0.3">
      <c r="A16" s="186" t="s">
        <v>1155</v>
      </c>
      <c r="B16" s="24" t="s">
        <v>1155</v>
      </c>
      <c r="C16" s="156">
        <v>322419</v>
      </c>
      <c r="D16" s="24" t="s">
        <v>22</v>
      </c>
      <c r="E16" s="24" t="s">
        <v>23</v>
      </c>
      <c r="F16" s="156">
        <v>60104</v>
      </c>
      <c r="G16" s="24" t="s">
        <v>1439</v>
      </c>
      <c r="H16" s="24" t="s">
        <v>1368</v>
      </c>
      <c r="I16" s="24" t="s">
        <v>1368</v>
      </c>
      <c r="J16" s="186" t="s">
        <v>1367</v>
      </c>
      <c r="K16" s="16">
        <v>10800</v>
      </c>
      <c r="L16" s="17">
        <v>2268</v>
      </c>
      <c r="M16" s="16">
        <v>0</v>
      </c>
      <c r="N16" s="17">
        <v>0</v>
      </c>
      <c r="O16" s="16">
        <v>0</v>
      </c>
      <c r="P16" s="17">
        <v>0</v>
      </c>
      <c r="Q16" s="16">
        <v>0</v>
      </c>
      <c r="R16" s="17">
        <v>0</v>
      </c>
      <c r="S16" s="16">
        <v>0</v>
      </c>
      <c r="T16" s="17">
        <v>0</v>
      </c>
      <c r="U16" s="16">
        <v>0</v>
      </c>
      <c r="V16" s="17">
        <v>0</v>
      </c>
      <c r="W16" s="18">
        <v>10800</v>
      </c>
      <c r="X16" s="17">
        <v>2268</v>
      </c>
      <c r="Y16" s="17">
        <v>0</v>
      </c>
      <c r="Z16" s="17">
        <v>2196</v>
      </c>
      <c r="AA16" s="17">
        <v>732</v>
      </c>
      <c r="AB16" s="144">
        <v>92.950819672131104</v>
      </c>
      <c r="AC16" s="8">
        <f t="shared" si="2"/>
        <v>267.83999999999997</v>
      </c>
      <c r="AD16" s="11" t="str">
        <f>LEFT(details!E16,5)</f>
        <v>24.80</v>
      </c>
      <c r="AE16" s="42">
        <f t="shared" si="0"/>
        <v>732</v>
      </c>
      <c r="AF16" s="42">
        <f>VLOOKUP(C16,MC.5!B:P,15,FALSE)/3</f>
        <v>732</v>
      </c>
      <c r="AG16" s="152">
        <f t="shared" si="3"/>
        <v>732</v>
      </c>
      <c r="AH16" s="137" t="str">
        <f>VLOOKUP(F16,REF!B:C,2,FALSE)</f>
        <v>PET</v>
      </c>
      <c r="AI16" s="3" t="str">
        <f>VLOOKUP(G16,REF!E:F,2,FALSE)</f>
        <v>Jar /Container/Tub</v>
      </c>
    </row>
    <row r="17" spans="1:35" x14ac:dyDescent="0.3">
      <c r="A17" s="186" t="s">
        <v>1155</v>
      </c>
      <c r="B17" s="24" t="s">
        <v>1155</v>
      </c>
      <c r="C17" s="156">
        <v>322420</v>
      </c>
      <c r="D17" s="24" t="s">
        <v>163</v>
      </c>
      <c r="E17" s="24" t="s">
        <v>23</v>
      </c>
      <c r="F17" s="156">
        <v>60104</v>
      </c>
      <c r="G17" s="24" t="s">
        <v>1439</v>
      </c>
      <c r="H17" s="24" t="s">
        <v>1368</v>
      </c>
      <c r="I17" s="24" t="s">
        <v>1368</v>
      </c>
      <c r="J17" s="186" t="s">
        <v>1367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>
        <v>3931.21</v>
      </c>
      <c r="AA17" s="17">
        <v>1310.40333333333</v>
      </c>
      <c r="AB17" s="144"/>
      <c r="AC17" s="8">
        <f t="shared" si="2"/>
        <v>0</v>
      </c>
      <c r="AD17" s="11" t="str">
        <f>LEFT(details!E17,5)</f>
        <v>24.80</v>
      </c>
      <c r="AE17" s="42">
        <f t="shared" si="0"/>
        <v>1310.40333333333</v>
      </c>
      <c r="AF17" s="42">
        <f>VLOOKUP(C17,MC.5!B:P,15,FALSE)/3</f>
        <v>1310.3999999999999</v>
      </c>
      <c r="AG17" s="152">
        <f t="shared" si="3"/>
        <v>1310.40333333333</v>
      </c>
      <c r="AH17" s="137" t="str">
        <f>VLOOKUP(F17,REF!B:C,2,FALSE)</f>
        <v>PET</v>
      </c>
      <c r="AI17" s="3" t="str">
        <f>VLOOKUP(G17,REF!E:F,2,FALSE)</f>
        <v>Jar /Container/Tub</v>
      </c>
    </row>
    <row r="18" spans="1:35" x14ac:dyDescent="0.3">
      <c r="A18" s="186" t="s">
        <v>1155</v>
      </c>
      <c r="B18" s="24" t="s">
        <v>1155</v>
      </c>
      <c r="C18" s="156">
        <v>322422</v>
      </c>
      <c r="D18" s="24" t="s">
        <v>1343</v>
      </c>
      <c r="E18" s="24" t="s">
        <v>1344</v>
      </c>
      <c r="F18" s="156">
        <v>60104</v>
      </c>
      <c r="G18" s="24" t="s">
        <v>1439</v>
      </c>
      <c r="H18" s="24" t="s">
        <v>1368</v>
      </c>
      <c r="I18" s="24" t="s">
        <v>1368</v>
      </c>
      <c r="J18" s="186" t="s">
        <v>1367</v>
      </c>
      <c r="K18" s="16">
        <v>9000</v>
      </c>
      <c r="L18" s="17">
        <v>2430</v>
      </c>
      <c r="M18" s="16">
        <v>0</v>
      </c>
      <c r="N18" s="17">
        <v>0</v>
      </c>
      <c r="O18" s="16">
        <v>0</v>
      </c>
      <c r="P18" s="17">
        <v>0</v>
      </c>
      <c r="Q18" s="16">
        <v>0</v>
      </c>
      <c r="R18" s="17">
        <v>0</v>
      </c>
      <c r="S18" s="16">
        <v>0</v>
      </c>
      <c r="T18" s="17">
        <v>0</v>
      </c>
      <c r="U18" s="16">
        <v>0</v>
      </c>
      <c r="V18" s="17">
        <v>0</v>
      </c>
      <c r="W18" s="18">
        <v>9000</v>
      </c>
      <c r="X18" s="17">
        <v>2430</v>
      </c>
      <c r="Y18" s="17">
        <v>0</v>
      </c>
      <c r="Z18" s="17">
        <v>2430</v>
      </c>
      <c r="AA18" s="17">
        <v>810</v>
      </c>
      <c r="AB18" s="144">
        <v>90</v>
      </c>
      <c r="AC18" s="8">
        <f>(AD18*W18)/1000</f>
        <v>306</v>
      </c>
      <c r="AD18" s="11" t="str">
        <f>LEFT(details!E18,5)</f>
        <v>34.00</v>
      </c>
      <c r="AE18" s="42">
        <f t="shared" si="0"/>
        <v>810</v>
      </c>
      <c r="AF18" s="42">
        <f>VLOOKUP(C18,MC.5!B:P,15,FALSE)/3</f>
        <v>810</v>
      </c>
      <c r="AG18" s="152">
        <f t="shared" si="3"/>
        <v>810</v>
      </c>
      <c r="AH18" s="137" t="str">
        <f>VLOOKUP(F18,REF!B:C,2,FALSE)</f>
        <v>PET</v>
      </c>
      <c r="AI18" s="3" t="str">
        <f>VLOOKUP(G18,REF!E:F,2,FALSE)</f>
        <v>Jar /Container/Tub</v>
      </c>
    </row>
    <row r="19" spans="1:35" x14ac:dyDescent="0.3">
      <c r="A19" s="186" t="s">
        <v>1155</v>
      </c>
      <c r="B19" s="24" t="s">
        <v>1155</v>
      </c>
      <c r="C19" s="156">
        <v>322424</v>
      </c>
      <c r="D19" s="24" t="s">
        <v>1583</v>
      </c>
      <c r="E19" s="24" t="s">
        <v>270</v>
      </c>
      <c r="F19" s="156">
        <v>60104</v>
      </c>
      <c r="G19" s="24" t="s">
        <v>1439</v>
      </c>
      <c r="H19" s="24" t="s">
        <v>1368</v>
      </c>
      <c r="I19" s="24" t="s">
        <v>1368</v>
      </c>
      <c r="J19" s="186" t="s">
        <v>1367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>
        <v>2520</v>
      </c>
      <c r="AA19" s="17">
        <v>840</v>
      </c>
      <c r="AB19" s="144"/>
      <c r="AC19" s="8">
        <f t="shared" si="2"/>
        <v>0</v>
      </c>
      <c r="AD19" s="11" t="str">
        <f>LEFT(details!E19,5)</f>
        <v>34.50</v>
      </c>
      <c r="AE19" s="42">
        <f t="shared" si="0"/>
        <v>840</v>
      </c>
      <c r="AF19" s="42">
        <f>VLOOKUP(C19,MC.5!B:P,15,FALSE)/3</f>
        <v>840</v>
      </c>
      <c r="AG19" s="152">
        <f t="shared" si="3"/>
        <v>840</v>
      </c>
      <c r="AH19" s="137" t="str">
        <f>VLOOKUP(F19,REF!B:C,2,FALSE)</f>
        <v>PET</v>
      </c>
      <c r="AI19" s="3" t="str">
        <f>VLOOKUP(G19,REF!E:F,2,FALSE)</f>
        <v>Jar /Container/Tub</v>
      </c>
    </row>
    <row r="20" spans="1:35" x14ac:dyDescent="0.3">
      <c r="A20" s="186" t="s">
        <v>1155</v>
      </c>
      <c r="B20" s="24" t="s">
        <v>1155</v>
      </c>
      <c r="C20" s="156">
        <v>322428</v>
      </c>
      <c r="D20" s="24" t="s">
        <v>25</v>
      </c>
      <c r="E20" s="24" t="s">
        <v>17</v>
      </c>
      <c r="F20" s="156">
        <v>60104</v>
      </c>
      <c r="G20" s="24" t="s">
        <v>1438</v>
      </c>
      <c r="H20" s="24" t="s">
        <v>1366</v>
      </c>
      <c r="I20" s="24" t="s">
        <v>1366</v>
      </c>
      <c r="J20" s="186" t="s">
        <v>1367</v>
      </c>
      <c r="K20" s="16">
        <v>7560</v>
      </c>
      <c r="L20" s="17">
        <v>1512</v>
      </c>
      <c r="M20" s="16">
        <v>0</v>
      </c>
      <c r="N20" s="17">
        <v>0</v>
      </c>
      <c r="O20" s="16">
        <v>0</v>
      </c>
      <c r="P20" s="17">
        <v>0</v>
      </c>
      <c r="Q20" s="16">
        <v>0</v>
      </c>
      <c r="R20" s="17">
        <v>0</v>
      </c>
      <c r="S20" s="16">
        <v>0</v>
      </c>
      <c r="T20" s="17">
        <v>0</v>
      </c>
      <c r="U20" s="16">
        <v>0</v>
      </c>
      <c r="V20" s="17">
        <v>0</v>
      </c>
      <c r="W20" s="18">
        <v>7560</v>
      </c>
      <c r="X20" s="17">
        <v>1512</v>
      </c>
      <c r="Y20" s="17">
        <v>0</v>
      </c>
      <c r="Z20" s="17">
        <v>5846.4</v>
      </c>
      <c r="AA20" s="17">
        <v>1948.8</v>
      </c>
      <c r="AB20" s="144">
        <v>23.275862068965498</v>
      </c>
      <c r="AC20" s="8">
        <f t="shared" si="2"/>
        <v>173.88</v>
      </c>
      <c r="AD20" s="11" t="str">
        <f>LEFT(details!E20,5)</f>
        <v>23.00</v>
      </c>
      <c r="AE20" s="42">
        <f t="shared" si="0"/>
        <v>1948.8</v>
      </c>
      <c r="AF20" s="42">
        <f>VLOOKUP(C20,MC.5!B:P,15,FALSE)/3</f>
        <v>1948.8</v>
      </c>
      <c r="AG20" s="152">
        <f t="shared" si="3"/>
        <v>1948.8</v>
      </c>
      <c r="AH20" s="137" t="str">
        <f>VLOOKUP(F20,REF!B:C,2,FALSE)</f>
        <v>PET</v>
      </c>
      <c r="AI20" s="3" t="str">
        <f>VLOOKUP(G20,REF!E:F,2,FALSE)</f>
        <v>Bottle</v>
      </c>
    </row>
    <row r="21" spans="1:35" x14ac:dyDescent="0.3">
      <c r="A21" s="186" t="s">
        <v>1155</v>
      </c>
      <c r="B21" s="24" t="s">
        <v>1155</v>
      </c>
      <c r="C21" s="156">
        <v>322429</v>
      </c>
      <c r="D21" s="24" t="s">
        <v>26</v>
      </c>
      <c r="E21" s="24" t="s">
        <v>18</v>
      </c>
      <c r="F21" s="156">
        <v>60104</v>
      </c>
      <c r="G21" s="24" t="s">
        <v>1439</v>
      </c>
      <c r="H21" s="24" t="s">
        <v>1368</v>
      </c>
      <c r="I21" s="24" t="s">
        <v>1368</v>
      </c>
      <c r="J21" s="186" t="s">
        <v>1367</v>
      </c>
      <c r="K21" s="16">
        <v>10150</v>
      </c>
      <c r="L21" s="17">
        <v>2030</v>
      </c>
      <c r="M21" s="16">
        <v>0</v>
      </c>
      <c r="N21" s="17">
        <v>0</v>
      </c>
      <c r="O21" s="16">
        <v>0</v>
      </c>
      <c r="P21" s="17">
        <v>0</v>
      </c>
      <c r="Q21" s="16">
        <v>0</v>
      </c>
      <c r="R21" s="17">
        <v>0</v>
      </c>
      <c r="S21" s="16">
        <v>0</v>
      </c>
      <c r="T21" s="17">
        <v>0</v>
      </c>
      <c r="U21" s="16">
        <v>0</v>
      </c>
      <c r="V21" s="17">
        <v>0</v>
      </c>
      <c r="W21" s="18">
        <v>10150</v>
      </c>
      <c r="X21" s="17">
        <v>2030</v>
      </c>
      <c r="Y21" s="17">
        <v>0</v>
      </c>
      <c r="Z21" s="17">
        <v>5653.55</v>
      </c>
      <c r="AA21" s="17">
        <v>1884.5166666666701</v>
      </c>
      <c r="AB21" s="144">
        <v>32.315978456014399</v>
      </c>
      <c r="AC21" s="8">
        <f t="shared" si="2"/>
        <v>243.6</v>
      </c>
      <c r="AD21" s="11" t="str">
        <f>LEFT(details!E21,5)</f>
        <v>24.00</v>
      </c>
      <c r="AE21" s="42">
        <f t="shared" si="0"/>
        <v>1884.5166666666701</v>
      </c>
      <c r="AF21" s="42">
        <f>VLOOKUP(C21,MC.5!B:P,15,FALSE)/3</f>
        <v>1884.5166666666667</v>
      </c>
      <c r="AG21" s="152">
        <f t="shared" si="3"/>
        <v>1884.5166666666701</v>
      </c>
      <c r="AH21" s="137" t="str">
        <f>VLOOKUP(F21,REF!B:C,2,FALSE)</f>
        <v>PET</v>
      </c>
      <c r="AI21" s="3" t="str">
        <f>VLOOKUP(G21,REF!E:F,2,FALSE)</f>
        <v>Jar /Container/Tub</v>
      </c>
    </row>
    <row r="22" spans="1:35" x14ac:dyDescent="0.3">
      <c r="A22" s="186" t="s">
        <v>1155</v>
      </c>
      <c r="B22" s="24" t="s">
        <v>1155</v>
      </c>
      <c r="C22" s="156">
        <v>322435</v>
      </c>
      <c r="D22" s="24" t="s">
        <v>1905</v>
      </c>
      <c r="E22" s="24" t="s">
        <v>270</v>
      </c>
      <c r="F22" s="156">
        <v>60104</v>
      </c>
      <c r="G22" s="24" t="s">
        <v>1439</v>
      </c>
      <c r="H22" s="24" t="s">
        <v>1368</v>
      </c>
      <c r="I22" s="24" t="s">
        <v>1368</v>
      </c>
      <c r="J22" s="186" t="s">
        <v>1367</v>
      </c>
      <c r="K22" s="16">
        <v>0</v>
      </c>
      <c r="L22" s="17">
        <v>0</v>
      </c>
      <c r="M22" s="16">
        <v>2940</v>
      </c>
      <c r="N22" s="17">
        <v>793.8</v>
      </c>
      <c r="O22" s="16">
        <v>0</v>
      </c>
      <c r="P22" s="17">
        <v>0</v>
      </c>
      <c r="Q22" s="16">
        <v>0</v>
      </c>
      <c r="R22" s="17">
        <v>0</v>
      </c>
      <c r="S22" s="16">
        <v>0</v>
      </c>
      <c r="T22" s="17">
        <v>0</v>
      </c>
      <c r="U22" s="16">
        <v>0</v>
      </c>
      <c r="V22" s="17">
        <v>0</v>
      </c>
      <c r="W22" s="18">
        <v>2940</v>
      </c>
      <c r="X22" s="17">
        <v>793.8</v>
      </c>
      <c r="Y22" s="17">
        <v>0</v>
      </c>
      <c r="Z22" s="17">
        <v>6312.6</v>
      </c>
      <c r="AA22" s="17">
        <v>2104.1999999999998</v>
      </c>
      <c r="AB22" s="144">
        <v>11.317365269461099</v>
      </c>
      <c r="AC22" s="8">
        <f t="shared" si="2"/>
        <v>101.43</v>
      </c>
      <c r="AD22" s="11" t="str">
        <f>LEFT(details!E22,5)</f>
        <v>34.50</v>
      </c>
      <c r="AE22" s="42">
        <f t="shared" si="0"/>
        <v>2104.1999999999998</v>
      </c>
      <c r="AF22" s="42">
        <f>VLOOKUP(C22,MC.5!B:P,15,FALSE)/3</f>
        <v>2104.2000000000003</v>
      </c>
      <c r="AG22" s="152">
        <f t="shared" si="3"/>
        <v>2104.1999999999998</v>
      </c>
      <c r="AH22" s="137" t="str">
        <f>VLOOKUP(F22,REF!B:C,2,FALSE)</f>
        <v>PET</v>
      </c>
      <c r="AI22" s="3" t="str">
        <f>VLOOKUP(G22,REF!E:F,2,FALSE)</f>
        <v>Jar /Container/Tub</v>
      </c>
    </row>
    <row r="23" spans="1:35" x14ac:dyDescent="0.3">
      <c r="A23" s="186" t="s">
        <v>1155</v>
      </c>
      <c r="B23" s="24" t="s">
        <v>1155</v>
      </c>
      <c r="C23" s="156">
        <v>322436</v>
      </c>
      <c r="D23" s="24" t="s">
        <v>27</v>
      </c>
      <c r="E23" s="24" t="s">
        <v>326</v>
      </c>
      <c r="F23" s="156">
        <v>60104</v>
      </c>
      <c r="G23" s="24" t="s">
        <v>1439</v>
      </c>
      <c r="H23" s="24" t="s">
        <v>1368</v>
      </c>
      <c r="I23" s="24" t="s">
        <v>1368</v>
      </c>
      <c r="J23" s="186" t="s">
        <v>1367</v>
      </c>
      <c r="K23" s="16">
        <v>0</v>
      </c>
      <c r="L23" s="17">
        <v>0</v>
      </c>
      <c r="M23" s="16">
        <v>0</v>
      </c>
      <c r="N23" s="17">
        <v>0</v>
      </c>
      <c r="O23" s="16">
        <v>19285</v>
      </c>
      <c r="P23" s="17">
        <v>4821.25</v>
      </c>
      <c r="Q23" s="16">
        <v>0</v>
      </c>
      <c r="R23" s="17">
        <v>0</v>
      </c>
      <c r="S23" s="16">
        <v>0</v>
      </c>
      <c r="T23" s="17">
        <v>0</v>
      </c>
      <c r="U23" s="16">
        <v>0</v>
      </c>
      <c r="V23" s="17">
        <v>0</v>
      </c>
      <c r="W23" s="18">
        <v>19285</v>
      </c>
      <c r="X23" s="17">
        <v>4821.25</v>
      </c>
      <c r="Y23" s="17">
        <v>803.61</v>
      </c>
      <c r="Z23" s="17">
        <v>223.3</v>
      </c>
      <c r="AA23" s="17">
        <v>74.433333333333394</v>
      </c>
      <c r="AB23" s="144">
        <v>1943.1818181818201</v>
      </c>
      <c r="AC23" s="8">
        <f t="shared" si="2"/>
        <v>632.93369999999993</v>
      </c>
      <c r="AD23" s="11" t="str">
        <f>LEFT(details!E23,5)</f>
        <v>32.82</v>
      </c>
      <c r="AE23" s="42">
        <f t="shared" si="0"/>
        <v>74.433333333333394</v>
      </c>
      <c r="AF23" s="42">
        <f>VLOOKUP(C23,MC.5!B:P,15,FALSE)/3</f>
        <v>74.433333333333337</v>
      </c>
      <c r="AG23" s="152">
        <f t="shared" si="3"/>
        <v>74.433333333333394</v>
      </c>
      <c r="AH23" s="137" t="str">
        <f>VLOOKUP(F23,REF!B:C,2,FALSE)</f>
        <v>PET</v>
      </c>
      <c r="AI23" s="3" t="str">
        <f>VLOOKUP(G23,REF!E:F,2,FALSE)</f>
        <v>Jar /Container/Tub</v>
      </c>
    </row>
    <row r="24" spans="1:35" x14ac:dyDescent="0.3">
      <c r="A24" s="186" t="s">
        <v>1155</v>
      </c>
      <c r="B24" s="24" t="s">
        <v>1155</v>
      </c>
      <c r="C24" s="156">
        <v>322438</v>
      </c>
      <c r="D24" s="24" t="s">
        <v>28</v>
      </c>
      <c r="E24" s="24" t="s">
        <v>17</v>
      </c>
      <c r="F24" s="156">
        <v>60104</v>
      </c>
      <c r="G24" s="24" t="s">
        <v>1438</v>
      </c>
      <c r="H24" s="24" t="s">
        <v>1366</v>
      </c>
      <c r="I24" s="24" t="s">
        <v>1366</v>
      </c>
      <c r="J24" s="186" t="s">
        <v>1367</v>
      </c>
      <c r="K24" s="16">
        <v>35532</v>
      </c>
      <c r="L24" s="17">
        <v>7817.04</v>
      </c>
      <c r="M24" s="16">
        <v>0</v>
      </c>
      <c r="N24" s="17">
        <v>0</v>
      </c>
      <c r="O24" s="16">
        <v>0</v>
      </c>
      <c r="P24" s="17">
        <v>0</v>
      </c>
      <c r="Q24" s="16">
        <v>0</v>
      </c>
      <c r="R24" s="17">
        <v>0</v>
      </c>
      <c r="S24" s="16">
        <v>0</v>
      </c>
      <c r="T24" s="17">
        <v>0</v>
      </c>
      <c r="U24" s="16">
        <v>0</v>
      </c>
      <c r="V24" s="17">
        <v>0</v>
      </c>
      <c r="W24" s="18">
        <v>35532</v>
      </c>
      <c r="X24" s="17">
        <v>7817.04</v>
      </c>
      <c r="Y24" s="17">
        <v>0</v>
      </c>
      <c r="Z24" s="17">
        <v>10862.65</v>
      </c>
      <c r="AA24" s="17">
        <v>3620.88333333333</v>
      </c>
      <c r="AB24" s="144">
        <v>64.766295517207993</v>
      </c>
      <c r="AC24" s="8">
        <f t="shared" si="2"/>
        <v>817.23599999999999</v>
      </c>
      <c r="AD24" s="11" t="str">
        <f>LEFT(details!E24,5)</f>
        <v>23.00</v>
      </c>
      <c r="AE24" s="42">
        <f t="shared" si="0"/>
        <v>3620.88333333333</v>
      </c>
      <c r="AF24" s="42">
        <f>VLOOKUP(C24,MC.5!B:P,15,FALSE)/3</f>
        <v>3620.8799999999997</v>
      </c>
      <c r="AG24" s="152">
        <f t="shared" si="3"/>
        <v>3620.88333333333</v>
      </c>
      <c r="AH24" s="137" t="str">
        <f>VLOOKUP(F24,REF!B:C,2,FALSE)</f>
        <v>PET</v>
      </c>
      <c r="AI24" s="3" t="str">
        <f>VLOOKUP(G24,REF!E:F,2,FALSE)</f>
        <v>Bottle</v>
      </c>
    </row>
    <row r="25" spans="1:35" x14ac:dyDescent="0.3">
      <c r="A25" s="186" t="s">
        <v>1155</v>
      </c>
      <c r="B25" s="24" t="s">
        <v>1155</v>
      </c>
      <c r="C25" s="156">
        <v>322442</v>
      </c>
      <c r="D25" s="24" t="s">
        <v>30</v>
      </c>
      <c r="E25" s="24" t="s">
        <v>270</v>
      </c>
      <c r="F25" s="156">
        <v>60104</v>
      </c>
      <c r="G25" s="24" t="s">
        <v>1439</v>
      </c>
      <c r="H25" s="24" t="s">
        <v>1368</v>
      </c>
      <c r="I25" s="24" t="s">
        <v>1368</v>
      </c>
      <c r="J25" s="186" t="s">
        <v>1367</v>
      </c>
      <c r="K25" s="16">
        <v>0</v>
      </c>
      <c r="L25" s="17">
        <v>0</v>
      </c>
      <c r="M25" s="16">
        <v>0</v>
      </c>
      <c r="N25" s="17">
        <v>0</v>
      </c>
      <c r="O25" s="16">
        <v>0</v>
      </c>
      <c r="P25" s="17">
        <v>0</v>
      </c>
      <c r="Q25" s="16">
        <v>6180</v>
      </c>
      <c r="R25" s="17">
        <v>1545</v>
      </c>
      <c r="S25" s="16">
        <v>660</v>
      </c>
      <c r="T25" s="17">
        <v>165</v>
      </c>
      <c r="U25" s="16">
        <v>0</v>
      </c>
      <c r="V25" s="17">
        <v>0</v>
      </c>
      <c r="W25" s="18">
        <v>6840</v>
      </c>
      <c r="X25" s="17">
        <v>1710</v>
      </c>
      <c r="Y25" s="17">
        <v>1195.08</v>
      </c>
      <c r="Z25" s="17">
        <v>2066.4</v>
      </c>
      <c r="AA25" s="17">
        <v>688.8</v>
      </c>
      <c r="AB25" s="144">
        <v>74.477351916376307</v>
      </c>
      <c r="AC25" s="8">
        <f t="shared" si="2"/>
        <v>235.98</v>
      </c>
      <c r="AD25" s="11" t="str">
        <f>LEFT(details!E25,5)</f>
        <v>34.50</v>
      </c>
      <c r="AE25" s="42">
        <f t="shared" si="0"/>
        <v>688.8</v>
      </c>
      <c r="AF25" s="42">
        <f>VLOOKUP(C25,MC.5!B:P,15,FALSE)/3</f>
        <v>688.80000000000007</v>
      </c>
      <c r="AG25" s="152">
        <f t="shared" si="3"/>
        <v>688.8</v>
      </c>
      <c r="AH25" s="137" t="str">
        <f>VLOOKUP(F25,REF!B:C,2,FALSE)</f>
        <v>PET</v>
      </c>
      <c r="AI25" s="3" t="str">
        <f>VLOOKUP(G25,REF!E:F,2,FALSE)</f>
        <v>Jar /Container/Tub</v>
      </c>
    </row>
    <row r="26" spans="1:35" x14ac:dyDescent="0.3">
      <c r="A26" s="186" t="s">
        <v>1155</v>
      </c>
      <c r="B26" s="24" t="s">
        <v>1155</v>
      </c>
      <c r="C26" s="156">
        <v>322444</v>
      </c>
      <c r="D26" s="24" t="s">
        <v>198</v>
      </c>
      <c r="E26" s="24" t="s">
        <v>270</v>
      </c>
      <c r="F26" s="156">
        <v>60104</v>
      </c>
      <c r="G26" s="24" t="s">
        <v>1439</v>
      </c>
      <c r="H26" s="24" t="s">
        <v>1368</v>
      </c>
      <c r="I26" s="24" t="s">
        <v>1368</v>
      </c>
      <c r="J26" s="186" t="s">
        <v>1367</v>
      </c>
      <c r="K26" s="16">
        <v>7476</v>
      </c>
      <c r="L26" s="17">
        <v>1943.76</v>
      </c>
      <c r="M26" s="16">
        <v>0</v>
      </c>
      <c r="N26" s="17">
        <v>0</v>
      </c>
      <c r="O26" s="16">
        <v>0</v>
      </c>
      <c r="P26" s="17">
        <v>0</v>
      </c>
      <c r="Q26" s="16">
        <v>0</v>
      </c>
      <c r="R26" s="17">
        <v>0</v>
      </c>
      <c r="S26" s="16">
        <v>0</v>
      </c>
      <c r="T26" s="17">
        <v>0</v>
      </c>
      <c r="U26" s="16">
        <v>0</v>
      </c>
      <c r="V26" s="17">
        <v>0</v>
      </c>
      <c r="W26" s="18">
        <v>7476</v>
      </c>
      <c r="X26" s="17">
        <v>1943.76</v>
      </c>
      <c r="Y26" s="17">
        <v>0</v>
      </c>
      <c r="Z26" s="17">
        <v>7636.44</v>
      </c>
      <c r="AA26" s="17">
        <v>2545.48</v>
      </c>
      <c r="AB26" s="144">
        <v>22.908370916290799</v>
      </c>
      <c r="AC26" s="8">
        <f t="shared" si="2"/>
        <v>257.92200000000003</v>
      </c>
      <c r="AD26" s="11" t="str">
        <f>LEFT(details!E26,5)</f>
        <v>34.50</v>
      </c>
      <c r="AE26" s="42">
        <f t="shared" si="0"/>
        <v>2545.48</v>
      </c>
      <c r="AF26" s="42">
        <f>VLOOKUP(C26,MC.5!B:P,15,FALSE)/3</f>
        <v>2545.48</v>
      </c>
      <c r="AG26" s="152">
        <f t="shared" si="3"/>
        <v>2545.48</v>
      </c>
      <c r="AH26" s="137" t="str">
        <f>VLOOKUP(F26,REF!B:C,2,FALSE)</f>
        <v>PET</v>
      </c>
      <c r="AI26" s="3" t="str">
        <f>VLOOKUP(G26,REF!E:F,2,FALSE)</f>
        <v>Jar /Container/Tub</v>
      </c>
    </row>
    <row r="27" spans="1:35" x14ac:dyDescent="0.3">
      <c r="A27" s="186" t="s">
        <v>1155</v>
      </c>
      <c r="B27" s="24" t="s">
        <v>1155</v>
      </c>
      <c r="C27" s="156">
        <v>322445</v>
      </c>
      <c r="D27" s="24" t="s">
        <v>31</v>
      </c>
      <c r="E27" s="24" t="s">
        <v>24</v>
      </c>
      <c r="F27" s="156">
        <v>60104</v>
      </c>
      <c r="G27" s="24" t="s">
        <v>1439</v>
      </c>
      <c r="H27" s="24" t="s">
        <v>1368</v>
      </c>
      <c r="I27" s="24" t="s">
        <v>1368</v>
      </c>
      <c r="J27" s="186" t="s">
        <v>1367</v>
      </c>
      <c r="K27" s="16">
        <v>83700</v>
      </c>
      <c r="L27" s="17">
        <v>22599</v>
      </c>
      <c r="M27" s="16">
        <v>0</v>
      </c>
      <c r="N27" s="17">
        <v>0</v>
      </c>
      <c r="O27" s="16">
        <v>0</v>
      </c>
      <c r="P27" s="17">
        <v>0</v>
      </c>
      <c r="Q27" s="16">
        <v>0</v>
      </c>
      <c r="R27" s="17">
        <v>0</v>
      </c>
      <c r="S27" s="16">
        <v>0</v>
      </c>
      <c r="T27" s="17">
        <v>0</v>
      </c>
      <c r="U27" s="16">
        <v>0</v>
      </c>
      <c r="V27" s="17">
        <v>0</v>
      </c>
      <c r="W27" s="18">
        <v>83700</v>
      </c>
      <c r="X27" s="17">
        <v>22599</v>
      </c>
      <c r="Y27" s="17">
        <v>0</v>
      </c>
      <c r="Z27" s="17">
        <v>25137</v>
      </c>
      <c r="AA27" s="17">
        <v>8379</v>
      </c>
      <c r="AB27" s="144">
        <v>80.912996777658407</v>
      </c>
      <c r="AC27" s="8">
        <f t="shared" si="2"/>
        <v>2762.1</v>
      </c>
      <c r="AD27" s="11" t="str">
        <f>LEFT(details!E27,5)</f>
        <v>33.00</v>
      </c>
      <c r="AE27" s="42">
        <f t="shared" si="0"/>
        <v>8379</v>
      </c>
      <c r="AF27" s="42">
        <f>VLOOKUP(C27,MC.5!B:P,15,FALSE)/3</f>
        <v>8379</v>
      </c>
      <c r="AG27" s="152">
        <f t="shared" si="3"/>
        <v>8379</v>
      </c>
      <c r="AH27" s="137" t="str">
        <f>VLOOKUP(F27,REF!B:C,2,FALSE)</f>
        <v>PET</v>
      </c>
      <c r="AI27" s="3" t="str">
        <f>VLOOKUP(G27,REF!E:F,2,FALSE)</f>
        <v>Jar /Container/Tub</v>
      </c>
    </row>
    <row r="28" spans="1:35" x14ac:dyDescent="0.3">
      <c r="A28" s="186" t="s">
        <v>1155</v>
      </c>
      <c r="B28" s="24" t="s">
        <v>1155</v>
      </c>
      <c r="C28" s="156">
        <v>322448</v>
      </c>
      <c r="D28" s="24" t="s">
        <v>33</v>
      </c>
      <c r="E28" s="24" t="s">
        <v>332</v>
      </c>
      <c r="F28" s="156">
        <v>60104</v>
      </c>
      <c r="G28" s="24" t="s">
        <v>1438</v>
      </c>
      <c r="H28" s="24" t="s">
        <v>1366</v>
      </c>
      <c r="I28" s="24" t="s">
        <v>1366</v>
      </c>
      <c r="J28" s="186" t="s">
        <v>1367</v>
      </c>
      <c r="K28" s="16">
        <v>25110</v>
      </c>
      <c r="L28" s="17">
        <v>8537.4</v>
      </c>
      <c r="M28" s="16">
        <v>0</v>
      </c>
      <c r="N28" s="17">
        <v>0</v>
      </c>
      <c r="O28" s="16">
        <v>0</v>
      </c>
      <c r="P28" s="17">
        <v>0</v>
      </c>
      <c r="Q28" s="16">
        <v>0</v>
      </c>
      <c r="R28" s="17">
        <v>0</v>
      </c>
      <c r="S28" s="16">
        <v>0</v>
      </c>
      <c r="T28" s="17">
        <v>0</v>
      </c>
      <c r="U28" s="16">
        <v>0</v>
      </c>
      <c r="V28" s="17">
        <v>0</v>
      </c>
      <c r="W28" s="18">
        <v>25110</v>
      </c>
      <c r="X28" s="17">
        <v>8537.4</v>
      </c>
      <c r="Y28" s="17">
        <v>0</v>
      </c>
      <c r="Z28" s="17">
        <v>88063.2</v>
      </c>
      <c r="AA28" s="17">
        <v>29354.400000000001</v>
      </c>
      <c r="AB28" s="144">
        <v>8.7251655629139098</v>
      </c>
      <c r="AC28" s="8">
        <f t="shared" si="2"/>
        <v>1019.466</v>
      </c>
      <c r="AD28" s="11" t="str">
        <f>LEFT(details!E28,5)</f>
        <v>40.60</v>
      </c>
      <c r="AE28" s="42">
        <f t="shared" si="0"/>
        <v>29354.400000000001</v>
      </c>
      <c r="AF28" s="42">
        <f>VLOOKUP(C28,MC.5!B:P,15,FALSE)/3</f>
        <v>29354.399999999998</v>
      </c>
      <c r="AG28" s="152">
        <f t="shared" si="3"/>
        <v>29354.400000000001</v>
      </c>
      <c r="AH28" s="137" t="str">
        <f>VLOOKUP(F28,REF!B:C,2,FALSE)</f>
        <v>PET</v>
      </c>
      <c r="AI28" s="3" t="str">
        <f>VLOOKUP(G28,REF!E:F,2,FALSE)</f>
        <v>Bottle</v>
      </c>
    </row>
    <row r="29" spans="1:35" x14ac:dyDescent="0.3">
      <c r="A29" s="186" t="s">
        <v>1155</v>
      </c>
      <c r="B29" s="24" t="s">
        <v>1155</v>
      </c>
      <c r="C29" s="156">
        <v>322451</v>
      </c>
      <c r="D29" s="24" t="s">
        <v>34</v>
      </c>
      <c r="E29" s="24" t="s">
        <v>204</v>
      </c>
      <c r="F29" s="156">
        <v>60104</v>
      </c>
      <c r="G29" s="24" t="s">
        <v>1438</v>
      </c>
      <c r="H29" s="24" t="s">
        <v>1366</v>
      </c>
      <c r="I29" s="24" t="s">
        <v>1366</v>
      </c>
      <c r="J29" s="186" t="s">
        <v>1367</v>
      </c>
      <c r="K29" s="16">
        <v>0</v>
      </c>
      <c r="L29" s="17">
        <v>0</v>
      </c>
      <c r="M29" s="16">
        <v>4032</v>
      </c>
      <c r="N29" s="17">
        <v>1653.12</v>
      </c>
      <c r="O29" s="16">
        <v>0</v>
      </c>
      <c r="P29" s="17">
        <v>0</v>
      </c>
      <c r="Q29" s="16">
        <v>0</v>
      </c>
      <c r="R29" s="17">
        <v>0</v>
      </c>
      <c r="S29" s="16">
        <v>0</v>
      </c>
      <c r="T29" s="17">
        <v>0</v>
      </c>
      <c r="U29" s="16">
        <v>0</v>
      </c>
      <c r="V29" s="17">
        <v>0</v>
      </c>
      <c r="W29" s="18">
        <v>4032</v>
      </c>
      <c r="X29" s="17">
        <v>1653.12</v>
      </c>
      <c r="Y29" s="17">
        <v>0</v>
      </c>
      <c r="Z29" s="17">
        <v>9681.84</v>
      </c>
      <c r="AA29" s="17">
        <v>3227.28</v>
      </c>
      <c r="AB29" s="144">
        <v>15.3669963560646</v>
      </c>
      <c r="AC29" s="8">
        <f t="shared" si="2"/>
        <v>183.85920000000002</v>
      </c>
      <c r="AD29" s="11" t="str">
        <f>LEFT(details!E29,5)</f>
        <v>45.60</v>
      </c>
      <c r="AE29" s="42">
        <f t="shared" si="0"/>
        <v>3227.28</v>
      </c>
      <c r="AF29" s="42">
        <f>VLOOKUP(C29,MC.5!B:P,15,FALSE)/3</f>
        <v>3227.28</v>
      </c>
      <c r="AG29" s="152">
        <f t="shared" si="3"/>
        <v>3227.28</v>
      </c>
      <c r="AH29" s="137" t="str">
        <f>VLOOKUP(F29,REF!B:C,2,FALSE)</f>
        <v>PET</v>
      </c>
      <c r="AI29" s="3" t="str">
        <f>VLOOKUP(G29,REF!E:F,2,FALSE)</f>
        <v>Bottle</v>
      </c>
    </row>
    <row r="30" spans="1:35" x14ac:dyDescent="0.3">
      <c r="A30" s="186" t="s">
        <v>1155</v>
      </c>
      <c r="B30" s="24" t="s">
        <v>1155</v>
      </c>
      <c r="C30" s="156">
        <v>322452</v>
      </c>
      <c r="D30" s="24" t="s">
        <v>35</v>
      </c>
      <c r="E30" s="24" t="s">
        <v>270</v>
      </c>
      <c r="F30" s="156">
        <v>60104</v>
      </c>
      <c r="G30" s="24" t="s">
        <v>1439</v>
      </c>
      <c r="H30" s="24" t="s">
        <v>1368</v>
      </c>
      <c r="I30" s="24" t="s">
        <v>1368</v>
      </c>
      <c r="J30" s="186" t="s">
        <v>1367</v>
      </c>
      <c r="K30" s="16">
        <v>29942</v>
      </c>
      <c r="L30" s="17">
        <v>7485.5</v>
      </c>
      <c r="M30" s="16">
        <v>0</v>
      </c>
      <c r="N30" s="17">
        <v>0</v>
      </c>
      <c r="O30" s="16">
        <v>0</v>
      </c>
      <c r="P30" s="17">
        <v>0</v>
      </c>
      <c r="Q30" s="16">
        <v>0</v>
      </c>
      <c r="R30" s="17">
        <v>0</v>
      </c>
      <c r="S30" s="16">
        <v>0</v>
      </c>
      <c r="T30" s="17">
        <v>0</v>
      </c>
      <c r="U30" s="16">
        <v>0</v>
      </c>
      <c r="V30" s="17">
        <v>0</v>
      </c>
      <c r="W30" s="18">
        <v>29942</v>
      </c>
      <c r="X30" s="17">
        <v>7485.5</v>
      </c>
      <c r="Y30" s="17">
        <v>0</v>
      </c>
      <c r="Z30" s="17">
        <v>14426.88</v>
      </c>
      <c r="AA30" s="17">
        <v>4808.96</v>
      </c>
      <c r="AB30" s="144">
        <v>46.697206880489802</v>
      </c>
      <c r="AC30" s="8">
        <f t="shared" si="2"/>
        <v>1032.999</v>
      </c>
      <c r="AD30" s="11" t="str">
        <f>LEFT(details!E30,5)</f>
        <v>34.50</v>
      </c>
      <c r="AE30" s="42">
        <f t="shared" si="0"/>
        <v>4808.96</v>
      </c>
      <c r="AF30" s="42">
        <f>VLOOKUP(C30,MC.5!B:P,15,FALSE)/3</f>
        <v>4809.7933333333331</v>
      </c>
      <c r="AG30" s="152">
        <f t="shared" si="3"/>
        <v>4808.96</v>
      </c>
      <c r="AH30" s="137" t="str">
        <f>VLOOKUP(F30,REF!B:C,2,FALSE)</f>
        <v>PET</v>
      </c>
      <c r="AI30" s="3" t="str">
        <f>VLOOKUP(G30,REF!E:F,2,FALSE)</f>
        <v>Jar /Container/Tub</v>
      </c>
    </row>
    <row r="31" spans="1:35" x14ac:dyDescent="0.3">
      <c r="A31" s="186" t="s">
        <v>1155</v>
      </c>
      <c r="B31" s="24" t="s">
        <v>1155</v>
      </c>
      <c r="C31" s="156">
        <v>322454</v>
      </c>
      <c r="D31" s="24" t="s">
        <v>2014</v>
      </c>
      <c r="E31" s="24" t="s">
        <v>270</v>
      </c>
      <c r="F31" s="156">
        <v>60104</v>
      </c>
      <c r="G31" s="24" t="s">
        <v>1439</v>
      </c>
      <c r="H31" s="24" t="s">
        <v>1368</v>
      </c>
      <c r="I31" s="24" t="s">
        <v>1368</v>
      </c>
      <c r="J31" s="186" t="s">
        <v>1367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>
        <v>2772</v>
      </c>
      <c r="AA31" s="17">
        <v>924</v>
      </c>
      <c r="AB31" s="144"/>
      <c r="AC31" s="8">
        <f t="shared" ref="AC20:AC83" si="4">(AD31*W31)/1000</f>
        <v>0</v>
      </c>
      <c r="AD31" s="11" t="str">
        <f>LEFT(details!E31,5)</f>
        <v>34.50</v>
      </c>
      <c r="AE31" s="42">
        <f t="shared" si="0"/>
        <v>924</v>
      </c>
      <c r="AF31" s="42">
        <f>VLOOKUP(C31,MC.5!B:P,15,FALSE)/3</f>
        <v>924</v>
      </c>
      <c r="AG31" s="152">
        <f t="shared" si="3"/>
        <v>924</v>
      </c>
      <c r="AH31" s="137" t="str">
        <f>VLOOKUP(F31,REF!B:C,2,FALSE)</f>
        <v>PET</v>
      </c>
      <c r="AI31" s="3" t="str">
        <f>VLOOKUP(G31,REF!E:F,2,FALSE)</f>
        <v>Jar /Container/Tub</v>
      </c>
    </row>
    <row r="32" spans="1:35" x14ac:dyDescent="0.3">
      <c r="A32" s="186" t="s">
        <v>1155</v>
      </c>
      <c r="B32" s="24" t="s">
        <v>1155</v>
      </c>
      <c r="C32" s="156">
        <v>322471</v>
      </c>
      <c r="D32" s="24" t="s">
        <v>271</v>
      </c>
      <c r="E32" s="24" t="s">
        <v>270</v>
      </c>
      <c r="F32" s="156">
        <v>60104</v>
      </c>
      <c r="G32" s="24" t="s">
        <v>1439</v>
      </c>
      <c r="H32" s="24" t="s">
        <v>1368</v>
      </c>
      <c r="I32" s="24" t="s">
        <v>1368</v>
      </c>
      <c r="J32" s="186" t="s">
        <v>1367</v>
      </c>
      <c r="K32" s="16">
        <v>2772</v>
      </c>
      <c r="L32" s="17">
        <v>776.16</v>
      </c>
      <c r="M32" s="16">
        <v>0</v>
      </c>
      <c r="N32" s="17">
        <v>0</v>
      </c>
      <c r="O32" s="16">
        <v>0</v>
      </c>
      <c r="P32" s="17">
        <v>0</v>
      </c>
      <c r="Q32" s="16">
        <v>0</v>
      </c>
      <c r="R32" s="17">
        <v>0</v>
      </c>
      <c r="S32" s="16">
        <v>0</v>
      </c>
      <c r="T32" s="17">
        <v>0</v>
      </c>
      <c r="U32" s="16">
        <v>0</v>
      </c>
      <c r="V32" s="17">
        <v>0</v>
      </c>
      <c r="W32" s="18">
        <v>2772</v>
      </c>
      <c r="X32" s="17">
        <v>776.16</v>
      </c>
      <c r="Y32" s="17">
        <v>0</v>
      </c>
      <c r="Z32" s="17">
        <v>7743.12</v>
      </c>
      <c r="AA32" s="17">
        <v>2581.04</v>
      </c>
      <c r="AB32" s="144">
        <v>9.0214797136038207</v>
      </c>
      <c r="AC32" s="8">
        <f t="shared" si="4"/>
        <v>95.634</v>
      </c>
      <c r="AD32" s="11" t="str">
        <f>LEFT(details!E32,5)</f>
        <v>34.50</v>
      </c>
      <c r="AE32" s="42">
        <f t="shared" si="0"/>
        <v>2581.04</v>
      </c>
      <c r="AF32" s="42">
        <f>VLOOKUP(C32,MC.5!B:P,15,FALSE)/3</f>
        <v>2581.04</v>
      </c>
      <c r="AG32" s="152">
        <f t="shared" si="3"/>
        <v>2581.04</v>
      </c>
      <c r="AH32" s="137" t="str">
        <f>VLOOKUP(F32,REF!B:C,2,FALSE)</f>
        <v>PET</v>
      </c>
      <c r="AI32" s="3" t="str">
        <f>VLOOKUP(G32,REF!E:F,2,FALSE)</f>
        <v>Jar /Container/Tub</v>
      </c>
    </row>
    <row r="33" spans="1:35" x14ac:dyDescent="0.3">
      <c r="A33" s="186" t="s">
        <v>1155</v>
      </c>
      <c r="B33" s="24" t="s">
        <v>1155</v>
      </c>
      <c r="C33" s="156">
        <v>322474</v>
      </c>
      <c r="D33" s="24" t="s">
        <v>37</v>
      </c>
      <c r="E33" s="24" t="s">
        <v>36</v>
      </c>
      <c r="F33" s="156">
        <v>60104</v>
      </c>
      <c r="G33" s="24" t="s">
        <v>1439</v>
      </c>
      <c r="H33" s="24" t="s">
        <v>1368</v>
      </c>
      <c r="I33" s="24" t="s">
        <v>1368</v>
      </c>
      <c r="J33" s="186" t="s">
        <v>1367</v>
      </c>
      <c r="K33" s="16">
        <v>14520</v>
      </c>
      <c r="L33" s="17">
        <v>5227.2</v>
      </c>
      <c r="M33" s="16">
        <v>0</v>
      </c>
      <c r="N33" s="17">
        <v>0</v>
      </c>
      <c r="O33" s="16">
        <v>0</v>
      </c>
      <c r="P33" s="17">
        <v>0</v>
      </c>
      <c r="Q33" s="16">
        <v>0</v>
      </c>
      <c r="R33" s="17">
        <v>0</v>
      </c>
      <c r="S33" s="16">
        <v>0</v>
      </c>
      <c r="T33" s="17">
        <v>0</v>
      </c>
      <c r="U33" s="16">
        <v>0</v>
      </c>
      <c r="V33" s="17">
        <v>0</v>
      </c>
      <c r="W33" s="18">
        <v>14520</v>
      </c>
      <c r="X33" s="17">
        <v>5227.2</v>
      </c>
      <c r="Y33" s="17">
        <v>0</v>
      </c>
      <c r="Z33" s="17">
        <v>9932.8700000000008</v>
      </c>
      <c r="AA33" s="17">
        <v>3310.9566666666701</v>
      </c>
      <c r="AB33" s="144">
        <v>47.3627461146678</v>
      </c>
      <c r="AC33" s="8">
        <f t="shared" si="4"/>
        <v>638.88</v>
      </c>
      <c r="AD33" s="11" t="str">
        <f>LEFT(details!E33,5)</f>
        <v>44.00</v>
      </c>
      <c r="AE33" s="42">
        <f t="shared" si="0"/>
        <v>3310.9566666666701</v>
      </c>
      <c r="AF33" s="42">
        <f>VLOOKUP(C33,MC.5!B:P,15,FALSE)/3</f>
        <v>3310.9599999999996</v>
      </c>
      <c r="AG33" s="152">
        <f t="shared" si="3"/>
        <v>3310.9566666666701</v>
      </c>
      <c r="AH33" s="137" t="str">
        <f>VLOOKUP(F33,REF!B:C,2,FALSE)</f>
        <v>PET</v>
      </c>
      <c r="AI33" s="3" t="str">
        <f>VLOOKUP(G33,REF!E:F,2,FALSE)</f>
        <v>Jar /Container/Tub</v>
      </c>
    </row>
    <row r="34" spans="1:35" x14ac:dyDescent="0.3">
      <c r="A34" s="186" t="s">
        <v>1155</v>
      </c>
      <c r="B34" s="24" t="s">
        <v>1155</v>
      </c>
      <c r="C34" s="156">
        <v>322477</v>
      </c>
      <c r="D34" s="24" t="s">
        <v>38</v>
      </c>
      <c r="E34" s="24" t="s">
        <v>36</v>
      </c>
      <c r="F34" s="156">
        <v>60104</v>
      </c>
      <c r="G34" s="24" t="s">
        <v>1439</v>
      </c>
      <c r="H34" s="24" t="s">
        <v>1368</v>
      </c>
      <c r="I34" s="24" t="s">
        <v>1368</v>
      </c>
      <c r="J34" s="186" t="s">
        <v>1367</v>
      </c>
      <c r="K34" s="16">
        <v>37440</v>
      </c>
      <c r="L34" s="17">
        <v>13104</v>
      </c>
      <c r="M34" s="16">
        <v>16335</v>
      </c>
      <c r="N34" s="17">
        <v>5717.25</v>
      </c>
      <c r="O34" s="16">
        <v>0</v>
      </c>
      <c r="P34" s="17">
        <v>0</v>
      </c>
      <c r="Q34" s="16">
        <v>0</v>
      </c>
      <c r="R34" s="17">
        <v>0</v>
      </c>
      <c r="S34" s="16">
        <v>0</v>
      </c>
      <c r="T34" s="17">
        <v>0</v>
      </c>
      <c r="U34" s="16">
        <v>0</v>
      </c>
      <c r="V34" s="17">
        <v>0</v>
      </c>
      <c r="W34" s="18">
        <v>53775</v>
      </c>
      <c r="X34" s="17">
        <v>18821.25</v>
      </c>
      <c r="Y34" s="17">
        <v>0</v>
      </c>
      <c r="Z34" s="17">
        <v>20774.45</v>
      </c>
      <c r="AA34" s="17">
        <v>6924.8166666666702</v>
      </c>
      <c r="AB34" s="144">
        <v>81.538259737321596</v>
      </c>
      <c r="AC34" s="8">
        <f t="shared" si="4"/>
        <v>2366.1</v>
      </c>
      <c r="AD34" s="11" t="str">
        <f>LEFT(details!E34,5)</f>
        <v>44.00</v>
      </c>
      <c r="AE34" s="42">
        <f t="shared" si="0"/>
        <v>6924.8166666666702</v>
      </c>
      <c r="AF34" s="42">
        <f>VLOOKUP(C34,MC.5!B:P,15,FALSE)/3</f>
        <v>6924.82</v>
      </c>
      <c r="AG34" s="152">
        <f t="shared" si="3"/>
        <v>6924.8166666666702</v>
      </c>
      <c r="AH34" s="137" t="str">
        <f>VLOOKUP(F34,REF!B:C,2,FALSE)</f>
        <v>PET</v>
      </c>
      <c r="AI34" s="3" t="str">
        <f>VLOOKUP(G34,REF!E:F,2,FALSE)</f>
        <v>Jar /Container/Tub</v>
      </c>
    </row>
    <row r="35" spans="1:35" x14ac:dyDescent="0.3">
      <c r="A35" s="186" t="s">
        <v>1155</v>
      </c>
      <c r="B35" s="24" t="s">
        <v>1155</v>
      </c>
      <c r="C35" s="156">
        <v>322493</v>
      </c>
      <c r="D35" s="24" t="s">
        <v>1557</v>
      </c>
      <c r="E35" s="24" t="s">
        <v>17</v>
      </c>
      <c r="F35" s="156">
        <v>60104</v>
      </c>
      <c r="G35" s="24" t="s">
        <v>1438</v>
      </c>
      <c r="H35" s="24" t="s">
        <v>1366</v>
      </c>
      <c r="I35" s="24" t="s">
        <v>1366</v>
      </c>
      <c r="J35" s="186" t="s">
        <v>1367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>
        <v>18972</v>
      </c>
      <c r="AA35" s="17">
        <v>6324</v>
      </c>
      <c r="AB35" s="144"/>
      <c r="AC35" s="8">
        <f t="shared" si="4"/>
        <v>0</v>
      </c>
      <c r="AD35" s="11" t="str">
        <f>LEFT(details!E35,5)</f>
        <v>23.00</v>
      </c>
      <c r="AE35" s="42">
        <f t="shared" si="0"/>
        <v>6324</v>
      </c>
      <c r="AF35" s="42">
        <f>VLOOKUP(C35,MC.5!B:P,15,FALSE)/3</f>
        <v>6324</v>
      </c>
      <c r="AG35" s="152">
        <f t="shared" si="3"/>
        <v>6324</v>
      </c>
      <c r="AH35" s="137" t="str">
        <f>VLOOKUP(F35,REF!B:C,2,FALSE)</f>
        <v>PET</v>
      </c>
      <c r="AI35" s="3" t="str">
        <f>VLOOKUP(G35,REF!E:F,2,FALSE)</f>
        <v>Bottle</v>
      </c>
    </row>
    <row r="36" spans="1:35" x14ac:dyDescent="0.3">
      <c r="A36" s="186" t="s">
        <v>1155</v>
      </c>
      <c r="B36" s="24" t="s">
        <v>1155</v>
      </c>
      <c r="C36" s="156">
        <v>322503</v>
      </c>
      <c r="D36" s="24" t="s">
        <v>238</v>
      </c>
      <c r="E36" s="24" t="s">
        <v>36</v>
      </c>
      <c r="F36" s="156">
        <v>60104</v>
      </c>
      <c r="G36" s="24" t="s">
        <v>1438</v>
      </c>
      <c r="H36" s="24" t="s">
        <v>1366</v>
      </c>
      <c r="I36" s="24" t="s">
        <v>1366</v>
      </c>
      <c r="J36" s="186" t="s">
        <v>1367</v>
      </c>
      <c r="K36" s="16">
        <v>29584</v>
      </c>
      <c r="L36" s="17">
        <v>10650.24</v>
      </c>
      <c r="M36" s="16">
        <v>0</v>
      </c>
      <c r="N36" s="17">
        <v>0</v>
      </c>
      <c r="O36" s="16">
        <v>0</v>
      </c>
      <c r="P36" s="17">
        <v>0</v>
      </c>
      <c r="Q36" s="16">
        <v>0</v>
      </c>
      <c r="R36" s="17">
        <v>0</v>
      </c>
      <c r="S36" s="16">
        <v>0</v>
      </c>
      <c r="T36" s="17">
        <v>0</v>
      </c>
      <c r="U36" s="16">
        <v>0</v>
      </c>
      <c r="V36" s="17">
        <v>0</v>
      </c>
      <c r="W36" s="18">
        <v>29584</v>
      </c>
      <c r="X36" s="17">
        <v>10650.24</v>
      </c>
      <c r="Y36" s="17">
        <v>0</v>
      </c>
      <c r="Z36" s="17">
        <v>5225.3599999999997</v>
      </c>
      <c r="AA36" s="17">
        <v>1741.78666666667</v>
      </c>
      <c r="AB36" s="144">
        <v>183.43647136273901</v>
      </c>
      <c r="AC36" s="8">
        <f t="shared" si="4"/>
        <v>1301.6959999999999</v>
      </c>
      <c r="AD36" s="11" t="str">
        <f>LEFT(details!E36,5)</f>
        <v>44.00</v>
      </c>
      <c r="AE36" s="42">
        <f t="shared" si="0"/>
        <v>1741.78666666667</v>
      </c>
      <c r="AF36" s="42">
        <f>VLOOKUP(C36,MC.5!B:P,15,FALSE)/3</f>
        <v>1741.7866666666666</v>
      </c>
      <c r="AG36" s="152">
        <f t="shared" si="3"/>
        <v>1741.78666666667</v>
      </c>
      <c r="AH36" s="137" t="str">
        <f>VLOOKUP(F36,REF!B:C,2,FALSE)</f>
        <v>PET</v>
      </c>
      <c r="AI36" s="3" t="str">
        <f>VLOOKUP(G36,REF!E:F,2,FALSE)</f>
        <v>Bottle</v>
      </c>
    </row>
    <row r="37" spans="1:35" x14ac:dyDescent="0.3">
      <c r="A37" s="186" t="s">
        <v>1155</v>
      </c>
      <c r="B37" s="24" t="s">
        <v>1155</v>
      </c>
      <c r="C37" s="156">
        <v>322506</v>
      </c>
      <c r="D37" s="24" t="s">
        <v>39</v>
      </c>
      <c r="E37" s="24" t="s">
        <v>40</v>
      </c>
      <c r="F37" s="156">
        <v>60104</v>
      </c>
      <c r="G37" s="24" t="s">
        <v>1438</v>
      </c>
      <c r="H37" s="24" t="s">
        <v>1366</v>
      </c>
      <c r="I37" s="24" t="s">
        <v>1366</v>
      </c>
      <c r="J37" s="186" t="s">
        <v>1367</v>
      </c>
      <c r="K37" s="16">
        <v>13860</v>
      </c>
      <c r="L37" s="17">
        <v>3880.8</v>
      </c>
      <c r="M37" s="16">
        <v>0</v>
      </c>
      <c r="N37" s="17">
        <v>0</v>
      </c>
      <c r="O37" s="16">
        <v>0</v>
      </c>
      <c r="P37" s="17">
        <v>0</v>
      </c>
      <c r="Q37" s="16">
        <v>0</v>
      </c>
      <c r="R37" s="17">
        <v>0</v>
      </c>
      <c r="S37" s="16">
        <v>0</v>
      </c>
      <c r="T37" s="17">
        <v>0</v>
      </c>
      <c r="U37" s="16">
        <v>0</v>
      </c>
      <c r="V37" s="17">
        <v>0</v>
      </c>
      <c r="W37" s="18">
        <v>13860</v>
      </c>
      <c r="X37" s="17">
        <v>3880.8</v>
      </c>
      <c r="Y37" s="17">
        <v>0</v>
      </c>
      <c r="Z37" s="17">
        <v>3224.76</v>
      </c>
      <c r="AA37" s="17">
        <v>1074.92</v>
      </c>
      <c r="AB37" s="144">
        <v>108.309455587393</v>
      </c>
      <c r="AC37" s="8">
        <f t="shared" si="4"/>
        <v>443.52</v>
      </c>
      <c r="AD37" s="11" t="str">
        <f>LEFT(details!E37,5)</f>
        <v>32.00</v>
      </c>
      <c r="AE37" s="42">
        <f t="shared" si="0"/>
        <v>1074.92</v>
      </c>
      <c r="AF37" s="42">
        <f>VLOOKUP(C37,MC.5!B:P,15,FALSE)/3</f>
        <v>1074.92</v>
      </c>
      <c r="AG37" s="152">
        <f t="shared" si="3"/>
        <v>1074.92</v>
      </c>
      <c r="AH37" s="137" t="str">
        <f>VLOOKUP(F37,REF!B:C,2,FALSE)</f>
        <v>PET</v>
      </c>
      <c r="AI37" s="3" t="str">
        <f>VLOOKUP(G37,REF!E:F,2,FALSE)</f>
        <v>Bottle</v>
      </c>
    </row>
    <row r="38" spans="1:35" x14ac:dyDescent="0.3">
      <c r="A38" s="186" t="s">
        <v>1155</v>
      </c>
      <c r="B38" s="24" t="s">
        <v>1155</v>
      </c>
      <c r="C38" s="156">
        <v>322509</v>
      </c>
      <c r="D38" s="24" t="s">
        <v>41</v>
      </c>
      <c r="E38" s="24" t="s">
        <v>40</v>
      </c>
      <c r="F38" s="156">
        <v>60104</v>
      </c>
      <c r="G38" s="24" t="s">
        <v>1438</v>
      </c>
      <c r="H38" s="24" t="s">
        <v>1366</v>
      </c>
      <c r="I38" s="24" t="s">
        <v>1366</v>
      </c>
      <c r="J38" s="186" t="s">
        <v>1367</v>
      </c>
      <c r="K38" s="16">
        <v>0</v>
      </c>
      <c r="L38" s="17">
        <v>0</v>
      </c>
      <c r="M38" s="16">
        <v>0</v>
      </c>
      <c r="N38" s="17">
        <v>0</v>
      </c>
      <c r="O38" s="16">
        <v>37440</v>
      </c>
      <c r="P38" s="17">
        <v>10483.200000000001</v>
      </c>
      <c r="Q38" s="16">
        <v>29952</v>
      </c>
      <c r="R38" s="17">
        <v>8386.56</v>
      </c>
      <c r="S38" s="16">
        <v>0</v>
      </c>
      <c r="T38" s="17">
        <v>0</v>
      </c>
      <c r="U38" s="16">
        <v>0</v>
      </c>
      <c r="V38" s="17">
        <v>0</v>
      </c>
      <c r="W38" s="18">
        <v>67392</v>
      </c>
      <c r="X38" s="17">
        <v>18869.759999999998</v>
      </c>
      <c r="Y38" s="17">
        <v>6173.93</v>
      </c>
      <c r="Z38" s="17">
        <v>349.44</v>
      </c>
      <c r="AA38" s="17">
        <v>116.48</v>
      </c>
      <c r="AB38" s="144">
        <v>4860</v>
      </c>
      <c r="AC38" s="8">
        <f t="shared" si="4"/>
        <v>2156.5439999999999</v>
      </c>
      <c r="AD38" s="11" t="str">
        <f>LEFT(details!E38,5)</f>
        <v>32.00</v>
      </c>
      <c r="AE38" s="42">
        <f t="shared" si="0"/>
        <v>116.48</v>
      </c>
      <c r="AF38" s="42">
        <f>VLOOKUP(C38,MC.5!B:P,15,FALSE)/3</f>
        <v>116.48</v>
      </c>
      <c r="AG38" s="152">
        <f t="shared" si="3"/>
        <v>116.48</v>
      </c>
      <c r="AH38" s="137" t="str">
        <f>VLOOKUP(F38,REF!B:C,2,FALSE)</f>
        <v>PET</v>
      </c>
      <c r="AI38" s="3" t="str">
        <f>VLOOKUP(G38,REF!E:F,2,FALSE)</f>
        <v>Bottle</v>
      </c>
    </row>
    <row r="39" spans="1:35" x14ac:dyDescent="0.3">
      <c r="A39" s="186" t="s">
        <v>1155</v>
      </c>
      <c r="B39" s="24" t="s">
        <v>1155</v>
      </c>
      <c r="C39" s="156">
        <v>322517</v>
      </c>
      <c r="D39" s="24" t="s">
        <v>42</v>
      </c>
      <c r="E39" s="24" t="s">
        <v>272</v>
      </c>
      <c r="F39" s="156">
        <v>60104</v>
      </c>
      <c r="G39" s="24" t="s">
        <v>1438</v>
      </c>
      <c r="H39" s="24" t="s">
        <v>1366</v>
      </c>
      <c r="I39" s="24" t="s">
        <v>1366</v>
      </c>
      <c r="J39" s="186" t="s">
        <v>1367</v>
      </c>
      <c r="K39" s="16">
        <v>16250</v>
      </c>
      <c r="L39" s="17">
        <v>5525</v>
      </c>
      <c r="M39" s="16">
        <v>0</v>
      </c>
      <c r="N39" s="17">
        <v>0</v>
      </c>
      <c r="O39" s="16">
        <v>0</v>
      </c>
      <c r="P39" s="17">
        <v>0</v>
      </c>
      <c r="Q39" s="16">
        <v>0</v>
      </c>
      <c r="R39" s="17">
        <v>0</v>
      </c>
      <c r="S39" s="16">
        <v>0</v>
      </c>
      <c r="T39" s="17">
        <v>0</v>
      </c>
      <c r="U39" s="16">
        <v>0</v>
      </c>
      <c r="V39" s="17">
        <v>0</v>
      </c>
      <c r="W39" s="18">
        <v>16250</v>
      </c>
      <c r="X39" s="17">
        <v>5525</v>
      </c>
      <c r="Y39" s="17">
        <v>0</v>
      </c>
      <c r="Z39" s="17">
        <v>8125</v>
      </c>
      <c r="AA39" s="17">
        <v>2708.3333333333298</v>
      </c>
      <c r="AB39" s="144">
        <v>61.2</v>
      </c>
      <c r="AC39" s="8">
        <f t="shared" si="4"/>
        <v>736.125</v>
      </c>
      <c r="AD39" s="11" t="str">
        <f>LEFT(details!E39,5)</f>
        <v>45.30</v>
      </c>
      <c r="AE39" s="42">
        <f t="shared" si="0"/>
        <v>2708.3333333333298</v>
      </c>
      <c r="AF39" s="42">
        <f>VLOOKUP(C39,MC.5!B:P,15,FALSE)/3</f>
        <v>2708.3333333333335</v>
      </c>
      <c r="AG39" s="152">
        <f t="shared" si="3"/>
        <v>2708.3333333333298</v>
      </c>
      <c r="AH39" s="137" t="str">
        <f>VLOOKUP(F39,REF!B:C,2,FALSE)</f>
        <v>PET</v>
      </c>
      <c r="AI39" s="3" t="str">
        <f>VLOOKUP(G39,REF!E:F,2,FALSE)</f>
        <v>Bottle</v>
      </c>
    </row>
    <row r="40" spans="1:35" x14ac:dyDescent="0.3">
      <c r="A40" s="186" t="s">
        <v>1155</v>
      </c>
      <c r="B40" s="24" t="s">
        <v>1155</v>
      </c>
      <c r="C40" s="156">
        <v>322527</v>
      </c>
      <c r="D40" s="24" t="s">
        <v>44</v>
      </c>
      <c r="E40" s="24" t="s">
        <v>272</v>
      </c>
      <c r="F40" s="156">
        <v>60104</v>
      </c>
      <c r="G40" s="24" t="s">
        <v>1438</v>
      </c>
      <c r="H40" s="24" t="s">
        <v>1366</v>
      </c>
      <c r="I40" s="24" t="s">
        <v>1366</v>
      </c>
      <c r="J40" s="186" t="s">
        <v>1367</v>
      </c>
      <c r="K40" s="16">
        <v>10780</v>
      </c>
      <c r="L40" s="17">
        <v>3880.8</v>
      </c>
      <c r="M40" s="16">
        <v>0</v>
      </c>
      <c r="N40" s="17">
        <v>0</v>
      </c>
      <c r="O40" s="16">
        <v>0</v>
      </c>
      <c r="P40" s="17">
        <v>0</v>
      </c>
      <c r="Q40" s="16">
        <v>530</v>
      </c>
      <c r="R40" s="17">
        <v>190.8</v>
      </c>
      <c r="S40" s="16">
        <v>0</v>
      </c>
      <c r="T40" s="17">
        <v>0</v>
      </c>
      <c r="U40" s="16">
        <v>0</v>
      </c>
      <c r="V40" s="17">
        <v>0</v>
      </c>
      <c r="W40" s="18">
        <v>11310</v>
      </c>
      <c r="X40" s="17">
        <v>4071.6</v>
      </c>
      <c r="Y40" s="17">
        <v>84.81</v>
      </c>
      <c r="Z40" s="17">
        <v>8354.5</v>
      </c>
      <c r="AA40" s="17">
        <v>2784.8333333333298</v>
      </c>
      <c r="AB40" s="144">
        <v>43.861870848046003</v>
      </c>
      <c r="AC40" s="8">
        <f t="shared" si="4"/>
        <v>512.34299999999996</v>
      </c>
      <c r="AD40" s="11" t="str">
        <f>LEFT(details!E40,5)</f>
        <v>45.30</v>
      </c>
      <c r="AE40" s="42">
        <f t="shared" si="0"/>
        <v>2784.8333333333298</v>
      </c>
      <c r="AF40" s="42">
        <f>VLOOKUP(C40,MC.5!B:P,15,FALSE)/3</f>
        <v>2784.8333333333335</v>
      </c>
      <c r="AG40" s="152">
        <f t="shared" si="3"/>
        <v>2784.8333333333298</v>
      </c>
      <c r="AH40" s="137" t="str">
        <f>VLOOKUP(F40,REF!B:C,2,FALSE)</f>
        <v>PET</v>
      </c>
      <c r="AI40" s="3" t="str">
        <f>VLOOKUP(G40,REF!E:F,2,FALSE)</f>
        <v>Bottle</v>
      </c>
    </row>
    <row r="41" spans="1:35" x14ac:dyDescent="0.3">
      <c r="A41" s="186" t="s">
        <v>1155</v>
      </c>
      <c r="B41" s="24" t="s">
        <v>1155</v>
      </c>
      <c r="C41" s="156">
        <v>322535</v>
      </c>
      <c r="D41" s="24" t="s">
        <v>2020</v>
      </c>
      <c r="E41" s="24" t="s">
        <v>303</v>
      </c>
      <c r="F41" s="156">
        <v>60106</v>
      </c>
      <c r="G41" s="24" t="s">
        <v>1440</v>
      </c>
      <c r="H41" s="24" t="s">
        <v>1369</v>
      </c>
      <c r="I41" s="24" t="s">
        <v>1369</v>
      </c>
      <c r="J41" s="186" t="s">
        <v>1367</v>
      </c>
      <c r="K41" s="16">
        <v>0</v>
      </c>
      <c r="L41" s="17">
        <v>0</v>
      </c>
      <c r="M41" s="16">
        <v>0</v>
      </c>
      <c r="N41" s="17">
        <v>0</v>
      </c>
      <c r="O41" s="16">
        <v>359</v>
      </c>
      <c r="P41" s="17">
        <v>40.93</v>
      </c>
      <c r="Q41" s="16">
        <v>0</v>
      </c>
      <c r="R41" s="17">
        <v>0</v>
      </c>
      <c r="S41" s="16">
        <v>0</v>
      </c>
      <c r="T41" s="17">
        <v>0</v>
      </c>
      <c r="U41" s="16">
        <v>0</v>
      </c>
      <c r="V41" s="17">
        <v>0</v>
      </c>
      <c r="W41" s="18">
        <v>359</v>
      </c>
      <c r="X41" s="17">
        <v>40.93</v>
      </c>
      <c r="Y41" s="17">
        <v>4.55</v>
      </c>
      <c r="Z41" s="17"/>
      <c r="AA41" s="17"/>
      <c r="AB41" s="144">
        <v>0</v>
      </c>
      <c r="AC41" s="8">
        <f t="shared" si="4"/>
        <v>4.08901</v>
      </c>
      <c r="AD41" s="11" t="str">
        <f>LEFT(details!E41,5)</f>
        <v>11.39</v>
      </c>
      <c r="AE41" s="42">
        <f t="shared" si="0"/>
        <v>0</v>
      </c>
      <c r="AF41" s="42">
        <f>VLOOKUP(C41,MC.5!B:P,15,FALSE)/3</f>
        <v>0</v>
      </c>
      <c r="AG41" s="152">
        <f t="shared" ref="AG41:AG44" si="5">AF41</f>
        <v>0</v>
      </c>
      <c r="AH41" s="137" t="str">
        <f>VLOOKUP(F41,REF!B:C,2,FALSE)</f>
        <v>PP</v>
      </c>
      <c r="AI41" s="3" t="str">
        <f>VLOOKUP(G41,REF!E:F,2,FALSE)</f>
        <v>Closure/Lid/ Handle</v>
      </c>
    </row>
    <row r="42" spans="1:35" x14ac:dyDescent="0.3">
      <c r="A42" s="186" t="s">
        <v>1155</v>
      </c>
      <c r="B42" s="24" t="s">
        <v>1155</v>
      </c>
      <c r="C42" s="156">
        <v>322537</v>
      </c>
      <c r="D42" s="24" t="s">
        <v>45</v>
      </c>
      <c r="E42" s="24" t="s">
        <v>303</v>
      </c>
      <c r="F42" s="156">
        <v>60106</v>
      </c>
      <c r="G42" s="24" t="s">
        <v>1440</v>
      </c>
      <c r="H42" s="24" t="s">
        <v>1369</v>
      </c>
      <c r="I42" s="24" t="s">
        <v>1369</v>
      </c>
      <c r="J42" s="186" t="s">
        <v>1367</v>
      </c>
      <c r="K42" s="16">
        <v>0</v>
      </c>
      <c r="L42" s="17">
        <v>0</v>
      </c>
      <c r="M42" s="16">
        <v>0</v>
      </c>
      <c r="N42" s="17">
        <v>0</v>
      </c>
      <c r="O42" s="16">
        <v>38909</v>
      </c>
      <c r="P42" s="17">
        <v>4478.82</v>
      </c>
      <c r="Q42" s="16">
        <v>0</v>
      </c>
      <c r="R42" s="17">
        <v>0</v>
      </c>
      <c r="S42" s="16">
        <v>0</v>
      </c>
      <c r="T42" s="17">
        <v>0</v>
      </c>
      <c r="U42" s="16">
        <v>0</v>
      </c>
      <c r="V42" s="17">
        <v>0</v>
      </c>
      <c r="W42" s="18">
        <v>38909</v>
      </c>
      <c r="X42" s="17">
        <v>4478.82</v>
      </c>
      <c r="Y42" s="17">
        <v>325.01</v>
      </c>
      <c r="Z42" s="17"/>
      <c r="AA42" s="17"/>
      <c r="AB42" s="144">
        <v>0</v>
      </c>
      <c r="AC42" s="8">
        <f t="shared" si="4"/>
        <v>443.17351000000002</v>
      </c>
      <c r="AD42" s="11" t="str">
        <f>LEFT(details!E42,5)</f>
        <v>11.39</v>
      </c>
      <c r="AE42" s="42">
        <f t="shared" si="0"/>
        <v>0</v>
      </c>
      <c r="AF42" s="42">
        <f>VLOOKUP(C42,MC.5!B:P,15,FALSE)/3</f>
        <v>0</v>
      </c>
      <c r="AG42" s="152">
        <f t="shared" si="5"/>
        <v>0</v>
      </c>
      <c r="AH42" s="137" t="str">
        <f>VLOOKUP(F42,REF!B:C,2,FALSE)</f>
        <v>PP</v>
      </c>
      <c r="AI42" s="3" t="str">
        <f>VLOOKUP(G42,REF!E:F,2,FALSE)</f>
        <v>Closure/Lid/ Handle</v>
      </c>
    </row>
    <row r="43" spans="1:35" x14ac:dyDescent="0.3">
      <c r="A43" s="186" t="s">
        <v>1155</v>
      </c>
      <c r="B43" s="24" t="s">
        <v>1155</v>
      </c>
      <c r="C43" s="156">
        <v>322540</v>
      </c>
      <c r="D43" s="24" t="s">
        <v>143</v>
      </c>
      <c r="E43" s="24" t="s">
        <v>303</v>
      </c>
      <c r="F43" s="156">
        <v>60106</v>
      </c>
      <c r="G43" s="24" t="s">
        <v>1440</v>
      </c>
      <c r="H43" s="24" t="s">
        <v>1369</v>
      </c>
      <c r="I43" s="24" t="s">
        <v>1369</v>
      </c>
      <c r="J43" s="186" t="s">
        <v>1367</v>
      </c>
      <c r="K43" s="16">
        <v>103507</v>
      </c>
      <c r="L43" s="17">
        <v>10857.88</v>
      </c>
      <c r="M43" s="16">
        <v>0</v>
      </c>
      <c r="N43" s="17">
        <v>0</v>
      </c>
      <c r="O43" s="16">
        <v>0</v>
      </c>
      <c r="P43" s="17">
        <v>0</v>
      </c>
      <c r="Q43" s="16">
        <v>0</v>
      </c>
      <c r="R43" s="17">
        <v>0</v>
      </c>
      <c r="S43" s="16">
        <v>0</v>
      </c>
      <c r="T43" s="17">
        <v>0</v>
      </c>
      <c r="U43" s="16">
        <v>0</v>
      </c>
      <c r="V43" s="17">
        <v>0</v>
      </c>
      <c r="W43" s="18">
        <v>103507</v>
      </c>
      <c r="X43" s="17">
        <v>10857.88</v>
      </c>
      <c r="Y43" s="17">
        <v>0</v>
      </c>
      <c r="Z43" s="17"/>
      <c r="AA43" s="17"/>
      <c r="AB43" s="144">
        <v>0</v>
      </c>
      <c r="AC43" s="8">
        <f t="shared" si="4"/>
        <v>1178.9447299999999</v>
      </c>
      <c r="AD43" s="11" t="str">
        <f>LEFT(details!E43,5)</f>
        <v>11.39</v>
      </c>
      <c r="AE43" s="42">
        <f t="shared" si="0"/>
        <v>0</v>
      </c>
      <c r="AF43" s="42">
        <f>VLOOKUP(C43,MC.5!B:P,15,FALSE)/3</f>
        <v>10743.913333333334</v>
      </c>
      <c r="AG43" s="152">
        <f t="shared" si="5"/>
        <v>10743.913333333334</v>
      </c>
      <c r="AH43" s="137" t="str">
        <f>VLOOKUP(F43,REF!B:C,2,FALSE)</f>
        <v>PP</v>
      </c>
      <c r="AI43" s="3" t="str">
        <f>VLOOKUP(G43,REF!E:F,2,FALSE)</f>
        <v>Closure/Lid/ Handle</v>
      </c>
    </row>
    <row r="44" spans="1:35" x14ac:dyDescent="0.3">
      <c r="A44" s="186" t="s">
        <v>1155</v>
      </c>
      <c r="B44" s="24" t="s">
        <v>1155</v>
      </c>
      <c r="C44" s="156">
        <v>322542</v>
      </c>
      <c r="D44" s="24" t="s">
        <v>46</v>
      </c>
      <c r="E44" s="24" t="s">
        <v>303</v>
      </c>
      <c r="F44" s="156">
        <v>60106</v>
      </c>
      <c r="G44" s="24" t="s">
        <v>1440</v>
      </c>
      <c r="H44" s="24" t="s">
        <v>1369</v>
      </c>
      <c r="I44" s="24" t="s">
        <v>1369</v>
      </c>
      <c r="J44" s="186" t="s">
        <v>1367</v>
      </c>
      <c r="K44" s="16">
        <v>37936</v>
      </c>
      <c r="L44" s="17">
        <v>4257.18</v>
      </c>
      <c r="M44" s="16">
        <v>0</v>
      </c>
      <c r="N44" s="17">
        <v>0</v>
      </c>
      <c r="O44" s="16">
        <v>0</v>
      </c>
      <c r="P44" s="17">
        <v>0</v>
      </c>
      <c r="Q44" s="16">
        <v>0</v>
      </c>
      <c r="R44" s="17">
        <v>0</v>
      </c>
      <c r="S44" s="16">
        <v>0</v>
      </c>
      <c r="T44" s="17">
        <v>0</v>
      </c>
      <c r="U44" s="16">
        <v>0</v>
      </c>
      <c r="V44" s="17">
        <v>0</v>
      </c>
      <c r="W44" s="18">
        <v>37936</v>
      </c>
      <c r="X44" s="17">
        <v>4257.18</v>
      </c>
      <c r="Y44" s="17">
        <v>0</v>
      </c>
      <c r="Z44" s="17"/>
      <c r="AA44" s="17"/>
      <c r="AB44" s="144">
        <v>0</v>
      </c>
      <c r="AC44" s="8">
        <f t="shared" si="4"/>
        <v>432.09104000000002</v>
      </c>
      <c r="AD44" s="11" t="str">
        <f>LEFT(details!E44,5)</f>
        <v>11.39</v>
      </c>
      <c r="AE44" s="42">
        <f t="shared" si="0"/>
        <v>0</v>
      </c>
      <c r="AF44" s="42">
        <f>VLOOKUP(C44,MC.5!B:P,15,FALSE)/3</f>
        <v>313.60666666666668</v>
      </c>
      <c r="AG44" s="152">
        <f t="shared" si="5"/>
        <v>313.60666666666668</v>
      </c>
      <c r="AH44" s="137" t="str">
        <f>VLOOKUP(F44,REF!B:C,2,FALSE)</f>
        <v>PP</v>
      </c>
      <c r="AI44" s="3" t="str">
        <f>VLOOKUP(G44,REF!E:F,2,FALSE)</f>
        <v>Closure/Lid/ Handle</v>
      </c>
    </row>
    <row r="45" spans="1:35" x14ac:dyDescent="0.3">
      <c r="A45" s="186" t="s">
        <v>1155</v>
      </c>
      <c r="B45" s="24" t="s">
        <v>1155</v>
      </c>
      <c r="C45" s="156">
        <v>322550</v>
      </c>
      <c r="D45" s="24" t="s">
        <v>47</v>
      </c>
      <c r="E45" s="24" t="s">
        <v>48</v>
      </c>
      <c r="F45" s="156">
        <v>60104</v>
      </c>
      <c r="G45" s="24" t="s">
        <v>1438</v>
      </c>
      <c r="H45" s="24" t="s">
        <v>1366</v>
      </c>
      <c r="I45" s="24" t="s">
        <v>1366</v>
      </c>
      <c r="J45" s="186" t="s">
        <v>1367</v>
      </c>
      <c r="K45" s="16">
        <v>0</v>
      </c>
      <c r="L45" s="17">
        <v>0</v>
      </c>
      <c r="M45" s="16">
        <v>0</v>
      </c>
      <c r="N45" s="17">
        <v>0</v>
      </c>
      <c r="O45" s="16">
        <v>864</v>
      </c>
      <c r="P45" s="17">
        <v>578.88</v>
      </c>
      <c r="Q45" s="16">
        <v>0</v>
      </c>
      <c r="R45" s="17">
        <v>0</v>
      </c>
      <c r="S45" s="16">
        <v>0</v>
      </c>
      <c r="T45" s="17">
        <v>0</v>
      </c>
      <c r="U45" s="16">
        <v>0</v>
      </c>
      <c r="V45" s="17">
        <v>0</v>
      </c>
      <c r="W45" s="18">
        <v>864</v>
      </c>
      <c r="X45" s="17">
        <v>578.88</v>
      </c>
      <c r="Y45" s="17">
        <v>128.65</v>
      </c>
      <c r="Z45" s="17">
        <v>1615.68</v>
      </c>
      <c r="AA45" s="17">
        <v>538.55999999999995</v>
      </c>
      <c r="AB45" s="144">
        <v>32.245989304812802</v>
      </c>
      <c r="AC45" s="8">
        <f t="shared" si="4"/>
        <v>63.936</v>
      </c>
      <c r="AD45" s="11" t="str">
        <f>LEFT(details!E45,5)</f>
        <v>74.00</v>
      </c>
      <c r="AE45" s="42">
        <f t="shared" si="0"/>
        <v>538.55999999999995</v>
      </c>
      <c r="AF45" s="42">
        <f>VLOOKUP(C45,MC.5!B:P,15,FALSE)/3</f>
        <v>538.56000000000006</v>
      </c>
      <c r="AG45" s="152">
        <f t="shared" ref="AG45:AG51" si="6">AE45</f>
        <v>538.55999999999995</v>
      </c>
      <c r="AH45" s="137" t="str">
        <f>VLOOKUP(F45,REF!B:C,2,FALSE)</f>
        <v>PET</v>
      </c>
      <c r="AI45" s="3" t="str">
        <f>VLOOKUP(G45,REF!E:F,2,FALSE)</f>
        <v>Bottle</v>
      </c>
    </row>
    <row r="46" spans="1:35" x14ac:dyDescent="0.3">
      <c r="A46" s="186" t="s">
        <v>1155</v>
      </c>
      <c r="B46" s="24" t="s">
        <v>1155</v>
      </c>
      <c r="C46" s="156">
        <v>322551</v>
      </c>
      <c r="D46" s="24" t="s">
        <v>49</v>
      </c>
      <c r="E46" s="24" t="s">
        <v>275</v>
      </c>
      <c r="F46" s="156">
        <v>60105</v>
      </c>
      <c r="G46" s="24" t="s">
        <v>1441</v>
      </c>
      <c r="H46" s="24" t="s">
        <v>1370</v>
      </c>
      <c r="I46" s="24" t="s">
        <v>1370</v>
      </c>
      <c r="J46" s="186" t="s">
        <v>1367</v>
      </c>
      <c r="K46" s="16">
        <v>13500</v>
      </c>
      <c r="L46" s="17">
        <v>946.22</v>
      </c>
      <c r="M46" s="16">
        <v>0</v>
      </c>
      <c r="N46" s="17">
        <v>0</v>
      </c>
      <c r="O46" s="16">
        <v>0</v>
      </c>
      <c r="P46" s="17">
        <v>0</v>
      </c>
      <c r="Q46" s="16">
        <v>0</v>
      </c>
      <c r="R46" s="17">
        <v>0</v>
      </c>
      <c r="S46" s="16">
        <v>0</v>
      </c>
      <c r="T46" s="17">
        <v>0</v>
      </c>
      <c r="U46" s="16">
        <v>0</v>
      </c>
      <c r="V46" s="17">
        <v>0</v>
      </c>
      <c r="W46" s="18">
        <v>13500</v>
      </c>
      <c r="X46" s="17">
        <v>946.22</v>
      </c>
      <c r="Y46" s="17">
        <v>0</v>
      </c>
      <c r="Z46" s="17">
        <v>3925.11</v>
      </c>
      <c r="AA46" s="17">
        <v>1308.3699999999999</v>
      </c>
      <c r="AB46" s="144">
        <v>21.6961562860659</v>
      </c>
      <c r="AC46" s="8">
        <f t="shared" si="4"/>
        <v>49.95</v>
      </c>
      <c r="AD46" s="11" t="str">
        <f>LEFT(details!E46,5)</f>
        <v>3.700</v>
      </c>
      <c r="AE46" s="42">
        <f t="shared" si="0"/>
        <v>1308.3699999999999</v>
      </c>
      <c r="AF46" s="42">
        <f>VLOOKUP(C46,MC.5!B:P,15,FALSE)/3</f>
        <v>1308.3700000000001</v>
      </c>
      <c r="AG46" s="152">
        <f t="shared" si="6"/>
        <v>1308.3699999999999</v>
      </c>
      <c r="AH46" s="137" t="str">
        <f>VLOOKUP(F46,REF!B:C,2,FALSE)</f>
        <v>PE</v>
      </c>
      <c r="AI46" s="3" t="str">
        <f>VLOOKUP(G46,REF!E:F,2,FALSE)</f>
        <v>Closure/Lid/ Handle</v>
      </c>
    </row>
    <row r="47" spans="1:35" x14ac:dyDescent="0.3">
      <c r="A47" s="186" t="s">
        <v>1155</v>
      </c>
      <c r="B47" s="24" t="s">
        <v>1155</v>
      </c>
      <c r="C47" s="156">
        <v>322552</v>
      </c>
      <c r="D47" s="24" t="s">
        <v>50</v>
      </c>
      <c r="E47" s="24" t="s">
        <v>259</v>
      </c>
      <c r="F47" s="156">
        <v>60105</v>
      </c>
      <c r="G47" s="24" t="s">
        <v>1441</v>
      </c>
      <c r="H47" s="24" t="s">
        <v>1370</v>
      </c>
      <c r="I47" s="24" t="s">
        <v>1370</v>
      </c>
      <c r="J47" s="186" t="s">
        <v>1367</v>
      </c>
      <c r="K47" s="16">
        <v>6500</v>
      </c>
      <c r="L47" s="17">
        <v>631.54</v>
      </c>
      <c r="M47" s="16">
        <v>0</v>
      </c>
      <c r="N47" s="17">
        <v>0</v>
      </c>
      <c r="O47" s="16">
        <v>0</v>
      </c>
      <c r="P47" s="17">
        <v>0</v>
      </c>
      <c r="Q47" s="16">
        <v>0</v>
      </c>
      <c r="R47" s="17">
        <v>0</v>
      </c>
      <c r="S47" s="16">
        <v>0</v>
      </c>
      <c r="T47" s="17">
        <v>0</v>
      </c>
      <c r="U47" s="16">
        <v>0</v>
      </c>
      <c r="V47" s="17">
        <v>0</v>
      </c>
      <c r="W47" s="18">
        <v>6500</v>
      </c>
      <c r="X47" s="17">
        <v>631.54</v>
      </c>
      <c r="Y47" s="17">
        <v>0</v>
      </c>
      <c r="Z47" s="17">
        <v>4424.34</v>
      </c>
      <c r="AA47" s="17">
        <v>1474.78</v>
      </c>
      <c r="AB47" s="144">
        <v>12.846797488439</v>
      </c>
      <c r="AC47" s="8">
        <f t="shared" si="4"/>
        <v>47.45</v>
      </c>
      <c r="AD47" s="11" t="str">
        <f>LEFT(details!E47,5)</f>
        <v>7.300</v>
      </c>
      <c r="AE47" s="42">
        <f t="shared" si="0"/>
        <v>1474.78</v>
      </c>
      <c r="AF47" s="42">
        <f>VLOOKUP(C47,MC.5!B:P,15,FALSE)/3</f>
        <v>1474.78</v>
      </c>
      <c r="AG47" s="152">
        <f t="shared" si="6"/>
        <v>1474.78</v>
      </c>
      <c r="AH47" s="137" t="str">
        <f>VLOOKUP(F47,REF!B:C,2,FALSE)</f>
        <v>PE</v>
      </c>
      <c r="AI47" s="3" t="str">
        <f>VLOOKUP(G47,REF!E:F,2,FALSE)</f>
        <v>Closure/Lid/ Handle</v>
      </c>
    </row>
    <row r="48" spans="1:35" x14ac:dyDescent="0.3">
      <c r="A48" s="186" t="s">
        <v>1155</v>
      </c>
      <c r="B48" s="24" t="s">
        <v>1155</v>
      </c>
      <c r="C48" s="156">
        <v>322557</v>
      </c>
      <c r="D48" s="24" t="s">
        <v>2022</v>
      </c>
      <c r="E48" s="24" t="s">
        <v>2678</v>
      </c>
      <c r="F48" s="156">
        <v>60105</v>
      </c>
      <c r="G48" s="24" t="s">
        <v>1441</v>
      </c>
      <c r="H48" s="24" t="s">
        <v>1370</v>
      </c>
      <c r="I48" s="24" t="s">
        <v>1370</v>
      </c>
      <c r="J48" s="186" t="s">
        <v>1367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>
        <v>1100.18</v>
      </c>
      <c r="AA48" s="17">
        <v>366.72666666666697</v>
      </c>
      <c r="AB48" s="144"/>
      <c r="AC48" s="8">
        <f t="shared" si="4"/>
        <v>0</v>
      </c>
      <c r="AD48" s="11" t="str">
        <f>LEFT(details!E48,5)</f>
        <v>6.500</v>
      </c>
      <c r="AE48" s="42">
        <f t="shared" si="0"/>
        <v>366.72666666666697</v>
      </c>
      <c r="AF48" s="42">
        <f>VLOOKUP(C48,MC.5!B:P,15,FALSE)/3</f>
        <v>366.72666666666669</v>
      </c>
      <c r="AG48" s="152">
        <f t="shared" si="6"/>
        <v>366.72666666666697</v>
      </c>
      <c r="AH48" s="137" t="str">
        <f>VLOOKUP(F48,REF!B:C,2,FALSE)</f>
        <v>PE</v>
      </c>
      <c r="AI48" s="3" t="str">
        <f>VLOOKUP(G48,REF!E:F,2,FALSE)</f>
        <v>Closure/Lid/ Handle</v>
      </c>
    </row>
    <row r="49" spans="1:35" x14ac:dyDescent="0.3">
      <c r="A49" s="186" t="s">
        <v>1155</v>
      </c>
      <c r="B49" s="24" t="s">
        <v>1155</v>
      </c>
      <c r="C49" s="156">
        <v>322558</v>
      </c>
      <c r="D49" s="24" t="s">
        <v>51</v>
      </c>
      <c r="E49" s="24" t="s">
        <v>273</v>
      </c>
      <c r="F49" s="156">
        <v>60105</v>
      </c>
      <c r="G49" s="24" t="s">
        <v>1441</v>
      </c>
      <c r="H49" s="24" t="s">
        <v>1370</v>
      </c>
      <c r="I49" s="24" t="s">
        <v>1370</v>
      </c>
      <c r="J49" s="186" t="s">
        <v>1367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>
        <v>17458.37</v>
      </c>
      <c r="AA49" s="17">
        <v>5819.4566666666697</v>
      </c>
      <c r="AB49" s="144"/>
      <c r="AC49" s="8">
        <f t="shared" si="4"/>
        <v>0</v>
      </c>
      <c r="AD49" s="11" t="str">
        <f>LEFT(details!E49,5)</f>
        <v>3.750</v>
      </c>
      <c r="AE49" s="42">
        <f t="shared" si="0"/>
        <v>5819.4566666666697</v>
      </c>
      <c r="AF49" s="42">
        <f>VLOOKUP(C49,MC.5!B:P,15,FALSE)/3</f>
        <v>5819.456666666666</v>
      </c>
      <c r="AG49" s="152">
        <f t="shared" si="6"/>
        <v>5819.4566666666697</v>
      </c>
      <c r="AH49" s="137" t="str">
        <f>VLOOKUP(F49,REF!B:C,2,FALSE)</f>
        <v>PE</v>
      </c>
      <c r="AI49" s="3" t="str">
        <f>VLOOKUP(G49,REF!E:F,2,FALSE)</f>
        <v>Closure/Lid/ Handle</v>
      </c>
    </row>
    <row r="50" spans="1:35" x14ac:dyDescent="0.3">
      <c r="A50" s="186" t="s">
        <v>1155</v>
      </c>
      <c r="B50" s="24" t="s">
        <v>1155</v>
      </c>
      <c r="C50" s="156">
        <v>322567</v>
      </c>
      <c r="D50" s="24" t="s">
        <v>304</v>
      </c>
      <c r="E50" s="24" t="s">
        <v>275</v>
      </c>
      <c r="F50" s="156">
        <v>60105</v>
      </c>
      <c r="G50" s="24" t="s">
        <v>1441</v>
      </c>
      <c r="H50" s="24" t="s">
        <v>1370</v>
      </c>
      <c r="I50" s="24" t="s">
        <v>1370</v>
      </c>
      <c r="J50" s="186" t="s">
        <v>1367</v>
      </c>
      <c r="K50" s="16">
        <v>0</v>
      </c>
      <c r="L50" s="17">
        <v>0</v>
      </c>
      <c r="M50" s="16">
        <v>27000</v>
      </c>
      <c r="N50" s="17">
        <v>1657.26</v>
      </c>
      <c r="O50" s="16">
        <v>0</v>
      </c>
      <c r="P50" s="17">
        <v>0</v>
      </c>
      <c r="Q50" s="16">
        <v>0</v>
      </c>
      <c r="R50" s="17">
        <v>0</v>
      </c>
      <c r="S50" s="16">
        <v>0</v>
      </c>
      <c r="T50" s="17">
        <v>0</v>
      </c>
      <c r="U50" s="16">
        <v>0</v>
      </c>
      <c r="V50" s="17">
        <v>0</v>
      </c>
      <c r="W50" s="18">
        <v>27000</v>
      </c>
      <c r="X50" s="17">
        <v>1657.26</v>
      </c>
      <c r="Y50" s="17">
        <v>0</v>
      </c>
      <c r="Z50" s="17">
        <v>1473.18</v>
      </c>
      <c r="AA50" s="17">
        <v>491.06</v>
      </c>
      <c r="AB50" s="144">
        <v>101.24587626766601</v>
      </c>
      <c r="AC50" s="8">
        <f t="shared" si="4"/>
        <v>99.9</v>
      </c>
      <c r="AD50" s="11" t="str">
        <f>LEFT(details!E50,5)</f>
        <v>3.700</v>
      </c>
      <c r="AE50" s="42">
        <f t="shared" si="0"/>
        <v>491.06</v>
      </c>
      <c r="AF50" s="42">
        <f>VLOOKUP(C50,MC.5!B:P,15,FALSE)/3</f>
        <v>491.06</v>
      </c>
      <c r="AG50" s="152">
        <f t="shared" si="6"/>
        <v>491.06</v>
      </c>
      <c r="AH50" s="137" t="str">
        <f>VLOOKUP(F50,REF!B:C,2,FALSE)</f>
        <v>PE</v>
      </c>
      <c r="AI50" s="3" t="str">
        <f>VLOOKUP(G50,REF!E:F,2,FALSE)</f>
        <v>Closure/Lid/ Handle</v>
      </c>
    </row>
    <row r="51" spans="1:35" x14ac:dyDescent="0.3">
      <c r="A51" s="186" t="s">
        <v>1155</v>
      </c>
      <c r="B51" s="24" t="s">
        <v>1155</v>
      </c>
      <c r="C51" s="156">
        <v>322568</v>
      </c>
      <c r="D51" s="24" t="s">
        <v>53</v>
      </c>
      <c r="E51" s="24" t="s">
        <v>259</v>
      </c>
      <c r="F51" s="156">
        <v>60105</v>
      </c>
      <c r="G51" s="24" t="s">
        <v>1441</v>
      </c>
      <c r="H51" s="24" t="s">
        <v>1370</v>
      </c>
      <c r="I51" s="24" t="s">
        <v>1370</v>
      </c>
      <c r="J51" s="186" t="s">
        <v>1367</v>
      </c>
      <c r="K51" s="16">
        <v>123000</v>
      </c>
      <c r="L51" s="17">
        <v>14211.42</v>
      </c>
      <c r="M51" s="16">
        <v>0</v>
      </c>
      <c r="N51" s="17">
        <v>0</v>
      </c>
      <c r="O51" s="16">
        <v>0</v>
      </c>
      <c r="P51" s="17">
        <v>0</v>
      </c>
      <c r="Q51" s="16">
        <v>0</v>
      </c>
      <c r="R51" s="17">
        <v>0</v>
      </c>
      <c r="S51" s="16">
        <v>0</v>
      </c>
      <c r="T51" s="17">
        <v>0</v>
      </c>
      <c r="U51" s="16">
        <v>0</v>
      </c>
      <c r="V51" s="17">
        <v>0</v>
      </c>
      <c r="W51" s="18">
        <v>123000</v>
      </c>
      <c r="X51" s="17">
        <v>14211.42</v>
      </c>
      <c r="Y51" s="17">
        <v>0</v>
      </c>
      <c r="Z51" s="17">
        <v>18261.89</v>
      </c>
      <c r="AA51" s="17">
        <v>6087.2966666666698</v>
      </c>
      <c r="AB51" s="144">
        <v>70.038084776548303</v>
      </c>
      <c r="AC51" s="8">
        <f t="shared" si="4"/>
        <v>897.9</v>
      </c>
      <c r="AD51" s="11" t="str">
        <f>LEFT(details!E51,5)</f>
        <v>7.300</v>
      </c>
      <c r="AE51" s="42">
        <f t="shared" si="0"/>
        <v>6087.2966666666698</v>
      </c>
      <c r="AF51" s="42">
        <f>VLOOKUP(C51,MC.5!B:P,15,FALSE)/3</f>
        <v>6087.293333333334</v>
      </c>
      <c r="AG51" s="152">
        <f t="shared" si="6"/>
        <v>6087.2966666666698</v>
      </c>
      <c r="AH51" s="137" t="str">
        <f>VLOOKUP(F51,REF!B:C,2,FALSE)</f>
        <v>PE</v>
      </c>
      <c r="AI51" s="3" t="str">
        <f>VLOOKUP(G51,REF!E:F,2,FALSE)</f>
        <v>Closure/Lid/ Handle</v>
      </c>
    </row>
    <row r="52" spans="1:35" x14ac:dyDescent="0.3">
      <c r="A52" s="186" t="s">
        <v>1155</v>
      </c>
      <c r="B52" s="24" t="s">
        <v>1155</v>
      </c>
      <c r="C52" s="156">
        <v>322571</v>
      </c>
      <c r="D52" s="24" t="s">
        <v>2026</v>
      </c>
      <c r="E52" s="24" t="s">
        <v>1412</v>
      </c>
      <c r="F52" s="156">
        <v>60105</v>
      </c>
      <c r="G52" s="24" t="s">
        <v>1441</v>
      </c>
      <c r="H52" s="24" t="s">
        <v>1370</v>
      </c>
      <c r="I52" s="24" t="s">
        <v>1370</v>
      </c>
      <c r="J52" s="186" t="s">
        <v>1367</v>
      </c>
      <c r="K52" s="16">
        <v>16500</v>
      </c>
      <c r="L52" s="17">
        <v>1190.81</v>
      </c>
      <c r="M52" s="16">
        <v>0</v>
      </c>
      <c r="N52" s="17">
        <v>0</v>
      </c>
      <c r="O52" s="16">
        <v>0</v>
      </c>
      <c r="P52" s="17">
        <v>0</v>
      </c>
      <c r="Q52" s="16">
        <v>0</v>
      </c>
      <c r="R52" s="17">
        <v>0</v>
      </c>
      <c r="S52" s="16">
        <v>0</v>
      </c>
      <c r="T52" s="17">
        <v>0</v>
      </c>
      <c r="U52" s="16">
        <v>0</v>
      </c>
      <c r="V52" s="17">
        <v>0</v>
      </c>
      <c r="W52" s="18">
        <v>16500</v>
      </c>
      <c r="X52" s="17">
        <v>1190.81</v>
      </c>
      <c r="Y52" s="17">
        <v>0</v>
      </c>
      <c r="Z52" s="17"/>
      <c r="AA52" s="17"/>
      <c r="AB52" s="144">
        <v>0</v>
      </c>
      <c r="AC52" s="8">
        <f t="shared" si="4"/>
        <v>63.854999999999997</v>
      </c>
      <c r="AD52" s="11" t="str">
        <f>LEFT(details!E52,5)</f>
        <v>3.870</v>
      </c>
      <c r="AE52" s="42">
        <f t="shared" si="0"/>
        <v>0</v>
      </c>
      <c r="AF52" s="42">
        <f>VLOOKUP(C52,MC.5!B:P,15,FALSE)/3</f>
        <v>0</v>
      </c>
      <c r="AG52" s="152">
        <f>AF52</f>
        <v>0</v>
      </c>
      <c r="AH52" s="137" t="str">
        <f>VLOOKUP(F52,REF!B:C,2,FALSE)</f>
        <v>PE</v>
      </c>
      <c r="AI52" s="3" t="str">
        <f>VLOOKUP(G52,REF!E:F,2,FALSE)</f>
        <v>Closure/Lid/ Handle</v>
      </c>
    </row>
    <row r="53" spans="1:35" x14ac:dyDescent="0.3">
      <c r="A53" s="186" t="s">
        <v>1155</v>
      </c>
      <c r="B53" s="24" t="s">
        <v>1155</v>
      </c>
      <c r="C53" s="156">
        <v>322573</v>
      </c>
      <c r="D53" s="24" t="s">
        <v>54</v>
      </c>
      <c r="E53" s="24" t="s">
        <v>273</v>
      </c>
      <c r="F53" s="156">
        <v>60105</v>
      </c>
      <c r="G53" s="24" t="s">
        <v>1441</v>
      </c>
      <c r="H53" s="24" t="s">
        <v>1370</v>
      </c>
      <c r="I53" s="24" t="s">
        <v>1370</v>
      </c>
      <c r="J53" s="186" t="s">
        <v>1367</v>
      </c>
      <c r="K53" s="16">
        <v>39600</v>
      </c>
      <c r="L53" s="17">
        <v>2956.14</v>
      </c>
      <c r="M53" s="16">
        <v>0</v>
      </c>
      <c r="N53" s="17">
        <v>0</v>
      </c>
      <c r="O53" s="16">
        <v>6600</v>
      </c>
      <c r="P53" s="17">
        <v>492.69</v>
      </c>
      <c r="Q53" s="16">
        <v>0</v>
      </c>
      <c r="R53" s="17">
        <v>0</v>
      </c>
      <c r="S53" s="16">
        <v>0</v>
      </c>
      <c r="T53" s="17">
        <v>0</v>
      </c>
      <c r="U53" s="16">
        <v>0</v>
      </c>
      <c r="V53" s="17">
        <v>0</v>
      </c>
      <c r="W53" s="18">
        <v>46200</v>
      </c>
      <c r="X53" s="17">
        <v>3448.83</v>
      </c>
      <c r="Y53" s="17">
        <v>54.75</v>
      </c>
      <c r="Z53" s="17">
        <v>411.17</v>
      </c>
      <c r="AA53" s="17">
        <v>137.05666666666701</v>
      </c>
      <c r="AB53" s="144">
        <v>754.90599995135801</v>
      </c>
      <c r="AC53" s="8">
        <f t="shared" si="4"/>
        <v>173.25</v>
      </c>
      <c r="AD53" s="11" t="str">
        <f>LEFT(details!E53,5)</f>
        <v>3.750</v>
      </c>
      <c r="AE53" s="42">
        <f t="shared" si="0"/>
        <v>137.05666666666701</v>
      </c>
      <c r="AF53" s="42">
        <f>VLOOKUP(C53,MC.5!B:P,15,FALSE)/3</f>
        <v>137.05666666666667</v>
      </c>
      <c r="AG53" s="152">
        <f t="shared" ref="AG45:AG70" si="7">AE53</f>
        <v>137.05666666666701</v>
      </c>
      <c r="AH53" s="137" t="str">
        <f>VLOOKUP(F53,REF!B:C,2,FALSE)</f>
        <v>PE</v>
      </c>
      <c r="AI53" s="3" t="str">
        <f>VLOOKUP(G53,REF!E:F,2,FALSE)</f>
        <v>Closure/Lid/ Handle</v>
      </c>
    </row>
    <row r="54" spans="1:35" x14ac:dyDescent="0.3">
      <c r="A54" s="186" t="s">
        <v>1155</v>
      </c>
      <c r="B54" s="24" t="s">
        <v>1155</v>
      </c>
      <c r="C54" s="156">
        <v>322574</v>
      </c>
      <c r="D54" s="24" t="s">
        <v>283</v>
      </c>
      <c r="E54" s="24" t="s">
        <v>253</v>
      </c>
      <c r="F54" s="156">
        <v>60105</v>
      </c>
      <c r="G54" s="24" t="s">
        <v>1441</v>
      </c>
      <c r="H54" s="24" t="s">
        <v>1370</v>
      </c>
      <c r="I54" s="24" t="s">
        <v>1370</v>
      </c>
      <c r="J54" s="186" t="s">
        <v>1367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>
        <v>49576.160000000003</v>
      </c>
      <c r="AA54" s="17">
        <v>16525.386666666702</v>
      </c>
      <c r="AB54" s="144"/>
      <c r="AC54" s="8">
        <f t="shared" si="4"/>
        <v>0</v>
      </c>
      <c r="AD54" s="11" t="str">
        <f>LEFT(details!E54,5)</f>
        <v>4.700</v>
      </c>
      <c r="AE54" s="42">
        <f t="shared" si="0"/>
        <v>16525.386666666702</v>
      </c>
      <c r="AF54" s="42">
        <f>VLOOKUP(C54,MC.5!B:P,15,FALSE)/3</f>
        <v>17676.046666666665</v>
      </c>
      <c r="AG54" s="152">
        <f t="shared" si="7"/>
        <v>16525.386666666702</v>
      </c>
      <c r="AH54" s="137" t="str">
        <f>VLOOKUP(F54,REF!B:C,2,FALSE)</f>
        <v>PE</v>
      </c>
      <c r="AI54" s="3" t="str">
        <f>VLOOKUP(G54,REF!E:F,2,FALSE)</f>
        <v>Closure/Lid/ Handle</v>
      </c>
    </row>
    <row r="55" spans="1:35" x14ac:dyDescent="0.3">
      <c r="A55" s="186" t="s">
        <v>1155</v>
      </c>
      <c r="B55" s="24" t="s">
        <v>1155</v>
      </c>
      <c r="C55" s="156">
        <v>322580</v>
      </c>
      <c r="D55" s="24" t="s">
        <v>55</v>
      </c>
      <c r="E55" s="24" t="s">
        <v>275</v>
      </c>
      <c r="F55" s="156">
        <v>60105</v>
      </c>
      <c r="G55" s="24" t="s">
        <v>1441</v>
      </c>
      <c r="H55" s="24" t="s">
        <v>1370</v>
      </c>
      <c r="I55" s="24" t="s">
        <v>1370</v>
      </c>
      <c r="J55" s="186" t="s">
        <v>1367</v>
      </c>
      <c r="K55" s="16">
        <v>0</v>
      </c>
      <c r="L55" s="17">
        <v>0</v>
      </c>
      <c r="M55" s="16">
        <v>0</v>
      </c>
      <c r="N55" s="17">
        <v>0</v>
      </c>
      <c r="O55" s="16">
        <v>0</v>
      </c>
      <c r="P55" s="17">
        <v>0</v>
      </c>
      <c r="Q55" s="16">
        <v>24000</v>
      </c>
      <c r="R55" s="17">
        <v>1592.4</v>
      </c>
      <c r="S55" s="16">
        <v>0</v>
      </c>
      <c r="T55" s="17">
        <v>0</v>
      </c>
      <c r="U55" s="16">
        <v>0</v>
      </c>
      <c r="V55" s="17">
        <v>0</v>
      </c>
      <c r="W55" s="18">
        <v>24000</v>
      </c>
      <c r="X55" s="17">
        <v>1592.4</v>
      </c>
      <c r="Y55" s="17">
        <v>1327.11</v>
      </c>
      <c r="Z55" s="17">
        <v>199.04</v>
      </c>
      <c r="AA55" s="17">
        <v>66.346666666666707</v>
      </c>
      <c r="AB55" s="144">
        <v>720.03617363343994</v>
      </c>
      <c r="AC55" s="8">
        <f>(AD55*W55)/1000</f>
        <v>88.8</v>
      </c>
      <c r="AD55" s="11" t="str">
        <f>LEFT(details!E55,5)</f>
        <v>3.700</v>
      </c>
      <c r="AE55" s="42">
        <f t="shared" si="0"/>
        <v>66.346666666666707</v>
      </c>
      <c r="AF55" s="42">
        <f>VLOOKUP(C55,MC.5!B:P,15,FALSE)/3</f>
        <v>66.346666666666664</v>
      </c>
      <c r="AG55" s="152">
        <f t="shared" si="7"/>
        <v>66.346666666666707</v>
      </c>
      <c r="AH55" s="137" t="str">
        <f>VLOOKUP(F55,REF!B:C,2,FALSE)</f>
        <v>PE</v>
      </c>
      <c r="AI55" s="3" t="str">
        <f>VLOOKUP(G55,REF!E:F,2,FALSE)</f>
        <v>Closure/Lid/ Handle</v>
      </c>
    </row>
    <row r="56" spans="1:35" x14ac:dyDescent="0.3">
      <c r="A56" s="186" t="s">
        <v>1155</v>
      </c>
      <c r="B56" s="24" t="s">
        <v>1155</v>
      </c>
      <c r="C56" s="156">
        <v>322581</v>
      </c>
      <c r="D56" s="24" t="s">
        <v>56</v>
      </c>
      <c r="E56" s="24" t="s">
        <v>259</v>
      </c>
      <c r="F56" s="156">
        <v>60105</v>
      </c>
      <c r="G56" s="24" t="s">
        <v>1441</v>
      </c>
      <c r="H56" s="24" t="s">
        <v>1370</v>
      </c>
      <c r="I56" s="24" t="s">
        <v>1370</v>
      </c>
      <c r="J56" s="186" t="s">
        <v>1367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>
        <v>883.34</v>
      </c>
      <c r="AA56" s="17">
        <v>294.446666666667</v>
      </c>
      <c r="AB56" s="144"/>
      <c r="AC56" s="8">
        <f t="shared" si="4"/>
        <v>0</v>
      </c>
      <c r="AD56" s="11" t="str">
        <f>LEFT(details!E56,5)</f>
        <v>7.300</v>
      </c>
      <c r="AE56" s="42">
        <f t="shared" si="0"/>
        <v>294.446666666667</v>
      </c>
      <c r="AF56" s="42">
        <f>VLOOKUP(C56,MC.5!B:P,15,FALSE)/3</f>
        <v>294.44666666666666</v>
      </c>
      <c r="AG56" s="152">
        <f t="shared" si="7"/>
        <v>294.446666666667</v>
      </c>
      <c r="AH56" s="137" t="str">
        <f>VLOOKUP(F56,REF!B:C,2,FALSE)</f>
        <v>PE</v>
      </c>
      <c r="AI56" s="3" t="str">
        <f>VLOOKUP(G56,REF!E:F,2,FALSE)</f>
        <v>Closure/Lid/ Handle</v>
      </c>
    </row>
    <row r="57" spans="1:35" x14ac:dyDescent="0.3">
      <c r="A57" s="186" t="s">
        <v>1155</v>
      </c>
      <c r="B57" s="24" t="s">
        <v>1155</v>
      </c>
      <c r="C57" s="156">
        <v>322583</v>
      </c>
      <c r="D57" s="24" t="s">
        <v>57</v>
      </c>
      <c r="E57" s="24" t="s">
        <v>273</v>
      </c>
      <c r="F57" s="156">
        <v>60105</v>
      </c>
      <c r="G57" s="24" t="s">
        <v>1441</v>
      </c>
      <c r="H57" s="24" t="s">
        <v>1370</v>
      </c>
      <c r="I57" s="24" t="s">
        <v>1370</v>
      </c>
      <c r="J57" s="186" t="s">
        <v>1367</v>
      </c>
      <c r="K57" s="16">
        <v>0</v>
      </c>
      <c r="L57" s="17">
        <v>0</v>
      </c>
      <c r="M57" s="16">
        <v>18700</v>
      </c>
      <c r="N57" s="17">
        <v>1245.6099999999999</v>
      </c>
      <c r="O57" s="16">
        <v>0</v>
      </c>
      <c r="P57" s="17">
        <v>0</v>
      </c>
      <c r="Q57" s="16">
        <v>0</v>
      </c>
      <c r="R57" s="17">
        <v>0</v>
      </c>
      <c r="S57" s="16">
        <v>0</v>
      </c>
      <c r="T57" s="17">
        <v>0</v>
      </c>
      <c r="U57" s="16">
        <v>0</v>
      </c>
      <c r="V57" s="17">
        <v>0</v>
      </c>
      <c r="W57" s="18">
        <v>18700</v>
      </c>
      <c r="X57" s="17">
        <v>1245.6099999999999</v>
      </c>
      <c r="Y57" s="17">
        <v>0</v>
      </c>
      <c r="Z57" s="17">
        <v>219.81</v>
      </c>
      <c r="AA57" s="17">
        <v>73.27</v>
      </c>
      <c r="AB57" s="144">
        <v>510.00818889040499</v>
      </c>
      <c r="AC57" s="8">
        <f t="shared" si="4"/>
        <v>70.125</v>
      </c>
      <c r="AD57" s="11" t="str">
        <f>LEFT(details!E57,5)</f>
        <v>3.750</v>
      </c>
      <c r="AE57" s="42">
        <f t="shared" si="0"/>
        <v>73.27</v>
      </c>
      <c r="AF57" s="42">
        <f>VLOOKUP(C57,MC.5!B:P,15,FALSE)/3</f>
        <v>73.27</v>
      </c>
      <c r="AG57" s="152">
        <f t="shared" si="7"/>
        <v>73.27</v>
      </c>
      <c r="AH57" s="137" t="str">
        <f>VLOOKUP(F57,REF!B:C,2,FALSE)</f>
        <v>PE</v>
      </c>
      <c r="AI57" s="3" t="str">
        <f>VLOOKUP(G57,REF!E:F,2,FALSE)</f>
        <v>Closure/Lid/ Handle</v>
      </c>
    </row>
    <row r="58" spans="1:35" x14ac:dyDescent="0.3">
      <c r="A58" s="186" t="s">
        <v>1155</v>
      </c>
      <c r="B58" s="24" t="s">
        <v>1155</v>
      </c>
      <c r="C58" s="156">
        <v>322593</v>
      </c>
      <c r="D58" s="24" t="s">
        <v>324</v>
      </c>
      <c r="E58" s="24" t="s">
        <v>52</v>
      </c>
      <c r="F58" s="156">
        <v>60105</v>
      </c>
      <c r="G58" s="24" t="s">
        <v>1441</v>
      </c>
      <c r="H58" s="24" t="s">
        <v>1370</v>
      </c>
      <c r="I58" s="24" t="s">
        <v>1370</v>
      </c>
      <c r="J58" s="186" t="s">
        <v>1367</v>
      </c>
      <c r="K58" s="16">
        <v>0</v>
      </c>
      <c r="L58" s="17">
        <v>0</v>
      </c>
      <c r="M58" s="16">
        <v>0</v>
      </c>
      <c r="N58" s="17">
        <v>0</v>
      </c>
      <c r="O58" s="16">
        <v>0</v>
      </c>
      <c r="P58" s="17">
        <v>0</v>
      </c>
      <c r="Q58" s="16">
        <v>0</v>
      </c>
      <c r="R58" s="17">
        <v>0</v>
      </c>
      <c r="S58" s="16">
        <v>15900</v>
      </c>
      <c r="T58" s="17">
        <v>159</v>
      </c>
      <c r="U58" s="16">
        <v>0</v>
      </c>
      <c r="V58" s="17">
        <v>0</v>
      </c>
      <c r="W58" s="18">
        <v>15900</v>
      </c>
      <c r="X58" s="17">
        <v>159</v>
      </c>
      <c r="Y58" s="17">
        <v>159</v>
      </c>
      <c r="Z58" s="17"/>
      <c r="AA58" s="17"/>
      <c r="AB58" s="144">
        <v>0</v>
      </c>
      <c r="AC58" s="8">
        <f t="shared" si="4"/>
        <v>52.47</v>
      </c>
      <c r="AD58" s="11" t="str">
        <f>LEFT(details!E58,5)</f>
        <v>3.300</v>
      </c>
      <c r="AE58" s="42">
        <f t="shared" si="0"/>
        <v>0</v>
      </c>
      <c r="AF58" s="42">
        <f>VLOOKUP(C58,MC.5!B:P,15,FALSE)/3</f>
        <v>0</v>
      </c>
      <c r="AG58" s="152">
        <f>AF58</f>
        <v>0</v>
      </c>
      <c r="AH58" s="137" t="str">
        <f>VLOOKUP(F58,REF!B:C,2,FALSE)</f>
        <v>PE</v>
      </c>
      <c r="AI58" s="3" t="str">
        <f>VLOOKUP(G58,REF!E:F,2,FALSE)</f>
        <v>Closure/Lid/ Handle</v>
      </c>
    </row>
    <row r="59" spans="1:35" x14ac:dyDescent="0.3">
      <c r="A59" s="186" t="s">
        <v>1155</v>
      </c>
      <c r="B59" s="24" t="s">
        <v>1155</v>
      </c>
      <c r="C59" s="156">
        <v>322595</v>
      </c>
      <c r="D59" s="24" t="s">
        <v>58</v>
      </c>
      <c r="E59" s="24" t="s">
        <v>274</v>
      </c>
      <c r="F59" s="156">
        <v>60106</v>
      </c>
      <c r="G59" s="24" t="s">
        <v>1440</v>
      </c>
      <c r="H59" s="24" t="s">
        <v>1369</v>
      </c>
      <c r="I59" s="24" t="s">
        <v>1369</v>
      </c>
      <c r="J59" s="186" t="s">
        <v>1367</v>
      </c>
      <c r="K59" s="16">
        <v>46200</v>
      </c>
      <c r="L59" s="17">
        <v>3736.66</v>
      </c>
      <c r="M59" s="16">
        <v>0</v>
      </c>
      <c r="N59" s="17">
        <v>0</v>
      </c>
      <c r="O59" s="16">
        <v>0</v>
      </c>
      <c r="P59" s="17">
        <v>0</v>
      </c>
      <c r="Q59" s="16">
        <v>0</v>
      </c>
      <c r="R59" s="17">
        <v>0</v>
      </c>
      <c r="S59" s="16">
        <v>0</v>
      </c>
      <c r="T59" s="17">
        <v>0</v>
      </c>
      <c r="U59" s="16">
        <v>0</v>
      </c>
      <c r="V59" s="17">
        <v>0</v>
      </c>
      <c r="W59" s="18">
        <v>46200</v>
      </c>
      <c r="X59" s="17">
        <v>3736.66</v>
      </c>
      <c r="Y59" s="17">
        <v>0</v>
      </c>
      <c r="Z59" s="17">
        <v>10226.459999999999</v>
      </c>
      <c r="AA59" s="17">
        <v>3408.82</v>
      </c>
      <c r="AB59" s="144">
        <v>32.885221278917598</v>
      </c>
      <c r="AC59" s="8">
        <f t="shared" si="4"/>
        <v>224.06999999999996</v>
      </c>
      <c r="AD59" s="11" t="str">
        <f>LEFT(details!E59,5)</f>
        <v>4.850</v>
      </c>
      <c r="AE59" s="42">
        <f t="shared" si="0"/>
        <v>3408.82</v>
      </c>
      <c r="AF59" s="42">
        <f>VLOOKUP(C59,MC.5!B:P,15,FALSE)/3</f>
        <v>3408.8166666666671</v>
      </c>
      <c r="AG59" s="152">
        <f t="shared" si="7"/>
        <v>3408.82</v>
      </c>
      <c r="AH59" s="137" t="str">
        <f>VLOOKUP(F59,REF!B:C,2,FALSE)</f>
        <v>PP</v>
      </c>
      <c r="AI59" s="3" t="str">
        <f>VLOOKUP(G59,REF!E:F,2,FALSE)</f>
        <v>Closure/Lid/ Handle</v>
      </c>
    </row>
    <row r="60" spans="1:35" x14ac:dyDescent="0.3">
      <c r="A60" s="186" t="s">
        <v>1155</v>
      </c>
      <c r="B60" s="24" t="s">
        <v>1155</v>
      </c>
      <c r="C60" s="156">
        <v>322597</v>
      </c>
      <c r="D60" s="24" t="s">
        <v>315</v>
      </c>
      <c r="E60" s="24" t="s">
        <v>274</v>
      </c>
      <c r="F60" s="156">
        <v>60106</v>
      </c>
      <c r="G60" s="24" t="s">
        <v>1440</v>
      </c>
      <c r="H60" s="24" t="s">
        <v>1369</v>
      </c>
      <c r="I60" s="24" t="s">
        <v>1369</v>
      </c>
      <c r="J60" s="186" t="s">
        <v>1367</v>
      </c>
      <c r="K60" s="16">
        <v>46200</v>
      </c>
      <c r="L60" s="17">
        <v>4034.18</v>
      </c>
      <c r="M60" s="16">
        <v>0</v>
      </c>
      <c r="N60" s="17">
        <v>0</v>
      </c>
      <c r="O60" s="16">
        <v>0</v>
      </c>
      <c r="P60" s="17">
        <v>0</v>
      </c>
      <c r="Q60" s="16">
        <v>0</v>
      </c>
      <c r="R60" s="17">
        <v>0</v>
      </c>
      <c r="S60" s="16">
        <v>0</v>
      </c>
      <c r="T60" s="17">
        <v>0</v>
      </c>
      <c r="U60" s="16">
        <v>0</v>
      </c>
      <c r="V60" s="17">
        <v>0</v>
      </c>
      <c r="W60" s="18">
        <v>46200</v>
      </c>
      <c r="X60" s="17">
        <v>4034.18</v>
      </c>
      <c r="Y60" s="17">
        <v>0</v>
      </c>
      <c r="Z60" s="17">
        <v>7718.67</v>
      </c>
      <c r="AA60" s="17">
        <v>2572.89</v>
      </c>
      <c r="AB60" s="144">
        <v>47.038699672352898</v>
      </c>
      <c r="AC60" s="8">
        <f t="shared" si="4"/>
        <v>224.06999999999996</v>
      </c>
      <c r="AD60" s="11" t="str">
        <f>LEFT(details!E60,5)</f>
        <v>4.850</v>
      </c>
      <c r="AE60" s="42">
        <f t="shared" si="0"/>
        <v>2572.89</v>
      </c>
      <c r="AF60" s="42">
        <f>VLOOKUP(C60,MC.5!B:P,15,FALSE)/3</f>
        <v>2572.89</v>
      </c>
      <c r="AG60" s="152">
        <f t="shared" si="7"/>
        <v>2572.89</v>
      </c>
      <c r="AH60" s="137" t="str">
        <f>VLOOKUP(F60,REF!B:C,2,FALSE)</f>
        <v>PP</v>
      </c>
      <c r="AI60" s="3" t="str">
        <f>VLOOKUP(G60,REF!E:F,2,FALSE)</f>
        <v>Closure/Lid/ Handle</v>
      </c>
    </row>
    <row r="61" spans="1:35" x14ac:dyDescent="0.3">
      <c r="A61" s="186" t="s">
        <v>1155</v>
      </c>
      <c r="B61" s="24" t="s">
        <v>1155</v>
      </c>
      <c r="C61" s="156">
        <v>322605</v>
      </c>
      <c r="D61" s="24" t="s">
        <v>59</v>
      </c>
      <c r="E61" s="24" t="s">
        <v>274</v>
      </c>
      <c r="F61" s="156">
        <v>60106</v>
      </c>
      <c r="G61" s="24" t="s">
        <v>1440</v>
      </c>
      <c r="H61" s="24" t="s">
        <v>1369</v>
      </c>
      <c r="I61" s="24" t="s">
        <v>1369</v>
      </c>
      <c r="J61" s="186" t="s">
        <v>1367</v>
      </c>
      <c r="K61" s="16">
        <v>15400</v>
      </c>
      <c r="L61" s="17">
        <v>1120.5</v>
      </c>
      <c r="M61" s="16">
        <v>0</v>
      </c>
      <c r="N61" s="17">
        <v>0</v>
      </c>
      <c r="O61" s="16">
        <v>0</v>
      </c>
      <c r="P61" s="17">
        <v>0</v>
      </c>
      <c r="Q61" s="16">
        <v>0</v>
      </c>
      <c r="R61" s="17">
        <v>0</v>
      </c>
      <c r="S61" s="16">
        <v>0</v>
      </c>
      <c r="T61" s="17">
        <v>0</v>
      </c>
      <c r="U61" s="16">
        <v>0</v>
      </c>
      <c r="V61" s="17">
        <v>0</v>
      </c>
      <c r="W61" s="18">
        <v>15400</v>
      </c>
      <c r="X61" s="17">
        <v>1120.5</v>
      </c>
      <c r="Y61" s="17">
        <v>0</v>
      </c>
      <c r="Z61" s="17">
        <v>4510.53</v>
      </c>
      <c r="AA61" s="17">
        <v>1503.51</v>
      </c>
      <c r="AB61" s="144">
        <v>22.357683021729201</v>
      </c>
      <c r="AC61" s="8">
        <f t="shared" si="4"/>
        <v>74.69</v>
      </c>
      <c r="AD61" s="11" t="str">
        <f>LEFT(details!E61,5)</f>
        <v>4.850</v>
      </c>
      <c r="AE61" s="42">
        <f t="shared" si="0"/>
        <v>1503.51</v>
      </c>
      <c r="AF61" s="42">
        <f>VLOOKUP(C61,MC.5!B:P,15,FALSE)/3</f>
        <v>1503.51</v>
      </c>
      <c r="AG61" s="152">
        <f t="shared" si="7"/>
        <v>1503.51</v>
      </c>
      <c r="AH61" s="137" t="str">
        <f>VLOOKUP(F61,REF!B:C,2,FALSE)</f>
        <v>PP</v>
      </c>
      <c r="AI61" s="3" t="str">
        <f>VLOOKUP(G61,REF!E:F,2,FALSE)</f>
        <v>Closure/Lid/ Handle</v>
      </c>
    </row>
    <row r="62" spans="1:35" x14ac:dyDescent="0.3">
      <c r="A62" s="186" t="s">
        <v>1155</v>
      </c>
      <c r="B62" s="24" t="s">
        <v>1155</v>
      </c>
      <c r="C62" s="156">
        <v>322614</v>
      </c>
      <c r="D62" s="24" t="s">
        <v>60</v>
      </c>
      <c r="E62" s="24" t="s">
        <v>275</v>
      </c>
      <c r="F62" s="156">
        <v>60105</v>
      </c>
      <c r="G62" s="24" t="s">
        <v>1441</v>
      </c>
      <c r="H62" s="24" t="s">
        <v>1370</v>
      </c>
      <c r="I62" s="24" t="s">
        <v>1370</v>
      </c>
      <c r="J62" s="186" t="s">
        <v>1367</v>
      </c>
      <c r="K62" s="16">
        <v>57000</v>
      </c>
      <c r="L62" s="17">
        <v>4235.1000000000004</v>
      </c>
      <c r="M62" s="16">
        <v>0</v>
      </c>
      <c r="N62" s="17">
        <v>0</v>
      </c>
      <c r="O62" s="16">
        <v>0</v>
      </c>
      <c r="P62" s="17">
        <v>0</v>
      </c>
      <c r="Q62" s="16">
        <v>0</v>
      </c>
      <c r="R62" s="17">
        <v>0</v>
      </c>
      <c r="S62" s="16">
        <v>0</v>
      </c>
      <c r="T62" s="17">
        <v>0</v>
      </c>
      <c r="U62" s="16">
        <v>0</v>
      </c>
      <c r="V62" s="17">
        <v>0</v>
      </c>
      <c r="W62" s="18">
        <v>57000</v>
      </c>
      <c r="X62" s="17">
        <v>4235.1000000000004</v>
      </c>
      <c r="Y62" s="17">
        <v>0</v>
      </c>
      <c r="Z62" s="17">
        <v>5453.75</v>
      </c>
      <c r="AA62" s="17">
        <v>1817.9166666666699</v>
      </c>
      <c r="AB62" s="144">
        <v>69.889342195736901</v>
      </c>
      <c r="AC62" s="8">
        <f t="shared" si="4"/>
        <v>210.9</v>
      </c>
      <c r="AD62" s="11" t="str">
        <f>LEFT(details!E62,5)</f>
        <v>3.700</v>
      </c>
      <c r="AE62" s="42">
        <f t="shared" si="0"/>
        <v>1817.9166666666699</v>
      </c>
      <c r="AF62" s="42">
        <f>VLOOKUP(C62,MC.5!B:P,15,FALSE)/3</f>
        <v>1817.9166666666667</v>
      </c>
      <c r="AG62" s="152">
        <f t="shared" si="7"/>
        <v>1817.9166666666699</v>
      </c>
      <c r="AH62" s="137" t="str">
        <f>VLOOKUP(F62,REF!B:C,2,FALSE)</f>
        <v>PE</v>
      </c>
      <c r="AI62" s="3" t="str">
        <f>VLOOKUP(G62,REF!E:F,2,FALSE)</f>
        <v>Closure/Lid/ Handle</v>
      </c>
    </row>
    <row r="63" spans="1:35" x14ac:dyDescent="0.3">
      <c r="A63" s="186" t="s">
        <v>1155</v>
      </c>
      <c r="B63" s="24" t="s">
        <v>1155</v>
      </c>
      <c r="C63" s="156">
        <v>322617</v>
      </c>
      <c r="D63" s="24" t="s">
        <v>61</v>
      </c>
      <c r="E63" s="24" t="s">
        <v>259</v>
      </c>
      <c r="F63" s="156">
        <v>60105</v>
      </c>
      <c r="G63" s="24" t="s">
        <v>1441</v>
      </c>
      <c r="H63" s="24" t="s">
        <v>1370</v>
      </c>
      <c r="I63" s="24" t="s">
        <v>1370</v>
      </c>
      <c r="J63" s="186" t="s">
        <v>1367</v>
      </c>
      <c r="K63" s="16">
        <v>1500</v>
      </c>
      <c r="L63" s="17">
        <v>188.41</v>
      </c>
      <c r="M63" s="16">
        <v>0</v>
      </c>
      <c r="N63" s="17">
        <v>0</v>
      </c>
      <c r="O63" s="16">
        <v>0</v>
      </c>
      <c r="P63" s="17">
        <v>0</v>
      </c>
      <c r="Q63" s="16">
        <v>0</v>
      </c>
      <c r="R63" s="17">
        <v>0</v>
      </c>
      <c r="S63" s="16">
        <v>0</v>
      </c>
      <c r="T63" s="17">
        <v>0</v>
      </c>
      <c r="U63" s="16">
        <v>0</v>
      </c>
      <c r="V63" s="17">
        <v>0</v>
      </c>
      <c r="W63" s="18">
        <v>1500</v>
      </c>
      <c r="X63" s="17">
        <v>188.41</v>
      </c>
      <c r="Y63" s="17">
        <v>0</v>
      </c>
      <c r="Z63" s="17">
        <v>15666.62</v>
      </c>
      <c r="AA63" s="17">
        <v>5222.2066666666697</v>
      </c>
      <c r="AB63" s="144">
        <v>1.0823585431956599</v>
      </c>
      <c r="AC63" s="8">
        <f t="shared" si="4"/>
        <v>10.95</v>
      </c>
      <c r="AD63" s="11" t="str">
        <f>LEFT(details!E63,5)</f>
        <v>7.300</v>
      </c>
      <c r="AE63" s="42">
        <f t="shared" si="0"/>
        <v>5222.2066666666697</v>
      </c>
      <c r="AF63" s="42">
        <f>VLOOKUP(C63,MC.5!B:P,15,FALSE)/3</f>
        <v>5238.7366666666667</v>
      </c>
      <c r="AG63" s="152">
        <f t="shared" si="7"/>
        <v>5222.2066666666697</v>
      </c>
      <c r="AH63" s="137" t="str">
        <f>VLOOKUP(F63,REF!B:C,2,FALSE)</f>
        <v>PE</v>
      </c>
      <c r="AI63" s="3" t="str">
        <f>VLOOKUP(G63,REF!E:F,2,FALSE)</f>
        <v>Closure/Lid/ Handle</v>
      </c>
    </row>
    <row r="64" spans="1:35" x14ac:dyDescent="0.3">
      <c r="A64" s="186" t="s">
        <v>1155</v>
      </c>
      <c r="B64" s="24" t="s">
        <v>1155</v>
      </c>
      <c r="C64" s="156">
        <v>322620</v>
      </c>
      <c r="D64" s="24" t="s">
        <v>1282</v>
      </c>
      <c r="E64" s="24" t="s">
        <v>273</v>
      </c>
      <c r="F64" s="156">
        <v>60105</v>
      </c>
      <c r="G64" s="24" t="s">
        <v>1441</v>
      </c>
      <c r="H64" s="24" t="s">
        <v>1370</v>
      </c>
      <c r="I64" s="24" t="s">
        <v>1370</v>
      </c>
      <c r="J64" s="186" t="s">
        <v>1367</v>
      </c>
      <c r="K64" s="16">
        <v>0</v>
      </c>
      <c r="L64" s="17">
        <v>0</v>
      </c>
      <c r="M64" s="16">
        <v>9900</v>
      </c>
      <c r="N64" s="17">
        <v>639.84</v>
      </c>
      <c r="O64" s="16">
        <v>0</v>
      </c>
      <c r="P64" s="17">
        <v>0</v>
      </c>
      <c r="Q64" s="16">
        <v>0</v>
      </c>
      <c r="R64" s="17">
        <v>0</v>
      </c>
      <c r="S64" s="16">
        <v>0</v>
      </c>
      <c r="T64" s="17">
        <v>0</v>
      </c>
      <c r="U64" s="16">
        <v>0</v>
      </c>
      <c r="V64" s="17">
        <v>0</v>
      </c>
      <c r="W64" s="18">
        <v>9900</v>
      </c>
      <c r="X64" s="17">
        <v>639.84</v>
      </c>
      <c r="Y64" s="17">
        <v>0</v>
      </c>
      <c r="Z64" s="17">
        <v>355.47</v>
      </c>
      <c r="AA64" s="17">
        <v>118.49</v>
      </c>
      <c r="AB64" s="144">
        <v>161.99848088446299</v>
      </c>
      <c r="AC64" s="8">
        <f t="shared" si="4"/>
        <v>37.125</v>
      </c>
      <c r="AD64" s="11" t="str">
        <f>LEFT(details!E64,5)</f>
        <v>3.750</v>
      </c>
      <c r="AE64" s="42">
        <f t="shared" si="0"/>
        <v>118.49</v>
      </c>
      <c r="AF64" s="42">
        <f>VLOOKUP(C64,MC.5!B:P,15,FALSE)/3</f>
        <v>118.49000000000001</v>
      </c>
      <c r="AG64" s="152">
        <f t="shared" si="7"/>
        <v>118.49</v>
      </c>
      <c r="AH64" s="137" t="str">
        <f>VLOOKUP(F64,REF!B:C,2,FALSE)</f>
        <v>PE</v>
      </c>
      <c r="AI64" s="3" t="str">
        <f>VLOOKUP(G64,REF!E:F,2,FALSE)</f>
        <v>Closure/Lid/ Handle</v>
      </c>
    </row>
    <row r="65" spans="1:35" x14ac:dyDescent="0.3">
      <c r="A65" s="186" t="s">
        <v>1155</v>
      </c>
      <c r="B65" s="24" t="s">
        <v>1155</v>
      </c>
      <c r="C65" s="156">
        <v>322623</v>
      </c>
      <c r="D65" s="24" t="s">
        <v>1558</v>
      </c>
      <c r="E65" s="24" t="s">
        <v>1559</v>
      </c>
      <c r="F65" s="156">
        <v>60105</v>
      </c>
      <c r="G65" s="24" t="s">
        <v>1441</v>
      </c>
      <c r="H65" s="24" t="s">
        <v>1370</v>
      </c>
      <c r="I65" s="24" t="s">
        <v>1370</v>
      </c>
      <c r="J65" s="186" t="s">
        <v>1367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>
        <v>3170.59</v>
      </c>
      <c r="AA65" s="17">
        <v>1056.86333333333</v>
      </c>
      <c r="AB65" s="144"/>
      <c r="AC65" s="8">
        <f t="shared" si="4"/>
        <v>0</v>
      </c>
      <c r="AD65" s="11" t="str">
        <f>LEFT(details!E65,5)</f>
        <v>48.26</v>
      </c>
      <c r="AE65" s="42">
        <f t="shared" si="0"/>
        <v>1056.86333333333</v>
      </c>
      <c r="AF65" s="42">
        <f>VLOOKUP(C65,MC.5!B:P,15,FALSE)/3</f>
        <v>1056.8633333333335</v>
      </c>
      <c r="AG65" s="152">
        <f t="shared" si="7"/>
        <v>1056.86333333333</v>
      </c>
      <c r="AH65" s="137" t="str">
        <f>VLOOKUP(F65,REF!B:C,2,FALSE)</f>
        <v>PE</v>
      </c>
      <c r="AI65" s="3" t="str">
        <f>VLOOKUP(G65,REF!E:F,2,FALSE)</f>
        <v>Closure/Lid/ Handle</v>
      </c>
    </row>
    <row r="66" spans="1:35" x14ac:dyDescent="0.3">
      <c r="A66" s="186" t="s">
        <v>1155</v>
      </c>
      <c r="B66" s="24" t="s">
        <v>1155</v>
      </c>
      <c r="C66" s="156">
        <v>322632</v>
      </c>
      <c r="D66" s="24" t="s">
        <v>62</v>
      </c>
      <c r="E66" s="24" t="s">
        <v>259</v>
      </c>
      <c r="F66" s="156">
        <v>60105</v>
      </c>
      <c r="G66" s="24" t="s">
        <v>1441</v>
      </c>
      <c r="H66" s="24" t="s">
        <v>1370</v>
      </c>
      <c r="I66" s="24" t="s">
        <v>1370</v>
      </c>
      <c r="J66" s="186" t="s">
        <v>1367</v>
      </c>
      <c r="K66" s="16">
        <v>24000</v>
      </c>
      <c r="L66" s="17">
        <v>2956.8</v>
      </c>
      <c r="M66" s="16">
        <v>0</v>
      </c>
      <c r="N66" s="17">
        <v>0</v>
      </c>
      <c r="O66" s="16">
        <v>0</v>
      </c>
      <c r="P66" s="17">
        <v>0</v>
      </c>
      <c r="Q66" s="16">
        <v>0</v>
      </c>
      <c r="R66" s="17">
        <v>0</v>
      </c>
      <c r="S66" s="16">
        <v>0</v>
      </c>
      <c r="T66" s="17">
        <v>0</v>
      </c>
      <c r="U66" s="16">
        <v>0</v>
      </c>
      <c r="V66" s="17">
        <v>0</v>
      </c>
      <c r="W66" s="18">
        <v>24000</v>
      </c>
      <c r="X66" s="17">
        <v>2956.8</v>
      </c>
      <c r="Y66" s="17">
        <v>0</v>
      </c>
      <c r="Z66" s="17">
        <v>26010.01</v>
      </c>
      <c r="AA66" s="17">
        <v>8670.0033333333395</v>
      </c>
      <c r="AB66" s="144">
        <v>10.231137934972001</v>
      </c>
      <c r="AC66" s="8">
        <f>(AD66*W66)/1000</f>
        <v>175.2</v>
      </c>
      <c r="AD66" s="11" t="str">
        <f>LEFT(details!E66,5)</f>
        <v>7.300</v>
      </c>
      <c r="AE66" s="42">
        <f t="shared" si="0"/>
        <v>8670.0033333333395</v>
      </c>
      <c r="AF66" s="42">
        <f>VLOOKUP(C66,MC.5!B:P,15,FALSE)/3</f>
        <v>8670.0033333333322</v>
      </c>
      <c r="AG66" s="152">
        <f t="shared" si="7"/>
        <v>8670.0033333333395</v>
      </c>
      <c r="AH66" s="137" t="str">
        <f>VLOOKUP(F66,REF!B:C,2,FALSE)</f>
        <v>PE</v>
      </c>
      <c r="AI66" s="3" t="str">
        <f>VLOOKUP(G66,REF!E:F,2,FALSE)</f>
        <v>Closure/Lid/ Handle</v>
      </c>
    </row>
    <row r="67" spans="1:35" x14ac:dyDescent="0.3">
      <c r="A67" s="186" t="s">
        <v>1155</v>
      </c>
      <c r="B67" s="24" t="s">
        <v>1155</v>
      </c>
      <c r="C67" s="156">
        <v>322635</v>
      </c>
      <c r="D67" s="24" t="s">
        <v>63</v>
      </c>
      <c r="E67" s="24" t="s">
        <v>259</v>
      </c>
      <c r="F67" s="156">
        <v>60105</v>
      </c>
      <c r="G67" s="24" t="s">
        <v>1441</v>
      </c>
      <c r="H67" s="24" t="s">
        <v>1370</v>
      </c>
      <c r="I67" s="24" t="s">
        <v>1370</v>
      </c>
      <c r="J67" s="186" t="s">
        <v>1367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>
        <v>2218.4699999999998</v>
      </c>
      <c r="AA67" s="17">
        <v>739.49</v>
      </c>
      <c r="AB67" s="144"/>
      <c r="AC67" s="8">
        <f t="shared" si="4"/>
        <v>0</v>
      </c>
      <c r="AD67" s="11" t="str">
        <f>LEFT(details!E67,5)</f>
        <v>7.300</v>
      </c>
      <c r="AE67" s="42">
        <f t="shared" si="0"/>
        <v>739.49</v>
      </c>
      <c r="AF67" s="42">
        <f>VLOOKUP(C67,MC.5!B:P,15,FALSE)/3</f>
        <v>739.4899999999999</v>
      </c>
      <c r="AG67" s="152">
        <f t="shared" si="7"/>
        <v>739.49</v>
      </c>
      <c r="AH67" s="137" t="str">
        <f>VLOOKUP(F67,REF!B:C,2,FALSE)</f>
        <v>PE</v>
      </c>
      <c r="AI67" s="3" t="str">
        <f>VLOOKUP(G67,REF!E:F,2,FALSE)</f>
        <v>Closure/Lid/ Handle</v>
      </c>
    </row>
    <row r="68" spans="1:35" x14ac:dyDescent="0.3">
      <c r="A68" s="186" t="s">
        <v>1155</v>
      </c>
      <c r="B68" s="24" t="s">
        <v>1155</v>
      </c>
      <c r="C68" s="156">
        <v>322639</v>
      </c>
      <c r="D68" s="24" t="s">
        <v>64</v>
      </c>
      <c r="E68" s="24" t="s">
        <v>275</v>
      </c>
      <c r="F68" s="156">
        <v>60105</v>
      </c>
      <c r="G68" s="24" t="s">
        <v>1441</v>
      </c>
      <c r="H68" s="24" t="s">
        <v>1370</v>
      </c>
      <c r="I68" s="24" t="s">
        <v>1370</v>
      </c>
      <c r="J68" s="186" t="s">
        <v>1367</v>
      </c>
      <c r="K68" s="16">
        <v>31500</v>
      </c>
      <c r="L68" s="17">
        <v>1935.99</v>
      </c>
      <c r="M68" s="16">
        <v>0</v>
      </c>
      <c r="N68" s="17">
        <v>0</v>
      </c>
      <c r="O68" s="16">
        <v>0</v>
      </c>
      <c r="P68" s="17">
        <v>0</v>
      </c>
      <c r="Q68" s="16">
        <v>0</v>
      </c>
      <c r="R68" s="17">
        <v>0</v>
      </c>
      <c r="S68" s="16">
        <v>0</v>
      </c>
      <c r="T68" s="17">
        <v>0</v>
      </c>
      <c r="U68" s="16">
        <v>0</v>
      </c>
      <c r="V68" s="17">
        <v>0</v>
      </c>
      <c r="W68" s="18">
        <v>31500</v>
      </c>
      <c r="X68" s="17">
        <v>1935.99</v>
      </c>
      <c r="Y68" s="17">
        <v>0</v>
      </c>
      <c r="Z68" s="17">
        <v>3318.67</v>
      </c>
      <c r="AA68" s="17">
        <v>1106.2233333333299</v>
      </c>
      <c r="AB68" s="144">
        <v>52.502689330364298</v>
      </c>
      <c r="AC68" s="8">
        <f t="shared" si="4"/>
        <v>116.55</v>
      </c>
      <c r="AD68" s="11" t="str">
        <f>LEFT(details!E68,5)</f>
        <v>3.700</v>
      </c>
      <c r="AE68" s="42">
        <f t="shared" si="0"/>
        <v>1106.2233333333299</v>
      </c>
      <c r="AF68" s="42">
        <f>VLOOKUP(C68,MC.5!B:P,15,FALSE)/3</f>
        <v>1136.9533333333334</v>
      </c>
      <c r="AG68" s="152">
        <f t="shared" si="7"/>
        <v>1106.2233333333299</v>
      </c>
      <c r="AH68" s="137" t="str">
        <f>VLOOKUP(F68,REF!B:C,2,FALSE)</f>
        <v>PE</v>
      </c>
      <c r="AI68" s="3" t="str">
        <f>VLOOKUP(G68,REF!E:F,2,FALSE)</f>
        <v>Closure/Lid/ Handle</v>
      </c>
    </row>
    <row r="69" spans="1:35" x14ac:dyDescent="0.3">
      <c r="A69" s="186" t="s">
        <v>1155</v>
      </c>
      <c r="B69" s="24" t="s">
        <v>1155</v>
      </c>
      <c r="C69" s="156">
        <v>322640</v>
      </c>
      <c r="D69" s="24" t="s">
        <v>65</v>
      </c>
      <c r="E69" s="24" t="s">
        <v>259</v>
      </c>
      <c r="F69" s="156">
        <v>60105</v>
      </c>
      <c r="G69" s="24" t="s">
        <v>1441</v>
      </c>
      <c r="H69" s="24" t="s">
        <v>1370</v>
      </c>
      <c r="I69" s="24" t="s">
        <v>1370</v>
      </c>
      <c r="J69" s="186" t="s">
        <v>1367</v>
      </c>
      <c r="K69" s="16">
        <v>36500</v>
      </c>
      <c r="L69" s="17">
        <v>4459.57</v>
      </c>
      <c r="M69" s="16">
        <v>0</v>
      </c>
      <c r="N69" s="17">
        <v>0</v>
      </c>
      <c r="O69" s="16">
        <v>0</v>
      </c>
      <c r="P69" s="17">
        <v>0</v>
      </c>
      <c r="Q69" s="16">
        <v>0</v>
      </c>
      <c r="R69" s="17">
        <v>0</v>
      </c>
      <c r="S69" s="16">
        <v>0</v>
      </c>
      <c r="T69" s="17">
        <v>0</v>
      </c>
      <c r="U69" s="16">
        <v>0</v>
      </c>
      <c r="V69" s="17">
        <v>0</v>
      </c>
      <c r="W69" s="18">
        <v>36500</v>
      </c>
      <c r="X69" s="17">
        <v>4459.57</v>
      </c>
      <c r="Y69" s="17">
        <v>0</v>
      </c>
      <c r="Z69" s="17">
        <v>4227.8999999999996</v>
      </c>
      <c r="AA69" s="17">
        <v>1409.3</v>
      </c>
      <c r="AB69" s="144">
        <v>94.931597246860207</v>
      </c>
      <c r="AC69" s="8">
        <f t="shared" si="4"/>
        <v>266.45</v>
      </c>
      <c r="AD69" s="11" t="str">
        <f>LEFT(details!E69,5)</f>
        <v>7.300</v>
      </c>
      <c r="AE69" s="42">
        <f t="shared" si="0"/>
        <v>1409.3</v>
      </c>
      <c r="AF69" s="42">
        <f>VLOOKUP(C69,MC.5!B:P,15,FALSE)/3</f>
        <v>1409.3</v>
      </c>
      <c r="AG69" s="152">
        <f t="shared" si="7"/>
        <v>1409.3</v>
      </c>
      <c r="AH69" s="137" t="str">
        <f>VLOOKUP(F69,REF!B:C,2,FALSE)</f>
        <v>PE</v>
      </c>
      <c r="AI69" s="3" t="str">
        <f>VLOOKUP(G69,REF!E:F,2,FALSE)</f>
        <v>Closure/Lid/ Handle</v>
      </c>
    </row>
    <row r="70" spans="1:35" x14ac:dyDescent="0.3">
      <c r="A70" s="186" t="s">
        <v>1155</v>
      </c>
      <c r="B70" s="24" t="s">
        <v>1155</v>
      </c>
      <c r="C70" s="156">
        <v>322643</v>
      </c>
      <c r="D70" s="24" t="s">
        <v>239</v>
      </c>
      <c r="E70" s="24" t="s">
        <v>273</v>
      </c>
      <c r="F70" s="156">
        <v>60105</v>
      </c>
      <c r="G70" s="24" t="s">
        <v>1441</v>
      </c>
      <c r="H70" s="24" t="s">
        <v>1370</v>
      </c>
      <c r="I70" s="24" t="s">
        <v>1370</v>
      </c>
      <c r="J70" s="186" t="s">
        <v>1367</v>
      </c>
      <c r="K70" s="16">
        <v>114400</v>
      </c>
      <c r="L70" s="17">
        <v>6998.99</v>
      </c>
      <c r="M70" s="16">
        <v>0</v>
      </c>
      <c r="N70" s="17">
        <v>0</v>
      </c>
      <c r="O70" s="16">
        <v>0</v>
      </c>
      <c r="P70" s="17">
        <v>0</v>
      </c>
      <c r="Q70" s="16">
        <v>0</v>
      </c>
      <c r="R70" s="17">
        <v>0</v>
      </c>
      <c r="S70" s="16">
        <v>0</v>
      </c>
      <c r="T70" s="17">
        <v>0</v>
      </c>
      <c r="U70" s="16">
        <v>0</v>
      </c>
      <c r="V70" s="17">
        <v>0</v>
      </c>
      <c r="W70" s="18">
        <v>114400</v>
      </c>
      <c r="X70" s="17">
        <v>6998.99</v>
      </c>
      <c r="Y70" s="17">
        <v>0</v>
      </c>
      <c r="Z70" s="17">
        <v>18630.79</v>
      </c>
      <c r="AA70" s="17">
        <v>6210.2633333333297</v>
      </c>
      <c r="AB70" s="144">
        <v>33.810112185258902</v>
      </c>
      <c r="AC70" s="8">
        <f t="shared" si="4"/>
        <v>429</v>
      </c>
      <c r="AD70" s="11" t="str">
        <f>LEFT(details!E70,5)</f>
        <v>3.750</v>
      </c>
      <c r="AE70" s="42">
        <f t="shared" si="0"/>
        <v>6210.2633333333297</v>
      </c>
      <c r="AF70" s="42">
        <f>VLOOKUP(C70,MC.5!B:P,15,FALSE)/3</f>
        <v>6210.2633333333333</v>
      </c>
      <c r="AG70" s="152">
        <f t="shared" si="7"/>
        <v>6210.2633333333297</v>
      </c>
      <c r="AH70" s="137" t="str">
        <f>VLOOKUP(F70,REF!B:C,2,FALSE)</f>
        <v>PE</v>
      </c>
      <c r="AI70" s="3" t="str">
        <f>VLOOKUP(G70,REF!E:F,2,FALSE)</f>
        <v>Closure/Lid/ Handle</v>
      </c>
    </row>
    <row r="71" spans="1:35" x14ac:dyDescent="0.3">
      <c r="A71" s="186" t="s">
        <v>1155</v>
      </c>
      <c r="B71" s="24" t="s">
        <v>1155</v>
      </c>
      <c r="C71" s="156">
        <v>322644</v>
      </c>
      <c r="D71" s="24" t="s">
        <v>1907</v>
      </c>
      <c r="E71" s="24" t="s">
        <v>52</v>
      </c>
      <c r="F71" s="156">
        <v>60105</v>
      </c>
      <c r="G71" s="24" t="s">
        <v>1441</v>
      </c>
      <c r="H71" s="24" t="s">
        <v>1370</v>
      </c>
      <c r="I71" s="24" t="s">
        <v>1370</v>
      </c>
      <c r="J71" s="186" t="s">
        <v>1367</v>
      </c>
      <c r="K71" s="16">
        <v>22500</v>
      </c>
      <c r="L71" s="17">
        <v>1601.33</v>
      </c>
      <c r="M71" s="16">
        <v>0</v>
      </c>
      <c r="N71" s="17">
        <v>0</v>
      </c>
      <c r="O71" s="16">
        <v>0</v>
      </c>
      <c r="P71" s="17">
        <v>0</v>
      </c>
      <c r="Q71" s="16">
        <v>0</v>
      </c>
      <c r="R71" s="17">
        <v>0</v>
      </c>
      <c r="S71" s="16">
        <v>0</v>
      </c>
      <c r="T71" s="17">
        <v>0</v>
      </c>
      <c r="U71" s="16">
        <v>0</v>
      </c>
      <c r="V71" s="17">
        <v>0</v>
      </c>
      <c r="W71" s="18">
        <v>22500</v>
      </c>
      <c r="X71" s="17">
        <v>1601.33</v>
      </c>
      <c r="Y71" s="17">
        <v>0</v>
      </c>
      <c r="Z71" s="17"/>
      <c r="AA71" s="17"/>
      <c r="AB71" s="144">
        <v>0</v>
      </c>
      <c r="AC71" s="8">
        <f t="shared" si="4"/>
        <v>74.25</v>
      </c>
      <c r="AD71" s="11" t="str">
        <f>LEFT(details!E71,5)</f>
        <v>3.300</v>
      </c>
      <c r="AE71" s="42">
        <f t="shared" si="0"/>
        <v>0</v>
      </c>
      <c r="AF71" s="42">
        <f>VLOOKUP(C71,MC.5!B:P,15,FALSE)/3</f>
        <v>0</v>
      </c>
      <c r="AG71" s="152">
        <f t="shared" ref="AG71:AG72" si="8">AF71</f>
        <v>0</v>
      </c>
      <c r="AH71" s="137" t="str">
        <f>VLOOKUP(F71,REF!B:C,2,FALSE)</f>
        <v>PE</v>
      </c>
      <c r="AI71" s="3" t="str">
        <f>VLOOKUP(G71,REF!E:F,2,FALSE)</f>
        <v>Closure/Lid/ Handle</v>
      </c>
    </row>
    <row r="72" spans="1:35" x14ac:dyDescent="0.3">
      <c r="A72" s="186" t="s">
        <v>1155</v>
      </c>
      <c r="B72" s="24" t="s">
        <v>1155</v>
      </c>
      <c r="C72" s="156">
        <v>322646</v>
      </c>
      <c r="D72" s="24" t="s">
        <v>1189</v>
      </c>
      <c r="E72" s="24" t="s">
        <v>66</v>
      </c>
      <c r="F72" s="156">
        <v>60106</v>
      </c>
      <c r="G72" s="24" t="s">
        <v>1440</v>
      </c>
      <c r="H72" s="24" t="s">
        <v>1371</v>
      </c>
      <c r="I72" s="24" t="s">
        <v>1371</v>
      </c>
      <c r="J72" s="186" t="s">
        <v>1372</v>
      </c>
      <c r="K72" s="16">
        <v>14400</v>
      </c>
      <c r="L72" s="17">
        <v>3072.24</v>
      </c>
      <c r="M72" s="16">
        <v>0</v>
      </c>
      <c r="N72" s="17">
        <v>0</v>
      </c>
      <c r="O72" s="16">
        <v>1800</v>
      </c>
      <c r="P72" s="17">
        <v>384.03</v>
      </c>
      <c r="Q72" s="16">
        <v>0</v>
      </c>
      <c r="R72" s="17">
        <v>0</v>
      </c>
      <c r="S72" s="16">
        <v>0</v>
      </c>
      <c r="T72" s="17">
        <v>0</v>
      </c>
      <c r="U72" s="16">
        <v>0</v>
      </c>
      <c r="V72" s="17">
        <v>0</v>
      </c>
      <c r="W72" s="18">
        <v>16200</v>
      </c>
      <c r="X72" s="17">
        <v>3456.27</v>
      </c>
      <c r="Y72" s="17">
        <v>85.35</v>
      </c>
      <c r="Z72" s="17"/>
      <c r="AA72" s="17"/>
      <c r="AB72" s="144">
        <v>0</v>
      </c>
      <c r="AC72" s="8">
        <f t="shared" si="4"/>
        <v>213.84</v>
      </c>
      <c r="AD72" s="11" t="str">
        <f>LEFT(details!E72,5)</f>
        <v>13.20</v>
      </c>
      <c r="AE72" s="42">
        <f t="shared" ref="AE72:AE135" si="9">AA72</f>
        <v>0</v>
      </c>
      <c r="AF72" s="42">
        <f>VLOOKUP(C72,MC.5!B:P,15,FALSE)/3</f>
        <v>0</v>
      </c>
      <c r="AG72" s="152">
        <f t="shared" si="8"/>
        <v>0</v>
      </c>
      <c r="AH72" s="137" t="str">
        <f>VLOOKUP(F72,REF!B:C,2,FALSE)</f>
        <v>PP</v>
      </c>
      <c r="AI72" s="3" t="str">
        <f>VLOOKUP(G72,REF!E:F,2,FALSE)</f>
        <v>Closure/Lid/ Handle</v>
      </c>
    </row>
    <row r="73" spans="1:35" x14ac:dyDescent="0.3">
      <c r="A73" s="186" t="s">
        <v>1155</v>
      </c>
      <c r="B73" s="24" t="s">
        <v>1155</v>
      </c>
      <c r="C73" s="156">
        <v>322647</v>
      </c>
      <c r="D73" s="24" t="s">
        <v>67</v>
      </c>
      <c r="E73" s="24" t="s">
        <v>66</v>
      </c>
      <c r="F73" s="156">
        <v>60106</v>
      </c>
      <c r="G73" s="24" t="s">
        <v>1440</v>
      </c>
      <c r="H73" s="24" t="s">
        <v>1371</v>
      </c>
      <c r="I73" s="24" t="s">
        <v>1371</v>
      </c>
      <c r="J73" s="186" t="s">
        <v>1372</v>
      </c>
      <c r="K73" s="16">
        <v>900</v>
      </c>
      <c r="L73" s="17">
        <v>186.54</v>
      </c>
      <c r="M73" s="16">
        <v>0</v>
      </c>
      <c r="N73" s="17">
        <v>0</v>
      </c>
      <c r="O73" s="16">
        <v>0</v>
      </c>
      <c r="P73" s="17">
        <v>0</v>
      </c>
      <c r="Q73" s="16">
        <v>0</v>
      </c>
      <c r="R73" s="17">
        <v>0</v>
      </c>
      <c r="S73" s="16">
        <v>0</v>
      </c>
      <c r="T73" s="17">
        <v>0</v>
      </c>
      <c r="U73" s="16">
        <v>0</v>
      </c>
      <c r="V73" s="17">
        <v>0</v>
      </c>
      <c r="W73" s="18">
        <v>900</v>
      </c>
      <c r="X73" s="17">
        <v>186.54</v>
      </c>
      <c r="Y73" s="17">
        <v>0</v>
      </c>
      <c r="Z73" s="17">
        <v>6839.99</v>
      </c>
      <c r="AA73" s="17">
        <v>2279.9966666666701</v>
      </c>
      <c r="AB73" s="144">
        <v>2.4544772726275901</v>
      </c>
      <c r="AC73" s="8">
        <f t="shared" si="4"/>
        <v>11.88</v>
      </c>
      <c r="AD73" s="11" t="str">
        <f>LEFT(details!E73,5)</f>
        <v>13.20</v>
      </c>
      <c r="AE73" s="42">
        <f t="shared" si="9"/>
        <v>2279.9966666666701</v>
      </c>
      <c r="AF73" s="42">
        <f>VLOOKUP(C73,MC.5!B:P,15,FALSE)/3</f>
        <v>2279.9900000000002</v>
      </c>
      <c r="AG73" s="152">
        <f>AE73</f>
        <v>2279.9966666666701</v>
      </c>
      <c r="AH73" s="137" t="str">
        <f>VLOOKUP(F73,REF!B:C,2,FALSE)</f>
        <v>PP</v>
      </c>
      <c r="AI73" s="3" t="str">
        <f>VLOOKUP(G73,REF!E:F,2,FALSE)</f>
        <v>Closure/Lid/ Handle</v>
      </c>
    </row>
    <row r="74" spans="1:35" x14ac:dyDescent="0.3">
      <c r="A74" s="186" t="s">
        <v>1155</v>
      </c>
      <c r="B74" s="24" t="s">
        <v>1155</v>
      </c>
      <c r="C74" s="156">
        <v>322656</v>
      </c>
      <c r="D74" s="24" t="s">
        <v>1908</v>
      </c>
      <c r="E74" s="24" t="s">
        <v>1969</v>
      </c>
      <c r="F74" s="156">
        <v>60106</v>
      </c>
      <c r="G74" s="24" t="s">
        <v>1440</v>
      </c>
      <c r="H74" s="24" t="s">
        <v>1371</v>
      </c>
      <c r="I74" s="24" t="s">
        <v>1371</v>
      </c>
      <c r="J74" s="186" t="s">
        <v>1372</v>
      </c>
      <c r="K74" s="16">
        <v>0</v>
      </c>
      <c r="L74" s="17">
        <v>0</v>
      </c>
      <c r="M74" s="16">
        <v>0</v>
      </c>
      <c r="N74" s="17">
        <v>0</v>
      </c>
      <c r="O74" s="16">
        <v>1800</v>
      </c>
      <c r="P74" s="17">
        <v>383.96</v>
      </c>
      <c r="Q74" s="16">
        <v>0</v>
      </c>
      <c r="R74" s="17">
        <v>0</v>
      </c>
      <c r="S74" s="16">
        <v>0</v>
      </c>
      <c r="T74" s="17">
        <v>0</v>
      </c>
      <c r="U74" s="16">
        <v>0</v>
      </c>
      <c r="V74" s="17">
        <v>0</v>
      </c>
      <c r="W74" s="18">
        <v>1800</v>
      </c>
      <c r="X74" s="17">
        <v>383.96</v>
      </c>
      <c r="Y74" s="17">
        <v>85.33</v>
      </c>
      <c r="Z74" s="17"/>
      <c r="AA74" s="17"/>
      <c r="AB74" s="144">
        <v>0</v>
      </c>
      <c r="AC74" s="8">
        <f t="shared" si="4"/>
        <v>27.18</v>
      </c>
      <c r="AD74" s="11" t="str">
        <f>LEFT(details!E74,5)</f>
        <v>15.10</v>
      </c>
      <c r="AE74" s="42">
        <f t="shared" si="9"/>
        <v>0</v>
      </c>
      <c r="AF74" s="42">
        <f>VLOOKUP(C74,MC.5!B:P,15,FALSE)/3</f>
        <v>0</v>
      </c>
      <c r="AG74" s="152">
        <f>AF74</f>
        <v>0</v>
      </c>
      <c r="AH74" s="137" t="str">
        <f>VLOOKUP(F74,REF!B:C,2,FALSE)</f>
        <v>PP</v>
      </c>
      <c r="AI74" s="3" t="str">
        <f>VLOOKUP(G74,REF!E:F,2,FALSE)</f>
        <v>Closure/Lid/ Handle</v>
      </c>
    </row>
    <row r="75" spans="1:35" x14ac:dyDescent="0.3">
      <c r="A75" s="186" t="s">
        <v>1155</v>
      </c>
      <c r="B75" s="24" t="s">
        <v>1155</v>
      </c>
      <c r="C75" s="156">
        <v>322671</v>
      </c>
      <c r="D75" s="24" t="s">
        <v>285</v>
      </c>
      <c r="E75" s="24" t="s">
        <v>275</v>
      </c>
      <c r="F75" s="156">
        <v>60105</v>
      </c>
      <c r="G75" s="24" t="s">
        <v>1441</v>
      </c>
      <c r="H75" s="24" t="s">
        <v>1370</v>
      </c>
      <c r="I75" s="24" t="s">
        <v>1370</v>
      </c>
      <c r="J75" s="186" t="s">
        <v>1367</v>
      </c>
      <c r="K75" s="16">
        <v>0</v>
      </c>
      <c r="L75" s="17">
        <v>0</v>
      </c>
      <c r="M75" s="16">
        <v>0</v>
      </c>
      <c r="N75" s="17">
        <v>0</v>
      </c>
      <c r="O75" s="16">
        <v>30000</v>
      </c>
      <c r="P75" s="17">
        <v>1827.6</v>
      </c>
      <c r="Q75" s="16">
        <v>0</v>
      </c>
      <c r="R75" s="17">
        <v>0</v>
      </c>
      <c r="S75" s="16">
        <v>0</v>
      </c>
      <c r="T75" s="17">
        <v>0</v>
      </c>
      <c r="U75" s="16">
        <v>0</v>
      </c>
      <c r="V75" s="17">
        <v>0</v>
      </c>
      <c r="W75" s="18">
        <v>30000</v>
      </c>
      <c r="X75" s="17">
        <v>1827.6</v>
      </c>
      <c r="Y75" s="17">
        <v>609.25</v>
      </c>
      <c r="Z75" s="17">
        <v>1370.72</v>
      </c>
      <c r="AA75" s="17">
        <v>456.90666666666698</v>
      </c>
      <c r="AB75" s="144">
        <v>119.99824909536601</v>
      </c>
      <c r="AC75" s="8">
        <f t="shared" si="4"/>
        <v>111</v>
      </c>
      <c r="AD75" s="11" t="str">
        <f>LEFT(details!E75,5)</f>
        <v>3.700</v>
      </c>
      <c r="AE75" s="42">
        <f t="shared" si="9"/>
        <v>456.90666666666698</v>
      </c>
      <c r="AF75" s="42">
        <f>VLOOKUP(C75,MC.5!B:P,15,FALSE)/3</f>
        <v>456.90666666666669</v>
      </c>
      <c r="AG75" s="152">
        <f t="shared" ref="AG73:AG82" si="10">AE75</f>
        <v>456.90666666666698</v>
      </c>
      <c r="AH75" s="137" t="str">
        <f>VLOOKUP(F75,REF!B:C,2,FALSE)</f>
        <v>PE</v>
      </c>
      <c r="AI75" s="3" t="str">
        <f>VLOOKUP(G75,REF!E:F,2,FALSE)</f>
        <v>Closure/Lid/ Handle</v>
      </c>
    </row>
    <row r="76" spans="1:35" x14ac:dyDescent="0.3">
      <c r="A76" s="186" t="s">
        <v>1155</v>
      </c>
      <c r="B76" s="24" t="s">
        <v>1155</v>
      </c>
      <c r="C76" s="156">
        <v>322672</v>
      </c>
      <c r="D76" s="24" t="s">
        <v>69</v>
      </c>
      <c r="E76" s="24" t="s">
        <v>259</v>
      </c>
      <c r="F76" s="156">
        <v>60105</v>
      </c>
      <c r="G76" s="24" t="s">
        <v>1441</v>
      </c>
      <c r="H76" s="24" t="s">
        <v>1370</v>
      </c>
      <c r="I76" s="24" t="s">
        <v>1370</v>
      </c>
      <c r="J76" s="186" t="s">
        <v>1367</v>
      </c>
      <c r="K76" s="16">
        <v>20500</v>
      </c>
      <c r="L76" s="17">
        <v>1864.48</v>
      </c>
      <c r="M76" s="16">
        <v>0</v>
      </c>
      <c r="N76" s="17">
        <v>0</v>
      </c>
      <c r="O76" s="16">
        <v>0</v>
      </c>
      <c r="P76" s="17">
        <v>0</v>
      </c>
      <c r="Q76" s="16">
        <v>0</v>
      </c>
      <c r="R76" s="17">
        <v>0</v>
      </c>
      <c r="S76" s="16">
        <v>0</v>
      </c>
      <c r="T76" s="17">
        <v>0</v>
      </c>
      <c r="U76" s="16">
        <v>0</v>
      </c>
      <c r="V76" s="17">
        <v>0</v>
      </c>
      <c r="W76" s="18">
        <v>20500</v>
      </c>
      <c r="X76" s="17">
        <v>1864.48</v>
      </c>
      <c r="Y76" s="17">
        <v>0</v>
      </c>
      <c r="Z76" s="17">
        <v>7642.44</v>
      </c>
      <c r="AA76" s="17">
        <v>2547.48</v>
      </c>
      <c r="AB76" s="144">
        <v>21.956757266004001</v>
      </c>
      <c r="AC76" s="8">
        <f t="shared" si="4"/>
        <v>149.65</v>
      </c>
      <c r="AD76" s="11" t="str">
        <f>LEFT(details!E76,5)</f>
        <v>7.300</v>
      </c>
      <c r="AE76" s="42">
        <f t="shared" si="9"/>
        <v>2547.48</v>
      </c>
      <c r="AF76" s="42">
        <f>VLOOKUP(C76,MC.5!B:P,15,FALSE)/3</f>
        <v>2547.48</v>
      </c>
      <c r="AG76" s="152">
        <f t="shared" si="10"/>
        <v>2547.48</v>
      </c>
      <c r="AH76" s="137" t="str">
        <f>VLOOKUP(F76,REF!B:C,2,FALSE)</f>
        <v>PE</v>
      </c>
      <c r="AI76" s="3" t="str">
        <f>VLOOKUP(G76,REF!E:F,2,FALSE)</f>
        <v>Closure/Lid/ Handle</v>
      </c>
    </row>
    <row r="77" spans="1:35" x14ac:dyDescent="0.3">
      <c r="A77" s="186" t="s">
        <v>1155</v>
      </c>
      <c r="B77" s="24" t="s">
        <v>1155</v>
      </c>
      <c r="C77" s="156">
        <v>322677</v>
      </c>
      <c r="D77" s="24" t="s">
        <v>70</v>
      </c>
      <c r="E77" s="24" t="s">
        <v>273</v>
      </c>
      <c r="F77" s="156">
        <v>60105</v>
      </c>
      <c r="G77" s="24" t="s">
        <v>1441</v>
      </c>
      <c r="H77" s="24" t="s">
        <v>1370</v>
      </c>
      <c r="I77" s="24" t="s">
        <v>1370</v>
      </c>
      <c r="J77" s="186" t="s">
        <v>1367</v>
      </c>
      <c r="K77" s="16">
        <v>0</v>
      </c>
      <c r="L77" s="17">
        <v>0</v>
      </c>
      <c r="M77" s="16">
        <v>0</v>
      </c>
      <c r="N77" s="17">
        <v>0</v>
      </c>
      <c r="O77" s="16">
        <v>53901</v>
      </c>
      <c r="P77" s="17">
        <v>3286.88</v>
      </c>
      <c r="Q77" s="16">
        <v>0</v>
      </c>
      <c r="R77" s="17">
        <v>0</v>
      </c>
      <c r="S77" s="16">
        <v>0</v>
      </c>
      <c r="T77" s="17">
        <v>0</v>
      </c>
      <c r="U77" s="16">
        <v>0</v>
      </c>
      <c r="V77" s="17">
        <v>0</v>
      </c>
      <c r="W77" s="18">
        <v>53901</v>
      </c>
      <c r="X77" s="17">
        <v>3286.88</v>
      </c>
      <c r="Y77" s="17">
        <v>380.15</v>
      </c>
      <c r="Z77" s="17">
        <v>1945.19</v>
      </c>
      <c r="AA77" s="17">
        <v>648.39666666666699</v>
      </c>
      <c r="AB77" s="144">
        <v>152.077277798056</v>
      </c>
      <c r="AC77" s="8">
        <f t="shared" si="4"/>
        <v>202.12875</v>
      </c>
      <c r="AD77" s="11" t="str">
        <f>LEFT(details!E77,5)</f>
        <v>3.750</v>
      </c>
      <c r="AE77" s="42">
        <f t="shared" si="9"/>
        <v>648.39666666666699</v>
      </c>
      <c r="AF77" s="42">
        <f>VLOOKUP(C77,MC.5!B:P,15,FALSE)/3</f>
        <v>648.39666666666665</v>
      </c>
      <c r="AG77" s="152">
        <f t="shared" si="10"/>
        <v>648.39666666666699</v>
      </c>
      <c r="AH77" s="137" t="str">
        <f>VLOOKUP(F77,REF!B:C,2,FALSE)</f>
        <v>PE</v>
      </c>
      <c r="AI77" s="3" t="str">
        <f>VLOOKUP(G77,REF!E:F,2,FALSE)</f>
        <v>Closure/Lid/ Handle</v>
      </c>
    </row>
    <row r="78" spans="1:35" x14ac:dyDescent="0.3">
      <c r="A78" s="186" t="s">
        <v>1155</v>
      </c>
      <c r="B78" s="24" t="s">
        <v>1155</v>
      </c>
      <c r="C78" s="156">
        <v>322679</v>
      </c>
      <c r="D78" s="24" t="s">
        <v>71</v>
      </c>
      <c r="E78" s="24" t="s">
        <v>259</v>
      </c>
      <c r="F78" s="156">
        <v>60105</v>
      </c>
      <c r="G78" s="24" t="s">
        <v>1441</v>
      </c>
      <c r="H78" s="24" t="s">
        <v>1370</v>
      </c>
      <c r="I78" s="24" t="s">
        <v>1370</v>
      </c>
      <c r="J78" s="186" t="s">
        <v>1367</v>
      </c>
      <c r="K78" s="16">
        <v>0</v>
      </c>
      <c r="L78" s="17">
        <v>0</v>
      </c>
      <c r="M78" s="16">
        <v>1000</v>
      </c>
      <c r="N78" s="17">
        <v>97.87</v>
      </c>
      <c r="O78" s="16">
        <v>0</v>
      </c>
      <c r="P78" s="17">
        <v>0</v>
      </c>
      <c r="Q78" s="16">
        <v>0</v>
      </c>
      <c r="R78" s="17">
        <v>0</v>
      </c>
      <c r="S78" s="16">
        <v>0</v>
      </c>
      <c r="T78" s="17">
        <v>0</v>
      </c>
      <c r="U78" s="16">
        <v>0</v>
      </c>
      <c r="V78" s="17">
        <v>0</v>
      </c>
      <c r="W78" s="18">
        <v>1000</v>
      </c>
      <c r="X78" s="17">
        <v>97.87</v>
      </c>
      <c r="Y78" s="17">
        <v>0</v>
      </c>
      <c r="Z78" s="17">
        <v>2300.06</v>
      </c>
      <c r="AA78" s="17">
        <v>766.68666666666604</v>
      </c>
      <c r="AB78" s="144">
        <v>3.8295957496761002</v>
      </c>
      <c r="AC78" s="8">
        <f t="shared" si="4"/>
        <v>7.3</v>
      </c>
      <c r="AD78" s="11" t="str">
        <f>LEFT(details!E78,5)</f>
        <v>7.300</v>
      </c>
      <c r="AE78" s="42">
        <f t="shared" si="9"/>
        <v>766.68666666666604</v>
      </c>
      <c r="AF78" s="42">
        <f>VLOOKUP(C78,MC.5!B:P,15,FALSE)/3</f>
        <v>766.68666666666661</v>
      </c>
      <c r="AG78" s="152">
        <f t="shared" si="10"/>
        <v>766.68666666666604</v>
      </c>
      <c r="AH78" s="137" t="str">
        <f>VLOOKUP(F78,REF!B:C,2,FALSE)</f>
        <v>PE</v>
      </c>
      <c r="AI78" s="3" t="str">
        <f>VLOOKUP(G78,REF!E:F,2,FALSE)</f>
        <v>Closure/Lid/ Handle</v>
      </c>
    </row>
    <row r="79" spans="1:35" x14ac:dyDescent="0.3">
      <c r="A79" s="186" t="s">
        <v>1155</v>
      </c>
      <c r="B79" s="24" t="s">
        <v>1155</v>
      </c>
      <c r="C79" s="156">
        <v>322685</v>
      </c>
      <c r="D79" s="24" t="s">
        <v>72</v>
      </c>
      <c r="E79" s="24" t="s">
        <v>213</v>
      </c>
      <c r="F79" s="156">
        <v>60105</v>
      </c>
      <c r="G79" s="24" t="s">
        <v>1441</v>
      </c>
      <c r="H79" s="24" t="s">
        <v>1370</v>
      </c>
      <c r="I79" s="24" t="s">
        <v>1370</v>
      </c>
      <c r="J79" s="186" t="s">
        <v>1367</v>
      </c>
      <c r="K79" s="16">
        <v>196000</v>
      </c>
      <c r="L79" s="17">
        <v>32502.68</v>
      </c>
      <c r="M79" s="16">
        <v>0</v>
      </c>
      <c r="N79" s="17">
        <v>0</v>
      </c>
      <c r="O79" s="16">
        <v>0</v>
      </c>
      <c r="P79" s="17">
        <v>0</v>
      </c>
      <c r="Q79" s="16">
        <v>0</v>
      </c>
      <c r="R79" s="17">
        <v>0</v>
      </c>
      <c r="S79" s="16">
        <v>0</v>
      </c>
      <c r="T79" s="17">
        <v>0</v>
      </c>
      <c r="U79" s="16">
        <v>0</v>
      </c>
      <c r="V79" s="17">
        <v>0</v>
      </c>
      <c r="W79" s="18">
        <v>196000</v>
      </c>
      <c r="X79" s="17">
        <v>32502.68</v>
      </c>
      <c r="Y79" s="17">
        <v>0</v>
      </c>
      <c r="Z79" s="17">
        <v>109694.19</v>
      </c>
      <c r="AA79" s="17">
        <v>36564.730000000003</v>
      </c>
      <c r="AB79" s="144">
        <v>26.6672391673616</v>
      </c>
      <c r="AC79" s="8">
        <f t="shared" si="4"/>
        <v>1254.4000000000001</v>
      </c>
      <c r="AD79" s="11" t="str">
        <f>LEFT(details!E79,5)</f>
        <v>6.400</v>
      </c>
      <c r="AE79" s="42">
        <f t="shared" si="9"/>
        <v>36564.730000000003</v>
      </c>
      <c r="AF79" s="42">
        <f>VLOOKUP(C79,MC.5!B:P,15,FALSE)/3</f>
        <v>36564.73333333333</v>
      </c>
      <c r="AG79" s="152">
        <f t="shared" si="10"/>
        <v>36564.730000000003</v>
      </c>
      <c r="AH79" s="137" t="str">
        <f>VLOOKUP(F79,REF!B:C,2,FALSE)</f>
        <v>PE</v>
      </c>
      <c r="AI79" s="3" t="str">
        <f>VLOOKUP(G79,REF!E:F,2,FALSE)</f>
        <v>Closure/Lid/ Handle</v>
      </c>
    </row>
    <row r="80" spans="1:35" x14ac:dyDescent="0.3">
      <c r="A80" s="186" t="s">
        <v>1155</v>
      </c>
      <c r="B80" s="24" t="s">
        <v>1155</v>
      </c>
      <c r="C80" s="156">
        <v>322694</v>
      </c>
      <c r="D80" s="24" t="s">
        <v>73</v>
      </c>
      <c r="E80" s="24" t="s">
        <v>74</v>
      </c>
      <c r="F80" s="156">
        <v>60105</v>
      </c>
      <c r="G80" s="24" t="s">
        <v>1441</v>
      </c>
      <c r="H80" s="24" t="s">
        <v>1370</v>
      </c>
      <c r="I80" s="24" t="s">
        <v>1370</v>
      </c>
      <c r="J80" s="186" t="s">
        <v>1367</v>
      </c>
      <c r="K80" s="16">
        <v>273000</v>
      </c>
      <c r="L80" s="17">
        <v>11637.99</v>
      </c>
      <c r="M80" s="16">
        <v>0</v>
      </c>
      <c r="N80" s="17">
        <v>0</v>
      </c>
      <c r="O80" s="16">
        <v>0</v>
      </c>
      <c r="P80" s="17">
        <v>0</v>
      </c>
      <c r="Q80" s="16">
        <v>0</v>
      </c>
      <c r="R80" s="17">
        <v>0</v>
      </c>
      <c r="S80" s="16">
        <v>0</v>
      </c>
      <c r="T80" s="17">
        <v>0</v>
      </c>
      <c r="U80" s="16">
        <v>0</v>
      </c>
      <c r="V80" s="17">
        <v>0</v>
      </c>
      <c r="W80" s="18">
        <v>273000</v>
      </c>
      <c r="X80" s="17">
        <v>11637.99</v>
      </c>
      <c r="Y80" s="17">
        <v>0</v>
      </c>
      <c r="Z80" s="17">
        <v>8861.19</v>
      </c>
      <c r="AA80" s="17">
        <v>2953.73</v>
      </c>
      <c r="AB80" s="144">
        <v>118.202984023591</v>
      </c>
      <c r="AC80" s="8">
        <f t="shared" si="4"/>
        <v>764.4</v>
      </c>
      <c r="AD80" s="11" t="str">
        <f>LEFT(details!E80,5)</f>
        <v>2.800</v>
      </c>
      <c r="AE80" s="42">
        <f t="shared" si="9"/>
        <v>2953.73</v>
      </c>
      <c r="AF80" s="42">
        <f>VLOOKUP(C80,MC.5!B:P,15,FALSE)/3</f>
        <v>2953.7366666666662</v>
      </c>
      <c r="AG80" s="152">
        <f t="shared" si="10"/>
        <v>2953.73</v>
      </c>
      <c r="AH80" s="137" t="str">
        <f>VLOOKUP(F80,REF!B:C,2,FALSE)</f>
        <v>PE</v>
      </c>
      <c r="AI80" s="3" t="str">
        <f>VLOOKUP(G80,REF!E:F,2,FALSE)</f>
        <v>Closure/Lid/ Handle</v>
      </c>
    </row>
    <row r="81" spans="1:35" x14ac:dyDescent="0.3">
      <c r="A81" s="186" t="s">
        <v>1155</v>
      </c>
      <c r="B81" s="24" t="s">
        <v>1155</v>
      </c>
      <c r="C81" s="156">
        <v>322695</v>
      </c>
      <c r="D81" s="24" t="s">
        <v>75</v>
      </c>
      <c r="E81" s="24" t="s">
        <v>74</v>
      </c>
      <c r="F81" s="156">
        <v>60105</v>
      </c>
      <c r="G81" s="24" t="s">
        <v>1441</v>
      </c>
      <c r="H81" s="24" t="s">
        <v>1370</v>
      </c>
      <c r="I81" s="24" t="s">
        <v>1370</v>
      </c>
      <c r="J81" s="186" t="s">
        <v>1367</v>
      </c>
      <c r="K81" s="16">
        <v>22400</v>
      </c>
      <c r="L81" s="17">
        <v>960.74</v>
      </c>
      <c r="M81" s="16">
        <v>0</v>
      </c>
      <c r="N81" s="17">
        <v>0</v>
      </c>
      <c r="O81" s="16">
        <v>0</v>
      </c>
      <c r="P81" s="17">
        <v>0</v>
      </c>
      <c r="Q81" s="16">
        <v>0</v>
      </c>
      <c r="R81" s="17">
        <v>0</v>
      </c>
      <c r="S81" s="16">
        <v>0</v>
      </c>
      <c r="T81" s="17">
        <v>0</v>
      </c>
      <c r="U81" s="16">
        <v>0</v>
      </c>
      <c r="V81" s="17">
        <v>0</v>
      </c>
      <c r="W81" s="18">
        <v>22400</v>
      </c>
      <c r="X81" s="17">
        <v>960.74</v>
      </c>
      <c r="Y81" s="17">
        <v>0</v>
      </c>
      <c r="Z81" s="17">
        <v>780.66</v>
      </c>
      <c r="AA81" s="17">
        <v>260.22000000000003</v>
      </c>
      <c r="AB81" s="144">
        <v>110.760894627623</v>
      </c>
      <c r="AC81" s="8">
        <f t="shared" si="4"/>
        <v>62.719999999999992</v>
      </c>
      <c r="AD81" s="11" t="str">
        <f>LEFT(details!E81,5)</f>
        <v>2.800</v>
      </c>
      <c r="AE81" s="42">
        <f t="shared" si="9"/>
        <v>260.22000000000003</v>
      </c>
      <c r="AF81" s="42">
        <f>VLOOKUP(C81,MC.5!B:P,15,FALSE)/3</f>
        <v>260.21666666666664</v>
      </c>
      <c r="AG81" s="152">
        <f t="shared" si="10"/>
        <v>260.22000000000003</v>
      </c>
      <c r="AH81" s="137" t="str">
        <f>VLOOKUP(F81,REF!B:C,2,FALSE)</f>
        <v>PE</v>
      </c>
      <c r="AI81" s="3" t="str">
        <f>VLOOKUP(G81,REF!E:F,2,FALSE)</f>
        <v>Closure/Lid/ Handle</v>
      </c>
    </row>
    <row r="82" spans="1:35" x14ac:dyDescent="0.3">
      <c r="A82" s="186" t="s">
        <v>1155</v>
      </c>
      <c r="B82" s="24" t="s">
        <v>1155</v>
      </c>
      <c r="C82" s="156">
        <v>322698</v>
      </c>
      <c r="D82" s="24" t="s">
        <v>76</v>
      </c>
      <c r="E82" s="24" t="s">
        <v>74</v>
      </c>
      <c r="F82" s="156">
        <v>60105</v>
      </c>
      <c r="G82" s="24" t="s">
        <v>1441</v>
      </c>
      <c r="H82" s="24" t="s">
        <v>1370</v>
      </c>
      <c r="I82" s="24" t="s">
        <v>1370</v>
      </c>
      <c r="J82" s="186" t="s">
        <v>1367</v>
      </c>
      <c r="K82" s="16">
        <v>46200</v>
      </c>
      <c r="L82" s="17">
        <v>2163.5500000000002</v>
      </c>
      <c r="M82" s="16">
        <v>0</v>
      </c>
      <c r="N82" s="17">
        <v>0</v>
      </c>
      <c r="O82" s="16">
        <v>0</v>
      </c>
      <c r="P82" s="17">
        <v>0</v>
      </c>
      <c r="Q82" s="16">
        <v>0</v>
      </c>
      <c r="R82" s="17">
        <v>0</v>
      </c>
      <c r="S82" s="16">
        <v>0</v>
      </c>
      <c r="T82" s="17">
        <v>0</v>
      </c>
      <c r="U82" s="16">
        <v>0</v>
      </c>
      <c r="V82" s="17">
        <v>0</v>
      </c>
      <c r="W82" s="18">
        <v>46200</v>
      </c>
      <c r="X82" s="17">
        <v>2163.5500000000002</v>
      </c>
      <c r="Y82" s="17">
        <v>0</v>
      </c>
      <c r="Z82" s="17">
        <v>1916.64</v>
      </c>
      <c r="AA82" s="17">
        <v>638.88</v>
      </c>
      <c r="AB82" s="144">
        <v>101.59419609316301</v>
      </c>
      <c r="AC82" s="8">
        <f t="shared" si="4"/>
        <v>129.35999999999999</v>
      </c>
      <c r="AD82" s="11" t="str">
        <f>LEFT(details!E82,5)</f>
        <v>2.800</v>
      </c>
      <c r="AE82" s="42">
        <f t="shared" si="9"/>
        <v>638.88</v>
      </c>
      <c r="AF82" s="42">
        <f>VLOOKUP(C82,MC.5!B:P,15,FALSE)/3</f>
        <v>638.88</v>
      </c>
      <c r="AG82" s="152">
        <f t="shared" si="10"/>
        <v>638.88</v>
      </c>
      <c r="AH82" s="137" t="str">
        <f>VLOOKUP(F82,REF!B:C,2,FALSE)</f>
        <v>PE</v>
      </c>
      <c r="AI82" s="3" t="str">
        <f>VLOOKUP(G82,REF!E:F,2,FALSE)</f>
        <v>Closure/Lid/ Handle</v>
      </c>
    </row>
    <row r="83" spans="1:35" x14ac:dyDescent="0.3">
      <c r="A83" s="186" t="s">
        <v>1155</v>
      </c>
      <c r="B83" s="24" t="s">
        <v>1155</v>
      </c>
      <c r="C83" s="156">
        <v>322851</v>
      </c>
      <c r="D83" s="24" t="s">
        <v>82</v>
      </c>
      <c r="E83" s="24" t="s">
        <v>68</v>
      </c>
      <c r="F83" s="156">
        <v>65400</v>
      </c>
      <c r="G83" s="24" t="s">
        <v>1378</v>
      </c>
      <c r="H83" s="24" t="s">
        <v>1442</v>
      </c>
      <c r="I83" s="24" t="s">
        <v>1378</v>
      </c>
      <c r="J83" s="186" t="s">
        <v>1379</v>
      </c>
      <c r="K83" s="16">
        <v>0</v>
      </c>
      <c r="L83" s="17">
        <v>0</v>
      </c>
      <c r="M83" s="16">
        <v>0</v>
      </c>
      <c r="N83" s="17">
        <v>0</v>
      </c>
      <c r="O83" s="16">
        <v>23700</v>
      </c>
      <c r="P83" s="17">
        <v>823.34</v>
      </c>
      <c r="Q83" s="16">
        <v>0</v>
      </c>
      <c r="R83" s="17">
        <v>0</v>
      </c>
      <c r="S83" s="16">
        <v>0</v>
      </c>
      <c r="T83" s="17">
        <v>0</v>
      </c>
      <c r="U83" s="16">
        <v>0</v>
      </c>
      <c r="V83" s="17">
        <v>0</v>
      </c>
      <c r="W83" s="18">
        <v>23700</v>
      </c>
      <c r="X83" s="17">
        <v>823.34</v>
      </c>
      <c r="Y83" s="17">
        <v>245.51</v>
      </c>
      <c r="Z83" s="17"/>
      <c r="AA83" s="17"/>
      <c r="AB83" s="144">
        <v>0</v>
      </c>
      <c r="AC83" s="8">
        <f t="shared" si="4"/>
        <v>0</v>
      </c>
      <c r="AD83" s="11" t="str">
        <f>LEFT(details!E83,5)</f>
        <v>0.000</v>
      </c>
      <c r="AE83" s="42">
        <f t="shared" si="9"/>
        <v>0</v>
      </c>
      <c r="AF83" s="42">
        <f>VLOOKUP(C83,MC.5!B:P,15,FALSE)/3</f>
        <v>0</v>
      </c>
      <c r="AG83" s="152">
        <f t="shared" ref="AG83:AG84" si="11">AF83</f>
        <v>0</v>
      </c>
      <c r="AH83" s="137" t="str">
        <f>VLOOKUP(F83,REF!B:C,2,FALSE)</f>
        <v>Secondary/ Component</v>
      </c>
      <c r="AI83" s="3" t="str">
        <f>VLOOKUP(G83,REF!E:F,2,FALSE)</f>
        <v>LABEL, IML, STICKER, SEALED ETC</v>
      </c>
    </row>
    <row r="84" spans="1:35" x14ac:dyDescent="0.3">
      <c r="A84" s="186" t="s">
        <v>1155</v>
      </c>
      <c r="B84" s="24" t="s">
        <v>1155</v>
      </c>
      <c r="C84" s="156">
        <v>322852</v>
      </c>
      <c r="D84" s="24" t="s">
        <v>193</v>
      </c>
      <c r="E84" s="24" t="s">
        <v>68</v>
      </c>
      <c r="F84" s="156">
        <v>65400</v>
      </c>
      <c r="G84" s="24" t="s">
        <v>1378</v>
      </c>
      <c r="H84" s="24" t="s">
        <v>1442</v>
      </c>
      <c r="I84" s="24" t="s">
        <v>1378</v>
      </c>
      <c r="J84" s="186" t="s">
        <v>1379</v>
      </c>
      <c r="K84" s="16">
        <v>10000</v>
      </c>
      <c r="L84" s="17">
        <v>538.9</v>
      </c>
      <c r="M84" s="16">
        <v>0</v>
      </c>
      <c r="N84" s="17">
        <v>0</v>
      </c>
      <c r="O84" s="16">
        <v>0</v>
      </c>
      <c r="P84" s="17">
        <v>0</v>
      </c>
      <c r="Q84" s="16">
        <v>10800</v>
      </c>
      <c r="R84" s="17">
        <v>582.01</v>
      </c>
      <c r="S84" s="16">
        <v>0</v>
      </c>
      <c r="T84" s="17">
        <v>0</v>
      </c>
      <c r="U84" s="16">
        <v>0</v>
      </c>
      <c r="V84" s="17">
        <v>0</v>
      </c>
      <c r="W84" s="18">
        <v>20800</v>
      </c>
      <c r="X84" s="17">
        <v>1120.9100000000001</v>
      </c>
      <c r="Y84" s="17">
        <v>291.02999999999997</v>
      </c>
      <c r="Z84" s="17"/>
      <c r="AA84" s="17"/>
      <c r="AB84" s="144">
        <v>0</v>
      </c>
      <c r="AC84" s="8">
        <f t="shared" ref="AC84:AC95" si="12">(AD84*W84)/1000</f>
        <v>0</v>
      </c>
      <c r="AD84" s="11" t="str">
        <f>LEFT(details!E84,5)</f>
        <v>0.000</v>
      </c>
      <c r="AE84" s="42">
        <f t="shared" si="9"/>
        <v>0</v>
      </c>
      <c r="AF84" s="42">
        <f>VLOOKUP(C84,MC.5!B:P,15,FALSE)/3</f>
        <v>0</v>
      </c>
      <c r="AG84" s="152">
        <f t="shared" si="11"/>
        <v>0</v>
      </c>
      <c r="AH84" s="137" t="str">
        <f>VLOOKUP(F84,REF!B:C,2,FALSE)</f>
        <v>Secondary/ Component</v>
      </c>
      <c r="AI84" s="3" t="str">
        <f>VLOOKUP(G84,REF!E:F,2,FALSE)</f>
        <v>LABEL, IML, STICKER, SEALED ETC</v>
      </c>
    </row>
    <row r="85" spans="1:35" x14ac:dyDescent="0.3">
      <c r="A85" s="186" t="s">
        <v>1155</v>
      </c>
      <c r="B85" s="24" t="s">
        <v>1155</v>
      </c>
      <c r="C85" s="156">
        <v>322853</v>
      </c>
      <c r="D85" s="24" t="s">
        <v>83</v>
      </c>
      <c r="E85" s="24" t="s">
        <v>68</v>
      </c>
      <c r="F85" s="156">
        <v>65400</v>
      </c>
      <c r="G85" s="24" t="s">
        <v>1378</v>
      </c>
      <c r="H85" s="24" t="s">
        <v>1442</v>
      </c>
      <c r="I85" s="24" t="s">
        <v>1378</v>
      </c>
      <c r="J85" s="186" t="s">
        <v>1379</v>
      </c>
      <c r="K85" s="16">
        <v>33600</v>
      </c>
      <c r="L85" s="17">
        <v>2419.1999999999998</v>
      </c>
      <c r="M85" s="16">
        <v>0</v>
      </c>
      <c r="N85" s="17">
        <v>0</v>
      </c>
      <c r="O85" s="16">
        <v>0</v>
      </c>
      <c r="P85" s="17">
        <v>0</v>
      </c>
      <c r="Q85" s="16">
        <v>0</v>
      </c>
      <c r="R85" s="17">
        <v>0</v>
      </c>
      <c r="S85" s="16">
        <v>0</v>
      </c>
      <c r="T85" s="17">
        <v>0</v>
      </c>
      <c r="U85" s="16">
        <v>0</v>
      </c>
      <c r="V85" s="17">
        <v>0</v>
      </c>
      <c r="W85" s="18">
        <v>33600</v>
      </c>
      <c r="X85" s="17">
        <v>2419.1999999999998</v>
      </c>
      <c r="Y85" s="17">
        <v>0</v>
      </c>
      <c r="Z85" s="17">
        <v>10367.98</v>
      </c>
      <c r="AA85" s="17">
        <v>3455.9933333333302</v>
      </c>
      <c r="AB85" s="144">
        <v>21.000040509337399</v>
      </c>
      <c r="AC85" s="8">
        <f t="shared" si="12"/>
        <v>0</v>
      </c>
      <c r="AD85" s="11" t="str">
        <f>LEFT(details!E85,5)</f>
        <v>0.000</v>
      </c>
      <c r="AE85" s="42">
        <f t="shared" si="9"/>
        <v>3455.9933333333302</v>
      </c>
      <c r="AF85" s="42">
        <f>VLOOKUP(C85,MC.5!B:P,15,FALSE)/3</f>
        <v>3455.9933333333333</v>
      </c>
      <c r="AG85" s="152">
        <f>AE85</f>
        <v>3455.9933333333302</v>
      </c>
      <c r="AH85" s="137" t="str">
        <f>VLOOKUP(F85,REF!B:C,2,FALSE)</f>
        <v>Secondary/ Component</v>
      </c>
      <c r="AI85" s="3" t="str">
        <f>VLOOKUP(G85,REF!E:F,2,FALSE)</f>
        <v>LABEL, IML, STICKER, SEALED ETC</v>
      </c>
    </row>
    <row r="86" spans="1:35" x14ac:dyDescent="0.3">
      <c r="A86" s="186" t="s">
        <v>1155</v>
      </c>
      <c r="B86" s="24" t="s">
        <v>1155</v>
      </c>
      <c r="C86" s="156">
        <v>322855</v>
      </c>
      <c r="D86" s="24" t="s">
        <v>286</v>
      </c>
      <c r="E86" s="24" t="s">
        <v>68</v>
      </c>
      <c r="F86" s="156">
        <v>65400</v>
      </c>
      <c r="G86" s="24" t="s">
        <v>1378</v>
      </c>
      <c r="H86" s="24" t="s">
        <v>1442</v>
      </c>
      <c r="I86" s="24" t="s">
        <v>1378</v>
      </c>
      <c r="J86" s="186" t="s">
        <v>1379</v>
      </c>
      <c r="K86" s="16">
        <v>0</v>
      </c>
      <c r="L86" s="17">
        <v>0</v>
      </c>
      <c r="M86" s="16">
        <v>10000</v>
      </c>
      <c r="N86" s="17">
        <v>281.89999999999998</v>
      </c>
      <c r="O86" s="16">
        <v>17900</v>
      </c>
      <c r="P86" s="17">
        <v>504.6</v>
      </c>
      <c r="Q86" s="16">
        <v>0</v>
      </c>
      <c r="R86" s="17">
        <v>0</v>
      </c>
      <c r="S86" s="16">
        <v>0</v>
      </c>
      <c r="T86" s="17">
        <v>0</v>
      </c>
      <c r="U86" s="16">
        <v>0</v>
      </c>
      <c r="V86" s="17">
        <v>0</v>
      </c>
      <c r="W86" s="18">
        <v>27900</v>
      </c>
      <c r="X86" s="17">
        <v>786.5</v>
      </c>
      <c r="Y86" s="17">
        <v>168.21</v>
      </c>
      <c r="Z86" s="17"/>
      <c r="AA86" s="17"/>
      <c r="AB86" s="144">
        <v>0</v>
      </c>
      <c r="AC86" s="8">
        <f t="shared" si="12"/>
        <v>0</v>
      </c>
      <c r="AD86" s="11" t="str">
        <f>LEFT(details!E86,5)</f>
        <v>0.000</v>
      </c>
      <c r="AE86" s="42">
        <f t="shared" si="9"/>
        <v>0</v>
      </c>
      <c r="AF86" s="42">
        <f>VLOOKUP(C86,MC.5!B:P,15,FALSE)/3</f>
        <v>0</v>
      </c>
      <c r="AG86" s="152">
        <f t="shared" ref="AG86:AG89" si="13">AF86</f>
        <v>0</v>
      </c>
      <c r="AH86" s="137" t="str">
        <f>VLOOKUP(F86,REF!B:C,2,FALSE)</f>
        <v>Secondary/ Component</v>
      </c>
      <c r="AI86" s="3" t="str">
        <f>VLOOKUP(G86,REF!E:F,2,FALSE)</f>
        <v>LABEL, IML, STICKER, SEALED ETC</v>
      </c>
    </row>
    <row r="87" spans="1:35" x14ac:dyDescent="0.3">
      <c r="A87" s="186" t="s">
        <v>1155</v>
      </c>
      <c r="B87" s="24" t="s">
        <v>1155</v>
      </c>
      <c r="C87" s="156">
        <v>322858</v>
      </c>
      <c r="D87" s="24" t="s">
        <v>320</v>
      </c>
      <c r="E87" s="24" t="s">
        <v>68</v>
      </c>
      <c r="F87" s="156">
        <v>65400</v>
      </c>
      <c r="G87" s="24" t="s">
        <v>1378</v>
      </c>
      <c r="H87" s="24" t="s">
        <v>1442</v>
      </c>
      <c r="I87" s="24" t="s">
        <v>1378</v>
      </c>
      <c r="J87" s="186" t="s">
        <v>1379</v>
      </c>
      <c r="K87" s="16">
        <v>0</v>
      </c>
      <c r="L87" s="17">
        <v>0</v>
      </c>
      <c r="M87" s="16">
        <v>0</v>
      </c>
      <c r="N87" s="17">
        <v>0</v>
      </c>
      <c r="O87" s="16">
        <v>0</v>
      </c>
      <c r="P87" s="17">
        <v>0</v>
      </c>
      <c r="Q87" s="16">
        <v>20000</v>
      </c>
      <c r="R87" s="17">
        <v>360</v>
      </c>
      <c r="S87" s="16">
        <v>1500</v>
      </c>
      <c r="T87" s="17">
        <v>27</v>
      </c>
      <c r="U87" s="16">
        <v>0</v>
      </c>
      <c r="V87" s="17">
        <v>0</v>
      </c>
      <c r="W87" s="18">
        <v>21500</v>
      </c>
      <c r="X87" s="17">
        <v>387</v>
      </c>
      <c r="Y87" s="17">
        <v>347.01</v>
      </c>
      <c r="Z87" s="17"/>
      <c r="AA87" s="17"/>
      <c r="AB87" s="144">
        <v>0</v>
      </c>
      <c r="AC87" s="8">
        <f t="shared" si="12"/>
        <v>0</v>
      </c>
      <c r="AD87" s="11" t="str">
        <f>LEFT(details!E87,5)</f>
        <v>0.000</v>
      </c>
      <c r="AE87" s="42">
        <f t="shared" si="9"/>
        <v>0</v>
      </c>
      <c r="AF87" s="42">
        <f>VLOOKUP(C87,MC.5!B:P,15,FALSE)/3</f>
        <v>0</v>
      </c>
      <c r="AG87" s="152">
        <f t="shared" si="13"/>
        <v>0</v>
      </c>
      <c r="AH87" s="137" t="str">
        <f>VLOOKUP(F87,REF!B:C,2,FALSE)</f>
        <v>Secondary/ Component</v>
      </c>
      <c r="AI87" s="3" t="str">
        <f>VLOOKUP(G87,REF!E:F,2,FALSE)</f>
        <v>LABEL, IML, STICKER, SEALED ETC</v>
      </c>
    </row>
    <row r="88" spans="1:35" x14ac:dyDescent="0.3">
      <c r="A88" s="186" t="s">
        <v>1155</v>
      </c>
      <c r="B88" s="24" t="s">
        <v>1155</v>
      </c>
      <c r="C88" s="156">
        <v>322862</v>
      </c>
      <c r="D88" s="24" t="s">
        <v>84</v>
      </c>
      <c r="E88" s="24" t="s">
        <v>68</v>
      </c>
      <c r="F88" s="156">
        <v>65400</v>
      </c>
      <c r="G88" s="24" t="s">
        <v>1378</v>
      </c>
      <c r="H88" s="24" t="s">
        <v>1442</v>
      </c>
      <c r="I88" s="24" t="s">
        <v>1378</v>
      </c>
      <c r="J88" s="186" t="s">
        <v>1379</v>
      </c>
      <c r="K88" s="16">
        <v>300000</v>
      </c>
      <c r="L88" s="17">
        <v>48000</v>
      </c>
      <c r="M88" s="16">
        <v>17400</v>
      </c>
      <c r="N88" s="17">
        <v>2784</v>
      </c>
      <c r="O88" s="16">
        <v>0</v>
      </c>
      <c r="P88" s="17">
        <v>0</v>
      </c>
      <c r="Q88" s="16">
        <v>0</v>
      </c>
      <c r="R88" s="17">
        <v>0</v>
      </c>
      <c r="S88" s="16">
        <v>0</v>
      </c>
      <c r="T88" s="17">
        <v>0</v>
      </c>
      <c r="U88" s="16">
        <v>0</v>
      </c>
      <c r="V88" s="17">
        <v>0</v>
      </c>
      <c r="W88" s="18">
        <v>317400</v>
      </c>
      <c r="X88" s="17">
        <v>50784</v>
      </c>
      <c r="Y88" s="17">
        <v>0</v>
      </c>
      <c r="Z88" s="17"/>
      <c r="AA88" s="17"/>
      <c r="AB88" s="144">
        <v>0</v>
      </c>
      <c r="AC88" s="8">
        <f t="shared" si="12"/>
        <v>0</v>
      </c>
      <c r="AD88" s="11" t="str">
        <f>LEFT(details!E88,5)</f>
        <v>0.000</v>
      </c>
      <c r="AE88" s="42">
        <f t="shared" si="9"/>
        <v>0</v>
      </c>
      <c r="AF88" s="42">
        <f>VLOOKUP(C88,MC.5!B:P,15,FALSE)/3</f>
        <v>2736</v>
      </c>
      <c r="AG88" s="152">
        <f t="shared" si="13"/>
        <v>2736</v>
      </c>
      <c r="AH88" s="137" t="str">
        <f>VLOOKUP(F88,REF!B:C,2,FALSE)</f>
        <v>Secondary/ Component</v>
      </c>
      <c r="AI88" s="3" t="str">
        <f>VLOOKUP(G88,REF!E:F,2,FALSE)</f>
        <v>LABEL, IML, STICKER, SEALED ETC</v>
      </c>
    </row>
    <row r="89" spans="1:35" x14ac:dyDescent="0.3">
      <c r="A89" s="186" t="s">
        <v>1155</v>
      </c>
      <c r="B89" s="24" t="s">
        <v>1155</v>
      </c>
      <c r="C89" s="156">
        <v>322863</v>
      </c>
      <c r="D89" s="24" t="s">
        <v>230</v>
      </c>
      <c r="E89" s="24" t="s">
        <v>68</v>
      </c>
      <c r="F89" s="156">
        <v>65400</v>
      </c>
      <c r="G89" s="24" t="s">
        <v>1378</v>
      </c>
      <c r="H89" s="24" t="s">
        <v>1442</v>
      </c>
      <c r="I89" s="24" t="s">
        <v>1378</v>
      </c>
      <c r="J89" s="186" t="s">
        <v>1379</v>
      </c>
      <c r="K89" s="16">
        <v>0</v>
      </c>
      <c r="L89" s="17">
        <v>0</v>
      </c>
      <c r="M89" s="16">
        <v>0</v>
      </c>
      <c r="N89" s="17">
        <v>0</v>
      </c>
      <c r="O89" s="16">
        <v>0</v>
      </c>
      <c r="P89" s="17">
        <v>0</v>
      </c>
      <c r="Q89" s="16">
        <v>10000</v>
      </c>
      <c r="R89" s="17">
        <v>1500</v>
      </c>
      <c r="S89" s="16">
        <v>5800</v>
      </c>
      <c r="T89" s="17">
        <v>870</v>
      </c>
      <c r="U89" s="16">
        <v>0</v>
      </c>
      <c r="V89" s="17">
        <v>0</v>
      </c>
      <c r="W89" s="18">
        <v>15800</v>
      </c>
      <c r="X89" s="17">
        <v>2370</v>
      </c>
      <c r="Y89" s="17">
        <v>2370</v>
      </c>
      <c r="Z89" s="17"/>
      <c r="AA89" s="17"/>
      <c r="AB89" s="144">
        <v>0</v>
      </c>
      <c r="AC89" s="8">
        <f t="shared" si="12"/>
        <v>0</v>
      </c>
      <c r="AD89" s="11" t="str">
        <f>LEFT(details!E89,5)</f>
        <v>0.000</v>
      </c>
      <c r="AE89" s="42">
        <f t="shared" si="9"/>
        <v>0</v>
      </c>
      <c r="AF89" s="42">
        <f>VLOOKUP(C89,MC.5!B:P,15,FALSE)/3</f>
        <v>0</v>
      </c>
      <c r="AG89" s="152">
        <f t="shared" si="13"/>
        <v>0</v>
      </c>
      <c r="AH89" s="137" t="str">
        <f>VLOOKUP(F89,REF!B:C,2,FALSE)</f>
        <v>Secondary/ Component</v>
      </c>
      <c r="AI89" s="3" t="str">
        <f>VLOOKUP(G89,REF!E:F,2,FALSE)</f>
        <v>LABEL, IML, STICKER, SEALED ETC</v>
      </c>
    </row>
    <row r="90" spans="1:35" x14ac:dyDescent="0.3">
      <c r="A90" s="186" t="s">
        <v>1155</v>
      </c>
      <c r="B90" s="24" t="s">
        <v>1155</v>
      </c>
      <c r="C90" s="156">
        <v>322864</v>
      </c>
      <c r="D90" s="24" t="s">
        <v>85</v>
      </c>
      <c r="E90" s="24" t="s">
        <v>68</v>
      </c>
      <c r="F90" s="156">
        <v>65400</v>
      </c>
      <c r="G90" s="24" t="s">
        <v>1378</v>
      </c>
      <c r="H90" s="24" t="s">
        <v>1442</v>
      </c>
      <c r="I90" s="24" t="s">
        <v>1378</v>
      </c>
      <c r="J90" s="186" t="s">
        <v>1379</v>
      </c>
      <c r="K90" s="16">
        <v>32100</v>
      </c>
      <c r="L90" s="17">
        <v>2182.8000000000002</v>
      </c>
      <c r="M90" s="16">
        <v>0</v>
      </c>
      <c r="N90" s="17">
        <v>0</v>
      </c>
      <c r="O90" s="16">
        <v>0</v>
      </c>
      <c r="P90" s="17">
        <v>0</v>
      </c>
      <c r="Q90" s="16">
        <v>0</v>
      </c>
      <c r="R90" s="17">
        <v>0</v>
      </c>
      <c r="S90" s="16">
        <v>0</v>
      </c>
      <c r="T90" s="17">
        <v>0</v>
      </c>
      <c r="U90" s="16">
        <v>0</v>
      </c>
      <c r="V90" s="17">
        <v>0</v>
      </c>
      <c r="W90" s="18">
        <v>32100</v>
      </c>
      <c r="X90" s="17">
        <v>2182.8000000000002</v>
      </c>
      <c r="Y90" s="17">
        <v>0</v>
      </c>
      <c r="Z90" s="17">
        <v>5642.57</v>
      </c>
      <c r="AA90" s="17">
        <v>1880.85666666667</v>
      </c>
      <c r="AB90" s="144">
        <v>34.816050133184</v>
      </c>
      <c r="AC90" s="8">
        <f t="shared" si="12"/>
        <v>0</v>
      </c>
      <c r="AD90" s="11" t="str">
        <f>LEFT(details!E90,5)</f>
        <v>0.000</v>
      </c>
      <c r="AE90" s="42">
        <f t="shared" si="9"/>
        <v>1880.85666666667</v>
      </c>
      <c r="AF90" s="42">
        <f>VLOOKUP(C90,MC.5!B:P,15,FALSE)/3</f>
        <v>2209.4733333333334</v>
      </c>
      <c r="AG90" s="152">
        <f>AE90</f>
        <v>1880.85666666667</v>
      </c>
      <c r="AH90" s="137" t="str">
        <f>VLOOKUP(F90,REF!B:C,2,FALSE)</f>
        <v>Secondary/ Component</v>
      </c>
      <c r="AI90" s="3" t="str">
        <f>VLOOKUP(G90,REF!E:F,2,FALSE)</f>
        <v>LABEL, IML, STICKER, SEALED ETC</v>
      </c>
    </row>
    <row r="91" spans="1:35" x14ac:dyDescent="0.3">
      <c r="A91" s="186" t="s">
        <v>1155</v>
      </c>
      <c r="B91" s="24" t="s">
        <v>1155</v>
      </c>
      <c r="C91" s="156">
        <v>323017</v>
      </c>
      <c r="D91" s="24" t="s">
        <v>190</v>
      </c>
      <c r="E91" s="24" t="s">
        <v>68</v>
      </c>
      <c r="F91" s="156">
        <v>65400</v>
      </c>
      <c r="G91" s="24" t="s">
        <v>1378</v>
      </c>
      <c r="H91" s="24" t="s">
        <v>1442</v>
      </c>
      <c r="I91" s="24" t="s">
        <v>1378</v>
      </c>
      <c r="J91" s="186" t="s">
        <v>1379</v>
      </c>
      <c r="K91" s="16">
        <v>0</v>
      </c>
      <c r="L91" s="17">
        <v>0</v>
      </c>
      <c r="M91" s="16">
        <v>0</v>
      </c>
      <c r="N91" s="17">
        <v>0</v>
      </c>
      <c r="O91" s="16">
        <v>0</v>
      </c>
      <c r="P91" s="17">
        <v>0</v>
      </c>
      <c r="Q91" s="16">
        <v>29750</v>
      </c>
      <c r="R91" s="17">
        <v>416.5</v>
      </c>
      <c r="S91" s="16">
        <v>0</v>
      </c>
      <c r="T91" s="17">
        <v>0</v>
      </c>
      <c r="U91" s="16">
        <v>0</v>
      </c>
      <c r="V91" s="17">
        <v>0</v>
      </c>
      <c r="W91" s="18">
        <v>29750</v>
      </c>
      <c r="X91" s="17">
        <v>416.5</v>
      </c>
      <c r="Y91" s="17">
        <v>185.13</v>
      </c>
      <c r="Z91" s="17"/>
      <c r="AA91" s="17"/>
      <c r="AB91" s="144">
        <v>0</v>
      </c>
      <c r="AC91" s="8">
        <f t="shared" si="12"/>
        <v>0</v>
      </c>
      <c r="AD91" s="11" t="str">
        <f>LEFT(details!E91,5)</f>
        <v>0.000</v>
      </c>
      <c r="AE91" s="42">
        <f t="shared" si="9"/>
        <v>0</v>
      </c>
      <c r="AF91" s="42">
        <f>VLOOKUP(C91,MC.5!B:P,15,FALSE)/3</f>
        <v>0</v>
      </c>
      <c r="AG91" s="152">
        <f t="shared" ref="AG91:AG92" si="14">AF91</f>
        <v>0</v>
      </c>
      <c r="AH91" s="137" t="str">
        <f>VLOOKUP(F91,REF!B:C,2,FALSE)</f>
        <v>Secondary/ Component</v>
      </c>
      <c r="AI91" s="3" t="str">
        <f>VLOOKUP(G91,REF!E:F,2,FALSE)</f>
        <v>LABEL, IML, STICKER, SEALED ETC</v>
      </c>
    </row>
    <row r="92" spans="1:35" x14ac:dyDescent="0.3">
      <c r="A92" s="186" t="s">
        <v>1155</v>
      </c>
      <c r="B92" s="24" t="s">
        <v>1155</v>
      </c>
      <c r="C92" s="156">
        <v>323019</v>
      </c>
      <c r="D92" s="24" t="s">
        <v>86</v>
      </c>
      <c r="E92" s="24" t="s">
        <v>68</v>
      </c>
      <c r="F92" s="156">
        <v>65400</v>
      </c>
      <c r="G92" s="24" t="s">
        <v>1378</v>
      </c>
      <c r="H92" s="24" t="s">
        <v>1442</v>
      </c>
      <c r="I92" s="24" t="s">
        <v>1378</v>
      </c>
      <c r="J92" s="186" t="s">
        <v>1379</v>
      </c>
      <c r="K92" s="16">
        <v>10000</v>
      </c>
      <c r="L92" s="17">
        <v>300</v>
      </c>
      <c r="M92" s="16">
        <v>0</v>
      </c>
      <c r="N92" s="17">
        <v>0</v>
      </c>
      <c r="O92" s="16">
        <v>0</v>
      </c>
      <c r="P92" s="17">
        <v>0</v>
      </c>
      <c r="Q92" s="16">
        <v>10000</v>
      </c>
      <c r="R92" s="17">
        <v>300</v>
      </c>
      <c r="S92" s="16">
        <v>9000</v>
      </c>
      <c r="T92" s="17">
        <v>270</v>
      </c>
      <c r="U92" s="16">
        <v>0</v>
      </c>
      <c r="V92" s="17">
        <v>0</v>
      </c>
      <c r="W92" s="18">
        <v>29000</v>
      </c>
      <c r="X92" s="17">
        <v>870</v>
      </c>
      <c r="Y92" s="17">
        <v>386.68</v>
      </c>
      <c r="Z92" s="17"/>
      <c r="AA92" s="17"/>
      <c r="AB92" s="144">
        <v>0</v>
      </c>
      <c r="AC92" s="8">
        <f t="shared" si="12"/>
        <v>0</v>
      </c>
      <c r="AD92" s="11" t="str">
        <f>LEFT(details!E92,5)</f>
        <v>0.000</v>
      </c>
      <c r="AE92" s="42">
        <f t="shared" si="9"/>
        <v>0</v>
      </c>
      <c r="AF92" s="42">
        <f>VLOOKUP(C92,MC.5!B:P,15,FALSE)/3</f>
        <v>0</v>
      </c>
      <c r="AG92" s="152">
        <f t="shared" si="14"/>
        <v>0</v>
      </c>
      <c r="AH92" s="137" t="str">
        <f>VLOOKUP(F92,REF!B:C,2,FALSE)</f>
        <v>Secondary/ Component</v>
      </c>
      <c r="AI92" s="3" t="str">
        <f>VLOOKUP(G92,REF!E:F,2,FALSE)</f>
        <v>LABEL, IML, STICKER, SEALED ETC</v>
      </c>
    </row>
    <row r="93" spans="1:35" x14ac:dyDescent="0.3">
      <c r="A93" s="186" t="s">
        <v>1155</v>
      </c>
      <c r="B93" s="24" t="s">
        <v>1155</v>
      </c>
      <c r="C93" s="156">
        <v>323072</v>
      </c>
      <c r="D93" s="24" t="s">
        <v>276</v>
      </c>
      <c r="E93" s="24" t="s">
        <v>270</v>
      </c>
      <c r="F93" s="156">
        <v>60104</v>
      </c>
      <c r="G93" s="24" t="s">
        <v>1439</v>
      </c>
      <c r="H93" s="24" t="s">
        <v>1368</v>
      </c>
      <c r="I93" s="24" t="s">
        <v>1368</v>
      </c>
      <c r="J93" s="186" t="s">
        <v>1367</v>
      </c>
      <c r="K93" s="16">
        <v>14573</v>
      </c>
      <c r="L93" s="17">
        <v>4080.44</v>
      </c>
      <c r="M93" s="16">
        <v>0</v>
      </c>
      <c r="N93" s="17">
        <v>0</v>
      </c>
      <c r="O93" s="16">
        <v>0</v>
      </c>
      <c r="P93" s="17">
        <v>0</v>
      </c>
      <c r="Q93" s="16">
        <v>0</v>
      </c>
      <c r="R93" s="17">
        <v>0</v>
      </c>
      <c r="S93" s="16">
        <v>0</v>
      </c>
      <c r="T93" s="17">
        <v>0</v>
      </c>
      <c r="U93" s="16">
        <v>0</v>
      </c>
      <c r="V93" s="17">
        <v>0</v>
      </c>
      <c r="W93" s="18">
        <v>14573</v>
      </c>
      <c r="X93" s="17">
        <v>4080.44</v>
      </c>
      <c r="Y93" s="17">
        <v>0</v>
      </c>
      <c r="Z93" s="17">
        <v>309.60000000000002</v>
      </c>
      <c r="AA93" s="17">
        <v>103.2</v>
      </c>
      <c r="AB93" s="144">
        <v>1186.1744186046501</v>
      </c>
      <c r="AC93" s="8">
        <f t="shared" si="12"/>
        <v>502.76850000000002</v>
      </c>
      <c r="AD93" s="11" t="str">
        <f>LEFT(details!E93,5)</f>
        <v>34.50</v>
      </c>
      <c r="AE93" s="42">
        <f t="shared" si="9"/>
        <v>103.2</v>
      </c>
      <c r="AF93" s="42">
        <f>VLOOKUP(C93,MC.5!B:P,15,FALSE)/3</f>
        <v>1477.5633333333333</v>
      </c>
      <c r="AG93" s="152">
        <f t="shared" ref="AG91:AG111" si="15">AE93</f>
        <v>103.2</v>
      </c>
      <c r="AH93" s="137" t="str">
        <f>VLOOKUP(F93,REF!B:C,2,FALSE)</f>
        <v>PET</v>
      </c>
      <c r="AI93" s="3" t="str">
        <f>VLOOKUP(G93,REF!E:F,2,FALSE)</f>
        <v>Jar /Container/Tub</v>
      </c>
    </row>
    <row r="94" spans="1:35" x14ac:dyDescent="0.3">
      <c r="A94" s="186" t="s">
        <v>1155</v>
      </c>
      <c r="B94" s="24" t="s">
        <v>1155</v>
      </c>
      <c r="C94" s="156">
        <v>323091</v>
      </c>
      <c r="D94" s="24" t="s">
        <v>87</v>
      </c>
      <c r="E94" s="24" t="s">
        <v>88</v>
      </c>
      <c r="F94" s="156">
        <v>60104</v>
      </c>
      <c r="G94" s="24" t="s">
        <v>1438</v>
      </c>
      <c r="H94" s="24" t="s">
        <v>1366</v>
      </c>
      <c r="I94" s="24" t="s">
        <v>1366</v>
      </c>
      <c r="J94" s="186" t="s">
        <v>1367</v>
      </c>
      <c r="K94" s="16">
        <v>17850</v>
      </c>
      <c r="L94" s="17">
        <v>8746.5</v>
      </c>
      <c r="M94" s="16">
        <v>0</v>
      </c>
      <c r="N94" s="17">
        <v>0</v>
      </c>
      <c r="O94" s="16">
        <v>0</v>
      </c>
      <c r="P94" s="17">
        <v>0</v>
      </c>
      <c r="Q94" s="16">
        <v>0</v>
      </c>
      <c r="R94" s="17">
        <v>0</v>
      </c>
      <c r="S94" s="16">
        <v>0</v>
      </c>
      <c r="T94" s="17">
        <v>0</v>
      </c>
      <c r="U94" s="16">
        <v>0</v>
      </c>
      <c r="V94" s="17">
        <v>0</v>
      </c>
      <c r="W94" s="18">
        <v>17850</v>
      </c>
      <c r="X94" s="17">
        <v>8746.5</v>
      </c>
      <c r="Y94" s="17">
        <v>0</v>
      </c>
      <c r="Z94" s="17">
        <v>17638.439999999999</v>
      </c>
      <c r="AA94" s="17">
        <v>5879.48</v>
      </c>
      <c r="AB94" s="144">
        <v>44.628946777606203</v>
      </c>
      <c r="AC94" s="8">
        <f t="shared" si="12"/>
        <v>1071</v>
      </c>
      <c r="AD94" s="11" t="str">
        <f>LEFT(details!E94,5)</f>
        <v>60.00</v>
      </c>
      <c r="AE94" s="42">
        <f t="shared" si="9"/>
        <v>5879.48</v>
      </c>
      <c r="AF94" s="42">
        <f>VLOOKUP(C94,MC.5!B:P,15,FALSE)/3</f>
        <v>5879.48</v>
      </c>
      <c r="AG94" s="152">
        <f t="shared" si="15"/>
        <v>5879.48</v>
      </c>
      <c r="AH94" s="137" t="str">
        <f>VLOOKUP(F94,REF!B:C,2,FALSE)</f>
        <v>PET</v>
      </c>
      <c r="AI94" s="3" t="str">
        <f>VLOOKUP(G94,REF!E:F,2,FALSE)</f>
        <v>Bottle</v>
      </c>
    </row>
    <row r="95" spans="1:35" x14ac:dyDescent="0.3">
      <c r="A95" s="186" t="s">
        <v>1155</v>
      </c>
      <c r="B95" s="24" t="s">
        <v>1155</v>
      </c>
      <c r="C95" s="156">
        <v>323092</v>
      </c>
      <c r="D95" s="24" t="s">
        <v>89</v>
      </c>
      <c r="E95" s="24" t="s">
        <v>90</v>
      </c>
      <c r="F95" s="156">
        <v>60104</v>
      </c>
      <c r="G95" s="24" t="s">
        <v>1438</v>
      </c>
      <c r="H95" s="24" t="s">
        <v>1366</v>
      </c>
      <c r="I95" s="24" t="s">
        <v>1366</v>
      </c>
      <c r="J95" s="186" t="s">
        <v>1367</v>
      </c>
      <c r="K95" s="16">
        <v>27825</v>
      </c>
      <c r="L95" s="17">
        <v>12799.5</v>
      </c>
      <c r="M95" s="16">
        <v>0</v>
      </c>
      <c r="N95" s="17">
        <v>0</v>
      </c>
      <c r="O95" s="16">
        <v>0</v>
      </c>
      <c r="P95" s="17">
        <v>0</v>
      </c>
      <c r="Q95" s="16">
        <v>0</v>
      </c>
      <c r="R95" s="17">
        <v>0</v>
      </c>
      <c r="S95" s="16">
        <v>0</v>
      </c>
      <c r="T95" s="17">
        <v>0</v>
      </c>
      <c r="U95" s="16">
        <v>0</v>
      </c>
      <c r="V95" s="17">
        <v>0</v>
      </c>
      <c r="W95" s="18">
        <v>27825</v>
      </c>
      <c r="X95" s="17">
        <v>12799.5</v>
      </c>
      <c r="Y95" s="17">
        <v>0</v>
      </c>
      <c r="Z95" s="17">
        <v>34753.699999999997</v>
      </c>
      <c r="AA95" s="17">
        <v>11584.5666666667</v>
      </c>
      <c r="AB95" s="144">
        <v>33.146254931129597</v>
      </c>
      <c r="AC95" s="8">
        <f t="shared" si="12"/>
        <v>1330.0350000000001</v>
      </c>
      <c r="AD95" s="11" t="str">
        <f>LEFT(details!E95,5)</f>
        <v>47.80</v>
      </c>
      <c r="AE95" s="42">
        <f t="shared" si="9"/>
        <v>11584.5666666667</v>
      </c>
      <c r="AF95" s="42">
        <f>VLOOKUP(C95,MC.5!B:P,15,FALSE)/3</f>
        <v>11584.566666666666</v>
      </c>
      <c r="AG95" s="152">
        <f t="shared" si="15"/>
        <v>11584.5666666667</v>
      </c>
      <c r="AH95" s="137" t="str">
        <f>VLOOKUP(F95,REF!B:C,2,FALSE)</f>
        <v>PET</v>
      </c>
      <c r="AI95" s="3" t="str">
        <f>VLOOKUP(G95,REF!E:F,2,FALSE)</f>
        <v>Bottle</v>
      </c>
    </row>
    <row r="96" spans="1:35" x14ac:dyDescent="0.3">
      <c r="A96" s="186" t="s">
        <v>1155</v>
      </c>
      <c r="B96" s="24" t="s">
        <v>1155</v>
      </c>
      <c r="C96" s="156">
        <v>323102</v>
      </c>
      <c r="D96" s="24" t="s">
        <v>91</v>
      </c>
      <c r="E96" s="24" t="s">
        <v>43</v>
      </c>
      <c r="F96" s="156">
        <v>60104</v>
      </c>
      <c r="G96" s="24" t="s">
        <v>1438</v>
      </c>
      <c r="H96" s="24" t="s">
        <v>1366</v>
      </c>
      <c r="I96" s="24" t="s">
        <v>1366</v>
      </c>
      <c r="J96" s="186" t="s">
        <v>1367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>
        <v>29315.32</v>
      </c>
      <c r="AA96" s="17">
        <v>9771.7733333333308</v>
      </c>
      <c r="AB96" s="144"/>
      <c r="AC96" s="8">
        <f t="shared" ref="AC95:AC99" si="16">(AD96*W96)/1000</f>
        <v>0</v>
      </c>
      <c r="AD96" s="11" t="str">
        <f>LEFT(details!E96,5)</f>
        <v>55.00</v>
      </c>
      <c r="AE96" s="42">
        <f t="shared" si="9"/>
        <v>9771.7733333333308</v>
      </c>
      <c r="AF96" s="42">
        <f>VLOOKUP(C96,MC.5!B:P,15,FALSE)/3</f>
        <v>9771.7733333333326</v>
      </c>
      <c r="AG96" s="152">
        <f t="shared" si="15"/>
        <v>9771.7733333333308</v>
      </c>
      <c r="AH96" s="137" t="str">
        <f>VLOOKUP(F96,REF!B:C,2,FALSE)</f>
        <v>PET</v>
      </c>
      <c r="AI96" s="3" t="str">
        <f>VLOOKUP(G96,REF!E:F,2,FALSE)</f>
        <v>Bottle</v>
      </c>
    </row>
    <row r="97" spans="1:35" x14ac:dyDescent="0.3">
      <c r="A97" s="186" t="s">
        <v>1155</v>
      </c>
      <c r="B97" s="24" t="s">
        <v>1155</v>
      </c>
      <c r="C97" s="156">
        <v>323107</v>
      </c>
      <c r="D97" s="24" t="s">
        <v>1169</v>
      </c>
      <c r="E97" s="24" t="s">
        <v>43</v>
      </c>
      <c r="F97" s="156">
        <v>60104</v>
      </c>
      <c r="G97" s="24" t="s">
        <v>1438</v>
      </c>
      <c r="H97" s="24" t="s">
        <v>1366</v>
      </c>
      <c r="I97" s="24" t="s">
        <v>1366</v>
      </c>
      <c r="J97" s="186" t="s">
        <v>1367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>
        <v>9945.6</v>
      </c>
      <c r="AA97" s="17">
        <v>3315.2</v>
      </c>
      <c r="AB97" s="144"/>
      <c r="AC97" s="8">
        <f t="shared" si="16"/>
        <v>0</v>
      </c>
      <c r="AD97" s="11" t="str">
        <f>LEFT(details!E97,5)</f>
        <v>55.00</v>
      </c>
      <c r="AE97" s="42">
        <f t="shared" si="9"/>
        <v>3315.2</v>
      </c>
      <c r="AF97" s="42">
        <f>VLOOKUP(C97,MC.5!B:P,15,FALSE)/3</f>
        <v>3315.2000000000003</v>
      </c>
      <c r="AG97" s="152">
        <f t="shared" si="15"/>
        <v>3315.2</v>
      </c>
      <c r="AH97" s="137" t="str">
        <f>VLOOKUP(F97,REF!B:C,2,FALSE)</f>
        <v>PET</v>
      </c>
      <c r="AI97" s="3" t="str">
        <f>VLOOKUP(G97,REF!E:F,2,FALSE)</f>
        <v>Bottle</v>
      </c>
    </row>
    <row r="98" spans="1:35" x14ac:dyDescent="0.3">
      <c r="A98" s="186" t="s">
        <v>1155</v>
      </c>
      <c r="B98" s="24" t="s">
        <v>1155</v>
      </c>
      <c r="C98" s="156">
        <v>323111</v>
      </c>
      <c r="D98" s="24" t="s">
        <v>2049</v>
      </c>
      <c r="E98" s="24" t="s">
        <v>2691</v>
      </c>
      <c r="F98" s="156">
        <v>60104</v>
      </c>
      <c r="G98" s="24" t="s">
        <v>1438</v>
      </c>
      <c r="H98" s="24" t="s">
        <v>1366</v>
      </c>
      <c r="I98" s="24" t="s">
        <v>1366</v>
      </c>
      <c r="J98" s="186" t="s">
        <v>1367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>
        <v>4084.8</v>
      </c>
      <c r="AA98" s="17">
        <v>1361.6</v>
      </c>
      <c r="AB98" s="144"/>
      <c r="AC98" s="8">
        <f t="shared" si="16"/>
        <v>0</v>
      </c>
      <c r="AD98" s="11" t="str">
        <f>LEFT(details!E98,5)</f>
        <v>72.00</v>
      </c>
      <c r="AE98" s="42">
        <f t="shared" si="9"/>
        <v>1361.6</v>
      </c>
      <c r="AF98" s="42">
        <f>VLOOKUP(C98,MC.5!B:P,15,FALSE)/3</f>
        <v>1361.6000000000001</v>
      </c>
      <c r="AG98" s="152">
        <f t="shared" si="15"/>
        <v>1361.6</v>
      </c>
      <c r="AH98" s="137" t="str">
        <f>VLOOKUP(F98,REF!B:C,2,FALSE)</f>
        <v>PET</v>
      </c>
      <c r="AI98" s="3" t="str">
        <f>VLOOKUP(G98,REF!E:F,2,FALSE)</f>
        <v>Bottle</v>
      </c>
    </row>
    <row r="99" spans="1:35" x14ac:dyDescent="0.3">
      <c r="A99" s="186" t="s">
        <v>1155</v>
      </c>
      <c r="B99" s="24" t="s">
        <v>1155</v>
      </c>
      <c r="C99" s="156">
        <v>323133</v>
      </c>
      <c r="D99" s="24" t="s">
        <v>92</v>
      </c>
      <c r="E99" s="24" t="s">
        <v>93</v>
      </c>
      <c r="F99" s="156">
        <v>60104</v>
      </c>
      <c r="G99" s="24" t="s">
        <v>1438</v>
      </c>
      <c r="H99" s="24" t="s">
        <v>1366</v>
      </c>
      <c r="I99" s="24" t="s">
        <v>1366</v>
      </c>
      <c r="J99" s="186" t="s">
        <v>1367</v>
      </c>
      <c r="K99" s="16">
        <v>13248</v>
      </c>
      <c r="L99" s="17">
        <v>8611.2000000000007</v>
      </c>
      <c r="M99" s="16">
        <v>0</v>
      </c>
      <c r="N99" s="17">
        <v>0</v>
      </c>
      <c r="O99" s="16">
        <v>0</v>
      </c>
      <c r="P99" s="17">
        <v>0</v>
      </c>
      <c r="Q99" s="16">
        <v>0</v>
      </c>
      <c r="R99" s="17">
        <v>0</v>
      </c>
      <c r="S99" s="16">
        <v>0</v>
      </c>
      <c r="T99" s="17">
        <v>0</v>
      </c>
      <c r="U99" s="16">
        <v>0</v>
      </c>
      <c r="V99" s="17">
        <v>0</v>
      </c>
      <c r="W99" s="18">
        <v>13248</v>
      </c>
      <c r="X99" s="17">
        <v>8611.2000000000007</v>
      </c>
      <c r="Y99" s="17">
        <v>0</v>
      </c>
      <c r="Z99" s="17">
        <v>43707.08</v>
      </c>
      <c r="AA99" s="17">
        <v>14569.026666666699</v>
      </c>
      <c r="AB99" s="144">
        <v>17.731864036673201</v>
      </c>
      <c r="AC99" s="8">
        <f>(AD99*W99)/1000</f>
        <v>1033.3440000000001</v>
      </c>
      <c r="AD99" s="11" t="str">
        <f>LEFT(details!E99,5)</f>
        <v>78.00</v>
      </c>
      <c r="AE99" s="42">
        <f t="shared" si="9"/>
        <v>14569.026666666699</v>
      </c>
      <c r="AF99" s="42">
        <f>VLOOKUP(C99,MC.5!B:P,15,FALSE)/3</f>
        <v>14569.026666666667</v>
      </c>
      <c r="AG99" s="152">
        <f t="shared" si="15"/>
        <v>14569.026666666699</v>
      </c>
      <c r="AH99" s="137" t="str">
        <f>VLOOKUP(F99,REF!B:C,2,FALSE)</f>
        <v>PET</v>
      </c>
      <c r="AI99" s="3" t="str">
        <f>VLOOKUP(G99,REF!E:F,2,FALSE)</f>
        <v>Bottle</v>
      </c>
    </row>
    <row r="100" spans="1:35" x14ac:dyDescent="0.3">
      <c r="A100" s="186" t="s">
        <v>1155</v>
      </c>
      <c r="B100" s="24" t="s">
        <v>1155</v>
      </c>
      <c r="C100" s="156">
        <v>323509</v>
      </c>
      <c r="D100" s="24" t="s">
        <v>1909</v>
      </c>
      <c r="E100" s="24" t="s">
        <v>274</v>
      </c>
      <c r="F100" s="156">
        <v>60106</v>
      </c>
      <c r="G100" s="24" t="s">
        <v>1440</v>
      </c>
      <c r="H100" s="24" t="s">
        <v>1369</v>
      </c>
      <c r="I100" s="24" t="s">
        <v>1369</v>
      </c>
      <c r="J100" s="186" t="s">
        <v>1367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>
        <v>2553.8000000000002</v>
      </c>
      <c r="AA100" s="17">
        <v>851.26666666666699</v>
      </c>
      <c r="AB100" s="144"/>
      <c r="AC100" s="8">
        <f t="shared" ref="AC100:AC109" si="17">(AD100*W100)/1000</f>
        <v>0</v>
      </c>
      <c r="AD100" s="11" t="str">
        <f>LEFT(details!E100,5)</f>
        <v>4.850</v>
      </c>
      <c r="AE100" s="42">
        <f t="shared" si="9"/>
        <v>851.26666666666699</v>
      </c>
      <c r="AF100" s="42">
        <f>VLOOKUP(C100,MC.5!B:P,15,FALSE)/3</f>
        <v>851.26666666666677</v>
      </c>
      <c r="AG100" s="152">
        <f t="shared" si="15"/>
        <v>851.26666666666699</v>
      </c>
      <c r="AH100" s="137" t="str">
        <f>VLOOKUP(F100,REF!B:C,2,FALSE)</f>
        <v>PP</v>
      </c>
      <c r="AI100" s="3" t="str">
        <f>VLOOKUP(G100,REF!E:F,2,FALSE)</f>
        <v>Closure/Lid/ Handle</v>
      </c>
    </row>
    <row r="101" spans="1:35" x14ac:dyDescent="0.3">
      <c r="A101" s="186" t="s">
        <v>1155</v>
      </c>
      <c r="B101" s="24" t="s">
        <v>1155</v>
      </c>
      <c r="C101" s="156">
        <v>324156</v>
      </c>
      <c r="D101" s="24" t="s">
        <v>94</v>
      </c>
      <c r="E101" s="24" t="s">
        <v>259</v>
      </c>
      <c r="F101" s="156">
        <v>60105</v>
      </c>
      <c r="G101" s="24" t="s">
        <v>1441</v>
      </c>
      <c r="H101" s="24" t="s">
        <v>1370</v>
      </c>
      <c r="I101" s="24" t="s">
        <v>1370</v>
      </c>
      <c r="J101" s="186" t="s">
        <v>1367</v>
      </c>
      <c r="K101" s="16">
        <v>26000</v>
      </c>
      <c r="L101" s="17">
        <v>2813.46</v>
      </c>
      <c r="M101" s="16">
        <v>0</v>
      </c>
      <c r="N101" s="17">
        <v>0</v>
      </c>
      <c r="O101" s="16">
        <v>0</v>
      </c>
      <c r="P101" s="17">
        <v>0</v>
      </c>
      <c r="Q101" s="16">
        <v>0</v>
      </c>
      <c r="R101" s="17">
        <v>0</v>
      </c>
      <c r="S101" s="16">
        <v>0</v>
      </c>
      <c r="T101" s="17">
        <v>0</v>
      </c>
      <c r="U101" s="16">
        <v>0</v>
      </c>
      <c r="V101" s="17">
        <v>0</v>
      </c>
      <c r="W101" s="18">
        <v>26000</v>
      </c>
      <c r="X101" s="17">
        <v>2813.46</v>
      </c>
      <c r="Y101" s="17">
        <v>0</v>
      </c>
      <c r="Z101" s="17">
        <v>3246.25</v>
      </c>
      <c r="AA101" s="17">
        <v>1082.0833333333301</v>
      </c>
      <c r="AB101" s="144">
        <v>78.001201386214902</v>
      </c>
      <c r="AC101" s="8">
        <f t="shared" si="17"/>
        <v>189.8</v>
      </c>
      <c r="AD101" s="11" t="str">
        <f>LEFT(details!E101,5)</f>
        <v>7.300</v>
      </c>
      <c r="AE101" s="42">
        <f t="shared" si="9"/>
        <v>1082.0833333333301</v>
      </c>
      <c r="AF101" s="42">
        <f>VLOOKUP(C101,MC.5!B:P,15,FALSE)/3</f>
        <v>1082.0833333333333</v>
      </c>
      <c r="AG101" s="152">
        <f t="shared" si="15"/>
        <v>1082.0833333333301</v>
      </c>
      <c r="AH101" s="137" t="str">
        <f>VLOOKUP(F101,REF!B:C,2,FALSE)</f>
        <v>PE</v>
      </c>
      <c r="AI101" s="3" t="str">
        <f>VLOOKUP(G101,REF!E:F,2,FALSE)</f>
        <v>Closure/Lid/ Handle</v>
      </c>
    </row>
    <row r="102" spans="1:35" x14ac:dyDescent="0.3">
      <c r="A102" s="186" t="s">
        <v>1155</v>
      </c>
      <c r="B102" s="24" t="s">
        <v>1155</v>
      </c>
      <c r="C102" s="156">
        <v>324163</v>
      </c>
      <c r="D102" s="24" t="s">
        <v>95</v>
      </c>
      <c r="E102" s="24" t="s">
        <v>277</v>
      </c>
      <c r="F102" s="156">
        <v>60104</v>
      </c>
      <c r="G102" s="24" t="s">
        <v>1438</v>
      </c>
      <c r="H102" s="24" t="s">
        <v>1366</v>
      </c>
      <c r="I102" s="24" t="s">
        <v>1366</v>
      </c>
      <c r="J102" s="186" t="s">
        <v>1367</v>
      </c>
      <c r="K102" s="16">
        <v>8763</v>
      </c>
      <c r="L102" s="17">
        <v>1927.86</v>
      </c>
      <c r="M102" s="16">
        <v>0</v>
      </c>
      <c r="N102" s="17">
        <v>0</v>
      </c>
      <c r="O102" s="16">
        <v>0</v>
      </c>
      <c r="P102" s="17">
        <v>0</v>
      </c>
      <c r="Q102" s="16">
        <v>0</v>
      </c>
      <c r="R102" s="17">
        <v>0</v>
      </c>
      <c r="S102" s="16">
        <v>0</v>
      </c>
      <c r="T102" s="17">
        <v>0</v>
      </c>
      <c r="U102" s="16">
        <v>0</v>
      </c>
      <c r="V102" s="17">
        <v>0</v>
      </c>
      <c r="W102" s="18">
        <v>8763</v>
      </c>
      <c r="X102" s="17">
        <v>1927.86</v>
      </c>
      <c r="Y102" s="17">
        <v>0</v>
      </c>
      <c r="Z102" s="17">
        <v>24086.83</v>
      </c>
      <c r="AA102" s="17">
        <v>8028.94333333333</v>
      </c>
      <c r="AB102" s="144">
        <v>7.2034136496998604</v>
      </c>
      <c r="AC102" s="8">
        <f t="shared" si="17"/>
        <v>205.93049999999999</v>
      </c>
      <c r="AD102" s="11" t="str">
        <f>LEFT(details!E102,5)</f>
        <v>23.50</v>
      </c>
      <c r="AE102" s="42">
        <f t="shared" si="9"/>
        <v>8028.94333333333</v>
      </c>
      <c r="AF102" s="42">
        <f>VLOOKUP(C102,MC.5!B:P,15,FALSE)/3</f>
        <v>8028.94</v>
      </c>
      <c r="AG102" s="152">
        <f t="shared" si="15"/>
        <v>8028.94333333333</v>
      </c>
      <c r="AH102" s="137" t="str">
        <f>VLOOKUP(F102,REF!B:C,2,FALSE)</f>
        <v>PET</v>
      </c>
      <c r="AI102" s="3" t="str">
        <f>VLOOKUP(G102,REF!E:F,2,FALSE)</f>
        <v>Bottle</v>
      </c>
    </row>
    <row r="103" spans="1:35" x14ac:dyDescent="0.3">
      <c r="A103" s="186" t="s">
        <v>1155</v>
      </c>
      <c r="B103" s="24" t="s">
        <v>1155</v>
      </c>
      <c r="C103" s="156">
        <v>324165</v>
      </c>
      <c r="D103" s="24" t="s">
        <v>191</v>
      </c>
      <c r="E103" s="24" t="s">
        <v>24</v>
      </c>
      <c r="F103" s="156">
        <v>60104</v>
      </c>
      <c r="G103" s="24" t="s">
        <v>1439</v>
      </c>
      <c r="H103" s="24" t="s">
        <v>1368</v>
      </c>
      <c r="I103" s="24" t="s">
        <v>1368</v>
      </c>
      <c r="J103" s="186" t="s">
        <v>1367</v>
      </c>
      <c r="K103" s="16">
        <v>3552</v>
      </c>
      <c r="L103" s="17">
        <v>1065.5999999999999</v>
      </c>
      <c r="M103" s="16">
        <v>0</v>
      </c>
      <c r="N103" s="17">
        <v>0</v>
      </c>
      <c r="O103" s="16">
        <v>0</v>
      </c>
      <c r="P103" s="17">
        <v>0</v>
      </c>
      <c r="Q103" s="16">
        <v>0</v>
      </c>
      <c r="R103" s="17">
        <v>0</v>
      </c>
      <c r="S103" s="16">
        <v>0</v>
      </c>
      <c r="T103" s="17">
        <v>0</v>
      </c>
      <c r="U103" s="16">
        <v>0</v>
      </c>
      <c r="V103" s="17">
        <v>0</v>
      </c>
      <c r="W103" s="18">
        <v>3552</v>
      </c>
      <c r="X103" s="17">
        <v>1065.5999999999999</v>
      </c>
      <c r="Y103" s="17">
        <v>0</v>
      </c>
      <c r="Z103" s="17">
        <v>100892.2</v>
      </c>
      <c r="AA103" s="17">
        <v>33630.733333333301</v>
      </c>
      <c r="AB103" s="144">
        <v>0.95055911160624895</v>
      </c>
      <c r="AC103" s="8">
        <f t="shared" si="17"/>
        <v>117.21599999999999</v>
      </c>
      <c r="AD103" s="11" t="str">
        <f>LEFT(details!E103,5)</f>
        <v>33.00</v>
      </c>
      <c r="AE103" s="42">
        <f t="shared" si="9"/>
        <v>33630.733333333301</v>
      </c>
      <c r="AF103" s="42">
        <f>VLOOKUP(C103,MC.5!B:P,15,FALSE)/3</f>
        <v>33630.720000000001</v>
      </c>
      <c r="AG103" s="152">
        <f t="shared" si="15"/>
        <v>33630.733333333301</v>
      </c>
      <c r="AH103" s="137" t="str">
        <f>VLOOKUP(F103,REF!B:C,2,FALSE)</f>
        <v>PET</v>
      </c>
      <c r="AI103" s="3" t="str">
        <f>VLOOKUP(G103,REF!E:F,2,FALSE)</f>
        <v>Jar /Container/Tub</v>
      </c>
    </row>
    <row r="104" spans="1:35" x14ac:dyDescent="0.3">
      <c r="A104" s="186" t="s">
        <v>1155</v>
      </c>
      <c r="B104" s="24" t="s">
        <v>1155</v>
      </c>
      <c r="C104" s="156">
        <v>324173</v>
      </c>
      <c r="D104" s="24" t="s">
        <v>96</v>
      </c>
      <c r="E104" s="24" t="s">
        <v>270</v>
      </c>
      <c r="F104" s="156">
        <v>60104</v>
      </c>
      <c r="G104" s="24" t="s">
        <v>1439</v>
      </c>
      <c r="H104" s="24" t="s">
        <v>1368</v>
      </c>
      <c r="I104" s="24" t="s">
        <v>1368</v>
      </c>
      <c r="J104" s="186" t="s">
        <v>1367</v>
      </c>
      <c r="K104" s="16">
        <v>30450</v>
      </c>
      <c r="L104" s="17">
        <v>8221.5</v>
      </c>
      <c r="M104" s="16">
        <v>0</v>
      </c>
      <c r="N104" s="17">
        <v>0</v>
      </c>
      <c r="O104" s="16">
        <v>0</v>
      </c>
      <c r="P104" s="17">
        <v>0</v>
      </c>
      <c r="Q104" s="16">
        <v>0</v>
      </c>
      <c r="R104" s="17">
        <v>0</v>
      </c>
      <c r="S104" s="16">
        <v>0</v>
      </c>
      <c r="T104" s="17">
        <v>0</v>
      </c>
      <c r="U104" s="16">
        <v>0</v>
      </c>
      <c r="V104" s="17">
        <v>0</v>
      </c>
      <c r="W104" s="18">
        <v>30450</v>
      </c>
      <c r="X104" s="17">
        <v>8221.5</v>
      </c>
      <c r="Y104" s="17">
        <v>0</v>
      </c>
      <c r="Z104" s="17">
        <v>9145.5</v>
      </c>
      <c r="AA104" s="17">
        <v>3048.5</v>
      </c>
      <c r="AB104" s="144">
        <v>80.907003444316899</v>
      </c>
      <c r="AC104" s="8">
        <f t="shared" si="17"/>
        <v>1050.5250000000001</v>
      </c>
      <c r="AD104" s="11" t="str">
        <f>LEFT(details!E104,5)</f>
        <v>34.50</v>
      </c>
      <c r="AE104" s="42">
        <f t="shared" si="9"/>
        <v>3048.5</v>
      </c>
      <c r="AF104" s="42">
        <f>VLOOKUP(C104,MC.5!B:P,15,FALSE)/3</f>
        <v>3048.5</v>
      </c>
      <c r="AG104" s="152">
        <f t="shared" si="15"/>
        <v>3048.5</v>
      </c>
      <c r="AH104" s="137" t="str">
        <f>VLOOKUP(F104,REF!B:C,2,FALSE)</f>
        <v>PET</v>
      </c>
      <c r="AI104" s="3" t="str">
        <f>VLOOKUP(G104,REF!E:F,2,FALSE)</f>
        <v>Jar /Container/Tub</v>
      </c>
    </row>
    <row r="105" spans="1:35" x14ac:dyDescent="0.3">
      <c r="A105" s="186" t="s">
        <v>1155</v>
      </c>
      <c r="B105" s="24" t="s">
        <v>1155</v>
      </c>
      <c r="C105" s="156">
        <v>324174</v>
      </c>
      <c r="D105" s="24" t="s">
        <v>97</v>
      </c>
      <c r="E105" s="24" t="s">
        <v>18</v>
      </c>
      <c r="F105" s="156">
        <v>60104</v>
      </c>
      <c r="G105" s="24" t="s">
        <v>1439</v>
      </c>
      <c r="H105" s="24" t="s">
        <v>1368</v>
      </c>
      <c r="I105" s="24" t="s">
        <v>1368</v>
      </c>
      <c r="J105" s="186" t="s">
        <v>1367</v>
      </c>
      <c r="K105" s="16">
        <v>8120</v>
      </c>
      <c r="L105" s="17">
        <v>1705.2</v>
      </c>
      <c r="M105" s="16">
        <v>0</v>
      </c>
      <c r="N105" s="17">
        <v>0</v>
      </c>
      <c r="O105" s="16">
        <v>0</v>
      </c>
      <c r="P105" s="17">
        <v>0</v>
      </c>
      <c r="Q105" s="16">
        <v>0</v>
      </c>
      <c r="R105" s="17">
        <v>0</v>
      </c>
      <c r="S105" s="16">
        <v>0</v>
      </c>
      <c r="T105" s="17">
        <v>0</v>
      </c>
      <c r="U105" s="16">
        <v>0</v>
      </c>
      <c r="V105" s="17">
        <v>0</v>
      </c>
      <c r="W105" s="18">
        <v>8120</v>
      </c>
      <c r="X105" s="17">
        <v>1705.2</v>
      </c>
      <c r="Y105" s="17">
        <v>0</v>
      </c>
      <c r="Z105" s="17">
        <v>12291.64</v>
      </c>
      <c r="AA105" s="17">
        <v>4097.2133333333304</v>
      </c>
      <c r="AB105" s="144">
        <v>12.4855592907049</v>
      </c>
      <c r="AC105" s="8">
        <f t="shared" si="17"/>
        <v>194.88</v>
      </c>
      <c r="AD105" s="11" t="str">
        <f>LEFT(details!E105,5)</f>
        <v>24.00</v>
      </c>
      <c r="AE105" s="42">
        <f t="shared" si="9"/>
        <v>4097.2133333333304</v>
      </c>
      <c r="AF105" s="42">
        <f>VLOOKUP(C105,MC.5!B:P,15,FALSE)/3</f>
        <v>4097.2166666666662</v>
      </c>
      <c r="AG105" s="152">
        <f t="shared" si="15"/>
        <v>4097.2133333333304</v>
      </c>
      <c r="AH105" s="137" t="str">
        <f>VLOOKUP(F105,REF!B:C,2,FALSE)</f>
        <v>PET</v>
      </c>
      <c r="AI105" s="3" t="str">
        <f>VLOOKUP(G105,REF!E:F,2,FALSE)</f>
        <v>Jar /Container/Tub</v>
      </c>
    </row>
    <row r="106" spans="1:35" x14ac:dyDescent="0.3">
      <c r="A106" s="186" t="s">
        <v>1155</v>
      </c>
      <c r="B106" s="24" t="s">
        <v>1155</v>
      </c>
      <c r="C106" s="156">
        <v>324177</v>
      </c>
      <c r="D106" s="24" t="s">
        <v>98</v>
      </c>
      <c r="E106" s="24" t="s">
        <v>270</v>
      </c>
      <c r="F106" s="156">
        <v>60104</v>
      </c>
      <c r="G106" s="24" t="s">
        <v>1439</v>
      </c>
      <c r="H106" s="24" t="s">
        <v>1368</v>
      </c>
      <c r="I106" s="24" t="s">
        <v>1368</v>
      </c>
      <c r="J106" s="186" t="s">
        <v>1367</v>
      </c>
      <c r="K106" s="16">
        <v>45880</v>
      </c>
      <c r="L106" s="17">
        <v>12387.6</v>
      </c>
      <c r="M106" s="16">
        <v>0</v>
      </c>
      <c r="N106" s="17">
        <v>0</v>
      </c>
      <c r="O106" s="16">
        <v>0</v>
      </c>
      <c r="P106" s="17">
        <v>0</v>
      </c>
      <c r="Q106" s="16">
        <v>0</v>
      </c>
      <c r="R106" s="17">
        <v>0</v>
      </c>
      <c r="S106" s="16">
        <v>0</v>
      </c>
      <c r="T106" s="17">
        <v>0</v>
      </c>
      <c r="U106" s="16">
        <v>0</v>
      </c>
      <c r="V106" s="17">
        <v>0</v>
      </c>
      <c r="W106" s="18">
        <v>45880</v>
      </c>
      <c r="X106" s="17">
        <v>12387.6</v>
      </c>
      <c r="Y106" s="17">
        <v>0</v>
      </c>
      <c r="Z106" s="17">
        <v>6903</v>
      </c>
      <c r="AA106" s="17">
        <v>2301</v>
      </c>
      <c r="AB106" s="144">
        <v>161.507170795306</v>
      </c>
      <c r="AC106" s="8">
        <f t="shared" si="17"/>
        <v>1582.86</v>
      </c>
      <c r="AD106" s="11" t="str">
        <f>LEFT(details!E106,5)</f>
        <v>34.50</v>
      </c>
      <c r="AE106" s="42">
        <f t="shared" si="9"/>
        <v>2301</v>
      </c>
      <c r="AF106" s="42">
        <f>VLOOKUP(C106,MC.5!B:P,15,FALSE)/3</f>
        <v>4090.0400000000004</v>
      </c>
      <c r="AG106" s="152">
        <f t="shared" si="15"/>
        <v>2301</v>
      </c>
      <c r="AH106" s="137" t="str">
        <f>VLOOKUP(F106,REF!B:C,2,FALSE)</f>
        <v>PET</v>
      </c>
      <c r="AI106" s="3" t="str">
        <f>VLOOKUP(G106,REF!E:F,2,FALSE)</f>
        <v>Jar /Container/Tub</v>
      </c>
    </row>
    <row r="107" spans="1:35" x14ac:dyDescent="0.3">
      <c r="A107" s="186" t="s">
        <v>1155</v>
      </c>
      <c r="B107" s="24" t="s">
        <v>1155</v>
      </c>
      <c r="C107" s="156">
        <v>324198</v>
      </c>
      <c r="D107" s="24" t="s">
        <v>99</v>
      </c>
      <c r="E107" s="24" t="s">
        <v>14</v>
      </c>
      <c r="F107" s="156">
        <v>60104</v>
      </c>
      <c r="G107" s="24" t="s">
        <v>1438</v>
      </c>
      <c r="H107" s="24" t="s">
        <v>1366</v>
      </c>
      <c r="I107" s="24" t="s">
        <v>1366</v>
      </c>
      <c r="J107" s="186" t="s">
        <v>1367</v>
      </c>
      <c r="K107" s="16">
        <v>7920</v>
      </c>
      <c r="L107" s="17">
        <v>1504.8</v>
      </c>
      <c r="M107" s="16">
        <v>0</v>
      </c>
      <c r="N107" s="17">
        <v>0</v>
      </c>
      <c r="O107" s="16">
        <v>0</v>
      </c>
      <c r="P107" s="17">
        <v>0</v>
      </c>
      <c r="Q107" s="16">
        <v>0</v>
      </c>
      <c r="R107" s="17">
        <v>0</v>
      </c>
      <c r="S107" s="16">
        <v>0</v>
      </c>
      <c r="T107" s="17">
        <v>0</v>
      </c>
      <c r="U107" s="16">
        <v>0</v>
      </c>
      <c r="V107" s="17">
        <v>0</v>
      </c>
      <c r="W107" s="18">
        <v>7920</v>
      </c>
      <c r="X107" s="17">
        <v>1504.8</v>
      </c>
      <c r="Y107" s="17">
        <v>0</v>
      </c>
      <c r="Z107" s="17">
        <v>4975.2</v>
      </c>
      <c r="AA107" s="17">
        <v>1658.4</v>
      </c>
      <c r="AB107" s="144">
        <v>27.221418234442801</v>
      </c>
      <c r="AC107" s="8">
        <f t="shared" si="17"/>
        <v>158.4</v>
      </c>
      <c r="AD107" s="11" t="str">
        <f>LEFT(details!E107,5)</f>
        <v>20.00</v>
      </c>
      <c r="AE107" s="42">
        <f t="shared" si="9"/>
        <v>1658.4</v>
      </c>
      <c r="AF107" s="42">
        <f>VLOOKUP(C107,MC.5!B:P,15,FALSE)/3</f>
        <v>1658.3999999999999</v>
      </c>
      <c r="AG107" s="152">
        <f t="shared" si="15"/>
        <v>1658.4</v>
      </c>
      <c r="AH107" s="137" t="str">
        <f>VLOOKUP(F107,REF!B:C,2,FALSE)</f>
        <v>PET</v>
      </c>
      <c r="AI107" s="3" t="str">
        <f>VLOOKUP(G107,REF!E:F,2,FALSE)</f>
        <v>Bottle</v>
      </c>
    </row>
    <row r="108" spans="1:35" x14ac:dyDescent="0.3">
      <c r="A108" s="186" t="s">
        <v>1155</v>
      </c>
      <c r="B108" s="24" t="s">
        <v>1155</v>
      </c>
      <c r="C108" s="156">
        <v>324203</v>
      </c>
      <c r="D108" s="24" t="s">
        <v>100</v>
      </c>
      <c r="E108" s="24" t="s">
        <v>21</v>
      </c>
      <c r="F108" s="156">
        <v>60104</v>
      </c>
      <c r="G108" s="24" t="s">
        <v>1438</v>
      </c>
      <c r="H108" s="24" t="s">
        <v>1366</v>
      </c>
      <c r="I108" s="24" t="s">
        <v>1366</v>
      </c>
      <c r="J108" s="186" t="s">
        <v>1367</v>
      </c>
      <c r="K108" s="16">
        <v>6200</v>
      </c>
      <c r="L108" s="17">
        <v>1798</v>
      </c>
      <c r="M108" s="16">
        <v>0</v>
      </c>
      <c r="N108" s="17">
        <v>0</v>
      </c>
      <c r="O108" s="16">
        <v>0</v>
      </c>
      <c r="P108" s="17">
        <v>0</v>
      </c>
      <c r="Q108" s="16">
        <v>0</v>
      </c>
      <c r="R108" s="17">
        <v>0</v>
      </c>
      <c r="S108" s="16">
        <v>0</v>
      </c>
      <c r="T108" s="17">
        <v>0</v>
      </c>
      <c r="U108" s="16">
        <v>0</v>
      </c>
      <c r="V108" s="17">
        <v>0</v>
      </c>
      <c r="W108" s="18">
        <v>6200</v>
      </c>
      <c r="X108" s="17">
        <v>1798</v>
      </c>
      <c r="Y108" s="17">
        <v>0</v>
      </c>
      <c r="Z108" s="17">
        <v>359.6</v>
      </c>
      <c r="AA108" s="17">
        <v>119.866666666667</v>
      </c>
      <c r="AB108" s="144">
        <v>450</v>
      </c>
      <c r="AC108" s="8">
        <f t="shared" si="17"/>
        <v>223.2</v>
      </c>
      <c r="AD108" s="11" t="str">
        <f>LEFT(details!E108,5)</f>
        <v>36.00</v>
      </c>
      <c r="AE108" s="42">
        <f t="shared" si="9"/>
        <v>119.866666666667</v>
      </c>
      <c r="AF108" s="42">
        <f>VLOOKUP(C108,MC.5!B:P,15,FALSE)/3</f>
        <v>119.86666666666667</v>
      </c>
      <c r="AG108" s="152">
        <f t="shared" si="15"/>
        <v>119.866666666667</v>
      </c>
      <c r="AH108" s="137" t="str">
        <f>VLOOKUP(F108,REF!B:C,2,FALSE)</f>
        <v>PET</v>
      </c>
      <c r="AI108" s="3" t="str">
        <f>VLOOKUP(G108,REF!E:F,2,FALSE)</f>
        <v>Bottle</v>
      </c>
    </row>
    <row r="109" spans="1:35" x14ac:dyDescent="0.3">
      <c r="A109" s="186" t="s">
        <v>1155</v>
      </c>
      <c r="B109" s="24" t="s">
        <v>1155</v>
      </c>
      <c r="C109" s="156">
        <v>324206</v>
      </c>
      <c r="D109" s="24" t="s">
        <v>357</v>
      </c>
      <c r="E109" s="24" t="s">
        <v>358</v>
      </c>
      <c r="F109" s="156">
        <v>60104</v>
      </c>
      <c r="G109" s="24" t="s">
        <v>1438</v>
      </c>
      <c r="H109" s="24" t="s">
        <v>1366</v>
      </c>
      <c r="I109" s="24" t="s">
        <v>1366</v>
      </c>
      <c r="J109" s="186" t="s">
        <v>1367</v>
      </c>
      <c r="K109" s="16">
        <v>0</v>
      </c>
      <c r="L109" s="17">
        <v>0</v>
      </c>
      <c r="M109" s="16">
        <v>10400</v>
      </c>
      <c r="N109" s="17">
        <v>3640</v>
      </c>
      <c r="O109" s="16">
        <v>0</v>
      </c>
      <c r="P109" s="17">
        <v>0</v>
      </c>
      <c r="Q109" s="16">
        <v>0</v>
      </c>
      <c r="R109" s="17">
        <v>0</v>
      </c>
      <c r="S109" s="16">
        <v>0</v>
      </c>
      <c r="T109" s="17">
        <v>0</v>
      </c>
      <c r="U109" s="16">
        <v>0</v>
      </c>
      <c r="V109" s="17">
        <v>0</v>
      </c>
      <c r="W109" s="18">
        <v>10400</v>
      </c>
      <c r="X109" s="17">
        <v>3640</v>
      </c>
      <c r="Y109" s="17">
        <v>0</v>
      </c>
      <c r="Z109" s="17">
        <v>4381</v>
      </c>
      <c r="AA109" s="17">
        <v>1460.3333333333301</v>
      </c>
      <c r="AB109" s="144">
        <v>74.777448071216597</v>
      </c>
      <c r="AC109" s="8">
        <f t="shared" si="17"/>
        <v>499.2</v>
      </c>
      <c r="AD109" s="11" t="str">
        <f>LEFT(details!E109,5)</f>
        <v>48.00</v>
      </c>
      <c r="AE109" s="42">
        <f t="shared" si="9"/>
        <v>1460.3333333333301</v>
      </c>
      <c r="AF109" s="42">
        <f>VLOOKUP(C109,MC.5!B:P,15,FALSE)/3</f>
        <v>1460.3333333333333</v>
      </c>
      <c r="AG109" s="152">
        <f t="shared" si="15"/>
        <v>1460.3333333333301</v>
      </c>
      <c r="AH109" s="137" t="str">
        <f>VLOOKUP(F109,REF!B:C,2,FALSE)</f>
        <v>PET</v>
      </c>
      <c r="AI109" s="3" t="str">
        <f>VLOOKUP(G109,REF!E:F,2,FALSE)</f>
        <v>Bottle</v>
      </c>
    </row>
    <row r="110" spans="1:35" x14ac:dyDescent="0.3">
      <c r="A110" s="186" t="s">
        <v>1155</v>
      </c>
      <c r="B110" s="24" t="s">
        <v>1155</v>
      </c>
      <c r="C110" s="156">
        <v>324212</v>
      </c>
      <c r="D110" s="24" t="s">
        <v>1402</v>
      </c>
      <c r="E110" s="24" t="s">
        <v>2692</v>
      </c>
      <c r="F110" s="156">
        <v>60104</v>
      </c>
      <c r="G110" s="24" t="s">
        <v>1438</v>
      </c>
      <c r="H110" s="24" t="s">
        <v>1366</v>
      </c>
      <c r="I110" s="24" t="s">
        <v>1366</v>
      </c>
      <c r="J110" s="186" t="s">
        <v>1367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>
        <v>1536</v>
      </c>
      <c r="AA110" s="17">
        <v>512</v>
      </c>
      <c r="AB110" s="144"/>
      <c r="AC110" s="8">
        <f t="shared" ref="AC109:AC114" si="18">(AD110*W110)/1000</f>
        <v>0</v>
      </c>
      <c r="AD110" s="11" t="str">
        <f>LEFT(details!E110,5)</f>
        <v>16.00</v>
      </c>
      <c r="AE110" s="42">
        <f t="shared" si="9"/>
        <v>512</v>
      </c>
      <c r="AF110" s="42">
        <f>VLOOKUP(C110,MC.5!B:P,15,FALSE)/3</f>
        <v>512</v>
      </c>
      <c r="AG110" s="152">
        <f t="shared" si="15"/>
        <v>512</v>
      </c>
      <c r="AH110" s="137" t="str">
        <f>VLOOKUP(F110,REF!B:C,2,FALSE)</f>
        <v>PET</v>
      </c>
      <c r="AI110" s="3" t="str">
        <f>VLOOKUP(G110,REF!E:F,2,FALSE)</f>
        <v>Bottle</v>
      </c>
    </row>
    <row r="111" spans="1:35" x14ac:dyDescent="0.3">
      <c r="A111" s="186" t="s">
        <v>1155</v>
      </c>
      <c r="B111" s="24" t="s">
        <v>1155</v>
      </c>
      <c r="C111" s="156">
        <v>324216</v>
      </c>
      <c r="D111" s="24" t="s">
        <v>1560</v>
      </c>
      <c r="E111" s="24" t="s">
        <v>1561</v>
      </c>
      <c r="F111" s="156">
        <v>60104</v>
      </c>
      <c r="G111" s="24" t="s">
        <v>1439</v>
      </c>
      <c r="H111" s="24" t="s">
        <v>1368</v>
      </c>
      <c r="I111" s="24" t="s">
        <v>1368</v>
      </c>
      <c r="J111" s="186" t="s">
        <v>1367</v>
      </c>
      <c r="K111" s="16">
        <v>6048</v>
      </c>
      <c r="L111" s="17">
        <v>9011.52</v>
      </c>
      <c r="M111" s="16">
        <v>0</v>
      </c>
      <c r="N111" s="17">
        <v>0</v>
      </c>
      <c r="O111" s="16">
        <v>0</v>
      </c>
      <c r="P111" s="17">
        <v>0</v>
      </c>
      <c r="Q111" s="16">
        <v>0</v>
      </c>
      <c r="R111" s="17">
        <v>0</v>
      </c>
      <c r="S111" s="16">
        <v>0</v>
      </c>
      <c r="T111" s="17">
        <v>0</v>
      </c>
      <c r="U111" s="16">
        <v>0</v>
      </c>
      <c r="V111" s="17">
        <v>0</v>
      </c>
      <c r="W111" s="18">
        <v>6048</v>
      </c>
      <c r="X111" s="17">
        <v>9011.52</v>
      </c>
      <c r="Y111" s="17">
        <v>0</v>
      </c>
      <c r="Z111" s="17">
        <v>8678.8799999999992</v>
      </c>
      <c r="AA111" s="17">
        <v>2892.96</v>
      </c>
      <c r="AB111" s="144">
        <v>93.4494773519164</v>
      </c>
      <c r="AC111" s="8">
        <f>(AD111*W111)/1000</f>
        <v>907.80479999999989</v>
      </c>
      <c r="AD111" s="11" t="str">
        <f>LEFT(details!E111,5)</f>
        <v>150.1</v>
      </c>
      <c r="AE111" s="42">
        <f t="shared" si="9"/>
        <v>2892.96</v>
      </c>
      <c r="AF111" s="42">
        <f>VLOOKUP(C111,MC.5!B:P,15,FALSE)/3</f>
        <v>2892.9599999999996</v>
      </c>
      <c r="AG111" s="152">
        <f t="shared" si="15"/>
        <v>2892.96</v>
      </c>
      <c r="AH111" s="137" t="str">
        <f>VLOOKUP(F111,REF!B:C,2,FALSE)</f>
        <v>PET</v>
      </c>
      <c r="AI111" s="3" t="str">
        <f>VLOOKUP(G111,REF!E:F,2,FALSE)</f>
        <v>Jar /Container/Tub</v>
      </c>
    </row>
    <row r="112" spans="1:35" x14ac:dyDescent="0.3">
      <c r="A112" s="186" t="s">
        <v>1155</v>
      </c>
      <c r="B112" s="24" t="s">
        <v>1155</v>
      </c>
      <c r="C112" s="156">
        <v>324523</v>
      </c>
      <c r="D112" s="24" t="s">
        <v>137</v>
      </c>
      <c r="E112" s="24" t="s">
        <v>68</v>
      </c>
      <c r="F112" s="156">
        <v>65400</v>
      </c>
      <c r="G112" s="24" t="s">
        <v>1378</v>
      </c>
      <c r="H112" s="24" t="s">
        <v>1442</v>
      </c>
      <c r="I112" s="24" t="s">
        <v>1378</v>
      </c>
      <c r="J112" s="186" t="s">
        <v>1379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>
        <v>0</v>
      </c>
      <c r="AA112" s="17">
        <v>0</v>
      </c>
      <c r="AB112" s="144"/>
      <c r="AC112" s="8">
        <f t="shared" si="18"/>
        <v>0</v>
      </c>
      <c r="AD112" s="11" t="str">
        <f>LEFT(details!E112,5)</f>
        <v>0.000</v>
      </c>
      <c r="AE112" s="42">
        <f t="shared" si="9"/>
        <v>0</v>
      </c>
      <c r="AF112" s="42">
        <f>VLOOKUP(C112,MC.5!B:P,15,FALSE)/3</f>
        <v>121805.30333333333</v>
      </c>
      <c r="AG112" s="152">
        <f>AF112</f>
        <v>121805.30333333333</v>
      </c>
      <c r="AH112" s="137" t="str">
        <f>VLOOKUP(F112,REF!B:C,2,FALSE)</f>
        <v>Secondary/ Component</v>
      </c>
      <c r="AI112" s="3" t="str">
        <f>VLOOKUP(G112,REF!E:F,2,FALSE)</f>
        <v>LABEL, IML, STICKER, SEALED ETC</v>
      </c>
    </row>
    <row r="113" spans="1:35" x14ac:dyDescent="0.3">
      <c r="A113" s="186" t="s">
        <v>1155</v>
      </c>
      <c r="B113" s="24" t="s">
        <v>1155</v>
      </c>
      <c r="C113" s="156">
        <v>324638</v>
      </c>
      <c r="D113" s="24" t="s">
        <v>102</v>
      </c>
      <c r="E113" s="24" t="s">
        <v>103</v>
      </c>
      <c r="F113" s="156">
        <v>60104</v>
      </c>
      <c r="G113" s="24" t="s">
        <v>1438</v>
      </c>
      <c r="H113" s="24" t="s">
        <v>1366</v>
      </c>
      <c r="I113" s="24" t="s">
        <v>1366</v>
      </c>
      <c r="J113" s="186" t="s">
        <v>1367</v>
      </c>
      <c r="K113" s="16">
        <v>26496</v>
      </c>
      <c r="L113" s="17">
        <v>17222.400000000001</v>
      </c>
      <c r="M113" s="16">
        <v>0</v>
      </c>
      <c r="N113" s="17">
        <v>0</v>
      </c>
      <c r="O113" s="16">
        <v>0</v>
      </c>
      <c r="P113" s="17">
        <v>0</v>
      </c>
      <c r="Q113" s="16">
        <v>0</v>
      </c>
      <c r="R113" s="17">
        <v>0</v>
      </c>
      <c r="S113" s="16">
        <v>0</v>
      </c>
      <c r="T113" s="17">
        <v>0</v>
      </c>
      <c r="U113" s="16">
        <v>0</v>
      </c>
      <c r="V113" s="17">
        <v>0</v>
      </c>
      <c r="W113" s="18">
        <v>26496</v>
      </c>
      <c r="X113" s="17">
        <v>17222.400000000001</v>
      </c>
      <c r="Y113" s="17">
        <v>0</v>
      </c>
      <c r="Z113" s="17">
        <v>50319.74</v>
      </c>
      <c r="AA113" s="17">
        <v>16773.246666666699</v>
      </c>
      <c r="AB113" s="144">
        <v>30.8033388089843</v>
      </c>
      <c r="AC113" s="8">
        <f t="shared" si="18"/>
        <v>2053.44</v>
      </c>
      <c r="AD113" s="11" t="str">
        <f>LEFT(details!E113,5)</f>
        <v>77.50</v>
      </c>
      <c r="AE113" s="42">
        <f t="shared" si="9"/>
        <v>16773.246666666699</v>
      </c>
      <c r="AF113" s="42">
        <f>VLOOKUP(C113,MC.5!B:P,15,FALSE)/3</f>
        <v>16773.246666666666</v>
      </c>
      <c r="AG113" s="152">
        <f t="shared" ref="AG111:AG114" si="19">AE113</f>
        <v>16773.246666666699</v>
      </c>
      <c r="AH113" s="137" t="str">
        <f>VLOOKUP(F113,REF!B:C,2,FALSE)</f>
        <v>PET</v>
      </c>
      <c r="AI113" s="3" t="str">
        <f>VLOOKUP(G113,REF!E:F,2,FALSE)</f>
        <v>Bottle</v>
      </c>
    </row>
    <row r="114" spans="1:35" x14ac:dyDescent="0.3">
      <c r="A114" s="186" t="s">
        <v>1155</v>
      </c>
      <c r="B114" s="24" t="s">
        <v>1155</v>
      </c>
      <c r="C114" s="156">
        <v>324682</v>
      </c>
      <c r="D114" s="24" t="s">
        <v>252</v>
      </c>
      <c r="E114" s="24" t="s">
        <v>24</v>
      </c>
      <c r="F114" s="156">
        <v>60104</v>
      </c>
      <c r="G114" s="24" t="s">
        <v>1438</v>
      </c>
      <c r="H114" s="24" t="s">
        <v>1366</v>
      </c>
      <c r="I114" s="24" t="s">
        <v>1366</v>
      </c>
      <c r="J114" s="186" t="s">
        <v>1367</v>
      </c>
      <c r="K114" s="16">
        <v>9240</v>
      </c>
      <c r="L114" s="17">
        <v>2864.4</v>
      </c>
      <c r="M114" s="16">
        <v>0</v>
      </c>
      <c r="N114" s="17">
        <v>0</v>
      </c>
      <c r="O114" s="16">
        <v>0</v>
      </c>
      <c r="P114" s="17">
        <v>0</v>
      </c>
      <c r="Q114" s="16">
        <v>0</v>
      </c>
      <c r="R114" s="17">
        <v>0</v>
      </c>
      <c r="S114" s="16">
        <v>0</v>
      </c>
      <c r="T114" s="17">
        <v>0</v>
      </c>
      <c r="U114" s="16">
        <v>0</v>
      </c>
      <c r="V114" s="17">
        <v>0</v>
      </c>
      <c r="W114" s="18">
        <v>9240</v>
      </c>
      <c r="X114" s="17">
        <v>2864.4</v>
      </c>
      <c r="Y114" s="17">
        <v>0</v>
      </c>
      <c r="Z114" s="17">
        <v>5082</v>
      </c>
      <c r="AA114" s="17">
        <v>1694</v>
      </c>
      <c r="AB114" s="144">
        <v>50.727272727272698</v>
      </c>
      <c r="AC114" s="8">
        <f t="shared" si="18"/>
        <v>304.92</v>
      </c>
      <c r="AD114" s="11" t="str">
        <f>LEFT(details!E114,5)</f>
        <v>33.00</v>
      </c>
      <c r="AE114" s="42">
        <f t="shared" si="9"/>
        <v>1694</v>
      </c>
      <c r="AF114" s="42">
        <f>VLOOKUP(C114,MC.5!B:P,15,FALSE)/3</f>
        <v>1694</v>
      </c>
      <c r="AG114" s="152">
        <f t="shared" si="19"/>
        <v>1694</v>
      </c>
      <c r="AH114" s="137" t="str">
        <f>VLOOKUP(F114,REF!B:C,2,FALSE)</f>
        <v>PET</v>
      </c>
      <c r="AI114" s="3" t="str">
        <f>VLOOKUP(G114,REF!E:F,2,FALSE)</f>
        <v>Bottle</v>
      </c>
    </row>
    <row r="115" spans="1:35" x14ac:dyDescent="0.3">
      <c r="A115" s="186" t="s">
        <v>1155</v>
      </c>
      <c r="B115" s="24" t="s">
        <v>1155</v>
      </c>
      <c r="C115" s="156">
        <v>324730</v>
      </c>
      <c r="D115" s="24" t="s">
        <v>1403</v>
      </c>
      <c r="E115" s="24" t="s">
        <v>68</v>
      </c>
      <c r="F115" s="156">
        <v>65400</v>
      </c>
      <c r="G115" s="24" t="s">
        <v>1378</v>
      </c>
      <c r="H115" s="24" t="s">
        <v>1442</v>
      </c>
      <c r="I115" s="24" t="s">
        <v>1378</v>
      </c>
      <c r="J115" s="186" t="s">
        <v>1379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>
        <v>0</v>
      </c>
      <c r="AA115" s="17">
        <v>0</v>
      </c>
      <c r="AB115" s="144"/>
      <c r="AC115" s="8">
        <f t="shared" ref="AC115" si="20">(AD115*W115)/1000</f>
        <v>0</v>
      </c>
      <c r="AD115" s="11" t="str">
        <f>LEFT(details!E115,5)</f>
        <v>0.000</v>
      </c>
      <c r="AE115" s="42">
        <f t="shared" si="9"/>
        <v>0</v>
      </c>
      <c r="AF115" s="42">
        <f>VLOOKUP(C115,MC.5!B:P,15,FALSE)/3</f>
        <v>25.066666666666666</v>
      </c>
      <c r="AG115" s="152">
        <f>AF115</f>
        <v>25.066666666666666</v>
      </c>
      <c r="AH115" s="137" t="str">
        <f>VLOOKUP(F115,REF!B:C,2,FALSE)</f>
        <v>Secondary/ Component</v>
      </c>
      <c r="AI115" s="3" t="str">
        <f>VLOOKUP(G115,REF!E:F,2,FALSE)</f>
        <v>LABEL, IML, STICKER, SEALED ETC</v>
      </c>
    </row>
    <row r="116" spans="1:35" x14ac:dyDescent="0.3">
      <c r="A116" s="186" t="s">
        <v>1155</v>
      </c>
      <c r="B116" s="24" t="s">
        <v>1155</v>
      </c>
      <c r="C116" s="156">
        <v>325511</v>
      </c>
      <c r="D116" s="24" t="s">
        <v>1380</v>
      </c>
      <c r="E116" s="24" t="s">
        <v>305</v>
      </c>
      <c r="F116" s="156">
        <v>60104</v>
      </c>
      <c r="G116" s="24" t="s">
        <v>1438</v>
      </c>
      <c r="H116" s="24" t="s">
        <v>1366</v>
      </c>
      <c r="I116" s="24" t="s">
        <v>1366</v>
      </c>
      <c r="J116" s="186" t="s">
        <v>1367</v>
      </c>
      <c r="K116" s="16">
        <v>0</v>
      </c>
      <c r="L116" s="17">
        <v>0</v>
      </c>
      <c r="M116" s="16">
        <v>0</v>
      </c>
      <c r="N116" s="17">
        <v>0</v>
      </c>
      <c r="O116" s="16">
        <v>5500</v>
      </c>
      <c r="P116" s="17">
        <v>990</v>
      </c>
      <c r="Q116" s="16">
        <v>0</v>
      </c>
      <c r="R116" s="17">
        <v>0</v>
      </c>
      <c r="S116" s="16">
        <v>0</v>
      </c>
      <c r="T116" s="17">
        <v>0</v>
      </c>
      <c r="U116" s="16">
        <v>0</v>
      </c>
      <c r="V116" s="17">
        <v>0</v>
      </c>
      <c r="W116" s="18">
        <v>5500</v>
      </c>
      <c r="X116" s="17">
        <v>990</v>
      </c>
      <c r="Y116" s="17">
        <v>165.01</v>
      </c>
      <c r="Z116" s="17">
        <v>880.01</v>
      </c>
      <c r="AA116" s="17">
        <v>293.33666666666699</v>
      </c>
      <c r="AB116" s="144">
        <v>101.248849444893</v>
      </c>
      <c r="AC116" s="8">
        <f>(AD116*W116)/1000</f>
        <v>100.92500000000001</v>
      </c>
      <c r="AD116" s="11" t="str">
        <f>LEFT(details!E116,5)</f>
        <v>18.35</v>
      </c>
      <c r="AE116" s="42">
        <f t="shared" si="9"/>
        <v>293.33666666666699</v>
      </c>
      <c r="AF116" s="42">
        <f>VLOOKUP(C116,MC.5!B:P,15,FALSE)/3</f>
        <v>293.33333333333331</v>
      </c>
      <c r="AG116" s="152">
        <f t="shared" ref="AG114:AG124" si="21">AE116</f>
        <v>293.33666666666699</v>
      </c>
      <c r="AH116" s="137" t="str">
        <f>VLOOKUP(F116,REF!B:C,2,FALSE)</f>
        <v>PET</v>
      </c>
      <c r="AI116" s="3" t="str">
        <f>VLOOKUP(G116,REF!E:F,2,FALSE)</f>
        <v>Bottle</v>
      </c>
    </row>
    <row r="117" spans="1:35" x14ac:dyDescent="0.3">
      <c r="A117" s="186" t="s">
        <v>1155</v>
      </c>
      <c r="B117" s="24" t="s">
        <v>1155</v>
      </c>
      <c r="C117" s="156">
        <v>329667</v>
      </c>
      <c r="D117" s="24" t="s">
        <v>2067</v>
      </c>
      <c r="E117" s="24" t="s">
        <v>2485</v>
      </c>
      <c r="F117" s="156">
        <v>60104</v>
      </c>
      <c r="G117" s="24" t="s">
        <v>1438</v>
      </c>
      <c r="H117" s="24" t="s">
        <v>1366</v>
      </c>
      <c r="I117" s="24" t="s">
        <v>1366</v>
      </c>
      <c r="J117" s="186" t="s">
        <v>1367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>
        <v>3036</v>
      </c>
      <c r="AA117" s="17">
        <v>1012</v>
      </c>
      <c r="AB117" s="144"/>
      <c r="AC117" s="8">
        <f t="shared" ref="AC117:AC131" si="22">(AD117*W117)/1000</f>
        <v>0</v>
      </c>
      <c r="AD117" s="11" t="str">
        <f>LEFT(details!E117,5)</f>
        <v>56.00</v>
      </c>
      <c r="AE117" s="42">
        <f t="shared" si="9"/>
        <v>1012</v>
      </c>
      <c r="AF117" s="42">
        <f>VLOOKUP(C117,MC.5!B:P,15,FALSE)/3</f>
        <v>1012</v>
      </c>
      <c r="AG117" s="152">
        <f t="shared" si="21"/>
        <v>1012</v>
      </c>
      <c r="AH117" s="137" t="str">
        <f>VLOOKUP(F117,REF!B:C,2,FALSE)</f>
        <v>PET</v>
      </c>
      <c r="AI117" s="3" t="str">
        <f>VLOOKUP(G117,REF!E:F,2,FALSE)</f>
        <v>Bottle</v>
      </c>
    </row>
    <row r="118" spans="1:35" x14ac:dyDescent="0.3">
      <c r="A118" s="186" t="s">
        <v>1155</v>
      </c>
      <c r="B118" s="24" t="s">
        <v>1155</v>
      </c>
      <c r="C118" s="156">
        <v>337468</v>
      </c>
      <c r="D118" s="24" t="s">
        <v>106</v>
      </c>
      <c r="E118" s="24" t="s">
        <v>52</v>
      </c>
      <c r="F118" s="156">
        <v>60106</v>
      </c>
      <c r="G118" s="24" t="s">
        <v>1440</v>
      </c>
      <c r="H118" s="24" t="s">
        <v>1369</v>
      </c>
      <c r="I118" s="24" t="s">
        <v>1369</v>
      </c>
      <c r="J118" s="186" t="s">
        <v>1367</v>
      </c>
      <c r="K118" s="16">
        <v>0</v>
      </c>
      <c r="L118" s="17">
        <v>0</v>
      </c>
      <c r="M118" s="16">
        <v>0</v>
      </c>
      <c r="N118" s="17">
        <v>0</v>
      </c>
      <c r="O118" s="16">
        <v>72000</v>
      </c>
      <c r="P118" s="17">
        <v>4179.6000000000004</v>
      </c>
      <c r="Q118" s="16">
        <v>0</v>
      </c>
      <c r="R118" s="17">
        <v>0</v>
      </c>
      <c r="S118" s="16">
        <v>0</v>
      </c>
      <c r="T118" s="17">
        <v>0</v>
      </c>
      <c r="U118" s="16">
        <v>0</v>
      </c>
      <c r="V118" s="17">
        <v>0</v>
      </c>
      <c r="W118" s="18">
        <v>72000</v>
      </c>
      <c r="X118" s="17">
        <v>4179.6000000000004</v>
      </c>
      <c r="Y118" s="17">
        <v>232.22</v>
      </c>
      <c r="Z118" s="17">
        <v>1950.48</v>
      </c>
      <c r="AA118" s="17">
        <v>650.16</v>
      </c>
      <c r="AB118" s="144">
        <v>192.857142857143</v>
      </c>
      <c r="AC118" s="8">
        <f t="shared" si="22"/>
        <v>237.6</v>
      </c>
      <c r="AD118" s="11" t="str">
        <f>LEFT(details!E118,5)</f>
        <v>3.300</v>
      </c>
      <c r="AE118" s="42">
        <f t="shared" si="9"/>
        <v>650.16</v>
      </c>
      <c r="AF118" s="42">
        <f>VLOOKUP(C118,MC.5!B:P,15,FALSE)/3</f>
        <v>650.16</v>
      </c>
      <c r="AG118" s="152">
        <f t="shared" si="21"/>
        <v>650.16</v>
      </c>
      <c r="AH118" s="137" t="str">
        <f>VLOOKUP(F118,REF!B:C,2,FALSE)</f>
        <v>PP</v>
      </c>
      <c r="AI118" s="3" t="str">
        <f>VLOOKUP(G118,REF!E:F,2,FALSE)</f>
        <v>Closure/Lid/ Handle</v>
      </c>
    </row>
    <row r="119" spans="1:35" x14ac:dyDescent="0.3">
      <c r="A119" s="186" t="s">
        <v>1155</v>
      </c>
      <c r="B119" s="24" t="s">
        <v>1155</v>
      </c>
      <c r="C119" s="156">
        <v>340460</v>
      </c>
      <c r="D119" s="24" t="s">
        <v>1283</v>
      </c>
      <c r="E119" s="24" t="s">
        <v>2693</v>
      </c>
      <c r="F119" s="156">
        <v>60104</v>
      </c>
      <c r="G119" s="24" t="s">
        <v>1438</v>
      </c>
      <c r="H119" s="24" t="s">
        <v>1366</v>
      </c>
      <c r="I119" s="24" t="s">
        <v>1366</v>
      </c>
      <c r="J119" s="186" t="s">
        <v>1367</v>
      </c>
      <c r="K119" s="16">
        <v>81200</v>
      </c>
      <c r="L119" s="17">
        <v>13804</v>
      </c>
      <c r="M119" s="16">
        <v>0</v>
      </c>
      <c r="N119" s="17">
        <v>0</v>
      </c>
      <c r="O119" s="16">
        <v>0</v>
      </c>
      <c r="P119" s="17">
        <v>0</v>
      </c>
      <c r="Q119" s="16">
        <v>0</v>
      </c>
      <c r="R119" s="17">
        <v>0</v>
      </c>
      <c r="S119" s="16">
        <v>0</v>
      </c>
      <c r="T119" s="17">
        <v>0</v>
      </c>
      <c r="U119" s="16">
        <v>0</v>
      </c>
      <c r="V119" s="17">
        <v>0</v>
      </c>
      <c r="W119" s="18">
        <v>81200</v>
      </c>
      <c r="X119" s="17">
        <v>13804</v>
      </c>
      <c r="Y119" s="17">
        <v>0</v>
      </c>
      <c r="Z119" s="17">
        <v>9744</v>
      </c>
      <c r="AA119" s="17">
        <v>3248</v>
      </c>
      <c r="AB119" s="144">
        <v>127.5</v>
      </c>
      <c r="AC119" s="8">
        <f t="shared" si="22"/>
        <v>1222.06</v>
      </c>
      <c r="AD119" s="11" t="str">
        <f>LEFT(details!E119,5)</f>
        <v>15.05</v>
      </c>
      <c r="AE119" s="42">
        <f t="shared" si="9"/>
        <v>3248</v>
      </c>
      <c r="AF119" s="42">
        <f>VLOOKUP(C119,MC.5!B:P,15,FALSE)/3</f>
        <v>3248</v>
      </c>
      <c r="AG119" s="152">
        <f t="shared" si="21"/>
        <v>3248</v>
      </c>
      <c r="AH119" s="137" t="str">
        <f>VLOOKUP(F119,REF!B:C,2,FALSE)</f>
        <v>PET</v>
      </c>
      <c r="AI119" s="3" t="str">
        <f>VLOOKUP(G119,REF!E:F,2,FALSE)</f>
        <v>Bottle</v>
      </c>
    </row>
    <row r="120" spans="1:35" x14ac:dyDescent="0.3">
      <c r="A120" s="186" t="s">
        <v>1155</v>
      </c>
      <c r="B120" s="24" t="s">
        <v>1155</v>
      </c>
      <c r="C120" s="156">
        <v>341157</v>
      </c>
      <c r="D120" s="24" t="s">
        <v>109</v>
      </c>
      <c r="E120" s="24" t="s">
        <v>108</v>
      </c>
      <c r="F120" s="156">
        <v>60106</v>
      </c>
      <c r="G120" s="24" t="s">
        <v>1440</v>
      </c>
      <c r="H120" s="24" t="s">
        <v>1369</v>
      </c>
      <c r="I120" s="24" t="s">
        <v>1369</v>
      </c>
      <c r="J120" s="186" t="s">
        <v>1367</v>
      </c>
      <c r="K120" s="16">
        <v>590400</v>
      </c>
      <c r="L120" s="17">
        <v>31001.9</v>
      </c>
      <c r="M120" s="16">
        <v>0</v>
      </c>
      <c r="N120" s="17">
        <v>0</v>
      </c>
      <c r="O120" s="16">
        <v>0</v>
      </c>
      <c r="P120" s="17">
        <v>0</v>
      </c>
      <c r="Q120" s="16">
        <v>0</v>
      </c>
      <c r="R120" s="17">
        <v>0</v>
      </c>
      <c r="S120" s="16">
        <v>0</v>
      </c>
      <c r="T120" s="17">
        <v>0</v>
      </c>
      <c r="U120" s="16">
        <v>0</v>
      </c>
      <c r="V120" s="17">
        <v>0</v>
      </c>
      <c r="W120" s="18">
        <v>590400</v>
      </c>
      <c r="X120" s="17">
        <v>31001.9</v>
      </c>
      <c r="Y120" s="17">
        <v>0</v>
      </c>
      <c r="Z120" s="17">
        <v>20733.59</v>
      </c>
      <c r="AA120" s="17">
        <v>6911.1966666666704</v>
      </c>
      <c r="AB120" s="144">
        <v>134.57249805750001</v>
      </c>
      <c r="AC120" s="8">
        <f t="shared" si="22"/>
        <v>1771.2</v>
      </c>
      <c r="AD120" s="11" t="str">
        <f>LEFT(details!E120,5)</f>
        <v>3.000</v>
      </c>
      <c r="AE120" s="42">
        <f t="shared" si="9"/>
        <v>6911.1966666666704</v>
      </c>
      <c r="AF120" s="42">
        <f>VLOOKUP(C120,MC.5!B:P,15,FALSE)/3</f>
        <v>6911.1966666666667</v>
      </c>
      <c r="AG120" s="152">
        <f t="shared" si="21"/>
        <v>6911.1966666666704</v>
      </c>
      <c r="AH120" s="137" t="str">
        <f>VLOOKUP(F120,REF!B:C,2,FALSE)</f>
        <v>PP</v>
      </c>
      <c r="AI120" s="3" t="str">
        <f>VLOOKUP(G120,REF!E:F,2,FALSE)</f>
        <v>Closure/Lid/ Handle</v>
      </c>
    </row>
    <row r="121" spans="1:35" x14ac:dyDescent="0.3">
      <c r="A121" s="186" t="s">
        <v>1155</v>
      </c>
      <c r="B121" s="24" t="s">
        <v>1155</v>
      </c>
      <c r="C121" s="156">
        <v>347623</v>
      </c>
      <c r="D121" s="24" t="s">
        <v>110</v>
      </c>
      <c r="E121" s="24" t="s">
        <v>111</v>
      </c>
      <c r="F121" s="156">
        <v>60104</v>
      </c>
      <c r="G121" s="24" t="s">
        <v>1438</v>
      </c>
      <c r="H121" s="24" t="s">
        <v>1366</v>
      </c>
      <c r="I121" s="24" t="s">
        <v>1366</v>
      </c>
      <c r="J121" s="186" t="s">
        <v>1367</v>
      </c>
      <c r="K121" s="16">
        <v>20240</v>
      </c>
      <c r="L121" s="17">
        <v>6072</v>
      </c>
      <c r="M121" s="16">
        <v>0</v>
      </c>
      <c r="N121" s="17">
        <v>0</v>
      </c>
      <c r="O121" s="16">
        <v>0</v>
      </c>
      <c r="P121" s="17">
        <v>0</v>
      </c>
      <c r="Q121" s="16">
        <v>0</v>
      </c>
      <c r="R121" s="17">
        <v>0</v>
      </c>
      <c r="S121" s="16">
        <v>0</v>
      </c>
      <c r="T121" s="17">
        <v>0</v>
      </c>
      <c r="U121" s="16">
        <v>0</v>
      </c>
      <c r="V121" s="17">
        <v>0</v>
      </c>
      <c r="W121" s="18">
        <v>20240</v>
      </c>
      <c r="X121" s="17">
        <v>6072</v>
      </c>
      <c r="Y121" s="17">
        <v>0</v>
      </c>
      <c r="Z121" s="17">
        <v>23680.799999999999</v>
      </c>
      <c r="AA121" s="17">
        <v>7893.6</v>
      </c>
      <c r="AB121" s="144">
        <v>23.076923076923102</v>
      </c>
      <c r="AC121" s="8">
        <f t="shared" si="22"/>
        <v>720.54399999999998</v>
      </c>
      <c r="AD121" s="11" t="str">
        <f>LEFT(details!E121,5)</f>
        <v>35.60</v>
      </c>
      <c r="AE121" s="42">
        <f t="shared" si="9"/>
        <v>7893.6</v>
      </c>
      <c r="AF121" s="42">
        <f>VLOOKUP(C121,MC.5!B:P,15,FALSE)/3</f>
        <v>7893.5999999999995</v>
      </c>
      <c r="AG121" s="152">
        <f t="shared" si="21"/>
        <v>7893.6</v>
      </c>
      <c r="AH121" s="137" t="str">
        <f>VLOOKUP(F121,REF!B:C,2,FALSE)</f>
        <v>PET</v>
      </c>
      <c r="AI121" s="3" t="str">
        <f>VLOOKUP(G121,REF!E:F,2,FALSE)</f>
        <v>Bottle</v>
      </c>
    </row>
    <row r="122" spans="1:35" x14ac:dyDescent="0.3">
      <c r="A122" s="186" t="s">
        <v>1155</v>
      </c>
      <c r="B122" s="24" t="s">
        <v>1155</v>
      </c>
      <c r="C122" s="156">
        <v>365091</v>
      </c>
      <c r="D122" s="24" t="s">
        <v>195</v>
      </c>
      <c r="E122" s="24" t="s">
        <v>36</v>
      </c>
      <c r="F122" s="156">
        <v>60104</v>
      </c>
      <c r="G122" s="24" t="s">
        <v>1439</v>
      </c>
      <c r="H122" s="24" t="s">
        <v>1368</v>
      </c>
      <c r="I122" s="24" t="s">
        <v>1368</v>
      </c>
      <c r="J122" s="186" t="s">
        <v>1367</v>
      </c>
      <c r="K122" s="16">
        <v>17010</v>
      </c>
      <c r="L122" s="17">
        <v>5953.5</v>
      </c>
      <c r="M122" s="16">
        <v>0</v>
      </c>
      <c r="N122" s="17">
        <v>0</v>
      </c>
      <c r="O122" s="16">
        <v>0</v>
      </c>
      <c r="P122" s="17">
        <v>0</v>
      </c>
      <c r="Q122" s="16">
        <v>0</v>
      </c>
      <c r="R122" s="17">
        <v>0</v>
      </c>
      <c r="S122" s="16">
        <v>0</v>
      </c>
      <c r="T122" s="17">
        <v>0</v>
      </c>
      <c r="U122" s="16">
        <v>0</v>
      </c>
      <c r="V122" s="17">
        <v>0</v>
      </c>
      <c r="W122" s="18">
        <v>17010</v>
      </c>
      <c r="X122" s="17">
        <v>5953.5</v>
      </c>
      <c r="Y122" s="17">
        <v>0</v>
      </c>
      <c r="Z122" s="17">
        <v>16228.83</v>
      </c>
      <c r="AA122" s="17">
        <v>5409.61</v>
      </c>
      <c r="AB122" s="144">
        <v>33.016243315137302</v>
      </c>
      <c r="AC122" s="8">
        <f t="shared" si="22"/>
        <v>748.44</v>
      </c>
      <c r="AD122" s="11" t="str">
        <f>LEFT(details!E122,5)</f>
        <v>44.00</v>
      </c>
      <c r="AE122" s="42">
        <f t="shared" si="9"/>
        <v>5409.61</v>
      </c>
      <c r="AF122" s="42">
        <f>VLOOKUP(C122,MC.5!B:P,15,FALSE)/3</f>
        <v>5409.5999999999995</v>
      </c>
      <c r="AG122" s="152">
        <f t="shared" si="21"/>
        <v>5409.61</v>
      </c>
      <c r="AH122" s="137" t="str">
        <f>VLOOKUP(F122,REF!B:C,2,FALSE)</f>
        <v>PET</v>
      </c>
      <c r="AI122" s="3" t="str">
        <f>VLOOKUP(G122,REF!E:F,2,FALSE)</f>
        <v>Jar /Container/Tub</v>
      </c>
    </row>
    <row r="123" spans="1:35" x14ac:dyDescent="0.3">
      <c r="A123" s="186" t="s">
        <v>1155</v>
      </c>
      <c r="B123" s="24" t="s">
        <v>1155</v>
      </c>
      <c r="C123" s="156">
        <v>365134</v>
      </c>
      <c r="D123" s="24" t="s">
        <v>216</v>
      </c>
      <c r="E123" s="24" t="s">
        <v>217</v>
      </c>
      <c r="F123" s="156">
        <v>60106</v>
      </c>
      <c r="G123" s="24" t="s">
        <v>1440</v>
      </c>
      <c r="H123" s="24" t="s">
        <v>1371</v>
      </c>
      <c r="I123" s="24" t="s">
        <v>1371</v>
      </c>
      <c r="J123" s="186" t="s">
        <v>1372</v>
      </c>
      <c r="K123" s="16">
        <v>17100</v>
      </c>
      <c r="L123" s="17">
        <v>7028.44</v>
      </c>
      <c r="M123" s="16">
        <v>0</v>
      </c>
      <c r="N123" s="17">
        <v>0</v>
      </c>
      <c r="O123" s="16">
        <v>0</v>
      </c>
      <c r="P123" s="17">
        <v>0</v>
      </c>
      <c r="Q123" s="16">
        <v>0</v>
      </c>
      <c r="R123" s="17">
        <v>0</v>
      </c>
      <c r="S123" s="16">
        <v>0</v>
      </c>
      <c r="T123" s="17">
        <v>0</v>
      </c>
      <c r="U123" s="16">
        <v>0</v>
      </c>
      <c r="V123" s="17">
        <v>0</v>
      </c>
      <c r="W123" s="18">
        <v>17100</v>
      </c>
      <c r="X123" s="17">
        <v>7028.44</v>
      </c>
      <c r="Y123" s="17">
        <v>0</v>
      </c>
      <c r="Z123" s="17">
        <v>21101.09</v>
      </c>
      <c r="AA123" s="17">
        <v>7033.6966666666704</v>
      </c>
      <c r="AB123" s="144">
        <v>29.977579357274902</v>
      </c>
      <c r="AC123" s="8">
        <f t="shared" si="22"/>
        <v>205.2</v>
      </c>
      <c r="AD123" s="11" t="str">
        <f>LEFT(details!E123,5)</f>
        <v>12.00</v>
      </c>
      <c r="AE123" s="42">
        <f t="shared" si="9"/>
        <v>7033.6966666666704</v>
      </c>
      <c r="AF123" s="42">
        <f>VLOOKUP(C123,MC.5!B:P,15,FALSE)/3</f>
        <v>7033.7</v>
      </c>
      <c r="AG123" s="152">
        <f t="shared" si="21"/>
        <v>7033.6966666666704</v>
      </c>
      <c r="AH123" s="137" t="str">
        <f>VLOOKUP(F123,REF!B:C,2,FALSE)</f>
        <v>PP</v>
      </c>
      <c r="AI123" s="3" t="str">
        <f>VLOOKUP(G123,REF!E:F,2,FALSE)</f>
        <v>Closure/Lid/ Handle</v>
      </c>
    </row>
    <row r="124" spans="1:35" x14ac:dyDescent="0.3">
      <c r="A124" s="186" t="s">
        <v>1155</v>
      </c>
      <c r="B124" s="24" t="s">
        <v>1155</v>
      </c>
      <c r="C124" s="156">
        <v>369308</v>
      </c>
      <c r="D124" s="24" t="s">
        <v>312</v>
      </c>
      <c r="E124" s="24" t="s">
        <v>29</v>
      </c>
      <c r="F124" s="156">
        <v>60104</v>
      </c>
      <c r="G124" s="24" t="s">
        <v>1438</v>
      </c>
      <c r="H124" s="24" t="s">
        <v>1382</v>
      </c>
      <c r="I124" s="24" t="s">
        <v>1382</v>
      </c>
      <c r="J124" s="186" t="s">
        <v>1372</v>
      </c>
      <c r="K124" s="16">
        <v>17280</v>
      </c>
      <c r="L124" s="17">
        <v>5356.8</v>
      </c>
      <c r="M124" s="16">
        <v>0</v>
      </c>
      <c r="N124" s="17">
        <v>0</v>
      </c>
      <c r="O124" s="16">
        <v>0</v>
      </c>
      <c r="P124" s="17">
        <v>0</v>
      </c>
      <c r="Q124" s="16">
        <v>0</v>
      </c>
      <c r="R124" s="17">
        <v>0</v>
      </c>
      <c r="S124" s="16">
        <v>0</v>
      </c>
      <c r="T124" s="17">
        <v>0</v>
      </c>
      <c r="U124" s="16">
        <v>0</v>
      </c>
      <c r="V124" s="17">
        <v>0</v>
      </c>
      <c r="W124" s="18">
        <v>17280</v>
      </c>
      <c r="X124" s="17">
        <v>5356.8</v>
      </c>
      <c r="Y124" s="17">
        <v>0</v>
      </c>
      <c r="Z124" s="17">
        <v>5011.2</v>
      </c>
      <c r="AA124" s="17">
        <v>1670.4</v>
      </c>
      <c r="AB124" s="144">
        <v>96.2068965517241</v>
      </c>
      <c r="AC124" s="8">
        <f t="shared" si="22"/>
        <v>483.84</v>
      </c>
      <c r="AD124" s="11" t="str">
        <f>LEFT(details!E124,5)</f>
        <v>28.00</v>
      </c>
      <c r="AE124" s="42">
        <f t="shared" si="9"/>
        <v>1670.4</v>
      </c>
      <c r="AF124" s="42">
        <f>VLOOKUP(C124,MC.5!B:P,15,FALSE)/3</f>
        <v>1670.3999999999999</v>
      </c>
      <c r="AG124" s="152">
        <f t="shared" si="21"/>
        <v>1670.4</v>
      </c>
      <c r="AH124" s="137" t="str">
        <f>VLOOKUP(F124,REF!B:C,2,FALSE)</f>
        <v>PET</v>
      </c>
      <c r="AI124" s="3" t="str">
        <f>VLOOKUP(G124,REF!E:F,2,FALSE)</f>
        <v>Bottle</v>
      </c>
    </row>
    <row r="125" spans="1:35" x14ac:dyDescent="0.3">
      <c r="A125" s="186" t="s">
        <v>1155</v>
      </c>
      <c r="B125" s="24" t="s">
        <v>1155</v>
      </c>
      <c r="C125" s="156">
        <v>384007</v>
      </c>
      <c r="D125" s="24" t="s">
        <v>2085</v>
      </c>
      <c r="E125" s="24" t="s">
        <v>213</v>
      </c>
      <c r="F125" s="156">
        <v>60105</v>
      </c>
      <c r="G125" s="24" t="s">
        <v>1441</v>
      </c>
      <c r="H125" s="24" t="s">
        <v>1370</v>
      </c>
      <c r="I125" s="24" t="s">
        <v>1370</v>
      </c>
      <c r="J125" s="186" t="s">
        <v>1367</v>
      </c>
      <c r="K125" s="16">
        <v>50000</v>
      </c>
      <c r="L125" s="17">
        <v>8997</v>
      </c>
      <c r="M125" s="16">
        <v>0</v>
      </c>
      <c r="N125" s="17">
        <v>0</v>
      </c>
      <c r="O125" s="16">
        <v>0</v>
      </c>
      <c r="P125" s="17">
        <v>0</v>
      </c>
      <c r="Q125" s="16">
        <v>0</v>
      </c>
      <c r="R125" s="17">
        <v>0</v>
      </c>
      <c r="S125" s="16">
        <v>0</v>
      </c>
      <c r="T125" s="17">
        <v>0</v>
      </c>
      <c r="U125" s="16">
        <v>0</v>
      </c>
      <c r="V125" s="17">
        <v>0</v>
      </c>
      <c r="W125" s="18">
        <v>50000</v>
      </c>
      <c r="X125" s="17">
        <v>8997</v>
      </c>
      <c r="Y125" s="17">
        <v>0</v>
      </c>
      <c r="Z125" s="17"/>
      <c r="AA125" s="17"/>
      <c r="AB125" s="144">
        <v>0</v>
      </c>
      <c r="AC125" s="8">
        <f t="shared" si="22"/>
        <v>320</v>
      </c>
      <c r="AD125" s="11" t="str">
        <f>LEFT(details!E125,5)</f>
        <v>6.400</v>
      </c>
      <c r="AE125" s="42">
        <f t="shared" si="9"/>
        <v>0</v>
      </c>
      <c r="AF125" s="42">
        <f>VLOOKUP(C125,MC.5!B:P,15,FALSE)/3</f>
        <v>0</v>
      </c>
      <c r="AG125" s="152">
        <f>AF125</f>
        <v>0</v>
      </c>
      <c r="AH125" s="137" t="str">
        <f>VLOOKUP(F125,REF!B:C,2,FALSE)</f>
        <v>PE</v>
      </c>
      <c r="AI125" s="3" t="str">
        <f>VLOOKUP(G125,REF!E:F,2,FALSE)</f>
        <v>Closure/Lid/ Handle</v>
      </c>
    </row>
    <row r="126" spans="1:35" x14ac:dyDescent="0.3">
      <c r="A126" s="186" t="s">
        <v>1155</v>
      </c>
      <c r="B126" s="24" t="s">
        <v>1155</v>
      </c>
      <c r="C126" s="156">
        <v>387467</v>
      </c>
      <c r="D126" s="24" t="s">
        <v>287</v>
      </c>
      <c r="E126" s="24" t="s">
        <v>289</v>
      </c>
      <c r="F126" s="156">
        <v>60106</v>
      </c>
      <c r="G126" s="24" t="s">
        <v>1440</v>
      </c>
      <c r="H126" s="24" t="s">
        <v>1371</v>
      </c>
      <c r="I126" s="24" t="s">
        <v>1371</v>
      </c>
      <c r="J126" s="186" t="s">
        <v>1372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>
        <v>515.77</v>
      </c>
      <c r="AA126" s="17">
        <v>171.92333333333301</v>
      </c>
      <c r="AB126" s="144"/>
      <c r="AC126" s="8">
        <f t="shared" si="22"/>
        <v>0</v>
      </c>
      <c r="AD126" s="11" t="str">
        <f>LEFT(details!E126,5)</f>
        <v>12.84</v>
      </c>
      <c r="AE126" s="42">
        <f t="shared" si="9"/>
        <v>171.92333333333301</v>
      </c>
      <c r="AF126" s="42">
        <f>VLOOKUP(C126,MC.5!B:P,15,FALSE)/3</f>
        <v>171.92666666666665</v>
      </c>
      <c r="AG126" s="152">
        <f t="shared" ref="AG124:AG140" si="23">AE126</f>
        <v>171.92333333333301</v>
      </c>
      <c r="AH126" s="137" t="str">
        <f>VLOOKUP(F126,REF!B:C,2,FALSE)</f>
        <v>PP</v>
      </c>
      <c r="AI126" s="3" t="str">
        <f>VLOOKUP(G126,REF!E:F,2,FALSE)</f>
        <v>Closure/Lid/ Handle</v>
      </c>
    </row>
    <row r="127" spans="1:35" x14ac:dyDescent="0.3">
      <c r="A127" s="186" t="s">
        <v>1155</v>
      </c>
      <c r="B127" s="24" t="s">
        <v>1155</v>
      </c>
      <c r="C127" s="156">
        <v>400860</v>
      </c>
      <c r="D127" s="24" t="s">
        <v>278</v>
      </c>
      <c r="E127" s="24" t="s">
        <v>112</v>
      </c>
      <c r="F127" s="156">
        <v>60104</v>
      </c>
      <c r="G127" s="24" t="s">
        <v>1438</v>
      </c>
      <c r="H127" s="24" t="s">
        <v>1366</v>
      </c>
      <c r="I127" s="24" t="s">
        <v>1366</v>
      </c>
      <c r="J127" s="186" t="s">
        <v>1367</v>
      </c>
      <c r="K127" s="16">
        <v>39501</v>
      </c>
      <c r="L127" s="17">
        <v>9480.24</v>
      </c>
      <c r="M127" s="16">
        <v>0</v>
      </c>
      <c r="N127" s="17">
        <v>0</v>
      </c>
      <c r="O127" s="16">
        <v>0</v>
      </c>
      <c r="P127" s="17">
        <v>0</v>
      </c>
      <c r="Q127" s="16">
        <v>0</v>
      </c>
      <c r="R127" s="17">
        <v>0</v>
      </c>
      <c r="S127" s="16">
        <v>0</v>
      </c>
      <c r="T127" s="17">
        <v>0</v>
      </c>
      <c r="U127" s="16">
        <v>0</v>
      </c>
      <c r="V127" s="17">
        <v>0</v>
      </c>
      <c r="W127" s="18">
        <v>39501</v>
      </c>
      <c r="X127" s="17">
        <v>9480.24</v>
      </c>
      <c r="Y127" s="17">
        <v>0</v>
      </c>
      <c r="Z127" s="17">
        <v>3614.94</v>
      </c>
      <c r="AA127" s="17">
        <v>1204.98</v>
      </c>
      <c r="AB127" s="144">
        <v>236.02649006622499</v>
      </c>
      <c r="AC127" s="8">
        <f t="shared" si="22"/>
        <v>1145.529</v>
      </c>
      <c r="AD127" s="11" t="str">
        <f>LEFT(details!E127,5)</f>
        <v>29.00</v>
      </c>
      <c r="AE127" s="42">
        <f t="shared" si="9"/>
        <v>1204.98</v>
      </c>
      <c r="AF127" s="42">
        <f>VLOOKUP(C127,MC.5!B:P,15,FALSE)/3</f>
        <v>1204.98</v>
      </c>
      <c r="AG127" s="152">
        <f t="shared" si="23"/>
        <v>1204.98</v>
      </c>
      <c r="AH127" s="137" t="str">
        <f>VLOOKUP(F127,REF!B:C,2,FALSE)</f>
        <v>PET</v>
      </c>
      <c r="AI127" s="3" t="str">
        <f>VLOOKUP(G127,REF!E:F,2,FALSE)</f>
        <v>Bottle</v>
      </c>
    </row>
    <row r="128" spans="1:35" x14ac:dyDescent="0.3">
      <c r="A128" s="186" t="s">
        <v>1155</v>
      </c>
      <c r="B128" s="24" t="s">
        <v>1155</v>
      </c>
      <c r="C128" s="156">
        <v>401602</v>
      </c>
      <c r="D128" s="24" t="s">
        <v>279</v>
      </c>
      <c r="E128" s="24" t="s">
        <v>104</v>
      </c>
      <c r="F128" s="156">
        <v>60104</v>
      </c>
      <c r="G128" s="24" t="s">
        <v>1438</v>
      </c>
      <c r="H128" s="24" t="s">
        <v>1366</v>
      </c>
      <c r="I128" s="24" t="s">
        <v>1366</v>
      </c>
      <c r="J128" s="186" t="s">
        <v>1367</v>
      </c>
      <c r="K128" s="16">
        <v>0</v>
      </c>
      <c r="L128" s="17">
        <v>0</v>
      </c>
      <c r="M128" s="16">
        <v>0</v>
      </c>
      <c r="N128" s="17">
        <v>0</v>
      </c>
      <c r="O128" s="16">
        <v>0</v>
      </c>
      <c r="P128" s="17">
        <v>0</v>
      </c>
      <c r="Q128" s="16">
        <v>0</v>
      </c>
      <c r="R128" s="17">
        <v>0</v>
      </c>
      <c r="S128" s="16">
        <v>413</v>
      </c>
      <c r="T128" s="17">
        <v>128.03</v>
      </c>
      <c r="U128" s="16">
        <v>0</v>
      </c>
      <c r="V128" s="17">
        <v>0</v>
      </c>
      <c r="W128" s="18">
        <v>413</v>
      </c>
      <c r="X128" s="17">
        <v>128.03</v>
      </c>
      <c r="Y128" s="17">
        <v>128.03</v>
      </c>
      <c r="Z128" s="17">
        <v>11322</v>
      </c>
      <c r="AA128" s="17">
        <v>3774</v>
      </c>
      <c r="AB128" s="144">
        <v>1.0177265500794901</v>
      </c>
      <c r="AC128" s="8">
        <f t="shared" si="22"/>
        <v>12.39</v>
      </c>
      <c r="AD128" s="11" t="str">
        <f>LEFT(details!E128,5)</f>
        <v>30.00</v>
      </c>
      <c r="AE128" s="42">
        <f t="shared" si="9"/>
        <v>3774</v>
      </c>
      <c r="AF128" s="42">
        <f>VLOOKUP(C128,MC.5!B:P,15,FALSE)/3</f>
        <v>3774</v>
      </c>
      <c r="AG128" s="152">
        <f t="shared" si="23"/>
        <v>3774</v>
      </c>
      <c r="AH128" s="137" t="str">
        <f>VLOOKUP(F128,REF!B:C,2,FALSE)</f>
        <v>PET</v>
      </c>
      <c r="AI128" s="3" t="str">
        <f>VLOOKUP(G128,REF!E:F,2,FALSE)</f>
        <v>Bottle</v>
      </c>
    </row>
    <row r="129" spans="1:35" x14ac:dyDescent="0.3">
      <c r="A129" s="186" t="s">
        <v>1155</v>
      </c>
      <c r="B129" s="24" t="s">
        <v>1155</v>
      </c>
      <c r="C129" s="156">
        <v>402305</v>
      </c>
      <c r="D129" s="24" t="s">
        <v>360</v>
      </c>
      <c r="E129" s="24" t="s">
        <v>112</v>
      </c>
      <c r="F129" s="156">
        <v>60104</v>
      </c>
      <c r="G129" s="24" t="s">
        <v>1438</v>
      </c>
      <c r="H129" s="24" t="s">
        <v>1366</v>
      </c>
      <c r="I129" s="24" t="s">
        <v>1366</v>
      </c>
      <c r="J129" s="186" t="s">
        <v>1367</v>
      </c>
      <c r="K129" s="16">
        <v>24960</v>
      </c>
      <c r="L129" s="17">
        <v>5990.4</v>
      </c>
      <c r="M129" s="16">
        <v>0</v>
      </c>
      <c r="N129" s="17">
        <v>0</v>
      </c>
      <c r="O129" s="16">
        <v>0</v>
      </c>
      <c r="P129" s="17">
        <v>0</v>
      </c>
      <c r="Q129" s="16">
        <v>0</v>
      </c>
      <c r="R129" s="17">
        <v>0</v>
      </c>
      <c r="S129" s="16">
        <v>0</v>
      </c>
      <c r="T129" s="17">
        <v>0</v>
      </c>
      <c r="U129" s="16">
        <v>0</v>
      </c>
      <c r="V129" s="17">
        <v>0</v>
      </c>
      <c r="W129" s="18">
        <v>24960</v>
      </c>
      <c r="X129" s="17">
        <v>5990.4</v>
      </c>
      <c r="Y129" s="17">
        <v>0</v>
      </c>
      <c r="Z129" s="17">
        <v>19818.240000000002</v>
      </c>
      <c r="AA129" s="17">
        <v>6606.08</v>
      </c>
      <c r="AB129" s="144">
        <v>27.204030226700201</v>
      </c>
      <c r="AC129" s="8">
        <f t="shared" si="22"/>
        <v>723.84</v>
      </c>
      <c r="AD129" s="11" t="str">
        <f>LEFT(details!E129,5)</f>
        <v>29.00</v>
      </c>
      <c r="AE129" s="42">
        <f t="shared" si="9"/>
        <v>6606.08</v>
      </c>
      <c r="AF129" s="42">
        <f>VLOOKUP(C129,MC.5!B:P,15,FALSE)/3</f>
        <v>6606.0800000000008</v>
      </c>
      <c r="AG129" s="152">
        <f t="shared" si="23"/>
        <v>6606.08</v>
      </c>
      <c r="AH129" s="137" t="str">
        <f>VLOOKUP(F129,REF!B:C,2,FALSE)</f>
        <v>PET</v>
      </c>
      <c r="AI129" s="3" t="str">
        <f>VLOOKUP(G129,REF!E:F,2,FALSE)</f>
        <v>Bottle</v>
      </c>
    </row>
    <row r="130" spans="1:35" x14ac:dyDescent="0.3">
      <c r="A130" s="186" t="s">
        <v>1155</v>
      </c>
      <c r="B130" s="24" t="s">
        <v>1155</v>
      </c>
      <c r="C130" s="156">
        <v>409780</v>
      </c>
      <c r="D130" s="24" t="s">
        <v>116</v>
      </c>
      <c r="E130" s="24" t="s">
        <v>112</v>
      </c>
      <c r="F130" s="156">
        <v>60104</v>
      </c>
      <c r="G130" s="24" t="s">
        <v>1438</v>
      </c>
      <c r="H130" s="24" t="s">
        <v>1366</v>
      </c>
      <c r="I130" s="24" t="s">
        <v>1366</v>
      </c>
      <c r="J130" s="186" t="s">
        <v>1367</v>
      </c>
      <c r="K130" s="16">
        <v>7050</v>
      </c>
      <c r="L130" s="17">
        <v>1762.5</v>
      </c>
      <c r="M130" s="16">
        <v>0</v>
      </c>
      <c r="N130" s="17">
        <v>0</v>
      </c>
      <c r="O130" s="16">
        <v>0</v>
      </c>
      <c r="P130" s="17">
        <v>0</v>
      </c>
      <c r="Q130" s="16">
        <v>0</v>
      </c>
      <c r="R130" s="17">
        <v>0</v>
      </c>
      <c r="S130" s="16">
        <v>251</v>
      </c>
      <c r="T130" s="17">
        <v>62.75</v>
      </c>
      <c r="U130" s="16">
        <v>0</v>
      </c>
      <c r="V130" s="17">
        <v>0</v>
      </c>
      <c r="W130" s="18">
        <v>7301</v>
      </c>
      <c r="X130" s="17">
        <v>1825.25</v>
      </c>
      <c r="Y130" s="17">
        <v>62.75</v>
      </c>
      <c r="Z130" s="17">
        <v>7095.12</v>
      </c>
      <c r="AA130" s="17">
        <v>2365.04</v>
      </c>
      <c r="AB130" s="144">
        <v>23.152885363461099</v>
      </c>
      <c r="AC130" s="8">
        <f t="shared" si="22"/>
        <v>211.72900000000001</v>
      </c>
      <c r="AD130" s="11" t="str">
        <f>LEFT(details!E130,5)</f>
        <v>29.00</v>
      </c>
      <c r="AE130" s="42">
        <f t="shared" si="9"/>
        <v>2365.04</v>
      </c>
      <c r="AF130" s="42">
        <f>VLOOKUP(C130,MC.5!B:P,15,FALSE)/3</f>
        <v>2365.04</v>
      </c>
      <c r="AG130" s="152">
        <f t="shared" si="23"/>
        <v>2365.04</v>
      </c>
      <c r="AH130" s="137" t="str">
        <f>VLOOKUP(F130,REF!B:C,2,FALSE)</f>
        <v>PET</v>
      </c>
      <c r="AI130" s="3" t="str">
        <f>VLOOKUP(G130,REF!E:F,2,FALSE)</f>
        <v>Bottle</v>
      </c>
    </row>
    <row r="131" spans="1:35" x14ac:dyDescent="0.3">
      <c r="A131" s="186" t="s">
        <v>1155</v>
      </c>
      <c r="B131" s="24" t="s">
        <v>1155</v>
      </c>
      <c r="C131" s="156">
        <v>410269</v>
      </c>
      <c r="D131" s="24" t="s">
        <v>298</v>
      </c>
      <c r="E131" s="24" t="s">
        <v>88</v>
      </c>
      <c r="F131" s="156">
        <v>60104</v>
      </c>
      <c r="G131" s="24" t="s">
        <v>1438</v>
      </c>
      <c r="H131" s="24" t="s">
        <v>1366</v>
      </c>
      <c r="I131" s="24" t="s">
        <v>1366</v>
      </c>
      <c r="J131" s="186" t="s">
        <v>1367</v>
      </c>
      <c r="K131" s="16">
        <v>0</v>
      </c>
      <c r="L131" s="17">
        <v>0</v>
      </c>
      <c r="M131" s="16">
        <v>14700</v>
      </c>
      <c r="N131" s="17">
        <v>6762</v>
      </c>
      <c r="O131" s="16">
        <v>0</v>
      </c>
      <c r="P131" s="17">
        <v>0</v>
      </c>
      <c r="Q131" s="16">
        <v>0</v>
      </c>
      <c r="R131" s="17">
        <v>0</v>
      </c>
      <c r="S131" s="16">
        <v>0</v>
      </c>
      <c r="T131" s="17">
        <v>0</v>
      </c>
      <c r="U131" s="16">
        <v>0</v>
      </c>
      <c r="V131" s="17">
        <v>0</v>
      </c>
      <c r="W131" s="18">
        <v>14700</v>
      </c>
      <c r="X131" s="17">
        <v>6762</v>
      </c>
      <c r="Y131" s="17">
        <v>0</v>
      </c>
      <c r="Z131" s="17">
        <v>-26.65</v>
      </c>
      <c r="AA131" s="17">
        <v>-8.8833333333333293</v>
      </c>
      <c r="AB131" s="144">
        <v>-22836.022514071301</v>
      </c>
      <c r="AC131" s="8">
        <f t="shared" si="22"/>
        <v>882</v>
      </c>
      <c r="AD131" s="11" t="str">
        <f>LEFT(details!E131,5)</f>
        <v>60.00</v>
      </c>
      <c r="AE131" s="42">
        <f t="shared" si="9"/>
        <v>-8.8833333333333293</v>
      </c>
      <c r="AF131" s="42">
        <f>VLOOKUP(C131,MC.5!B:P,15,FALSE)/3</f>
        <v>-8.8833333333333329</v>
      </c>
      <c r="AG131" s="152">
        <f t="shared" si="23"/>
        <v>-8.8833333333333293</v>
      </c>
      <c r="AH131" s="137" t="str">
        <f>VLOOKUP(F131,REF!B:C,2,FALSE)</f>
        <v>PET</v>
      </c>
      <c r="AI131" s="3" t="str">
        <f>VLOOKUP(G131,REF!E:F,2,FALSE)</f>
        <v>Bottle</v>
      </c>
    </row>
    <row r="132" spans="1:35" x14ac:dyDescent="0.3">
      <c r="A132" s="186" t="s">
        <v>1155</v>
      </c>
      <c r="B132" s="24" t="s">
        <v>1155</v>
      </c>
      <c r="C132" s="156">
        <v>411716</v>
      </c>
      <c r="D132" s="24" t="s">
        <v>290</v>
      </c>
      <c r="E132" s="24" t="s">
        <v>273</v>
      </c>
      <c r="F132" s="156">
        <v>60105</v>
      </c>
      <c r="G132" s="24" t="s">
        <v>1441</v>
      </c>
      <c r="H132" s="24" t="s">
        <v>1370</v>
      </c>
      <c r="I132" s="24" t="s">
        <v>1370</v>
      </c>
      <c r="J132" s="186" t="s">
        <v>1367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>
        <v>18058.02</v>
      </c>
      <c r="AA132" s="17">
        <v>6019.34</v>
      </c>
      <c r="AB132" s="144"/>
      <c r="AC132" s="8">
        <f t="shared" ref="AC131:AC137" si="24">(AD132*W132)/1000</f>
        <v>0</v>
      </c>
      <c r="AD132" s="11" t="str">
        <f>LEFT(details!E132,5)</f>
        <v>3.750</v>
      </c>
      <c r="AE132" s="42">
        <f t="shared" si="9"/>
        <v>6019.34</v>
      </c>
      <c r="AF132" s="42">
        <f>VLOOKUP(C132,MC.5!B:P,15,FALSE)/3</f>
        <v>6019.34</v>
      </c>
      <c r="AG132" s="152">
        <f t="shared" si="23"/>
        <v>6019.34</v>
      </c>
      <c r="AH132" s="137" t="str">
        <f>VLOOKUP(F132,REF!B:C,2,FALSE)</f>
        <v>PE</v>
      </c>
      <c r="AI132" s="3" t="str">
        <f>VLOOKUP(G132,REF!E:F,2,FALSE)</f>
        <v>Closure/Lid/ Handle</v>
      </c>
    </row>
    <row r="133" spans="1:35" x14ac:dyDescent="0.3">
      <c r="A133" s="186" t="s">
        <v>1155</v>
      </c>
      <c r="B133" s="24" t="s">
        <v>1155</v>
      </c>
      <c r="C133" s="156">
        <v>414439</v>
      </c>
      <c r="D133" s="24" t="s">
        <v>199</v>
      </c>
      <c r="E133" s="24" t="s">
        <v>120</v>
      </c>
      <c r="F133" s="156">
        <v>60104</v>
      </c>
      <c r="G133" s="24" t="s">
        <v>1438</v>
      </c>
      <c r="H133" s="24" t="s">
        <v>1366</v>
      </c>
      <c r="I133" s="24" t="s">
        <v>1366</v>
      </c>
      <c r="J133" s="186" t="s">
        <v>1367</v>
      </c>
      <c r="K133" s="16">
        <v>69608</v>
      </c>
      <c r="L133" s="17">
        <v>8352.9599999999991</v>
      </c>
      <c r="M133" s="16">
        <v>0</v>
      </c>
      <c r="N133" s="17">
        <v>0</v>
      </c>
      <c r="O133" s="16">
        <v>0</v>
      </c>
      <c r="P133" s="17">
        <v>0</v>
      </c>
      <c r="Q133" s="16">
        <v>0</v>
      </c>
      <c r="R133" s="17">
        <v>0</v>
      </c>
      <c r="S133" s="16">
        <v>0</v>
      </c>
      <c r="T133" s="17">
        <v>0</v>
      </c>
      <c r="U133" s="16">
        <v>0</v>
      </c>
      <c r="V133" s="17">
        <v>0</v>
      </c>
      <c r="W133" s="18">
        <v>69608</v>
      </c>
      <c r="X133" s="17">
        <v>8352.9599999999991</v>
      </c>
      <c r="Y133" s="17">
        <v>0</v>
      </c>
      <c r="Z133" s="17">
        <v>25816.61</v>
      </c>
      <c r="AA133" s="17">
        <v>8605.5366666666705</v>
      </c>
      <c r="AB133" s="144">
        <v>29.119485478534902</v>
      </c>
      <c r="AC133" s="8">
        <f t="shared" si="24"/>
        <v>1044.1199999999999</v>
      </c>
      <c r="AD133" s="11" t="str">
        <f>LEFT(details!E133,5)</f>
        <v>15.00</v>
      </c>
      <c r="AE133" s="42">
        <f t="shared" si="9"/>
        <v>8605.5366666666705</v>
      </c>
      <c r="AF133" s="42">
        <f>VLOOKUP(C133,MC.5!B:P,15,FALSE)/3</f>
        <v>8605.52</v>
      </c>
      <c r="AG133" s="152">
        <f t="shared" si="23"/>
        <v>8605.5366666666705</v>
      </c>
      <c r="AH133" s="137" t="str">
        <f>VLOOKUP(F133,REF!B:C,2,FALSE)</f>
        <v>PET</v>
      </c>
      <c r="AI133" s="3" t="str">
        <f>VLOOKUP(G133,REF!E:F,2,FALSE)</f>
        <v>Bottle</v>
      </c>
    </row>
    <row r="134" spans="1:35" x14ac:dyDescent="0.3">
      <c r="A134" s="186" t="s">
        <v>1155</v>
      </c>
      <c r="B134" s="24" t="s">
        <v>1155</v>
      </c>
      <c r="C134" s="156">
        <v>423213</v>
      </c>
      <c r="D134" s="24" t="s">
        <v>355</v>
      </c>
      <c r="E134" s="24" t="s">
        <v>18</v>
      </c>
      <c r="F134" s="156">
        <v>60104</v>
      </c>
      <c r="G134" s="24" t="s">
        <v>1438</v>
      </c>
      <c r="H134" s="24" t="s">
        <v>1366</v>
      </c>
      <c r="I134" s="24" t="s">
        <v>1366</v>
      </c>
      <c r="J134" s="186" t="s">
        <v>1367</v>
      </c>
      <c r="K134" s="16">
        <v>30099</v>
      </c>
      <c r="L134" s="17">
        <v>6621.78</v>
      </c>
      <c r="M134" s="16">
        <v>0</v>
      </c>
      <c r="N134" s="17">
        <v>0</v>
      </c>
      <c r="O134" s="16">
        <v>0</v>
      </c>
      <c r="P134" s="17">
        <v>0</v>
      </c>
      <c r="Q134" s="16">
        <v>0</v>
      </c>
      <c r="R134" s="17">
        <v>0</v>
      </c>
      <c r="S134" s="16">
        <v>0</v>
      </c>
      <c r="T134" s="17">
        <v>0</v>
      </c>
      <c r="U134" s="16">
        <v>0</v>
      </c>
      <c r="V134" s="17">
        <v>0</v>
      </c>
      <c r="W134" s="18">
        <v>30099</v>
      </c>
      <c r="X134" s="17">
        <v>6621.78</v>
      </c>
      <c r="Y134" s="17">
        <v>0</v>
      </c>
      <c r="Z134" s="17">
        <v>31158.18</v>
      </c>
      <c r="AA134" s="17">
        <v>10386.06</v>
      </c>
      <c r="AB134" s="144">
        <v>19.126925898752798</v>
      </c>
      <c r="AC134" s="8">
        <f t="shared" si="24"/>
        <v>722.37599999999998</v>
      </c>
      <c r="AD134" s="11" t="str">
        <f>LEFT(details!E134,5)</f>
        <v>24.00</v>
      </c>
      <c r="AE134" s="42">
        <f t="shared" si="9"/>
        <v>10386.06</v>
      </c>
      <c r="AF134" s="42">
        <f>VLOOKUP(C134,MC.5!B:P,15,FALSE)/3</f>
        <v>10386.06</v>
      </c>
      <c r="AG134" s="152">
        <f t="shared" si="23"/>
        <v>10386.06</v>
      </c>
      <c r="AH134" s="137" t="str">
        <f>VLOOKUP(F134,REF!B:C,2,FALSE)</f>
        <v>PET</v>
      </c>
      <c r="AI134" s="3" t="str">
        <f>VLOOKUP(G134,REF!E:F,2,FALSE)</f>
        <v>Bottle</v>
      </c>
    </row>
    <row r="135" spans="1:35" x14ac:dyDescent="0.3">
      <c r="A135" s="186" t="s">
        <v>1155</v>
      </c>
      <c r="B135" s="24" t="s">
        <v>1155</v>
      </c>
      <c r="C135" s="156">
        <v>423215</v>
      </c>
      <c r="D135" s="24" t="s">
        <v>1605</v>
      </c>
      <c r="E135" s="24" t="s">
        <v>18</v>
      </c>
      <c r="F135" s="156">
        <v>60104</v>
      </c>
      <c r="G135" s="24" t="s">
        <v>1438</v>
      </c>
      <c r="H135" s="24" t="s">
        <v>1366</v>
      </c>
      <c r="I135" s="24" t="s">
        <v>1366</v>
      </c>
      <c r="J135" s="186" t="s">
        <v>1367</v>
      </c>
      <c r="K135" s="16">
        <v>60066</v>
      </c>
      <c r="L135" s="17">
        <v>13214.52</v>
      </c>
      <c r="M135" s="16">
        <v>0</v>
      </c>
      <c r="N135" s="17">
        <v>0</v>
      </c>
      <c r="O135" s="16">
        <v>0</v>
      </c>
      <c r="P135" s="17">
        <v>0</v>
      </c>
      <c r="Q135" s="16">
        <v>0</v>
      </c>
      <c r="R135" s="17">
        <v>0</v>
      </c>
      <c r="S135" s="16">
        <v>0</v>
      </c>
      <c r="T135" s="17">
        <v>0</v>
      </c>
      <c r="U135" s="16">
        <v>0</v>
      </c>
      <c r="V135" s="17">
        <v>0</v>
      </c>
      <c r="W135" s="18">
        <v>60066</v>
      </c>
      <c r="X135" s="17">
        <v>13214.52</v>
      </c>
      <c r="Y135" s="17">
        <v>0</v>
      </c>
      <c r="Z135" s="17">
        <v>41132.519999999997</v>
      </c>
      <c r="AA135" s="17">
        <v>13710.84</v>
      </c>
      <c r="AB135" s="144">
        <v>28.914027149321299</v>
      </c>
      <c r="AC135" s="8">
        <f t="shared" si="24"/>
        <v>1441.5840000000001</v>
      </c>
      <c r="AD135" s="11" t="str">
        <f>LEFT(details!E135,5)</f>
        <v>24.00</v>
      </c>
      <c r="AE135" s="42">
        <f t="shared" si="9"/>
        <v>13710.84</v>
      </c>
      <c r="AF135" s="42">
        <f>VLOOKUP(C135,MC.5!B:P,15,FALSE)/3</f>
        <v>13710.839999999998</v>
      </c>
      <c r="AG135" s="152">
        <f t="shared" si="23"/>
        <v>13710.84</v>
      </c>
      <c r="AH135" s="137" t="str">
        <f>VLOOKUP(F135,REF!B:C,2,FALSE)</f>
        <v>PET</v>
      </c>
      <c r="AI135" s="3" t="str">
        <f>VLOOKUP(G135,REF!E:F,2,FALSE)</f>
        <v>Bottle</v>
      </c>
    </row>
    <row r="136" spans="1:35" x14ac:dyDescent="0.3">
      <c r="A136" s="186" t="s">
        <v>1155</v>
      </c>
      <c r="B136" s="24" t="s">
        <v>1155</v>
      </c>
      <c r="C136" s="156">
        <v>426555</v>
      </c>
      <c r="D136" s="24" t="s">
        <v>121</v>
      </c>
      <c r="E136" s="24" t="s">
        <v>112</v>
      </c>
      <c r="F136" s="156">
        <v>60104</v>
      </c>
      <c r="G136" s="24" t="s">
        <v>1438</v>
      </c>
      <c r="H136" s="24" t="s">
        <v>1366</v>
      </c>
      <c r="I136" s="24" t="s">
        <v>1366</v>
      </c>
      <c r="J136" s="186" t="s">
        <v>1367</v>
      </c>
      <c r="K136" s="16">
        <v>62220</v>
      </c>
      <c r="L136" s="17">
        <v>15555</v>
      </c>
      <c r="M136" s="16">
        <v>0</v>
      </c>
      <c r="N136" s="17">
        <v>0</v>
      </c>
      <c r="O136" s="16">
        <v>0</v>
      </c>
      <c r="P136" s="17">
        <v>0</v>
      </c>
      <c r="Q136" s="16">
        <v>0</v>
      </c>
      <c r="R136" s="17">
        <v>0</v>
      </c>
      <c r="S136" s="16">
        <v>0</v>
      </c>
      <c r="T136" s="17">
        <v>0</v>
      </c>
      <c r="U136" s="16">
        <v>0</v>
      </c>
      <c r="V136" s="17">
        <v>0</v>
      </c>
      <c r="W136" s="18">
        <v>62220</v>
      </c>
      <c r="X136" s="17">
        <v>15555</v>
      </c>
      <c r="Y136" s="17">
        <v>0</v>
      </c>
      <c r="Z136" s="17">
        <v>23347.8</v>
      </c>
      <c r="AA136" s="17">
        <v>7782.6</v>
      </c>
      <c r="AB136" s="144">
        <v>59.960681520314601</v>
      </c>
      <c r="AC136" s="8">
        <f t="shared" si="24"/>
        <v>1804.38</v>
      </c>
      <c r="AD136" s="11" t="str">
        <f>LEFT(details!E136,5)</f>
        <v>29.00</v>
      </c>
      <c r="AE136" s="42">
        <f t="shared" ref="AE136:AE199" si="25">AA136</f>
        <v>7782.6</v>
      </c>
      <c r="AF136" s="42">
        <f>VLOOKUP(C136,MC.5!B:P,15,FALSE)/3</f>
        <v>7782.5999999999995</v>
      </c>
      <c r="AG136" s="152">
        <f t="shared" si="23"/>
        <v>7782.6</v>
      </c>
      <c r="AH136" s="137" t="str">
        <f>VLOOKUP(F136,REF!B:C,2,FALSE)</f>
        <v>PET</v>
      </c>
      <c r="AI136" s="3" t="str">
        <f>VLOOKUP(G136,REF!E:F,2,FALSE)</f>
        <v>Bottle</v>
      </c>
    </row>
    <row r="137" spans="1:35" x14ac:dyDescent="0.3">
      <c r="A137" s="186" t="s">
        <v>1155</v>
      </c>
      <c r="B137" s="24" t="s">
        <v>1155</v>
      </c>
      <c r="C137" s="156">
        <v>432203</v>
      </c>
      <c r="D137" s="24" t="s">
        <v>2107</v>
      </c>
      <c r="E137" s="24" t="s">
        <v>40</v>
      </c>
      <c r="F137" s="156">
        <v>60104</v>
      </c>
      <c r="G137" s="24" t="s">
        <v>1438</v>
      </c>
      <c r="H137" s="24" t="s">
        <v>1366</v>
      </c>
      <c r="I137" s="24" t="s">
        <v>1366</v>
      </c>
      <c r="J137" s="186" t="s">
        <v>1367</v>
      </c>
      <c r="K137" s="16">
        <v>12880</v>
      </c>
      <c r="L137" s="17">
        <v>3606.4</v>
      </c>
      <c r="M137" s="16">
        <v>0</v>
      </c>
      <c r="N137" s="17">
        <v>0</v>
      </c>
      <c r="O137" s="16">
        <v>0</v>
      </c>
      <c r="P137" s="17">
        <v>0</v>
      </c>
      <c r="Q137" s="16">
        <v>0</v>
      </c>
      <c r="R137" s="17">
        <v>0</v>
      </c>
      <c r="S137" s="16">
        <v>0</v>
      </c>
      <c r="T137" s="17">
        <v>0</v>
      </c>
      <c r="U137" s="16">
        <v>0</v>
      </c>
      <c r="V137" s="17">
        <v>0</v>
      </c>
      <c r="W137" s="18">
        <v>12880</v>
      </c>
      <c r="X137" s="17">
        <v>3606.4</v>
      </c>
      <c r="Y137" s="17">
        <v>0</v>
      </c>
      <c r="Z137" s="17">
        <v>0</v>
      </c>
      <c r="AA137" s="17">
        <v>0</v>
      </c>
      <c r="AB137" s="144">
        <v>0</v>
      </c>
      <c r="AC137" s="8">
        <f t="shared" si="24"/>
        <v>412.16</v>
      </c>
      <c r="AD137" s="11" t="str">
        <f>LEFT(details!E137,5)</f>
        <v>32.00</v>
      </c>
      <c r="AE137" s="42">
        <f t="shared" si="25"/>
        <v>0</v>
      </c>
      <c r="AF137" s="42">
        <f>VLOOKUP(C137,MC.5!B:P,15,FALSE)/3</f>
        <v>0</v>
      </c>
      <c r="AG137" s="152">
        <f t="shared" ref="AG137:AG138" si="26">AF137</f>
        <v>0</v>
      </c>
      <c r="AH137" s="137" t="str">
        <f>VLOOKUP(F137,REF!B:C,2,FALSE)</f>
        <v>PET</v>
      </c>
      <c r="AI137" s="3" t="str">
        <f>VLOOKUP(G137,REF!E:F,2,FALSE)</f>
        <v>Bottle</v>
      </c>
    </row>
    <row r="138" spans="1:35" x14ac:dyDescent="0.3">
      <c r="A138" s="186" t="s">
        <v>1155</v>
      </c>
      <c r="B138" s="24" t="s">
        <v>1155</v>
      </c>
      <c r="C138" s="156">
        <v>437371</v>
      </c>
      <c r="D138" s="24" t="s">
        <v>1981</v>
      </c>
      <c r="E138" s="24" t="s">
        <v>68</v>
      </c>
      <c r="F138" s="156" t="s">
        <v>1385</v>
      </c>
      <c r="G138" s="24" t="s">
        <v>1442</v>
      </c>
      <c r="H138" s="24" t="s">
        <v>1442</v>
      </c>
      <c r="I138" s="24" t="s">
        <v>1385</v>
      </c>
      <c r="J138" s="186" t="s">
        <v>1386</v>
      </c>
      <c r="K138" s="20">
        <v>0</v>
      </c>
      <c r="L138" s="17">
        <v>0</v>
      </c>
      <c r="M138" s="20">
        <v>0</v>
      </c>
      <c r="N138" s="17">
        <v>0</v>
      </c>
      <c r="O138" s="20">
        <v>0</v>
      </c>
      <c r="P138" s="17">
        <v>0</v>
      </c>
      <c r="Q138" s="20">
        <v>0</v>
      </c>
      <c r="R138" s="17">
        <v>0</v>
      </c>
      <c r="S138" s="20">
        <v>0</v>
      </c>
      <c r="T138" s="17">
        <v>0</v>
      </c>
      <c r="U138" s="20">
        <v>6</v>
      </c>
      <c r="V138" s="17">
        <v>1201517.21</v>
      </c>
      <c r="W138" s="21">
        <v>6</v>
      </c>
      <c r="X138" s="17">
        <v>1201517.21</v>
      </c>
      <c r="Y138" s="17">
        <v>0</v>
      </c>
      <c r="Z138" s="17"/>
      <c r="AA138" s="17"/>
      <c r="AB138" s="144">
        <v>0</v>
      </c>
      <c r="AC138" s="8">
        <f t="shared" ref="AC137:AC149" si="27">(AD138*W138)/1000</f>
        <v>0</v>
      </c>
      <c r="AD138" s="11" t="str">
        <f>LEFT(details!E138,5)</f>
        <v>0.000</v>
      </c>
      <c r="AE138" s="42">
        <f t="shared" si="25"/>
        <v>0</v>
      </c>
      <c r="AF138" s="42">
        <f>VLOOKUP(C138,MC.5!B:P,15,FALSE)/3</f>
        <v>0</v>
      </c>
      <c r="AG138" s="152">
        <f t="shared" si="26"/>
        <v>0</v>
      </c>
      <c r="AH138" s="137" t="str">
        <f>VLOOKUP(F138,REF!B:C,2,FALSE)</f>
        <v>Mould</v>
      </c>
      <c r="AI138" s="3" t="s">
        <v>1386</v>
      </c>
    </row>
    <row r="139" spans="1:35" x14ac:dyDescent="0.3">
      <c r="A139" s="186" t="s">
        <v>1155</v>
      </c>
      <c r="B139" s="24" t="s">
        <v>1155</v>
      </c>
      <c r="C139" s="156">
        <v>437808</v>
      </c>
      <c r="D139" s="24" t="s">
        <v>1239</v>
      </c>
      <c r="E139" s="24" t="s">
        <v>43</v>
      </c>
      <c r="F139" s="156">
        <v>60104</v>
      </c>
      <c r="G139" s="24" t="s">
        <v>1438</v>
      </c>
      <c r="H139" s="24" t="s">
        <v>1366</v>
      </c>
      <c r="I139" s="24" t="s">
        <v>1366</v>
      </c>
      <c r="J139" s="186" t="s">
        <v>1367</v>
      </c>
      <c r="K139" s="16">
        <v>15000</v>
      </c>
      <c r="L139" s="17">
        <v>6300</v>
      </c>
      <c r="M139" s="16">
        <v>0</v>
      </c>
      <c r="N139" s="17">
        <v>0</v>
      </c>
      <c r="O139" s="16">
        <v>0</v>
      </c>
      <c r="P139" s="17">
        <v>0</v>
      </c>
      <c r="Q139" s="16">
        <v>0</v>
      </c>
      <c r="R139" s="17">
        <v>0</v>
      </c>
      <c r="S139" s="16">
        <v>0</v>
      </c>
      <c r="T139" s="17">
        <v>0</v>
      </c>
      <c r="U139" s="16">
        <v>0</v>
      </c>
      <c r="V139" s="17">
        <v>0</v>
      </c>
      <c r="W139" s="18">
        <v>15000</v>
      </c>
      <c r="X139" s="17">
        <v>6300</v>
      </c>
      <c r="Y139" s="17">
        <v>0</v>
      </c>
      <c r="Z139" s="17">
        <v>1661.64</v>
      </c>
      <c r="AA139" s="17">
        <v>553.88</v>
      </c>
      <c r="AB139" s="144">
        <v>341.22914710767702</v>
      </c>
      <c r="AC139" s="8">
        <f t="shared" si="27"/>
        <v>825</v>
      </c>
      <c r="AD139" s="11" t="str">
        <f>LEFT(details!E139,5)</f>
        <v>55.00</v>
      </c>
      <c r="AE139" s="42">
        <f t="shared" si="25"/>
        <v>553.88</v>
      </c>
      <c r="AF139" s="42">
        <f>VLOOKUP(C139,MC.5!B:P,15,FALSE)/3</f>
        <v>553.88</v>
      </c>
      <c r="AG139" s="152">
        <f t="shared" si="23"/>
        <v>553.88</v>
      </c>
      <c r="AH139" s="137" t="str">
        <f>VLOOKUP(F139,REF!B:C,2,FALSE)</f>
        <v>PET</v>
      </c>
      <c r="AI139" s="3" t="str">
        <f>VLOOKUP(G139,REF!E:F,2,FALSE)</f>
        <v>Bottle</v>
      </c>
    </row>
    <row r="140" spans="1:35" x14ac:dyDescent="0.3">
      <c r="A140" s="186" t="s">
        <v>1155</v>
      </c>
      <c r="B140" s="24" t="s">
        <v>1155</v>
      </c>
      <c r="C140" s="156">
        <v>441778</v>
      </c>
      <c r="D140" s="24" t="s">
        <v>299</v>
      </c>
      <c r="E140" s="24" t="s">
        <v>300</v>
      </c>
      <c r="F140" s="156">
        <v>60104</v>
      </c>
      <c r="G140" s="24" t="s">
        <v>1438</v>
      </c>
      <c r="H140" s="24" t="s">
        <v>1366</v>
      </c>
      <c r="I140" s="24" t="s">
        <v>1366</v>
      </c>
      <c r="J140" s="186" t="s">
        <v>1367</v>
      </c>
      <c r="K140" s="16">
        <v>0</v>
      </c>
      <c r="L140" s="17">
        <v>0</v>
      </c>
      <c r="M140" s="16">
        <v>4140</v>
      </c>
      <c r="N140" s="17">
        <v>2732.4</v>
      </c>
      <c r="O140" s="16">
        <v>0</v>
      </c>
      <c r="P140" s="17">
        <v>0</v>
      </c>
      <c r="Q140" s="16">
        <v>0</v>
      </c>
      <c r="R140" s="17">
        <v>0</v>
      </c>
      <c r="S140" s="16">
        <v>0</v>
      </c>
      <c r="T140" s="17">
        <v>0</v>
      </c>
      <c r="U140" s="16">
        <v>0</v>
      </c>
      <c r="V140" s="17">
        <v>0</v>
      </c>
      <c r="W140" s="18">
        <v>4140</v>
      </c>
      <c r="X140" s="17">
        <v>2732.4</v>
      </c>
      <c r="Y140" s="17">
        <v>0</v>
      </c>
      <c r="Z140" s="17">
        <v>-342.2</v>
      </c>
      <c r="AA140" s="17">
        <v>-114.066666666667</v>
      </c>
      <c r="AB140" s="144">
        <v>-718.63237872589104</v>
      </c>
      <c r="AC140" s="8">
        <f t="shared" si="27"/>
        <v>314.64</v>
      </c>
      <c r="AD140" s="11" t="str">
        <f>LEFT(details!E140,5)</f>
        <v>76.00</v>
      </c>
      <c r="AE140" s="42">
        <f t="shared" si="25"/>
        <v>-114.066666666667</v>
      </c>
      <c r="AF140" s="42">
        <f>VLOOKUP(C140,MC.5!B:P,15,FALSE)/3</f>
        <v>-114.06666666666666</v>
      </c>
      <c r="AG140" s="152">
        <f t="shared" si="23"/>
        <v>-114.066666666667</v>
      </c>
      <c r="AH140" s="137" t="str">
        <f>VLOOKUP(F140,REF!B:C,2,FALSE)</f>
        <v>PET</v>
      </c>
      <c r="AI140" s="3" t="str">
        <f>VLOOKUP(G140,REF!E:F,2,FALSE)</f>
        <v>Bottle</v>
      </c>
    </row>
    <row r="141" spans="1:35" x14ac:dyDescent="0.3">
      <c r="A141" s="186" t="s">
        <v>1155</v>
      </c>
      <c r="B141" s="24" t="s">
        <v>1155</v>
      </c>
      <c r="C141" s="156">
        <v>441809</v>
      </c>
      <c r="D141" s="24" t="s">
        <v>225</v>
      </c>
      <c r="E141" s="24" t="s">
        <v>323</v>
      </c>
      <c r="F141" s="156">
        <v>60104</v>
      </c>
      <c r="G141" s="24" t="s">
        <v>1439</v>
      </c>
      <c r="H141" s="24" t="s">
        <v>1368</v>
      </c>
      <c r="I141" s="24" t="s">
        <v>1368</v>
      </c>
      <c r="J141" s="186" t="s">
        <v>1367</v>
      </c>
      <c r="K141" s="16">
        <v>8448</v>
      </c>
      <c r="L141" s="17">
        <v>2112</v>
      </c>
      <c r="M141" s="16">
        <v>0</v>
      </c>
      <c r="N141" s="17">
        <v>0</v>
      </c>
      <c r="O141" s="16">
        <v>0</v>
      </c>
      <c r="P141" s="17">
        <v>0</v>
      </c>
      <c r="Q141" s="16">
        <v>0</v>
      </c>
      <c r="R141" s="17">
        <v>0</v>
      </c>
      <c r="S141" s="16">
        <v>0</v>
      </c>
      <c r="T141" s="17">
        <v>0</v>
      </c>
      <c r="U141" s="16">
        <v>0</v>
      </c>
      <c r="V141" s="17">
        <v>0</v>
      </c>
      <c r="W141" s="18">
        <v>8448</v>
      </c>
      <c r="X141" s="17">
        <v>2112</v>
      </c>
      <c r="Y141" s="17">
        <v>0</v>
      </c>
      <c r="Z141" s="17"/>
      <c r="AA141" s="17"/>
      <c r="AB141" s="144">
        <v>0</v>
      </c>
      <c r="AC141" s="8">
        <f t="shared" si="27"/>
        <v>284.44416000000001</v>
      </c>
      <c r="AD141" s="11" t="str">
        <f>LEFT(details!E141,5)</f>
        <v>33.67</v>
      </c>
      <c r="AE141" s="42">
        <f t="shared" si="25"/>
        <v>0</v>
      </c>
      <c r="AF141" s="42">
        <f>VLOOKUP(C141,MC.5!B:P,15,FALSE)/3</f>
        <v>1020.62</v>
      </c>
      <c r="AG141" s="152">
        <f>AF141</f>
        <v>1020.62</v>
      </c>
      <c r="AH141" s="137" t="str">
        <f>VLOOKUP(F141,REF!B:C,2,FALSE)</f>
        <v>PET</v>
      </c>
      <c r="AI141" s="3" t="str">
        <f>VLOOKUP(G141,REF!E:F,2,FALSE)</f>
        <v>Jar /Container/Tub</v>
      </c>
    </row>
    <row r="142" spans="1:35" x14ac:dyDescent="0.3">
      <c r="A142" s="186" t="s">
        <v>1155</v>
      </c>
      <c r="B142" s="24" t="s">
        <v>1155</v>
      </c>
      <c r="C142" s="156">
        <v>442034</v>
      </c>
      <c r="D142" s="24" t="s">
        <v>240</v>
      </c>
      <c r="E142" s="24" t="s">
        <v>17</v>
      </c>
      <c r="F142" s="156">
        <v>60104</v>
      </c>
      <c r="G142" s="24" t="s">
        <v>1438</v>
      </c>
      <c r="H142" s="24" t="s">
        <v>1366</v>
      </c>
      <c r="I142" s="24" t="s">
        <v>1366</v>
      </c>
      <c r="J142" s="186" t="s">
        <v>1367</v>
      </c>
      <c r="K142" s="16">
        <v>16896</v>
      </c>
      <c r="L142" s="17">
        <v>3717.12</v>
      </c>
      <c r="M142" s="16">
        <v>0</v>
      </c>
      <c r="N142" s="17">
        <v>0</v>
      </c>
      <c r="O142" s="16">
        <v>0</v>
      </c>
      <c r="P142" s="17">
        <v>0</v>
      </c>
      <c r="Q142" s="16">
        <v>0</v>
      </c>
      <c r="R142" s="17">
        <v>0</v>
      </c>
      <c r="S142" s="16">
        <v>0</v>
      </c>
      <c r="T142" s="17">
        <v>0</v>
      </c>
      <c r="U142" s="16">
        <v>0</v>
      </c>
      <c r="V142" s="17">
        <v>0</v>
      </c>
      <c r="W142" s="18">
        <v>16896</v>
      </c>
      <c r="X142" s="17">
        <v>3717.12</v>
      </c>
      <c r="Y142" s="17">
        <v>0</v>
      </c>
      <c r="Z142" s="17">
        <v>109025.26</v>
      </c>
      <c r="AA142" s="17">
        <v>36341.753333333298</v>
      </c>
      <c r="AB142" s="144">
        <v>3.0684705544384898</v>
      </c>
      <c r="AC142" s="8">
        <f t="shared" si="27"/>
        <v>388.608</v>
      </c>
      <c r="AD142" s="11" t="str">
        <f>LEFT(details!E142,5)</f>
        <v>23.00</v>
      </c>
      <c r="AE142" s="42">
        <f t="shared" si="25"/>
        <v>36341.753333333298</v>
      </c>
      <c r="AF142" s="42">
        <f>VLOOKUP(C142,MC.5!B:P,15,FALSE)/3</f>
        <v>36341.760000000002</v>
      </c>
      <c r="AG142" s="152">
        <f>AE142</f>
        <v>36341.753333333298</v>
      </c>
      <c r="AH142" s="137" t="str">
        <f>VLOOKUP(F142,REF!B:C,2,FALSE)</f>
        <v>PET</v>
      </c>
      <c r="AI142" s="3" t="str">
        <f>VLOOKUP(G142,REF!E:F,2,FALSE)</f>
        <v>Bottle</v>
      </c>
    </row>
    <row r="143" spans="1:35" x14ac:dyDescent="0.3">
      <c r="A143" s="186" t="s">
        <v>1155</v>
      </c>
      <c r="B143" s="24" t="s">
        <v>1155</v>
      </c>
      <c r="C143" s="156">
        <v>442310</v>
      </c>
      <c r="D143" s="24" t="s">
        <v>2114</v>
      </c>
      <c r="E143" s="24" t="s">
        <v>88</v>
      </c>
      <c r="F143" s="156">
        <v>60104</v>
      </c>
      <c r="G143" s="24" t="s">
        <v>1438</v>
      </c>
      <c r="H143" s="24" t="s">
        <v>1366</v>
      </c>
      <c r="I143" s="24" t="s">
        <v>1366</v>
      </c>
      <c r="J143" s="186" t="s">
        <v>1367</v>
      </c>
      <c r="K143" s="16">
        <v>0</v>
      </c>
      <c r="L143" s="17">
        <v>0</v>
      </c>
      <c r="M143" s="16">
        <v>8008</v>
      </c>
      <c r="N143" s="17">
        <v>3683.68</v>
      </c>
      <c r="O143" s="16">
        <v>0</v>
      </c>
      <c r="P143" s="17">
        <v>0</v>
      </c>
      <c r="Q143" s="16">
        <v>0</v>
      </c>
      <c r="R143" s="17">
        <v>0</v>
      </c>
      <c r="S143" s="16">
        <v>0</v>
      </c>
      <c r="T143" s="17">
        <v>0</v>
      </c>
      <c r="U143" s="16">
        <v>0</v>
      </c>
      <c r="V143" s="17">
        <v>0</v>
      </c>
      <c r="W143" s="18">
        <v>8008</v>
      </c>
      <c r="X143" s="17">
        <v>3683.68</v>
      </c>
      <c r="Y143" s="17">
        <v>0</v>
      </c>
      <c r="Z143" s="17"/>
      <c r="AA143" s="17"/>
      <c r="AB143" s="144">
        <v>0</v>
      </c>
      <c r="AC143" s="8">
        <f t="shared" si="27"/>
        <v>480.48</v>
      </c>
      <c r="AD143" s="11" t="str">
        <f>LEFT(details!E143,5)</f>
        <v>60.00</v>
      </c>
      <c r="AE143" s="42">
        <f t="shared" si="25"/>
        <v>0</v>
      </c>
      <c r="AF143" s="42">
        <f>VLOOKUP(C143,MC.5!B:P,15,FALSE)/3</f>
        <v>0</v>
      </c>
      <c r="AG143" s="152">
        <f>AF143</f>
        <v>0</v>
      </c>
      <c r="AH143" s="137" t="str">
        <f>VLOOKUP(F143,REF!B:C,2,FALSE)</f>
        <v>PET</v>
      </c>
      <c r="AI143" s="3" t="str">
        <f>VLOOKUP(G143,REF!E:F,2,FALSE)</f>
        <v>Bottle</v>
      </c>
    </row>
    <row r="144" spans="1:35" x14ac:dyDescent="0.3">
      <c r="A144" s="186" t="s">
        <v>1155</v>
      </c>
      <c r="B144" s="24" t="s">
        <v>1155</v>
      </c>
      <c r="C144" s="156">
        <v>442642</v>
      </c>
      <c r="D144" s="24" t="s">
        <v>231</v>
      </c>
      <c r="E144" s="24" t="s">
        <v>270</v>
      </c>
      <c r="F144" s="156">
        <v>60104</v>
      </c>
      <c r="G144" s="24" t="s">
        <v>1439</v>
      </c>
      <c r="H144" s="24" t="s">
        <v>1368</v>
      </c>
      <c r="I144" s="24" t="s">
        <v>1368</v>
      </c>
      <c r="J144" s="186" t="s">
        <v>1367</v>
      </c>
      <c r="K144" s="16">
        <v>9660</v>
      </c>
      <c r="L144" s="17">
        <v>2704.8</v>
      </c>
      <c r="M144" s="16">
        <v>0</v>
      </c>
      <c r="N144" s="17">
        <v>0</v>
      </c>
      <c r="O144" s="16">
        <v>10626</v>
      </c>
      <c r="P144" s="17">
        <v>2975.28</v>
      </c>
      <c r="Q144" s="16">
        <v>0</v>
      </c>
      <c r="R144" s="17">
        <v>0</v>
      </c>
      <c r="S144" s="16">
        <v>0</v>
      </c>
      <c r="T144" s="17">
        <v>0</v>
      </c>
      <c r="U144" s="16">
        <v>0</v>
      </c>
      <c r="V144" s="17">
        <v>0</v>
      </c>
      <c r="W144" s="18">
        <v>20286</v>
      </c>
      <c r="X144" s="17">
        <v>5680.08</v>
      </c>
      <c r="Y144" s="17">
        <v>330.61</v>
      </c>
      <c r="Z144" s="17">
        <v>483</v>
      </c>
      <c r="AA144" s="17">
        <v>161</v>
      </c>
      <c r="AB144" s="144">
        <v>1058.4000000000001</v>
      </c>
      <c r="AC144" s="8">
        <f t="shared" si="27"/>
        <v>699.86699999999996</v>
      </c>
      <c r="AD144" s="11" t="str">
        <f>LEFT(details!E144,5)</f>
        <v>34.50</v>
      </c>
      <c r="AE144" s="42">
        <f t="shared" si="25"/>
        <v>161</v>
      </c>
      <c r="AF144" s="42">
        <f>VLOOKUP(C144,MC.5!B:P,15,FALSE)/3</f>
        <v>161</v>
      </c>
      <c r="AG144" s="152">
        <f>AE144</f>
        <v>161</v>
      </c>
      <c r="AH144" s="137" t="str">
        <f>VLOOKUP(F144,REF!B:C,2,FALSE)</f>
        <v>PET</v>
      </c>
      <c r="AI144" s="3" t="str">
        <f>VLOOKUP(G144,REF!E:F,2,FALSE)</f>
        <v>Jar /Container/Tub</v>
      </c>
    </row>
    <row r="145" spans="1:35" x14ac:dyDescent="0.3">
      <c r="A145" s="186" t="s">
        <v>1155</v>
      </c>
      <c r="B145" s="24" t="s">
        <v>1155</v>
      </c>
      <c r="C145" s="156">
        <v>449365</v>
      </c>
      <c r="D145" s="24" t="s">
        <v>122</v>
      </c>
      <c r="E145" s="24" t="s">
        <v>112</v>
      </c>
      <c r="F145" s="156">
        <v>60104</v>
      </c>
      <c r="G145" s="24" t="s">
        <v>1438</v>
      </c>
      <c r="H145" s="24" t="s">
        <v>1366</v>
      </c>
      <c r="I145" s="24" t="s">
        <v>1366</v>
      </c>
      <c r="J145" s="186" t="s">
        <v>1367</v>
      </c>
      <c r="K145" s="16">
        <v>0</v>
      </c>
      <c r="L145" s="17">
        <v>0</v>
      </c>
      <c r="M145" s="16">
        <v>0</v>
      </c>
      <c r="N145" s="17">
        <v>0</v>
      </c>
      <c r="O145" s="16">
        <v>534</v>
      </c>
      <c r="P145" s="17">
        <v>128.16</v>
      </c>
      <c r="Q145" s="16">
        <v>0</v>
      </c>
      <c r="R145" s="17">
        <v>0</v>
      </c>
      <c r="S145" s="16">
        <v>0</v>
      </c>
      <c r="T145" s="17">
        <v>0</v>
      </c>
      <c r="U145" s="16">
        <v>0</v>
      </c>
      <c r="V145" s="17">
        <v>0</v>
      </c>
      <c r="W145" s="18">
        <v>534</v>
      </c>
      <c r="X145" s="17">
        <v>128.16</v>
      </c>
      <c r="Y145" s="17">
        <v>35.6</v>
      </c>
      <c r="Z145" s="17"/>
      <c r="AA145" s="17"/>
      <c r="AB145" s="144">
        <v>0</v>
      </c>
      <c r="AC145" s="8">
        <f t="shared" si="27"/>
        <v>15.486000000000001</v>
      </c>
      <c r="AD145" s="11" t="str">
        <f>LEFT(details!E145,5)</f>
        <v>29.00</v>
      </c>
      <c r="AE145" s="42">
        <f t="shared" si="25"/>
        <v>0</v>
      </c>
      <c r="AF145" s="42">
        <f>VLOOKUP(C145,MC.5!B:P,15,FALSE)/3</f>
        <v>0</v>
      </c>
      <c r="AG145" s="152">
        <f>AF145</f>
        <v>0</v>
      </c>
      <c r="AH145" s="137" t="str">
        <f>VLOOKUP(F145,REF!B:C,2,FALSE)</f>
        <v>PET</v>
      </c>
      <c r="AI145" s="3" t="str">
        <f>VLOOKUP(G145,REF!E:F,2,FALSE)</f>
        <v>Bottle</v>
      </c>
    </row>
    <row r="146" spans="1:35" x14ac:dyDescent="0.3">
      <c r="A146" s="186" t="s">
        <v>1155</v>
      </c>
      <c r="B146" s="24" t="s">
        <v>1155</v>
      </c>
      <c r="C146" s="156">
        <v>451191</v>
      </c>
      <c r="D146" s="24" t="s">
        <v>123</v>
      </c>
      <c r="E146" s="24" t="s">
        <v>112</v>
      </c>
      <c r="F146" s="156">
        <v>60104</v>
      </c>
      <c r="G146" s="24" t="s">
        <v>1438</v>
      </c>
      <c r="H146" s="24" t="s">
        <v>1366</v>
      </c>
      <c r="I146" s="24" t="s">
        <v>1366</v>
      </c>
      <c r="J146" s="186" t="s">
        <v>1367</v>
      </c>
      <c r="K146" s="16">
        <v>18360</v>
      </c>
      <c r="L146" s="17">
        <v>4590</v>
      </c>
      <c r="M146" s="16">
        <v>0</v>
      </c>
      <c r="N146" s="17">
        <v>0</v>
      </c>
      <c r="O146" s="16">
        <v>0</v>
      </c>
      <c r="P146" s="17">
        <v>0</v>
      </c>
      <c r="Q146" s="16">
        <v>0</v>
      </c>
      <c r="R146" s="17">
        <v>0</v>
      </c>
      <c r="S146" s="16">
        <v>0</v>
      </c>
      <c r="T146" s="17">
        <v>0</v>
      </c>
      <c r="U146" s="16">
        <v>0</v>
      </c>
      <c r="V146" s="17">
        <v>0</v>
      </c>
      <c r="W146" s="18">
        <v>18360</v>
      </c>
      <c r="X146" s="17">
        <v>4590</v>
      </c>
      <c r="Y146" s="17">
        <v>0</v>
      </c>
      <c r="Z146" s="17">
        <v>38178.54</v>
      </c>
      <c r="AA146" s="17">
        <v>12726.18</v>
      </c>
      <c r="AB146" s="144">
        <v>10.820214707005601</v>
      </c>
      <c r="AC146" s="8">
        <f t="shared" si="27"/>
        <v>532.44000000000005</v>
      </c>
      <c r="AD146" s="11" t="str">
        <f>LEFT(details!E146,5)</f>
        <v>29.00</v>
      </c>
      <c r="AE146" s="42">
        <f t="shared" si="25"/>
        <v>12726.18</v>
      </c>
      <c r="AF146" s="42">
        <f>VLOOKUP(C146,MC.5!B:P,15,FALSE)/3</f>
        <v>12726.18</v>
      </c>
      <c r="AG146" s="152">
        <f t="shared" ref="AG144:AG147" si="28">AE146</f>
        <v>12726.18</v>
      </c>
      <c r="AH146" s="137" t="str">
        <f>VLOOKUP(F146,REF!B:C,2,FALSE)</f>
        <v>PET</v>
      </c>
      <c r="AI146" s="3" t="str">
        <f>VLOOKUP(G146,REF!E:F,2,FALSE)</f>
        <v>Bottle</v>
      </c>
    </row>
    <row r="147" spans="1:35" x14ac:dyDescent="0.3">
      <c r="A147" s="186" t="s">
        <v>1155</v>
      </c>
      <c r="B147" s="24" t="s">
        <v>1155</v>
      </c>
      <c r="C147" s="156">
        <v>453753</v>
      </c>
      <c r="D147" s="24" t="s">
        <v>140</v>
      </c>
      <c r="E147" s="24" t="s">
        <v>280</v>
      </c>
      <c r="F147" s="156">
        <v>60106</v>
      </c>
      <c r="G147" s="24" t="s">
        <v>1440</v>
      </c>
      <c r="H147" s="24" t="s">
        <v>1371</v>
      </c>
      <c r="I147" s="24" t="s">
        <v>1371</v>
      </c>
      <c r="J147" s="186" t="s">
        <v>1372</v>
      </c>
      <c r="K147" s="16">
        <v>3900</v>
      </c>
      <c r="L147" s="17">
        <v>533.67999999999995</v>
      </c>
      <c r="M147" s="16">
        <v>0</v>
      </c>
      <c r="N147" s="17">
        <v>0</v>
      </c>
      <c r="O147" s="16">
        <v>0</v>
      </c>
      <c r="P147" s="17">
        <v>0</v>
      </c>
      <c r="Q147" s="16">
        <v>0</v>
      </c>
      <c r="R147" s="17">
        <v>0</v>
      </c>
      <c r="S147" s="16">
        <v>0</v>
      </c>
      <c r="T147" s="17">
        <v>0</v>
      </c>
      <c r="U147" s="16">
        <v>0</v>
      </c>
      <c r="V147" s="17">
        <v>0</v>
      </c>
      <c r="W147" s="18">
        <v>3900</v>
      </c>
      <c r="X147" s="17">
        <v>533.67999999999995</v>
      </c>
      <c r="Y147" s="17">
        <v>0</v>
      </c>
      <c r="Z147" s="17">
        <v>2134.6799999999998</v>
      </c>
      <c r="AA147" s="17">
        <v>711.56</v>
      </c>
      <c r="AB147" s="144">
        <v>22.500421608859401</v>
      </c>
      <c r="AC147" s="8">
        <f t="shared" si="27"/>
        <v>14.04</v>
      </c>
      <c r="AD147" s="11" t="str">
        <f>LEFT(details!E147,5)</f>
        <v>3.600</v>
      </c>
      <c r="AE147" s="42">
        <f t="shared" si="25"/>
        <v>711.56</v>
      </c>
      <c r="AF147" s="42">
        <f>VLOOKUP(C147,MC.5!B:P,15,FALSE)/3</f>
        <v>711.56</v>
      </c>
      <c r="AG147" s="152">
        <f t="shared" si="28"/>
        <v>711.56</v>
      </c>
      <c r="AH147" s="137" t="str">
        <f>VLOOKUP(F147,REF!B:C,2,FALSE)</f>
        <v>PP</v>
      </c>
      <c r="AI147" s="3" t="str">
        <f>VLOOKUP(G147,REF!E:F,2,FALSE)</f>
        <v>Closure/Lid/ Handle</v>
      </c>
    </row>
    <row r="148" spans="1:35" x14ac:dyDescent="0.3">
      <c r="A148" s="186" t="s">
        <v>1155</v>
      </c>
      <c r="B148" s="24" t="s">
        <v>1155</v>
      </c>
      <c r="C148" s="156">
        <v>453792</v>
      </c>
      <c r="D148" s="24" t="s">
        <v>1917</v>
      </c>
      <c r="E148" s="24" t="s">
        <v>40</v>
      </c>
      <c r="F148" s="156">
        <v>60106</v>
      </c>
      <c r="G148" s="24" t="s">
        <v>1440</v>
      </c>
      <c r="H148" s="24" t="s">
        <v>1371</v>
      </c>
      <c r="I148" s="24" t="s">
        <v>1371</v>
      </c>
      <c r="J148" s="186" t="s">
        <v>1372</v>
      </c>
      <c r="K148" s="16">
        <v>0</v>
      </c>
      <c r="L148" s="17">
        <v>0</v>
      </c>
      <c r="M148" s="16">
        <v>0</v>
      </c>
      <c r="N148" s="17">
        <v>0</v>
      </c>
      <c r="O148" s="16">
        <v>2160</v>
      </c>
      <c r="P148" s="17">
        <v>639.36</v>
      </c>
      <c r="Q148" s="16">
        <v>0</v>
      </c>
      <c r="R148" s="17">
        <v>0</v>
      </c>
      <c r="S148" s="16">
        <v>0</v>
      </c>
      <c r="T148" s="17">
        <v>0</v>
      </c>
      <c r="U148" s="16">
        <v>0</v>
      </c>
      <c r="V148" s="17">
        <v>0</v>
      </c>
      <c r="W148" s="18">
        <v>2160</v>
      </c>
      <c r="X148" s="17">
        <v>639.36</v>
      </c>
      <c r="Y148" s="17">
        <v>142.09</v>
      </c>
      <c r="Z148" s="17"/>
      <c r="AA148" s="17"/>
      <c r="AB148" s="144">
        <v>0</v>
      </c>
      <c r="AC148" s="8">
        <f t="shared" si="27"/>
        <v>69.12</v>
      </c>
      <c r="AD148" s="11" t="str">
        <f>LEFT(details!E148,5)</f>
        <v>32.00</v>
      </c>
      <c r="AE148" s="42">
        <f t="shared" si="25"/>
        <v>0</v>
      </c>
      <c r="AF148" s="42">
        <f>VLOOKUP(C148,MC.5!B:P,15,FALSE)/3</f>
        <v>0</v>
      </c>
      <c r="AG148" s="152">
        <f>AF148</f>
        <v>0</v>
      </c>
      <c r="AH148" s="137" t="str">
        <f>VLOOKUP(F148,REF!B:C,2,FALSE)</f>
        <v>PP</v>
      </c>
      <c r="AI148" s="3" t="str">
        <f>VLOOKUP(G148,REF!E:F,2,FALSE)</f>
        <v>Closure/Lid/ Handle</v>
      </c>
    </row>
    <row r="149" spans="1:35" x14ac:dyDescent="0.3">
      <c r="A149" s="186" t="s">
        <v>1155</v>
      </c>
      <c r="B149" s="24" t="s">
        <v>1155</v>
      </c>
      <c r="C149" s="156">
        <v>453796</v>
      </c>
      <c r="D149" s="24" t="s">
        <v>232</v>
      </c>
      <c r="E149" s="24" t="s">
        <v>211</v>
      </c>
      <c r="F149" s="156">
        <v>60106</v>
      </c>
      <c r="G149" s="24" t="s">
        <v>1440</v>
      </c>
      <c r="H149" s="24" t="s">
        <v>1371</v>
      </c>
      <c r="I149" s="24" t="s">
        <v>1371</v>
      </c>
      <c r="J149" s="186" t="s">
        <v>1372</v>
      </c>
      <c r="K149" s="16">
        <v>168000</v>
      </c>
      <c r="L149" s="17">
        <v>20160</v>
      </c>
      <c r="M149" s="16">
        <v>0</v>
      </c>
      <c r="N149" s="17">
        <v>0</v>
      </c>
      <c r="O149" s="16">
        <v>0</v>
      </c>
      <c r="P149" s="17">
        <v>0</v>
      </c>
      <c r="Q149" s="16">
        <v>0</v>
      </c>
      <c r="R149" s="17">
        <v>0</v>
      </c>
      <c r="S149" s="16">
        <v>0</v>
      </c>
      <c r="T149" s="17">
        <v>0</v>
      </c>
      <c r="U149" s="16">
        <v>0</v>
      </c>
      <c r="V149" s="17">
        <v>0</v>
      </c>
      <c r="W149" s="18">
        <v>168000</v>
      </c>
      <c r="X149" s="17">
        <v>20160</v>
      </c>
      <c r="Y149" s="17">
        <v>0</v>
      </c>
      <c r="Z149" s="17">
        <v>108800</v>
      </c>
      <c r="AA149" s="17">
        <v>36266.666666666701</v>
      </c>
      <c r="AB149" s="144">
        <v>16.676470588235301</v>
      </c>
      <c r="AC149" s="8">
        <f t="shared" si="27"/>
        <v>588</v>
      </c>
      <c r="AD149" s="11" t="str">
        <f>LEFT(details!E149,5)</f>
        <v>3.500</v>
      </c>
      <c r="AE149" s="42">
        <f t="shared" si="25"/>
        <v>36266.666666666701</v>
      </c>
      <c r="AF149" s="42">
        <f>VLOOKUP(C149,MC.5!B:P,15,FALSE)/3</f>
        <v>36266.666666666664</v>
      </c>
      <c r="AG149" s="152">
        <f t="shared" ref="AG147:AG150" si="29">AE149</f>
        <v>36266.666666666701</v>
      </c>
      <c r="AH149" s="137" t="str">
        <f>VLOOKUP(F149,REF!B:C,2,FALSE)</f>
        <v>PP</v>
      </c>
      <c r="AI149" s="3" t="str">
        <f>VLOOKUP(G149,REF!E:F,2,FALSE)</f>
        <v>Closure/Lid/ Handle</v>
      </c>
    </row>
    <row r="150" spans="1:35" x14ac:dyDescent="0.3">
      <c r="A150" s="186" t="s">
        <v>1155</v>
      </c>
      <c r="B150" s="24" t="s">
        <v>1155</v>
      </c>
      <c r="C150" s="156">
        <v>453811</v>
      </c>
      <c r="D150" s="24" t="s">
        <v>125</v>
      </c>
      <c r="E150" s="24" t="s">
        <v>126</v>
      </c>
      <c r="F150" s="156">
        <v>60105</v>
      </c>
      <c r="G150" s="24" t="s">
        <v>1443</v>
      </c>
      <c r="H150" s="24" t="s">
        <v>1387</v>
      </c>
      <c r="I150" s="24" t="s">
        <v>1387</v>
      </c>
      <c r="J150" s="186" t="s">
        <v>1388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>
        <v>2044.5</v>
      </c>
      <c r="AA150" s="17">
        <v>681.5</v>
      </c>
      <c r="AB150" s="144"/>
      <c r="AC150" s="8">
        <f t="shared" ref="AC148:AC159" si="30">(AD150*W150)/1000</f>
        <v>0</v>
      </c>
      <c r="AD150" s="11" t="str">
        <f>LEFT(details!E150,5)</f>
        <v>38.00</v>
      </c>
      <c r="AE150" s="42">
        <f t="shared" si="25"/>
        <v>681.5</v>
      </c>
      <c r="AF150" s="42">
        <f>VLOOKUP(C150,MC.5!B:P,15,FALSE)/3</f>
        <v>681.5</v>
      </c>
      <c r="AG150" s="152">
        <f t="shared" si="29"/>
        <v>681.5</v>
      </c>
      <c r="AH150" s="137" t="str">
        <f>VLOOKUP(F150,REF!B:C,2,FALSE)</f>
        <v>PE</v>
      </c>
      <c r="AI150" s="3" t="str">
        <f>VLOOKUP(G150,REF!E:F,2,FALSE)</f>
        <v>Bottle</v>
      </c>
    </row>
    <row r="151" spans="1:35" x14ac:dyDescent="0.3">
      <c r="A151" s="186" t="s">
        <v>1155</v>
      </c>
      <c r="B151" s="24" t="s">
        <v>1155</v>
      </c>
      <c r="C151" s="156">
        <v>453833</v>
      </c>
      <c r="D151" s="24" t="s">
        <v>356</v>
      </c>
      <c r="E151" s="24" t="s">
        <v>18</v>
      </c>
      <c r="F151" s="156">
        <v>60106</v>
      </c>
      <c r="G151" s="24" t="s">
        <v>1444</v>
      </c>
      <c r="H151" s="24" t="s">
        <v>1389</v>
      </c>
      <c r="I151" s="24" t="s">
        <v>1389</v>
      </c>
      <c r="J151" s="186" t="s">
        <v>1372</v>
      </c>
      <c r="K151" s="16">
        <v>0</v>
      </c>
      <c r="L151" s="17">
        <v>0</v>
      </c>
      <c r="M151" s="16">
        <v>720</v>
      </c>
      <c r="N151" s="17">
        <v>171.42</v>
      </c>
      <c r="O151" s="16">
        <v>0</v>
      </c>
      <c r="P151" s="17">
        <v>0</v>
      </c>
      <c r="Q151" s="16">
        <v>0</v>
      </c>
      <c r="R151" s="17">
        <v>0</v>
      </c>
      <c r="S151" s="16">
        <v>0</v>
      </c>
      <c r="T151" s="17">
        <v>0</v>
      </c>
      <c r="U151" s="16">
        <v>0</v>
      </c>
      <c r="V151" s="17">
        <v>0</v>
      </c>
      <c r="W151" s="18">
        <v>720</v>
      </c>
      <c r="X151" s="17">
        <v>171.42</v>
      </c>
      <c r="Y151" s="17">
        <v>0</v>
      </c>
      <c r="Z151" s="17"/>
      <c r="AA151" s="17"/>
      <c r="AB151" s="144">
        <v>0</v>
      </c>
      <c r="AC151" s="8">
        <f t="shared" si="30"/>
        <v>17.28</v>
      </c>
      <c r="AD151" s="11" t="str">
        <f>LEFT(details!E151,5)</f>
        <v>24.00</v>
      </c>
      <c r="AE151" s="42">
        <f t="shared" si="25"/>
        <v>0</v>
      </c>
      <c r="AF151" s="42">
        <f>VLOOKUP(C151,MC.5!B:P,15,FALSE)/3</f>
        <v>0</v>
      </c>
      <c r="AG151" s="152">
        <f t="shared" ref="AG151:AG153" si="31">AF151</f>
        <v>0</v>
      </c>
      <c r="AH151" s="137" t="str">
        <f>VLOOKUP(F151,REF!B:C,2,FALSE)</f>
        <v>PP</v>
      </c>
      <c r="AI151" s="3" t="str">
        <f>VLOOKUP(G151,REF!E:F,2,FALSE)</f>
        <v>Jar /Container/Tub</v>
      </c>
    </row>
    <row r="152" spans="1:35" x14ac:dyDescent="0.3">
      <c r="A152" s="186" t="s">
        <v>1155</v>
      </c>
      <c r="B152" s="24" t="s">
        <v>1155</v>
      </c>
      <c r="C152" s="156">
        <v>453840</v>
      </c>
      <c r="D152" s="24" t="s">
        <v>284</v>
      </c>
      <c r="E152" s="24" t="s">
        <v>21</v>
      </c>
      <c r="F152" s="156">
        <v>60106</v>
      </c>
      <c r="G152" s="24" t="s">
        <v>1444</v>
      </c>
      <c r="H152" s="24" t="s">
        <v>1389</v>
      </c>
      <c r="I152" s="24" t="s">
        <v>1389</v>
      </c>
      <c r="J152" s="186" t="s">
        <v>1372</v>
      </c>
      <c r="K152" s="16">
        <v>0</v>
      </c>
      <c r="L152" s="17">
        <v>0</v>
      </c>
      <c r="M152" s="16">
        <v>0</v>
      </c>
      <c r="N152" s="17">
        <v>0</v>
      </c>
      <c r="O152" s="16">
        <v>3600</v>
      </c>
      <c r="P152" s="17">
        <v>1220.4000000000001</v>
      </c>
      <c r="Q152" s="16">
        <v>0</v>
      </c>
      <c r="R152" s="17">
        <v>0</v>
      </c>
      <c r="S152" s="16">
        <v>0</v>
      </c>
      <c r="T152" s="17">
        <v>0</v>
      </c>
      <c r="U152" s="16">
        <v>0</v>
      </c>
      <c r="V152" s="17">
        <v>0</v>
      </c>
      <c r="W152" s="18">
        <v>3600</v>
      </c>
      <c r="X152" s="17">
        <v>1220.4000000000001</v>
      </c>
      <c r="Y152" s="17">
        <v>203.42</v>
      </c>
      <c r="Z152" s="17"/>
      <c r="AA152" s="17"/>
      <c r="AB152" s="144">
        <v>0</v>
      </c>
      <c r="AC152" s="8">
        <f t="shared" si="30"/>
        <v>129.6</v>
      </c>
      <c r="AD152" s="11" t="str">
        <f>LEFT(details!E152,5)</f>
        <v>36.00</v>
      </c>
      <c r="AE152" s="42">
        <f t="shared" si="25"/>
        <v>0</v>
      </c>
      <c r="AF152" s="42">
        <f>VLOOKUP(C152,MC.5!B:P,15,FALSE)/3</f>
        <v>0</v>
      </c>
      <c r="AG152" s="152">
        <f t="shared" si="31"/>
        <v>0</v>
      </c>
      <c r="AH152" s="137" t="str">
        <f>VLOOKUP(F152,REF!B:C,2,FALSE)</f>
        <v>PP</v>
      </c>
      <c r="AI152" s="3" t="str">
        <f>VLOOKUP(G152,REF!E:F,2,FALSE)</f>
        <v>Jar /Container/Tub</v>
      </c>
    </row>
    <row r="153" spans="1:35" x14ac:dyDescent="0.3">
      <c r="A153" s="186" t="s">
        <v>1155</v>
      </c>
      <c r="B153" s="24" t="s">
        <v>1155</v>
      </c>
      <c r="C153" s="156">
        <v>453888</v>
      </c>
      <c r="D153" s="24" t="s">
        <v>1256</v>
      </c>
      <c r="E153" s="24" t="s">
        <v>14</v>
      </c>
      <c r="F153" s="156">
        <v>60105</v>
      </c>
      <c r="G153" s="24" t="s">
        <v>1443</v>
      </c>
      <c r="H153" s="24" t="s">
        <v>1390</v>
      </c>
      <c r="I153" s="24" t="s">
        <v>1390</v>
      </c>
      <c r="J153" s="186" t="s">
        <v>1367</v>
      </c>
      <c r="K153" s="16">
        <v>0</v>
      </c>
      <c r="L153" s="17">
        <v>0</v>
      </c>
      <c r="M153" s="16">
        <v>0</v>
      </c>
      <c r="N153" s="17">
        <v>0</v>
      </c>
      <c r="O153" s="16">
        <v>0</v>
      </c>
      <c r="P153" s="17">
        <v>0</v>
      </c>
      <c r="Q153" s="16">
        <v>3040</v>
      </c>
      <c r="R153" s="17">
        <v>456</v>
      </c>
      <c r="S153" s="16">
        <v>0</v>
      </c>
      <c r="T153" s="17">
        <v>0</v>
      </c>
      <c r="U153" s="16">
        <v>0</v>
      </c>
      <c r="V153" s="17">
        <v>0</v>
      </c>
      <c r="W153" s="18">
        <v>3040</v>
      </c>
      <c r="X153" s="17">
        <v>456</v>
      </c>
      <c r="Y153" s="17">
        <v>202.68</v>
      </c>
      <c r="Z153" s="17"/>
      <c r="AA153" s="17"/>
      <c r="AB153" s="144">
        <v>0</v>
      </c>
      <c r="AC153" s="8">
        <f t="shared" si="30"/>
        <v>60.8</v>
      </c>
      <c r="AD153" s="11" t="str">
        <f>LEFT(details!E153,5)</f>
        <v>20.00</v>
      </c>
      <c r="AE153" s="42">
        <f t="shared" si="25"/>
        <v>0</v>
      </c>
      <c r="AF153" s="42">
        <f>VLOOKUP(C153,MC.5!B:P,15,FALSE)/3</f>
        <v>0</v>
      </c>
      <c r="AG153" s="152">
        <f t="shared" si="31"/>
        <v>0</v>
      </c>
      <c r="AH153" s="137" t="str">
        <f>VLOOKUP(F153,REF!B:C,2,FALSE)</f>
        <v>PE</v>
      </c>
      <c r="AI153" s="3" t="str">
        <f>VLOOKUP(G153,REF!E:F,2,FALSE)</f>
        <v>Bottle</v>
      </c>
    </row>
    <row r="154" spans="1:35" x14ac:dyDescent="0.3">
      <c r="A154" s="186" t="s">
        <v>1155</v>
      </c>
      <c r="B154" s="24" t="s">
        <v>1155</v>
      </c>
      <c r="C154" s="156">
        <v>453895</v>
      </c>
      <c r="D154" s="24" t="s">
        <v>1211</v>
      </c>
      <c r="E154" s="24" t="s">
        <v>1212</v>
      </c>
      <c r="F154" s="156">
        <v>60105</v>
      </c>
      <c r="G154" s="24" t="s">
        <v>1443</v>
      </c>
      <c r="H154" s="24" t="s">
        <v>1390</v>
      </c>
      <c r="I154" s="24" t="s">
        <v>1390</v>
      </c>
      <c r="J154" s="186" t="s">
        <v>1367</v>
      </c>
      <c r="K154" s="16">
        <v>10000</v>
      </c>
      <c r="L154" s="17">
        <v>1600</v>
      </c>
      <c r="M154" s="16">
        <v>0</v>
      </c>
      <c r="N154" s="17">
        <v>0</v>
      </c>
      <c r="O154" s="16">
        <v>0</v>
      </c>
      <c r="P154" s="17">
        <v>0</v>
      </c>
      <c r="Q154" s="16">
        <v>0</v>
      </c>
      <c r="R154" s="17">
        <v>0</v>
      </c>
      <c r="S154" s="16">
        <v>0</v>
      </c>
      <c r="T154" s="17">
        <v>0</v>
      </c>
      <c r="U154" s="16">
        <v>0</v>
      </c>
      <c r="V154" s="17">
        <v>0</v>
      </c>
      <c r="W154" s="18">
        <v>10000</v>
      </c>
      <c r="X154" s="17">
        <v>1600</v>
      </c>
      <c r="Y154" s="17">
        <v>0</v>
      </c>
      <c r="Z154" s="17">
        <v>1600</v>
      </c>
      <c r="AA154" s="17">
        <v>533.33333333333303</v>
      </c>
      <c r="AB154" s="144">
        <v>90</v>
      </c>
      <c r="AC154" s="8">
        <f t="shared" si="30"/>
        <v>206</v>
      </c>
      <c r="AD154" s="11" t="str">
        <f>LEFT(details!E154,5)</f>
        <v>20.60</v>
      </c>
      <c r="AE154" s="42">
        <f t="shared" si="25"/>
        <v>533.33333333333303</v>
      </c>
      <c r="AF154" s="42">
        <f>VLOOKUP(C154,MC.5!B:P,15,FALSE)/3</f>
        <v>533.33333333333337</v>
      </c>
      <c r="AG154" s="152">
        <f t="shared" ref="AG152:AG160" si="32">AE154</f>
        <v>533.33333333333303</v>
      </c>
      <c r="AH154" s="137" t="str">
        <f>VLOOKUP(F154,REF!B:C,2,FALSE)</f>
        <v>PE</v>
      </c>
      <c r="AI154" s="3" t="str">
        <f>VLOOKUP(G154,REF!E:F,2,FALSE)</f>
        <v>Bottle</v>
      </c>
    </row>
    <row r="155" spans="1:35" x14ac:dyDescent="0.3">
      <c r="A155" s="186" t="s">
        <v>1155</v>
      </c>
      <c r="B155" s="24" t="s">
        <v>1155</v>
      </c>
      <c r="C155" s="156">
        <v>453928</v>
      </c>
      <c r="D155" s="24" t="s">
        <v>1533</v>
      </c>
      <c r="E155" s="24" t="s">
        <v>2694</v>
      </c>
      <c r="F155" s="156">
        <v>60106</v>
      </c>
      <c r="G155" s="24" t="s">
        <v>1445</v>
      </c>
      <c r="H155" s="24" t="s">
        <v>1391</v>
      </c>
      <c r="I155" s="24" t="s">
        <v>1391</v>
      </c>
      <c r="J155" s="186" t="s">
        <v>1367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>
        <v>5208</v>
      </c>
      <c r="AA155" s="17">
        <v>1736</v>
      </c>
      <c r="AB155" s="144"/>
      <c r="AC155" s="8">
        <f t="shared" si="30"/>
        <v>0</v>
      </c>
      <c r="AD155" s="11" t="str">
        <f>LEFT(details!E155,5)</f>
        <v>43.00</v>
      </c>
      <c r="AE155" s="42">
        <f t="shared" si="25"/>
        <v>1736</v>
      </c>
      <c r="AF155" s="42">
        <f>VLOOKUP(C155,MC.5!B:P,15,FALSE)/3</f>
        <v>1736</v>
      </c>
      <c r="AG155" s="152">
        <f t="shared" si="32"/>
        <v>1736</v>
      </c>
      <c r="AH155" s="137" t="str">
        <f>VLOOKUP(F155,REF!B:C,2,FALSE)</f>
        <v>PP</v>
      </c>
      <c r="AI155" s="3" t="str">
        <f>VLOOKUP(G155,REF!E:F,2,FALSE)</f>
        <v>Bottle</v>
      </c>
    </row>
    <row r="156" spans="1:35" x14ac:dyDescent="0.3">
      <c r="A156" s="186" t="s">
        <v>1155</v>
      </c>
      <c r="B156" s="24" t="s">
        <v>1155</v>
      </c>
      <c r="C156" s="156">
        <v>453929</v>
      </c>
      <c r="D156" s="24" t="s">
        <v>316</v>
      </c>
      <c r="E156" s="24" t="s">
        <v>317</v>
      </c>
      <c r="F156" s="156">
        <v>60106</v>
      </c>
      <c r="G156" s="24" t="s">
        <v>1445</v>
      </c>
      <c r="H156" s="24" t="s">
        <v>1391</v>
      </c>
      <c r="I156" s="24" t="s">
        <v>1391</v>
      </c>
      <c r="J156" s="186" t="s">
        <v>1367</v>
      </c>
      <c r="K156" s="16">
        <v>28224</v>
      </c>
      <c r="L156" s="17">
        <v>9031.68</v>
      </c>
      <c r="M156" s="16">
        <v>0</v>
      </c>
      <c r="N156" s="17">
        <v>0</v>
      </c>
      <c r="O156" s="16">
        <v>0</v>
      </c>
      <c r="P156" s="17">
        <v>0</v>
      </c>
      <c r="Q156" s="16">
        <v>0</v>
      </c>
      <c r="R156" s="17">
        <v>0</v>
      </c>
      <c r="S156" s="16">
        <v>0</v>
      </c>
      <c r="T156" s="17">
        <v>0</v>
      </c>
      <c r="U156" s="16">
        <v>0</v>
      </c>
      <c r="V156" s="17">
        <v>0</v>
      </c>
      <c r="W156" s="18">
        <v>28224</v>
      </c>
      <c r="X156" s="17">
        <v>9031.68</v>
      </c>
      <c r="Y156" s="17">
        <v>0</v>
      </c>
      <c r="Z156" s="17">
        <v>37094.400000000001</v>
      </c>
      <c r="AA156" s="17">
        <v>12364.8</v>
      </c>
      <c r="AB156" s="144">
        <v>21.913043478260899</v>
      </c>
      <c r="AC156" s="8">
        <f t="shared" si="30"/>
        <v>1185.4079999999999</v>
      </c>
      <c r="AD156" s="11" t="str">
        <f>LEFT(details!E156,5)</f>
        <v>42.00</v>
      </c>
      <c r="AE156" s="42">
        <f t="shared" si="25"/>
        <v>12364.8</v>
      </c>
      <c r="AF156" s="42">
        <f>VLOOKUP(C156,MC.5!B:P,15,FALSE)/3</f>
        <v>12364.800000000001</v>
      </c>
      <c r="AG156" s="152">
        <f t="shared" si="32"/>
        <v>12364.8</v>
      </c>
      <c r="AH156" s="137" t="str">
        <f>VLOOKUP(F156,REF!B:C,2,FALSE)</f>
        <v>PP</v>
      </c>
      <c r="AI156" s="3" t="str">
        <f>VLOOKUP(G156,REF!E:F,2,FALSE)</f>
        <v>Bottle</v>
      </c>
    </row>
    <row r="157" spans="1:35" x14ac:dyDescent="0.3">
      <c r="A157" s="186" t="s">
        <v>1155</v>
      </c>
      <c r="B157" s="24" t="s">
        <v>1155</v>
      </c>
      <c r="C157" s="156">
        <v>453932</v>
      </c>
      <c r="D157" s="24" t="s">
        <v>257</v>
      </c>
      <c r="E157" s="24" t="s">
        <v>256</v>
      </c>
      <c r="F157" s="156">
        <v>60105</v>
      </c>
      <c r="G157" s="24" t="s">
        <v>1443</v>
      </c>
      <c r="H157" s="24" t="s">
        <v>1392</v>
      </c>
      <c r="I157" s="24" t="s">
        <v>1392</v>
      </c>
      <c r="J157" s="186" t="s">
        <v>1372</v>
      </c>
      <c r="K157" s="16">
        <v>60480</v>
      </c>
      <c r="L157" s="17">
        <v>22377.599999999999</v>
      </c>
      <c r="M157" s="16">
        <v>0</v>
      </c>
      <c r="N157" s="17">
        <v>0</v>
      </c>
      <c r="O157" s="16">
        <v>0</v>
      </c>
      <c r="P157" s="17">
        <v>0</v>
      </c>
      <c r="Q157" s="16">
        <v>0</v>
      </c>
      <c r="R157" s="17">
        <v>0</v>
      </c>
      <c r="S157" s="16">
        <v>0</v>
      </c>
      <c r="T157" s="17">
        <v>0</v>
      </c>
      <c r="U157" s="16">
        <v>0</v>
      </c>
      <c r="V157" s="17">
        <v>0</v>
      </c>
      <c r="W157" s="18">
        <v>60480</v>
      </c>
      <c r="X157" s="17">
        <v>22377.599999999999</v>
      </c>
      <c r="Y157" s="17">
        <v>0</v>
      </c>
      <c r="Z157" s="17">
        <v>44755.199999999997</v>
      </c>
      <c r="AA157" s="17">
        <v>14918.4</v>
      </c>
      <c r="AB157" s="144">
        <v>45</v>
      </c>
      <c r="AC157" s="8">
        <f t="shared" si="30"/>
        <v>2388.96</v>
      </c>
      <c r="AD157" s="11" t="str">
        <f>LEFT(details!E157,5)</f>
        <v>39.50</v>
      </c>
      <c r="AE157" s="42">
        <f t="shared" si="25"/>
        <v>14918.4</v>
      </c>
      <c r="AF157" s="42">
        <f>VLOOKUP(C157,MC.5!B:P,15,FALSE)/3</f>
        <v>14918.4</v>
      </c>
      <c r="AG157" s="152">
        <f t="shared" si="32"/>
        <v>14918.4</v>
      </c>
      <c r="AH157" s="137" t="str">
        <f>VLOOKUP(F157,REF!B:C,2,FALSE)</f>
        <v>PE</v>
      </c>
      <c r="AI157" s="3" t="str">
        <f>VLOOKUP(G157,REF!E:F,2,FALSE)</f>
        <v>Bottle</v>
      </c>
    </row>
    <row r="158" spans="1:35" x14ac:dyDescent="0.3">
      <c r="A158" s="186" t="s">
        <v>1155</v>
      </c>
      <c r="B158" s="24" t="s">
        <v>1155</v>
      </c>
      <c r="C158" s="156">
        <v>453933</v>
      </c>
      <c r="D158" s="24" t="s">
        <v>1346</v>
      </c>
      <c r="E158" s="24" t="s">
        <v>256</v>
      </c>
      <c r="F158" s="156">
        <v>60105</v>
      </c>
      <c r="G158" s="24" t="s">
        <v>1443</v>
      </c>
      <c r="H158" s="24" t="s">
        <v>1392</v>
      </c>
      <c r="I158" s="24" t="s">
        <v>1392</v>
      </c>
      <c r="J158" s="186" t="s">
        <v>1372</v>
      </c>
      <c r="K158" s="16">
        <v>24480</v>
      </c>
      <c r="L158" s="17">
        <v>8078.4</v>
      </c>
      <c r="M158" s="16">
        <v>0</v>
      </c>
      <c r="N158" s="17">
        <v>0</v>
      </c>
      <c r="O158" s="16">
        <v>0</v>
      </c>
      <c r="P158" s="17">
        <v>0</v>
      </c>
      <c r="Q158" s="16">
        <v>0</v>
      </c>
      <c r="R158" s="17">
        <v>0</v>
      </c>
      <c r="S158" s="16">
        <v>0</v>
      </c>
      <c r="T158" s="17">
        <v>0</v>
      </c>
      <c r="U158" s="16">
        <v>0</v>
      </c>
      <c r="V158" s="17">
        <v>0</v>
      </c>
      <c r="W158" s="18">
        <v>24480</v>
      </c>
      <c r="X158" s="17">
        <v>8078.4</v>
      </c>
      <c r="Y158" s="17">
        <v>0</v>
      </c>
      <c r="Z158" s="17">
        <v>13305.6</v>
      </c>
      <c r="AA158" s="17">
        <v>4435.2</v>
      </c>
      <c r="AB158" s="144">
        <v>54.642857142857103</v>
      </c>
      <c r="AC158" s="8">
        <f t="shared" si="30"/>
        <v>966.96</v>
      </c>
      <c r="AD158" s="11" t="str">
        <f>LEFT(details!E158,5)</f>
        <v>39.50</v>
      </c>
      <c r="AE158" s="42">
        <f t="shared" si="25"/>
        <v>4435.2</v>
      </c>
      <c r="AF158" s="42">
        <f>VLOOKUP(C158,MC.5!B:P,15,FALSE)/3</f>
        <v>4435.2</v>
      </c>
      <c r="AG158" s="152">
        <f t="shared" si="32"/>
        <v>4435.2</v>
      </c>
      <c r="AH158" s="137" t="str">
        <f>VLOOKUP(F158,REF!B:C,2,FALSE)</f>
        <v>PE</v>
      </c>
      <c r="AI158" s="3" t="str">
        <f>VLOOKUP(G158,REF!E:F,2,FALSE)</f>
        <v>Bottle</v>
      </c>
    </row>
    <row r="159" spans="1:35" x14ac:dyDescent="0.3">
      <c r="A159" s="186" t="s">
        <v>1155</v>
      </c>
      <c r="B159" s="24" t="s">
        <v>1155</v>
      </c>
      <c r="C159" s="156">
        <v>453944</v>
      </c>
      <c r="D159" s="24" t="s">
        <v>1235</v>
      </c>
      <c r="E159" s="24" t="s">
        <v>88</v>
      </c>
      <c r="F159" s="156">
        <v>60105</v>
      </c>
      <c r="G159" s="24" t="s">
        <v>1443</v>
      </c>
      <c r="H159" s="24" t="s">
        <v>1390</v>
      </c>
      <c r="I159" s="24" t="s">
        <v>1390</v>
      </c>
      <c r="J159" s="186" t="s">
        <v>1367</v>
      </c>
      <c r="K159" s="16">
        <v>0</v>
      </c>
      <c r="L159" s="17">
        <v>0</v>
      </c>
      <c r="M159" s="16">
        <v>0</v>
      </c>
      <c r="N159" s="17">
        <v>0</v>
      </c>
      <c r="O159" s="16">
        <v>0</v>
      </c>
      <c r="P159" s="17">
        <v>0</v>
      </c>
      <c r="Q159" s="16">
        <v>4680</v>
      </c>
      <c r="R159" s="17">
        <v>2808</v>
      </c>
      <c r="S159" s="16">
        <v>0</v>
      </c>
      <c r="T159" s="17">
        <v>0</v>
      </c>
      <c r="U159" s="16">
        <v>0</v>
      </c>
      <c r="V159" s="17">
        <v>0</v>
      </c>
      <c r="W159" s="18">
        <v>4680</v>
      </c>
      <c r="X159" s="17">
        <v>2808</v>
      </c>
      <c r="Y159" s="17">
        <v>1404.11</v>
      </c>
      <c r="Z159" s="17">
        <v>907.2</v>
      </c>
      <c r="AA159" s="17">
        <v>302.39999999999998</v>
      </c>
      <c r="AB159" s="144">
        <v>278.57142857142901</v>
      </c>
      <c r="AC159" s="8">
        <f t="shared" si="30"/>
        <v>280.8</v>
      </c>
      <c r="AD159" s="11" t="str">
        <f>LEFT(details!E159,5)</f>
        <v>60.00</v>
      </c>
      <c r="AE159" s="42">
        <f t="shared" si="25"/>
        <v>302.39999999999998</v>
      </c>
      <c r="AF159" s="42">
        <f>VLOOKUP(C159,MC.5!B:P,15,FALSE)/3</f>
        <v>302.40000000000003</v>
      </c>
      <c r="AG159" s="152">
        <f t="shared" si="32"/>
        <v>302.39999999999998</v>
      </c>
      <c r="AH159" s="137" t="str">
        <f>VLOOKUP(F159,REF!B:C,2,FALSE)</f>
        <v>PE</v>
      </c>
      <c r="AI159" s="3" t="str">
        <f>VLOOKUP(G159,REF!E:F,2,FALSE)</f>
        <v>Bottle</v>
      </c>
    </row>
    <row r="160" spans="1:35" x14ac:dyDescent="0.3">
      <c r="A160" s="186" t="s">
        <v>1155</v>
      </c>
      <c r="B160" s="24" t="s">
        <v>1155</v>
      </c>
      <c r="C160" s="156">
        <v>453945</v>
      </c>
      <c r="D160" s="24" t="s">
        <v>2147</v>
      </c>
      <c r="E160" s="24" t="s">
        <v>88</v>
      </c>
      <c r="F160" s="156">
        <v>60105</v>
      </c>
      <c r="G160" s="24" t="s">
        <v>1443</v>
      </c>
      <c r="H160" s="24" t="s">
        <v>1390</v>
      </c>
      <c r="I160" s="24" t="s">
        <v>1390</v>
      </c>
      <c r="J160" s="186" t="s">
        <v>1367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>
        <v>5684</v>
      </c>
      <c r="AA160" s="17">
        <v>1894.6666666666699</v>
      </c>
      <c r="AB160" s="144"/>
      <c r="AC160" s="8">
        <f t="shared" ref="AC158:AC167" si="33">(AD160*W160)/1000</f>
        <v>0</v>
      </c>
      <c r="AD160" s="11" t="str">
        <f>LEFT(details!E160,5)</f>
        <v>60.00</v>
      </c>
      <c r="AE160" s="42">
        <f t="shared" si="25"/>
        <v>1894.6666666666699</v>
      </c>
      <c r="AF160" s="42">
        <f>VLOOKUP(C160,MC.5!B:P,15,FALSE)/3</f>
        <v>1894.6666666666667</v>
      </c>
      <c r="AG160" s="152">
        <f t="shared" si="32"/>
        <v>1894.6666666666699</v>
      </c>
      <c r="AH160" s="137" t="str">
        <f>VLOOKUP(F160,REF!B:C,2,FALSE)</f>
        <v>PE</v>
      </c>
      <c r="AI160" s="3" t="str">
        <f>VLOOKUP(G160,REF!E:F,2,FALSE)</f>
        <v>Bottle</v>
      </c>
    </row>
    <row r="161" spans="1:35" x14ac:dyDescent="0.3">
      <c r="A161" s="186" t="s">
        <v>1155</v>
      </c>
      <c r="B161" s="24" t="s">
        <v>1155</v>
      </c>
      <c r="C161" s="156">
        <v>453953</v>
      </c>
      <c r="D161" s="24" t="s">
        <v>210</v>
      </c>
      <c r="E161" s="24" t="s">
        <v>113</v>
      </c>
      <c r="F161" s="156">
        <v>65400</v>
      </c>
      <c r="G161" s="24" t="s">
        <v>1378</v>
      </c>
      <c r="H161" s="24" t="s">
        <v>1442</v>
      </c>
      <c r="I161" s="24" t="s">
        <v>1378</v>
      </c>
      <c r="J161" s="186" t="s">
        <v>1379</v>
      </c>
      <c r="K161" s="16">
        <v>205408</v>
      </c>
      <c r="L161" s="17">
        <v>16999.57</v>
      </c>
      <c r="M161" s="16">
        <v>0</v>
      </c>
      <c r="N161" s="17">
        <v>0</v>
      </c>
      <c r="O161" s="16">
        <v>0</v>
      </c>
      <c r="P161" s="17">
        <v>0</v>
      </c>
      <c r="Q161" s="16">
        <v>0</v>
      </c>
      <c r="R161" s="17">
        <v>0</v>
      </c>
      <c r="S161" s="16">
        <v>0</v>
      </c>
      <c r="T161" s="17">
        <v>0</v>
      </c>
      <c r="U161" s="16">
        <v>0</v>
      </c>
      <c r="V161" s="17">
        <v>0</v>
      </c>
      <c r="W161" s="18">
        <v>205408</v>
      </c>
      <c r="X161" s="17">
        <v>16999.57</v>
      </c>
      <c r="Y161" s="17">
        <v>0</v>
      </c>
      <c r="Z161" s="17"/>
      <c r="AA161" s="17"/>
      <c r="AB161" s="144">
        <v>0</v>
      </c>
      <c r="AC161" s="8">
        <f t="shared" si="33"/>
        <v>0</v>
      </c>
      <c r="AD161" s="11" t="str">
        <f>LEFT(details!E161,5)</f>
        <v>0.000</v>
      </c>
      <c r="AE161" s="42">
        <f t="shared" si="25"/>
        <v>0</v>
      </c>
      <c r="AF161" s="42">
        <f>VLOOKUP(C161,MC.5!B:P,15,FALSE)/3</f>
        <v>31557.266666666666</v>
      </c>
      <c r="AG161" s="152">
        <f>AF161</f>
        <v>31557.266666666666</v>
      </c>
      <c r="AH161" s="137" t="str">
        <f>VLOOKUP(F161,REF!B:C,2,FALSE)</f>
        <v>Secondary/ Component</v>
      </c>
      <c r="AI161" s="3" t="str">
        <f>VLOOKUP(G161,REF!E:F,2,FALSE)</f>
        <v>LABEL, IML, STICKER, SEALED ETC</v>
      </c>
    </row>
    <row r="162" spans="1:35" x14ac:dyDescent="0.3">
      <c r="A162" s="186" t="s">
        <v>1155</v>
      </c>
      <c r="B162" s="24" t="s">
        <v>1155</v>
      </c>
      <c r="C162" s="156">
        <v>454213</v>
      </c>
      <c r="D162" s="24" t="s">
        <v>129</v>
      </c>
      <c r="E162" s="24" t="s">
        <v>24</v>
      </c>
      <c r="F162" s="156">
        <v>60105</v>
      </c>
      <c r="G162" s="24" t="s">
        <v>1441</v>
      </c>
      <c r="H162" s="24" t="s">
        <v>1393</v>
      </c>
      <c r="I162" s="24" t="s">
        <v>1393</v>
      </c>
      <c r="J162" s="186" t="s">
        <v>1372</v>
      </c>
      <c r="K162" s="16">
        <v>75600</v>
      </c>
      <c r="L162" s="17">
        <v>25025.11</v>
      </c>
      <c r="M162" s="16">
        <v>0</v>
      </c>
      <c r="N162" s="17">
        <v>0</v>
      </c>
      <c r="O162" s="16">
        <v>0</v>
      </c>
      <c r="P162" s="17">
        <v>0</v>
      </c>
      <c r="Q162" s="16">
        <v>0</v>
      </c>
      <c r="R162" s="17">
        <v>0</v>
      </c>
      <c r="S162" s="16">
        <v>0</v>
      </c>
      <c r="T162" s="17">
        <v>0</v>
      </c>
      <c r="U162" s="16">
        <v>0</v>
      </c>
      <c r="V162" s="17">
        <v>0</v>
      </c>
      <c r="W162" s="18">
        <v>75600</v>
      </c>
      <c r="X162" s="17">
        <v>25025.11</v>
      </c>
      <c r="Y162" s="17">
        <v>0</v>
      </c>
      <c r="Z162" s="17">
        <v>17730.07</v>
      </c>
      <c r="AA162" s="17">
        <v>5910.0233333333299</v>
      </c>
      <c r="AB162" s="144">
        <v>127.030513697915</v>
      </c>
      <c r="AC162" s="8">
        <f t="shared" si="33"/>
        <v>2494.8000000000002</v>
      </c>
      <c r="AD162" s="11" t="str">
        <f>LEFT(details!E162,5)</f>
        <v>33.00</v>
      </c>
      <c r="AE162" s="42">
        <f t="shared" si="25"/>
        <v>5910.0233333333299</v>
      </c>
      <c r="AF162" s="42">
        <f>VLOOKUP(C162,MC.5!B:P,15,FALSE)/3</f>
        <v>5910.0233333333335</v>
      </c>
      <c r="AG162" s="152">
        <f t="shared" ref="AG160:AG166" si="34">AE162</f>
        <v>5910.0233333333299</v>
      </c>
      <c r="AH162" s="137" t="str">
        <f>VLOOKUP(F162,REF!B:C,2,FALSE)</f>
        <v>PE</v>
      </c>
      <c r="AI162" s="3" t="str">
        <f>VLOOKUP(G162,REF!E:F,2,FALSE)</f>
        <v>Closure/Lid/ Handle</v>
      </c>
    </row>
    <row r="163" spans="1:35" x14ac:dyDescent="0.3">
      <c r="A163" s="186" t="s">
        <v>1155</v>
      </c>
      <c r="B163" s="24" t="s">
        <v>1155</v>
      </c>
      <c r="C163" s="156">
        <v>454215</v>
      </c>
      <c r="D163" s="24" t="s">
        <v>130</v>
      </c>
      <c r="E163" s="24" t="s">
        <v>281</v>
      </c>
      <c r="F163" s="156">
        <v>60106</v>
      </c>
      <c r="G163" s="24" t="s">
        <v>1444</v>
      </c>
      <c r="H163" s="24" t="s">
        <v>1389</v>
      </c>
      <c r="I163" s="24" t="s">
        <v>1389</v>
      </c>
      <c r="J163" s="186" t="s">
        <v>1372</v>
      </c>
      <c r="K163" s="16">
        <v>41760</v>
      </c>
      <c r="L163" s="17">
        <v>41909.919999999998</v>
      </c>
      <c r="M163" s="16">
        <v>0</v>
      </c>
      <c r="N163" s="17">
        <v>0</v>
      </c>
      <c r="O163" s="16">
        <v>0</v>
      </c>
      <c r="P163" s="17">
        <v>0</v>
      </c>
      <c r="Q163" s="16">
        <v>0</v>
      </c>
      <c r="R163" s="17">
        <v>0</v>
      </c>
      <c r="S163" s="16">
        <v>0</v>
      </c>
      <c r="T163" s="17">
        <v>0</v>
      </c>
      <c r="U163" s="16">
        <v>0</v>
      </c>
      <c r="V163" s="17">
        <v>0</v>
      </c>
      <c r="W163" s="18">
        <v>41760</v>
      </c>
      <c r="X163" s="17">
        <v>41909.919999999998</v>
      </c>
      <c r="Y163" s="17">
        <v>0</v>
      </c>
      <c r="Z163" s="17">
        <v>57160.07</v>
      </c>
      <c r="AA163" s="17">
        <v>19053.356666666699</v>
      </c>
      <c r="AB163" s="144">
        <v>65.988246690390696</v>
      </c>
      <c r="AC163" s="8">
        <f t="shared" si="33"/>
        <v>4927.68</v>
      </c>
      <c r="AD163" s="11" t="str">
        <f>LEFT(details!E163,5)</f>
        <v>118.0</v>
      </c>
      <c r="AE163" s="42">
        <f t="shared" si="25"/>
        <v>19053.356666666699</v>
      </c>
      <c r="AF163" s="42">
        <f>VLOOKUP(C163,MC.5!B:P,15,FALSE)/3</f>
        <v>19053.356666666667</v>
      </c>
      <c r="AG163" s="152">
        <f t="shared" si="34"/>
        <v>19053.356666666699</v>
      </c>
      <c r="AH163" s="137" t="str">
        <f>VLOOKUP(F163,REF!B:C,2,FALSE)</f>
        <v>PP</v>
      </c>
      <c r="AI163" s="3" t="str">
        <f>VLOOKUP(G163,REF!E:F,2,FALSE)</f>
        <v>Jar /Container/Tub</v>
      </c>
    </row>
    <row r="164" spans="1:35" x14ac:dyDescent="0.3">
      <c r="A164" s="186" t="s">
        <v>1155</v>
      </c>
      <c r="B164" s="24" t="s">
        <v>1155</v>
      </c>
      <c r="C164" s="156">
        <v>454254</v>
      </c>
      <c r="D164" s="24" t="s">
        <v>233</v>
      </c>
      <c r="E164" s="24" t="s">
        <v>234</v>
      </c>
      <c r="F164" s="156">
        <v>60106</v>
      </c>
      <c r="G164" s="24" t="s">
        <v>1444</v>
      </c>
      <c r="H164" s="24" t="s">
        <v>1389</v>
      </c>
      <c r="I164" s="24" t="s">
        <v>1389</v>
      </c>
      <c r="J164" s="186" t="s">
        <v>1372</v>
      </c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>
        <v>29928.57</v>
      </c>
      <c r="AA164" s="17">
        <v>9976.19</v>
      </c>
      <c r="AB164" s="144"/>
      <c r="AC164" s="8">
        <f t="shared" si="33"/>
        <v>0</v>
      </c>
      <c r="AD164" s="11" t="str">
        <f>LEFT(details!E164,5)</f>
        <v>87.00</v>
      </c>
      <c r="AE164" s="42">
        <f t="shared" si="25"/>
        <v>9976.19</v>
      </c>
      <c r="AF164" s="42">
        <f>VLOOKUP(C164,MC.5!B:P,15,FALSE)/3</f>
        <v>9976.19</v>
      </c>
      <c r="AG164" s="152">
        <f t="shared" si="34"/>
        <v>9976.19</v>
      </c>
      <c r="AH164" s="137" t="str">
        <f>VLOOKUP(F164,REF!B:C,2,FALSE)</f>
        <v>PP</v>
      </c>
      <c r="AI164" s="3" t="str">
        <f>VLOOKUP(G164,REF!E:F,2,FALSE)</f>
        <v>Jar /Container/Tub</v>
      </c>
    </row>
    <row r="165" spans="1:35" x14ac:dyDescent="0.3">
      <c r="A165" s="186" t="s">
        <v>1155</v>
      </c>
      <c r="B165" s="24" t="s">
        <v>1155</v>
      </c>
      <c r="C165" s="156">
        <v>454255</v>
      </c>
      <c r="D165" s="24" t="s">
        <v>1607</v>
      </c>
      <c r="E165" s="24" t="s">
        <v>126</v>
      </c>
      <c r="F165" s="156">
        <v>60106</v>
      </c>
      <c r="G165" s="24" t="s">
        <v>1440</v>
      </c>
      <c r="H165" s="24" t="s">
        <v>1371</v>
      </c>
      <c r="I165" s="24" t="s">
        <v>1371</v>
      </c>
      <c r="J165" s="186" t="s">
        <v>1372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>
        <v>6223.97</v>
      </c>
      <c r="AA165" s="17">
        <v>2074.6566666666699</v>
      </c>
      <c r="AB165" s="144"/>
      <c r="AC165" s="8">
        <f t="shared" si="33"/>
        <v>0</v>
      </c>
      <c r="AD165" s="11" t="str">
        <f>LEFT(details!E165,5)</f>
        <v>38.00</v>
      </c>
      <c r="AE165" s="42">
        <f t="shared" si="25"/>
        <v>2074.6566666666699</v>
      </c>
      <c r="AF165" s="42">
        <f>VLOOKUP(C165,MC.5!B:P,15,FALSE)/3</f>
        <v>2074.6566666666668</v>
      </c>
      <c r="AG165" s="152">
        <f t="shared" si="34"/>
        <v>2074.6566666666699</v>
      </c>
      <c r="AH165" s="137" t="str">
        <f>VLOOKUP(F165,REF!B:C,2,FALSE)</f>
        <v>PP</v>
      </c>
      <c r="AI165" s="3" t="str">
        <f>VLOOKUP(G165,REF!E:F,2,FALSE)</f>
        <v>Closure/Lid/ Handle</v>
      </c>
    </row>
    <row r="166" spans="1:35" x14ac:dyDescent="0.3">
      <c r="A166" s="186" t="s">
        <v>1155</v>
      </c>
      <c r="B166" s="24" t="s">
        <v>1155</v>
      </c>
      <c r="C166" s="156">
        <v>454256</v>
      </c>
      <c r="D166" s="24" t="s">
        <v>1284</v>
      </c>
      <c r="E166" s="24" t="s">
        <v>126</v>
      </c>
      <c r="F166" s="156">
        <v>60106</v>
      </c>
      <c r="G166" s="24" t="s">
        <v>1440</v>
      </c>
      <c r="H166" s="24" t="s">
        <v>1371</v>
      </c>
      <c r="I166" s="24" t="s">
        <v>1371</v>
      </c>
      <c r="J166" s="186" t="s">
        <v>1372</v>
      </c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>
        <v>6336.75</v>
      </c>
      <c r="AA166" s="17">
        <v>2112.25</v>
      </c>
      <c r="AB166" s="144"/>
      <c r="AC166" s="8">
        <f t="shared" si="33"/>
        <v>0</v>
      </c>
      <c r="AD166" s="11" t="str">
        <f>LEFT(details!E166,5)</f>
        <v>38.00</v>
      </c>
      <c r="AE166" s="42">
        <f t="shared" si="25"/>
        <v>2112.25</v>
      </c>
      <c r="AF166" s="42">
        <f>VLOOKUP(C166,MC.5!B:P,15,FALSE)/3</f>
        <v>2112.25</v>
      </c>
      <c r="AG166" s="152">
        <f t="shared" si="34"/>
        <v>2112.25</v>
      </c>
      <c r="AH166" s="137" t="str">
        <f>VLOOKUP(F166,REF!B:C,2,FALSE)</f>
        <v>PP</v>
      </c>
      <c r="AI166" s="3" t="str">
        <f>VLOOKUP(G166,REF!E:F,2,FALSE)</f>
        <v>Closure/Lid/ Handle</v>
      </c>
    </row>
    <row r="167" spans="1:35" x14ac:dyDescent="0.3">
      <c r="A167" s="186" t="s">
        <v>1155</v>
      </c>
      <c r="B167" s="24" t="s">
        <v>1155</v>
      </c>
      <c r="C167" s="156">
        <v>459326</v>
      </c>
      <c r="D167" s="24" t="s">
        <v>194</v>
      </c>
      <c r="E167" s="24" t="s">
        <v>68</v>
      </c>
      <c r="F167" s="156">
        <v>65400</v>
      </c>
      <c r="G167" s="24" t="s">
        <v>1378</v>
      </c>
      <c r="H167" s="24" t="s">
        <v>1442</v>
      </c>
      <c r="I167" s="24" t="s">
        <v>1378</v>
      </c>
      <c r="J167" s="186" t="s">
        <v>1379</v>
      </c>
      <c r="K167" s="16">
        <v>80000</v>
      </c>
      <c r="L167" s="17">
        <v>2001.6</v>
      </c>
      <c r="M167" s="16">
        <v>4500</v>
      </c>
      <c r="N167" s="17">
        <v>112.59</v>
      </c>
      <c r="O167" s="16">
        <v>0</v>
      </c>
      <c r="P167" s="17">
        <v>0</v>
      </c>
      <c r="Q167" s="16">
        <v>0</v>
      </c>
      <c r="R167" s="17">
        <v>0</v>
      </c>
      <c r="S167" s="16">
        <v>0</v>
      </c>
      <c r="T167" s="17">
        <v>0</v>
      </c>
      <c r="U167" s="16">
        <v>0</v>
      </c>
      <c r="V167" s="17">
        <v>0</v>
      </c>
      <c r="W167" s="18">
        <v>84500</v>
      </c>
      <c r="X167" s="17">
        <v>2114.19</v>
      </c>
      <c r="Y167" s="17">
        <v>0</v>
      </c>
      <c r="Z167" s="17"/>
      <c r="AA167" s="17"/>
      <c r="AB167" s="144">
        <v>0</v>
      </c>
      <c r="AC167" s="8">
        <f>(AD167*W167)/1000</f>
        <v>0</v>
      </c>
      <c r="AD167" s="11" t="str">
        <f>LEFT(details!E167,5)</f>
        <v>0.000</v>
      </c>
      <c r="AE167" s="42">
        <f t="shared" si="25"/>
        <v>0</v>
      </c>
      <c r="AF167" s="42">
        <f>VLOOKUP(C167,MC.5!B:P,15,FALSE)/3</f>
        <v>0</v>
      </c>
      <c r="AG167" s="152">
        <f>AF167</f>
        <v>0</v>
      </c>
      <c r="AH167" s="137" t="str">
        <f>VLOOKUP(F167,REF!B:C,2,FALSE)</f>
        <v>Secondary/ Component</v>
      </c>
      <c r="AI167" s="3" t="str">
        <f>VLOOKUP(G167,REF!E:F,2,FALSE)</f>
        <v>LABEL, IML, STICKER, SEALED ETC</v>
      </c>
    </row>
    <row r="168" spans="1:35" x14ac:dyDescent="0.3">
      <c r="A168" s="186" t="s">
        <v>1155</v>
      </c>
      <c r="B168" s="24" t="s">
        <v>1155</v>
      </c>
      <c r="C168" s="156">
        <v>463202</v>
      </c>
      <c r="D168" s="24" t="s">
        <v>206</v>
      </c>
      <c r="E168" s="24" t="s">
        <v>17</v>
      </c>
      <c r="F168" s="156">
        <v>60104</v>
      </c>
      <c r="G168" s="24" t="s">
        <v>1438</v>
      </c>
      <c r="H168" s="24" t="s">
        <v>1366</v>
      </c>
      <c r="I168" s="24" t="s">
        <v>1366</v>
      </c>
      <c r="J168" s="186" t="s">
        <v>1367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>
        <v>47467.199999999997</v>
      </c>
      <c r="AA168" s="17">
        <v>15822.4</v>
      </c>
      <c r="AB168" s="144"/>
      <c r="AC168" s="8">
        <f>(AD168*W168)/1000</f>
        <v>0</v>
      </c>
      <c r="AD168" s="11" t="str">
        <f>LEFT(details!E168,5)</f>
        <v>23.00</v>
      </c>
      <c r="AE168" s="42">
        <f t="shared" si="25"/>
        <v>15822.4</v>
      </c>
      <c r="AF168" s="42">
        <f>VLOOKUP(C168,MC.5!B:P,15,FALSE)/3</f>
        <v>15822.4</v>
      </c>
      <c r="AG168" s="152">
        <f t="shared" ref="AG166:AG170" si="35">AE168</f>
        <v>15822.4</v>
      </c>
      <c r="AH168" s="137" t="str">
        <f>VLOOKUP(F168,REF!B:C,2,FALSE)</f>
        <v>PET</v>
      </c>
      <c r="AI168" s="3" t="str">
        <f>VLOOKUP(G168,REF!E:F,2,FALSE)</f>
        <v>Bottle</v>
      </c>
    </row>
    <row r="169" spans="1:35" x14ac:dyDescent="0.3">
      <c r="A169" s="186" t="s">
        <v>1155</v>
      </c>
      <c r="B169" s="24" t="s">
        <v>1155</v>
      </c>
      <c r="C169" s="156">
        <v>464690</v>
      </c>
      <c r="D169" s="24" t="s">
        <v>2179</v>
      </c>
      <c r="E169" s="24" t="s">
        <v>111</v>
      </c>
      <c r="F169" s="156">
        <v>60104</v>
      </c>
      <c r="G169" s="24" t="s">
        <v>1438</v>
      </c>
      <c r="H169" s="24" t="s">
        <v>1442</v>
      </c>
      <c r="I169" s="24" t="s">
        <v>1438</v>
      </c>
      <c r="J169" s="186" t="s">
        <v>1421</v>
      </c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>
        <v>14020.8</v>
      </c>
      <c r="AA169" s="17">
        <v>4673.6000000000004</v>
      </c>
      <c r="AB169" s="144"/>
      <c r="AC169" s="8">
        <f t="shared" ref="AC169:AC182" si="36">(AD169*W169)/1000</f>
        <v>0</v>
      </c>
      <c r="AD169" s="11" t="str">
        <f>LEFT(details!E169,5)</f>
        <v>35.60</v>
      </c>
      <c r="AE169" s="42">
        <f t="shared" si="25"/>
        <v>4673.6000000000004</v>
      </c>
      <c r="AF169" s="42">
        <f>VLOOKUP(C169,MC.5!B:P,15,FALSE)/3</f>
        <v>4673.5999999999995</v>
      </c>
      <c r="AG169" s="152">
        <f t="shared" si="35"/>
        <v>4673.6000000000004</v>
      </c>
      <c r="AH169" s="137" t="str">
        <f>VLOOKUP(F169,REF!B:C,2,FALSE)</f>
        <v>PET</v>
      </c>
      <c r="AI169" s="3" t="str">
        <f>VLOOKUP(G169,REF!E:F,2,FALSE)</f>
        <v>Bottle</v>
      </c>
    </row>
    <row r="170" spans="1:35" x14ac:dyDescent="0.3">
      <c r="A170" s="186" t="s">
        <v>1155</v>
      </c>
      <c r="B170" s="24" t="s">
        <v>1155</v>
      </c>
      <c r="C170" s="156">
        <v>473708</v>
      </c>
      <c r="D170" s="24" t="s">
        <v>242</v>
      </c>
      <c r="E170" s="24" t="s">
        <v>124</v>
      </c>
      <c r="F170" s="156">
        <v>60105</v>
      </c>
      <c r="G170" s="24" t="s">
        <v>1441</v>
      </c>
      <c r="H170" s="24" t="s">
        <v>1370</v>
      </c>
      <c r="I170" s="24" t="s">
        <v>1370</v>
      </c>
      <c r="J170" s="186" t="s">
        <v>1367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>
        <v>123147.13</v>
      </c>
      <c r="AA170" s="17">
        <v>41049.043333333299</v>
      </c>
      <c r="AB170" s="144"/>
      <c r="AC170" s="8">
        <f t="shared" si="36"/>
        <v>0</v>
      </c>
      <c r="AD170" s="11" t="str">
        <f>LEFT(details!E170,5)</f>
        <v>6.300</v>
      </c>
      <c r="AE170" s="42">
        <f t="shared" si="25"/>
        <v>41049.043333333299</v>
      </c>
      <c r="AF170" s="42">
        <f>VLOOKUP(C170,MC.5!B:P,15,FALSE)/3</f>
        <v>41049.043333333335</v>
      </c>
      <c r="AG170" s="152">
        <f t="shared" si="35"/>
        <v>41049.043333333299</v>
      </c>
      <c r="AH170" s="137" t="str">
        <f>VLOOKUP(F170,REF!B:C,2,FALSE)</f>
        <v>PE</v>
      </c>
      <c r="AI170" s="3" t="str">
        <f>VLOOKUP(G170,REF!E:F,2,FALSE)</f>
        <v>Closure/Lid/ Handle</v>
      </c>
    </row>
    <row r="171" spans="1:35" x14ac:dyDescent="0.3">
      <c r="A171" s="186" t="s">
        <v>1155</v>
      </c>
      <c r="B171" s="24" t="s">
        <v>1155</v>
      </c>
      <c r="C171" s="156">
        <v>473712</v>
      </c>
      <c r="D171" s="24" t="s">
        <v>2560</v>
      </c>
      <c r="E171" s="24" t="s">
        <v>68</v>
      </c>
      <c r="F171" s="156">
        <v>65400</v>
      </c>
      <c r="G171" s="24" t="s">
        <v>1378</v>
      </c>
      <c r="H171" s="24" t="s">
        <v>1442</v>
      </c>
      <c r="I171" s="24" t="s">
        <v>1378</v>
      </c>
      <c r="J171" s="186" t="s">
        <v>1379</v>
      </c>
      <c r="K171" s="16">
        <v>378200</v>
      </c>
      <c r="L171" s="17">
        <v>7942.2</v>
      </c>
      <c r="M171" s="16">
        <v>0</v>
      </c>
      <c r="N171" s="17">
        <v>0</v>
      </c>
      <c r="O171" s="16">
        <v>0</v>
      </c>
      <c r="P171" s="17">
        <v>0</v>
      </c>
      <c r="Q171" s="16">
        <v>0</v>
      </c>
      <c r="R171" s="17">
        <v>0</v>
      </c>
      <c r="S171" s="16">
        <v>0</v>
      </c>
      <c r="T171" s="17">
        <v>0</v>
      </c>
      <c r="U171" s="16">
        <v>0</v>
      </c>
      <c r="V171" s="17">
        <v>0</v>
      </c>
      <c r="W171" s="18">
        <v>378200</v>
      </c>
      <c r="X171" s="17">
        <v>7942.2</v>
      </c>
      <c r="Y171" s="17">
        <v>0</v>
      </c>
      <c r="Z171" s="17"/>
      <c r="AA171" s="17"/>
      <c r="AB171" s="144">
        <v>0</v>
      </c>
      <c r="AC171" s="8">
        <f t="shared" si="36"/>
        <v>0</v>
      </c>
      <c r="AD171" s="11" t="str">
        <f>LEFT(details!E171,5)</f>
        <v>0.000</v>
      </c>
      <c r="AE171" s="42">
        <f t="shared" si="25"/>
        <v>0</v>
      </c>
      <c r="AF171" s="42">
        <f>VLOOKUP(C171,MC.5!B:P,15,FALSE)/3</f>
        <v>4396</v>
      </c>
      <c r="AG171" s="152">
        <f>AF171</f>
        <v>4396</v>
      </c>
      <c r="AH171" s="137" t="str">
        <f>VLOOKUP(F171,REF!B:C,2,FALSE)</f>
        <v>Secondary/ Component</v>
      </c>
      <c r="AI171" s="3" t="str">
        <f>VLOOKUP(G171,REF!E:F,2,FALSE)</f>
        <v>LABEL, IML, STICKER, SEALED ETC</v>
      </c>
    </row>
    <row r="172" spans="1:35" x14ac:dyDescent="0.3">
      <c r="A172" s="186" t="s">
        <v>1155</v>
      </c>
      <c r="B172" s="24" t="s">
        <v>1155</v>
      </c>
      <c r="C172" s="156">
        <v>476794</v>
      </c>
      <c r="D172" s="24" t="s">
        <v>136</v>
      </c>
      <c r="E172" s="24" t="s">
        <v>293</v>
      </c>
      <c r="F172" s="156">
        <v>60106</v>
      </c>
      <c r="G172" s="24" t="s">
        <v>1440</v>
      </c>
      <c r="H172" s="24" t="s">
        <v>1371</v>
      </c>
      <c r="I172" s="24" t="s">
        <v>1371</v>
      </c>
      <c r="J172" s="186" t="s">
        <v>1372</v>
      </c>
      <c r="K172" s="16">
        <v>30240</v>
      </c>
      <c r="L172" s="17">
        <v>3970.51</v>
      </c>
      <c r="M172" s="16">
        <v>0</v>
      </c>
      <c r="N172" s="17">
        <v>0</v>
      </c>
      <c r="O172" s="16">
        <v>0</v>
      </c>
      <c r="P172" s="17">
        <v>0</v>
      </c>
      <c r="Q172" s="16">
        <v>0</v>
      </c>
      <c r="R172" s="17">
        <v>0</v>
      </c>
      <c r="S172" s="16">
        <v>0</v>
      </c>
      <c r="T172" s="17">
        <v>0</v>
      </c>
      <c r="U172" s="16">
        <v>0</v>
      </c>
      <c r="V172" s="17">
        <v>0</v>
      </c>
      <c r="W172" s="18">
        <v>30240</v>
      </c>
      <c r="X172" s="17">
        <v>3970.51</v>
      </c>
      <c r="Y172" s="17">
        <v>0</v>
      </c>
      <c r="Z172" s="17">
        <v>3970.56</v>
      </c>
      <c r="AA172" s="17">
        <v>1323.52</v>
      </c>
      <c r="AB172" s="144">
        <v>89.998866658607398</v>
      </c>
      <c r="AC172" s="8">
        <f t="shared" si="36"/>
        <v>299.37599999999998</v>
      </c>
      <c r="AD172" s="11" t="str">
        <f>LEFT(details!E172,5)</f>
        <v>9.900</v>
      </c>
      <c r="AE172" s="42">
        <f t="shared" si="25"/>
        <v>1323.52</v>
      </c>
      <c r="AF172" s="42">
        <f>VLOOKUP(C172,MC.5!B:P,15,FALSE)/3</f>
        <v>1323.52</v>
      </c>
      <c r="AG172" s="152">
        <f t="shared" ref="AG170:AG173" si="37">AE172</f>
        <v>1323.52</v>
      </c>
      <c r="AH172" s="137" t="str">
        <f>VLOOKUP(F172,REF!B:C,2,FALSE)</f>
        <v>PP</v>
      </c>
      <c r="AI172" s="3" t="str">
        <f>VLOOKUP(G172,REF!E:F,2,FALSE)</f>
        <v>Closure/Lid/ Handle</v>
      </c>
    </row>
    <row r="173" spans="1:35" x14ac:dyDescent="0.3">
      <c r="A173" s="186" t="s">
        <v>1155</v>
      </c>
      <c r="B173" s="24" t="s">
        <v>1155</v>
      </c>
      <c r="C173" s="156">
        <v>478933</v>
      </c>
      <c r="D173" s="24" t="s">
        <v>2192</v>
      </c>
      <c r="E173" s="24" t="s">
        <v>2544</v>
      </c>
      <c r="F173" s="156">
        <v>60105</v>
      </c>
      <c r="G173" s="24" t="s">
        <v>1441</v>
      </c>
      <c r="H173" s="24" t="s">
        <v>1370</v>
      </c>
      <c r="I173" s="24" t="s">
        <v>1370</v>
      </c>
      <c r="J173" s="186" t="s">
        <v>1367</v>
      </c>
      <c r="K173" s="16">
        <v>9000</v>
      </c>
      <c r="L173" s="17">
        <v>2714.22</v>
      </c>
      <c r="M173" s="16">
        <v>0</v>
      </c>
      <c r="N173" s="17">
        <v>0</v>
      </c>
      <c r="O173" s="16">
        <v>0</v>
      </c>
      <c r="P173" s="17">
        <v>0</v>
      </c>
      <c r="Q173" s="16">
        <v>0</v>
      </c>
      <c r="R173" s="17">
        <v>0</v>
      </c>
      <c r="S173" s="16">
        <v>0</v>
      </c>
      <c r="T173" s="17">
        <v>0</v>
      </c>
      <c r="U173" s="16">
        <v>0</v>
      </c>
      <c r="V173" s="17">
        <v>0</v>
      </c>
      <c r="W173" s="18">
        <v>9000</v>
      </c>
      <c r="X173" s="17">
        <v>2714.22</v>
      </c>
      <c r="Y173" s="17">
        <v>0</v>
      </c>
      <c r="Z173" s="17">
        <v>301.58</v>
      </c>
      <c r="AA173" s="17">
        <v>100.526666666667</v>
      </c>
      <c r="AB173" s="144">
        <v>810</v>
      </c>
      <c r="AC173" s="8">
        <f t="shared" si="36"/>
        <v>63</v>
      </c>
      <c r="AD173" s="11" t="str">
        <f>LEFT(details!E173,5)</f>
        <v>7.000</v>
      </c>
      <c r="AE173" s="42">
        <f t="shared" si="25"/>
        <v>100.526666666667</v>
      </c>
      <c r="AF173" s="42">
        <f>VLOOKUP(C173,MC.5!B:P,15,FALSE)/3</f>
        <v>100.52666666666666</v>
      </c>
      <c r="AG173" s="152">
        <f t="shared" si="37"/>
        <v>100.526666666667</v>
      </c>
      <c r="AH173" s="137" t="str">
        <f>VLOOKUP(F173,REF!B:C,2,FALSE)</f>
        <v>PE</v>
      </c>
      <c r="AI173" s="3" t="str">
        <f>VLOOKUP(G173,REF!E:F,2,FALSE)</f>
        <v>Closure/Lid/ Handle</v>
      </c>
    </row>
    <row r="174" spans="1:35" x14ac:dyDescent="0.3">
      <c r="A174" s="186" t="s">
        <v>1155</v>
      </c>
      <c r="B174" s="24" t="s">
        <v>1155</v>
      </c>
      <c r="C174" s="156">
        <v>486896</v>
      </c>
      <c r="D174" s="24" t="s">
        <v>1191</v>
      </c>
      <c r="E174" s="24" t="s">
        <v>32</v>
      </c>
      <c r="F174" s="156">
        <v>60106</v>
      </c>
      <c r="G174" s="24" t="s">
        <v>1440</v>
      </c>
      <c r="H174" s="24" t="s">
        <v>1371</v>
      </c>
      <c r="I174" s="24" t="s">
        <v>1371</v>
      </c>
      <c r="J174" s="186" t="s">
        <v>1372</v>
      </c>
      <c r="K174" s="16">
        <v>0</v>
      </c>
      <c r="L174" s="17">
        <v>0</v>
      </c>
      <c r="M174" s="16">
        <v>0</v>
      </c>
      <c r="N174" s="17">
        <v>0</v>
      </c>
      <c r="O174" s="16">
        <v>4080</v>
      </c>
      <c r="P174" s="17">
        <v>1428</v>
      </c>
      <c r="Q174" s="16">
        <v>720</v>
      </c>
      <c r="R174" s="17">
        <v>252</v>
      </c>
      <c r="S174" s="16">
        <v>0</v>
      </c>
      <c r="T174" s="17">
        <v>0</v>
      </c>
      <c r="U174" s="16">
        <v>0</v>
      </c>
      <c r="V174" s="17">
        <v>0</v>
      </c>
      <c r="W174" s="18">
        <v>4800</v>
      </c>
      <c r="X174" s="17">
        <v>1680</v>
      </c>
      <c r="Y174" s="17">
        <v>336.03</v>
      </c>
      <c r="Z174" s="17"/>
      <c r="AA174" s="17"/>
      <c r="AB174" s="144">
        <v>0</v>
      </c>
      <c r="AC174" s="8">
        <f t="shared" si="36"/>
        <v>148.80000000000001</v>
      </c>
      <c r="AD174" s="11" t="str">
        <f>LEFT(details!E174,5)</f>
        <v>31.00</v>
      </c>
      <c r="AE174" s="42">
        <f t="shared" si="25"/>
        <v>0</v>
      </c>
      <c r="AF174" s="42">
        <f>VLOOKUP(C174,MC.5!B:P,15,FALSE)/3</f>
        <v>0</v>
      </c>
      <c r="AG174" s="152">
        <f t="shared" ref="AG174:AG182" si="38">AF174</f>
        <v>0</v>
      </c>
      <c r="AH174" s="137" t="str">
        <f>VLOOKUP(F174,REF!B:C,2,FALSE)</f>
        <v>PP</v>
      </c>
      <c r="AI174" s="3" t="str">
        <f>VLOOKUP(G174,REF!E:F,2,FALSE)</f>
        <v>Closure/Lid/ Handle</v>
      </c>
    </row>
    <row r="175" spans="1:35" x14ac:dyDescent="0.3">
      <c r="A175" s="186" t="s">
        <v>1155</v>
      </c>
      <c r="B175" s="24" t="s">
        <v>1155</v>
      </c>
      <c r="C175" s="156">
        <v>489199</v>
      </c>
      <c r="D175" s="24" t="s">
        <v>1170</v>
      </c>
      <c r="E175" s="24" t="s">
        <v>68</v>
      </c>
      <c r="F175" s="156">
        <v>65400</v>
      </c>
      <c r="G175" s="24" t="s">
        <v>1378</v>
      </c>
      <c r="H175" s="24" t="s">
        <v>1442</v>
      </c>
      <c r="I175" s="24" t="s">
        <v>1378</v>
      </c>
      <c r="J175" s="186" t="s">
        <v>1379</v>
      </c>
      <c r="K175" s="16">
        <v>0</v>
      </c>
      <c r="L175" s="17">
        <v>0</v>
      </c>
      <c r="M175" s="16">
        <v>0</v>
      </c>
      <c r="N175" s="17">
        <v>0</v>
      </c>
      <c r="O175" s="16">
        <v>4720</v>
      </c>
      <c r="P175" s="17">
        <v>0</v>
      </c>
      <c r="Q175" s="16">
        <v>0</v>
      </c>
      <c r="R175" s="17">
        <v>0</v>
      </c>
      <c r="S175" s="16">
        <v>0</v>
      </c>
      <c r="T175" s="17">
        <v>0</v>
      </c>
      <c r="U175" s="16">
        <v>0</v>
      </c>
      <c r="V175" s="17">
        <v>0</v>
      </c>
      <c r="W175" s="18">
        <v>4720</v>
      </c>
      <c r="X175" s="17">
        <v>0</v>
      </c>
      <c r="Y175" s="17">
        <v>0</v>
      </c>
      <c r="Z175" s="17"/>
      <c r="AA175" s="17"/>
      <c r="AB175" s="144">
        <v>0</v>
      </c>
      <c r="AC175" s="8">
        <f t="shared" si="36"/>
        <v>0</v>
      </c>
      <c r="AD175" s="11" t="str">
        <f>LEFT(details!E175,5)</f>
        <v>0.000</v>
      </c>
      <c r="AE175" s="42">
        <f t="shared" si="25"/>
        <v>0</v>
      </c>
      <c r="AF175" s="42">
        <f>VLOOKUP(C175,MC.5!B:P,15,FALSE)/3</f>
        <v>0</v>
      </c>
      <c r="AG175" s="152">
        <f t="shared" si="38"/>
        <v>0</v>
      </c>
      <c r="AH175" s="137" t="str">
        <f>VLOOKUP(F175,REF!B:C,2,FALSE)</f>
        <v>Secondary/ Component</v>
      </c>
      <c r="AI175" s="3" t="str">
        <f>VLOOKUP(G175,REF!E:F,2,FALSE)</f>
        <v>LABEL, IML, STICKER, SEALED ETC</v>
      </c>
    </row>
    <row r="176" spans="1:35" x14ac:dyDescent="0.3">
      <c r="A176" s="186" t="s">
        <v>1155</v>
      </c>
      <c r="B176" s="24" t="s">
        <v>1155</v>
      </c>
      <c r="C176" s="156">
        <v>489201</v>
      </c>
      <c r="D176" s="24" t="s">
        <v>1177</v>
      </c>
      <c r="E176" s="24" t="s">
        <v>68</v>
      </c>
      <c r="F176" s="156">
        <v>65400</v>
      </c>
      <c r="G176" s="24" t="s">
        <v>1378</v>
      </c>
      <c r="H176" s="24" t="s">
        <v>1442</v>
      </c>
      <c r="I176" s="24" t="s">
        <v>1378</v>
      </c>
      <c r="J176" s="186" t="s">
        <v>1379</v>
      </c>
      <c r="K176" s="16">
        <v>0</v>
      </c>
      <c r="L176" s="17">
        <v>0</v>
      </c>
      <c r="M176" s="16">
        <v>0</v>
      </c>
      <c r="N176" s="17">
        <v>0</v>
      </c>
      <c r="O176" s="16">
        <v>1200</v>
      </c>
      <c r="P176" s="17">
        <v>0</v>
      </c>
      <c r="Q176" s="16">
        <v>0</v>
      </c>
      <c r="R176" s="17">
        <v>0</v>
      </c>
      <c r="S176" s="16">
        <v>0</v>
      </c>
      <c r="T176" s="17">
        <v>0</v>
      </c>
      <c r="U176" s="16">
        <v>0</v>
      </c>
      <c r="V176" s="17">
        <v>0</v>
      </c>
      <c r="W176" s="18">
        <v>1200</v>
      </c>
      <c r="X176" s="17">
        <v>0</v>
      </c>
      <c r="Y176" s="17">
        <v>0</v>
      </c>
      <c r="Z176" s="17"/>
      <c r="AA176" s="17"/>
      <c r="AB176" s="144">
        <v>0</v>
      </c>
      <c r="AC176" s="8">
        <f t="shared" si="36"/>
        <v>0</v>
      </c>
      <c r="AD176" s="11" t="str">
        <f>LEFT(details!E176,5)</f>
        <v>0.000</v>
      </c>
      <c r="AE176" s="42">
        <f t="shared" si="25"/>
        <v>0</v>
      </c>
      <c r="AF176" s="42">
        <f>VLOOKUP(C176,MC.5!B:P,15,FALSE)/3</f>
        <v>0</v>
      </c>
      <c r="AG176" s="152">
        <f t="shared" si="38"/>
        <v>0</v>
      </c>
      <c r="AH176" s="137" t="str">
        <f>VLOOKUP(F176,REF!B:C,2,FALSE)</f>
        <v>Secondary/ Component</v>
      </c>
      <c r="AI176" s="3" t="str">
        <f>VLOOKUP(G176,REF!E:F,2,FALSE)</f>
        <v>LABEL, IML, STICKER, SEALED ETC</v>
      </c>
    </row>
    <row r="177" spans="1:35" x14ac:dyDescent="0.3">
      <c r="A177" s="186" t="s">
        <v>1155</v>
      </c>
      <c r="B177" s="24" t="s">
        <v>1155</v>
      </c>
      <c r="C177" s="156">
        <v>489212</v>
      </c>
      <c r="D177" s="24" t="s">
        <v>262</v>
      </c>
      <c r="E177" s="24" t="s">
        <v>68</v>
      </c>
      <c r="F177" s="156">
        <v>65400</v>
      </c>
      <c r="G177" s="24" t="s">
        <v>1378</v>
      </c>
      <c r="H177" s="24" t="s">
        <v>1442</v>
      </c>
      <c r="I177" s="24" t="s">
        <v>1378</v>
      </c>
      <c r="J177" s="186" t="s">
        <v>1379</v>
      </c>
      <c r="K177" s="16">
        <v>0</v>
      </c>
      <c r="L177" s="17">
        <v>0</v>
      </c>
      <c r="M177" s="16">
        <v>0</v>
      </c>
      <c r="N177" s="17">
        <v>0</v>
      </c>
      <c r="O177" s="16">
        <v>6040</v>
      </c>
      <c r="P177" s="17">
        <v>0</v>
      </c>
      <c r="Q177" s="16">
        <v>0</v>
      </c>
      <c r="R177" s="17">
        <v>0</v>
      </c>
      <c r="S177" s="16">
        <v>0</v>
      </c>
      <c r="T177" s="17">
        <v>0</v>
      </c>
      <c r="U177" s="16">
        <v>0</v>
      </c>
      <c r="V177" s="17">
        <v>0</v>
      </c>
      <c r="W177" s="18">
        <v>6040</v>
      </c>
      <c r="X177" s="17">
        <v>0</v>
      </c>
      <c r="Y177" s="17">
        <v>0</v>
      </c>
      <c r="Z177" s="17"/>
      <c r="AA177" s="17"/>
      <c r="AB177" s="144">
        <v>0</v>
      </c>
      <c r="AC177" s="8">
        <f t="shared" si="36"/>
        <v>0</v>
      </c>
      <c r="AD177" s="11" t="str">
        <f>LEFT(details!E177,5)</f>
        <v>0.000</v>
      </c>
      <c r="AE177" s="42">
        <f t="shared" si="25"/>
        <v>0</v>
      </c>
      <c r="AF177" s="42">
        <f>VLOOKUP(C177,MC.5!B:P,15,FALSE)/3</f>
        <v>0</v>
      </c>
      <c r="AG177" s="152">
        <f t="shared" si="38"/>
        <v>0</v>
      </c>
      <c r="AH177" s="137" t="str">
        <f>VLOOKUP(F177,REF!B:C,2,FALSE)</f>
        <v>Secondary/ Component</v>
      </c>
      <c r="AI177" s="3" t="str">
        <f>VLOOKUP(G177,REF!E:F,2,FALSE)</f>
        <v>LABEL, IML, STICKER, SEALED ETC</v>
      </c>
    </row>
    <row r="178" spans="1:35" x14ac:dyDescent="0.3">
      <c r="A178" s="186" t="s">
        <v>1155</v>
      </c>
      <c r="B178" s="24" t="s">
        <v>1155</v>
      </c>
      <c r="C178" s="156">
        <v>489242</v>
      </c>
      <c r="D178" s="24" t="s">
        <v>264</v>
      </c>
      <c r="E178" s="24" t="s">
        <v>68</v>
      </c>
      <c r="F178" s="156">
        <v>65400</v>
      </c>
      <c r="G178" s="24" t="s">
        <v>1378</v>
      </c>
      <c r="H178" s="24" t="s">
        <v>1442</v>
      </c>
      <c r="I178" s="24" t="s">
        <v>1378</v>
      </c>
      <c r="J178" s="186" t="s">
        <v>1379</v>
      </c>
      <c r="K178" s="16">
        <v>0</v>
      </c>
      <c r="L178" s="17">
        <v>0</v>
      </c>
      <c r="M178" s="16">
        <v>1300</v>
      </c>
      <c r="N178" s="17">
        <v>0</v>
      </c>
      <c r="O178" s="16">
        <v>2900</v>
      </c>
      <c r="P178" s="17">
        <v>0</v>
      </c>
      <c r="Q178" s="16">
        <v>0</v>
      </c>
      <c r="R178" s="17">
        <v>0</v>
      </c>
      <c r="S178" s="16">
        <v>0</v>
      </c>
      <c r="T178" s="17">
        <v>0</v>
      </c>
      <c r="U178" s="16">
        <v>0</v>
      </c>
      <c r="V178" s="17">
        <v>0</v>
      </c>
      <c r="W178" s="18">
        <v>4200</v>
      </c>
      <c r="X178" s="17">
        <v>0</v>
      </c>
      <c r="Y178" s="17">
        <v>0</v>
      </c>
      <c r="Z178" s="17"/>
      <c r="AA178" s="17"/>
      <c r="AB178" s="144">
        <v>0</v>
      </c>
      <c r="AC178" s="8">
        <f t="shared" si="36"/>
        <v>0</v>
      </c>
      <c r="AD178" s="11" t="str">
        <f>LEFT(details!E178,5)</f>
        <v>0.000</v>
      </c>
      <c r="AE178" s="42">
        <f t="shared" si="25"/>
        <v>0</v>
      </c>
      <c r="AF178" s="42">
        <f>VLOOKUP(C178,MC.5!B:P,15,FALSE)/3</f>
        <v>0</v>
      </c>
      <c r="AG178" s="152">
        <f t="shared" si="38"/>
        <v>0</v>
      </c>
      <c r="AH178" s="137" t="str">
        <f>VLOOKUP(F178,REF!B:C,2,FALSE)</f>
        <v>Secondary/ Component</v>
      </c>
      <c r="AI178" s="3" t="str">
        <f>VLOOKUP(G178,REF!E:F,2,FALSE)</f>
        <v>LABEL, IML, STICKER, SEALED ETC</v>
      </c>
    </row>
    <row r="179" spans="1:35" x14ac:dyDescent="0.3">
      <c r="A179" s="186" t="s">
        <v>1155</v>
      </c>
      <c r="B179" s="24" t="s">
        <v>1155</v>
      </c>
      <c r="C179" s="156">
        <v>489243</v>
      </c>
      <c r="D179" s="24" t="s">
        <v>327</v>
      </c>
      <c r="E179" s="24" t="s">
        <v>68</v>
      </c>
      <c r="F179" s="156">
        <v>65400</v>
      </c>
      <c r="G179" s="24" t="s">
        <v>1378</v>
      </c>
      <c r="H179" s="24" t="s">
        <v>1442</v>
      </c>
      <c r="I179" s="24" t="s">
        <v>1378</v>
      </c>
      <c r="J179" s="186" t="s">
        <v>1379</v>
      </c>
      <c r="K179" s="16">
        <v>0</v>
      </c>
      <c r="L179" s="17">
        <v>0</v>
      </c>
      <c r="M179" s="16">
        <v>2000</v>
      </c>
      <c r="N179" s="17">
        <v>0</v>
      </c>
      <c r="O179" s="16">
        <v>1900</v>
      </c>
      <c r="P179" s="17">
        <v>0</v>
      </c>
      <c r="Q179" s="16">
        <v>0</v>
      </c>
      <c r="R179" s="17">
        <v>0</v>
      </c>
      <c r="S179" s="16">
        <v>0</v>
      </c>
      <c r="T179" s="17">
        <v>0</v>
      </c>
      <c r="U179" s="16">
        <v>0</v>
      </c>
      <c r="V179" s="17">
        <v>0</v>
      </c>
      <c r="W179" s="18">
        <v>3900</v>
      </c>
      <c r="X179" s="17">
        <v>0</v>
      </c>
      <c r="Y179" s="17">
        <v>0</v>
      </c>
      <c r="Z179" s="17"/>
      <c r="AA179" s="17"/>
      <c r="AB179" s="144">
        <v>0</v>
      </c>
      <c r="AC179" s="8">
        <f t="shared" si="36"/>
        <v>0</v>
      </c>
      <c r="AD179" s="11" t="str">
        <f>LEFT(details!E179,5)</f>
        <v>0.000</v>
      </c>
      <c r="AE179" s="42">
        <f t="shared" si="25"/>
        <v>0</v>
      </c>
      <c r="AF179" s="42">
        <f>VLOOKUP(C179,MC.5!B:P,15,FALSE)/3</f>
        <v>0</v>
      </c>
      <c r="AG179" s="152">
        <f t="shared" si="38"/>
        <v>0</v>
      </c>
      <c r="AH179" s="137" t="str">
        <f>VLOOKUP(F179,REF!B:C,2,FALSE)</f>
        <v>Secondary/ Component</v>
      </c>
      <c r="AI179" s="3" t="str">
        <f>VLOOKUP(G179,REF!E:F,2,FALSE)</f>
        <v>LABEL, IML, STICKER, SEALED ETC</v>
      </c>
    </row>
    <row r="180" spans="1:35" x14ac:dyDescent="0.3">
      <c r="A180" s="186" t="s">
        <v>1155</v>
      </c>
      <c r="B180" s="24" t="s">
        <v>1155</v>
      </c>
      <c r="C180" s="156">
        <v>489244</v>
      </c>
      <c r="D180" s="24" t="s">
        <v>318</v>
      </c>
      <c r="E180" s="24" t="s">
        <v>68</v>
      </c>
      <c r="F180" s="156">
        <v>65400</v>
      </c>
      <c r="G180" s="24" t="s">
        <v>1378</v>
      </c>
      <c r="H180" s="24" t="s">
        <v>1442</v>
      </c>
      <c r="I180" s="24" t="s">
        <v>1378</v>
      </c>
      <c r="J180" s="186" t="s">
        <v>1379</v>
      </c>
      <c r="K180" s="16">
        <v>0</v>
      </c>
      <c r="L180" s="17">
        <v>0</v>
      </c>
      <c r="M180" s="16">
        <v>1000</v>
      </c>
      <c r="N180" s="17">
        <v>0</v>
      </c>
      <c r="O180" s="16">
        <v>2400</v>
      </c>
      <c r="P180" s="17">
        <v>0</v>
      </c>
      <c r="Q180" s="16">
        <v>0</v>
      </c>
      <c r="R180" s="17">
        <v>0</v>
      </c>
      <c r="S180" s="16">
        <v>0</v>
      </c>
      <c r="T180" s="17">
        <v>0</v>
      </c>
      <c r="U180" s="16">
        <v>0</v>
      </c>
      <c r="V180" s="17">
        <v>0</v>
      </c>
      <c r="W180" s="18">
        <v>3400</v>
      </c>
      <c r="X180" s="17">
        <v>0</v>
      </c>
      <c r="Y180" s="17">
        <v>0</v>
      </c>
      <c r="Z180" s="17"/>
      <c r="AA180" s="17"/>
      <c r="AB180" s="144">
        <v>0</v>
      </c>
      <c r="AC180" s="8">
        <f t="shared" si="36"/>
        <v>0</v>
      </c>
      <c r="AD180" s="11" t="str">
        <f>LEFT(details!E180,5)</f>
        <v>0.000</v>
      </c>
      <c r="AE180" s="42">
        <f t="shared" si="25"/>
        <v>0</v>
      </c>
      <c r="AF180" s="42">
        <f>VLOOKUP(C180,MC.5!B:P,15,FALSE)/3</f>
        <v>0</v>
      </c>
      <c r="AG180" s="152">
        <f t="shared" si="38"/>
        <v>0</v>
      </c>
      <c r="AH180" s="137" t="str">
        <f>VLOOKUP(F180,REF!B:C,2,FALSE)</f>
        <v>Secondary/ Component</v>
      </c>
      <c r="AI180" s="3" t="str">
        <f>VLOOKUP(G180,REF!E:F,2,FALSE)</f>
        <v>LABEL, IML, STICKER, SEALED ETC</v>
      </c>
    </row>
    <row r="181" spans="1:35" x14ac:dyDescent="0.3">
      <c r="A181" s="186" t="s">
        <v>1155</v>
      </c>
      <c r="B181" s="24" t="s">
        <v>1155</v>
      </c>
      <c r="C181" s="156">
        <v>489245</v>
      </c>
      <c r="D181" s="24" t="s">
        <v>1285</v>
      </c>
      <c r="E181" s="24" t="s">
        <v>68</v>
      </c>
      <c r="F181" s="156">
        <v>65400</v>
      </c>
      <c r="G181" s="24" t="s">
        <v>1378</v>
      </c>
      <c r="H181" s="24" t="s">
        <v>1442</v>
      </c>
      <c r="I181" s="24" t="s">
        <v>1378</v>
      </c>
      <c r="J181" s="186" t="s">
        <v>1379</v>
      </c>
      <c r="K181" s="16">
        <v>0</v>
      </c>
      <c r="L181" s="17">
        <v>0</v>
      </c>
      <c r="M181" s="16">
        <v>1000</v>
      </c>
      <c r="N181" s="17">
        <v>0</v>
      </c>
      <c r="O181" s="16">
        <v>1600</v>
      </c>
      <c r="P181" s="17">
        <v>0</v>
      </c>
      <c r="Q181" s="16">
        <v>0</v>
      </c>
      <c r="R181" s="17">
        <v>0</v>
      </c>
      <c r="S181" s="16">
        <v>0</v>
      </c>
      <c r="T181" s="17">
        <v>0</v>
      </c>
      <c r="U181" s="16">
        <v>0</v>
      </c>
      <c r="V181" s="17">
        <v>0</v>
      </c>
      <c r="W181" s="18">
        <v>2600</v>
      </c>
      <c r="X181" s="17">
        <v>0</v>
      </c>
      <c r="Y181" s="17">
        <v>0</v>
      </c>
      <c r="Z181" s="17"/>
      <c r="AA181" s="17"/>
      <c r="AB181" s="144">
        <v>0</v>
      </c>
      <c r="AC181" s="8">
        <f t="shared" si="36"/>
        <v>0</v>
      </c>
      <c r="AD181" s="11" t="str">
        <f>LEFT(details!E181,5)</f>
        <v>0.000</v>
      </c>
      <c r="AE181" s="42">
        <f t="shared" si="25"/>
        <v>0</v>
      </c>
      <c r="AF181" s="42">
        <f>VLOOKUP(C181,MC.5!B:P,15,FALSE)/3</f>
        <v>0</v>
      </c>
      <c r="AG181" s="152">
        <f t="shared" si="38"/>
        <v>0</v>
      </c>
      <c r="AH181" s="137" t="str">
        <f>VLOOKUP(F181,REF!B:C,2,FALSE)</f>
        <v>Secondary/ Component</v>
      </c>
      <c r="AI181" s="3" t="str">
        <f>VLOOKUP(G181,REF!E:F,2,FALSE)</f>
        <v>LABEL, IML, STICKER, SEALED ETC</v>
      </c>
    </row>
    <row r="182" spans="1:35" x14ac:dyDescent="0.3">
      <c r="A182" s="186" t="s">
        <v>1155</v>
      </c>
      <c r="B182" s="24" t="s">
        <v>1155</v>
      </c>
      <c r="C182" s="156">
        <v>503976</v>
      </c>
      <c r="D182" s="24" t="s">
        <v>2234</v>
      </c>
      <c r="E182" s="24" t="s">
        <v>1936</v>
      </c>
      <c r="F182" s="156">
        <v>60106</v>
      </c>
      <c r="G182" s="24" t="s">
        <v>1440</v>
      </c>
      <c r="H182" s="24" t="s">
        <v>1371</v>
      </c>
      <c r="I182" s="24" t="s">
        <v>1371</v>
      </c>
      <c r="J182" s="186" t="s">
        <v>1372</v>
      </c>
      <c r="K182" s="16">
        <v>0</v>
      </c>
      <c r="L182" s="17">
        <v>0</v>
      </c>
      <c r="M182" s="16">
        <v>600</v>
      </c>
      <c r="N182" s="17">
        <v>157.46</v>
      </c>
      <c r="O182" s="16">
        <v>0</v>
      </c>
      <c r="P182" s="17">
        <v>0</v>
      </c>
      <c r="Q182" s="16">
        <v>0</v>
      </c>
      <c r="R182" s="17">
        <v>0</v>
      </c>
      <c r="S182" s="16">
        <v>0</v>
      </c>
      <c r="T182" s="17">
        <v>0</v>
      </c>
      <c r="U182" s="16">
        <v>0</v>
      </c>
      <c r="V182" s="17">
        <v>0</v>
      </c>
      <c r="W182" s="18">
        <v>600</v>
      </c>
      <c r="X182" s="17">
        <v>157.46</v>
      </c>
      <c r="Y182" s="17">
        <v>0</v>
      </c>
      <c r="Z182" s="17"/>
      <c r="AA182" s="17"/>
      <c r="AB182" s="144">
        <v>0</v>
      </c>
      <c r="AC182" s="8">
        <f t="shared" si="36"/>
        <v>8.64</v>
      </c>
      <c r="AD182" s="11" t="str">
        <f>LEFT(details!E182,5)</f>
        <v>14.40</v>
      </c>
      <c r="AE182" s="42">
        <f t="shared" si="25"/>
        <v>0</v>
      </c>
      <c r="AF182" s="42">
        <f>VLOOKUP(C182,MC.5!B:P,15,FALSE)/3</f>
        <v>0</v>
      </c>
      <c r="AG182" s="152">
        <f t="shared" si="38"/>
        <v>0</v>
      </c>
      <c r="AH182" s="137" t="str">
        <f>VLOOKUP(F182,REF!B:C,2,FALSE)</f>
        <v>PP</v>
      </c>
      <c r="AI182" s="3" t="str">
        <f>VLOOKUP(G182,REF!E:F,2,FALSE)</f>
        <v>Closure/Lid/ Handle</v>
      </c>
    </row>
    <row r="183" spans="1:35" x14ac:dyDescent="0.3">
      <c r="A183" s="186" t="s">
        <v>1155</v>
      </c>
      <c r="B183" s="24" t="s">
        <v>1155</v>
      </c>
      <c r="C183" s="156">
        <v>504130</v>
      </c>
      <c r="D183" s="24" t="s">
        <v>2235</v>
      </c>
      <c r="E183" s="24" t="s">
        <v>2720</v>
      </c>
      <c r="F183" s="156">
        <v>60106</v>
      </c>
      <c r="G183" s="24" t="s">
        <v>1440</v>
      </c>
      <c r="H183" s="24" t="s">
        <v>1369</v>
      </c>
      <c r="I183" s="24" t="s">
        <v>1369</v>
      </c>
      <c r="J183" s="186" t="s">
        <v>1367</v>
      </c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>
        <v>19548.14</v>
      </c>
      <c r="AA183" s="17">
        <v>6516.0466666666698</v>
      </c>
      <c r="AB183" s="144"/>
      <c r="AC183" s="8">
        <f t="shared" ref="AC181:AC189" si="39">(AD183*W183)/1000</f>
        <v>0</v>
      </c>
      <c r="AD183" s="11" t="str">
        <f>LEFT(details!E183,5)</f>
        <v>9.550</v>
      </c>
      <c r="AE183" s="42">
        <f t="shared" si="25"/>
        <v>6516.0466666666698</v>
      </c>
      <c r="AF183" s="42">
        <f>VLOOKUP(C183,MC.5!B:P,15,FALSE)/3</f>
        <v>0</v>
      </c>
      <c r="AG183" s="152">
        <f t="shared" ref="AG181:AG184" si="40">AE183</f>
        <v>6516.0466666666698</v>
      </c>
      <c r="AH183" s="137" t="str">
        <f>VLOOKUP(F183,REF!B:C,2,FALSE)</f>
        <v>PP</v>
      </c>
      <c r="AI183" s="3" t="str">
        <f>VLOOKUP(G183,REF!E:F,2,FALSE)</f>
        <v>Closure/Lid/ Handle</v>
      </c>
    </row>
    <row r="184" spans="1:35" x14ac:dyDescent="0.3">
      <c r="A184" s="186" t="s">
        <v>1155</v>
      </c>
      <c r="B184" s="24" t="s">
        <v>1155</v>
      </c>
      <c r="C184" s="156">
        <v>504598</v>
      </c>
      <c r="D184" s="24" t="s">
        <v>2236</v>
      </c>
      <c r="E184" s="24" t="s">
        <v>29</v>
      </c>
      <c r="F184" s="156">
        <v>60104</v>
      </c>
      <c r="G184" s="24" t="s">
        <v>1438</v>
      </c>
      <c r="H184" s="24" t="s">
        <v>1382</v>
      </c>
      <c r="I184" s="24" t="s">
        <v>1382</v>
      </c>
      <c r="J184" s="186" t="s">
        <v>1372</v>
      </c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>
        <v>4334.3999999999996</v>
      </c>
      <c r="AA184" s="17">
        <v>1444.8</v>
      </c>
      <c r="AB184" s="144"/>
      <c r="AC184" s="8">
        <f t="shared" si="39"/>
        <v>0</v>
      </c>
      <c r="AD184" s="11" t="str">
        <f>LEFT(details!E184,5)</f>
        <v>28.00</v>
      </c>
      <c r="AE184" s="42">
        <f t="shared" si="25"/>
        <v>1444.8</v>
      </c>
      <c r="AF184" s="42">
        <f>VLOOKUP(C184,MC.5!B:P,15,FALSE)/3</f>
        <v>1444.8</v>
      </c>
      <c r="AG184" s="152">
        <f t="shared" si="40"/>
        <v>1444.8</v>
      </c>
      <c r="AH184" s="137" t="str">
        <f>VLOOKUP(F184,REF!B:C,2,FALSE)</f>
        <v>PET</v>
      </c>
      <c r="AI184" s="3" t="str">
        <f>VLOOKUP(G184,REF!E:F,2,FALSE)</f>
        <v>Bottle</v>
      </c>
    </row>
    <row r="185" spans="1:35" x14ac:dyDescent="0.3">
      <c r="A185" s="186" t="s">
        <v>1155</v>
      </c>
      <c r="B185" s="24" t="s">
        <v>1155</v>
      </c>
      <c r="C185" s="156">
        <v>518888</v>
      </c>
      <c r="D185" s="24" t="s">
        <v>268</v>
      </c>
      <c r="E185" s="24" t="s">
        <v>68</v>
      </c>
      <c r="F185" s="156">
        <v>65400</v>
      </c>
      <c r="G185" s="24" t="s">
        <v>1378</v>
      </c>
      <c r="H185" s="24" t="s">
        <v>1442</v>
      </c>
      <c r="I185" s="24" t="s">
        <v>1378</v>
      </c>
      <c r="J185" s="186" t="s">
        <v>1379</v>
      </c>
      <c r="K185" s="16">
        <v>0</v>
      </c>
      <c r="L185" s="17">
        <v>0</v>
      </c>
      <c r="M185" s="16">
        <v>1000</v>
      </c>
      <c r="N185" s="17">
        <v>0</v>
      </c>
      <c r="O185" s="16">
        <v>1390</v>
      </c>
      <c r="P185" s="17">
        <v>0</v>
      </c>
      <c r="Q185" s="16">
        <v>0</v>
      </c>
      <c r="R185" s="17">
        <v>0</v>
      </c>
      <c r="S185" s="16">
        <v>0</v>
      </c>
      <c r="T185" s="17">
        <v>0</v>
      </c>
      <c r="U185" s="16">
        <v>0</v>
      </c>
      <c r="V185" s="17">
        <v>0</v>
      </c>
      <c r="W185" s="18">
        <v>2390</v>
      </c>
      <c r="X185" s="17">
        <v>0</v>
      </c>
      <c r="Y185" s="17">
        <v>0</v>
      </c>
      <c r="Z185" s="17"/>
      <c r="AA185" s="17"/>
      <c r="AB185" s="144">
        <v>0</v>
      </c>
      <c r="AC185" s="8">
        <f t="shared" si="39"/>
        <v>0</v>
      </c>
      <c r="AD185" s="11" t="str">
        <f>LEFT(details!E185,5)</f>
        <v>0.000</v>
      </c>
      <c r="AE185" s="42">
        <f t="shared" si="25"/>
        <v>0</v>
      </c>
      <c r="AF185" s="42">
        <f>VLOOKUP(C185,MC.5!B:P,15,FALSE)/3</f>
        <v>0</v>
      </c>
      <c r="AG185" s="152">
        <f t="shared" ref="AG185:AG186" si="41">AF185</f>
        <v>0</v>
      </c>
      <c r="AH185" s="137" t="str">
        <f>VLOOKUP(F185,REF!B:C,2,FALSE)</f>
        <v>Secondary/ Component</v>
      </c>
      <c r="AI185" s="3" t="str">
        <f>VLOOKUP(G185,REF!E:F,2,FALSE)</f>
        <v>LABEL, IML, STICKER, SEALED ETC</v>
      </c>
    </row>
    <row r="186" spans="1:35" x14ac:dyDescent="0.3">
      <c r="A186" s="186" t="s">
        <v>1155</v>
      </c>
      <c r="B186" s="24" t="s">
        <v>1155</v>
      </c>
      <c r="C186" s="156">
        <v>518889</v>
      </c>
      <c r="D186" s="24" t="s">
        <v>1286</v>
      </c>
      <c r="E186" s="24" t="s">
        <v>68</v>
      </c>
      <c r="F186" s="156">
        <v>65400</v>
      </c>
      <c r="G186" s="24" t="s">
        <v>1378</v>
      </c>
      <c r="H186" s="24" t="s">
        <v>1442</v>
      </c>
      <c r="I186" s="24" t="s">
        <v>1378</v>
      </c>
      <c r="J186" s="186" t="s">
        <v>1379</v>
      </c>
      <c r="K186" s="16">
        <v>0</v>
      </c>
      <c r="L186" s="17">
        <v>0</v>
      </c>
      <c r="M186" s="16">
        <v>1000</v>
      </c>
      <c r="N186" s="17">
        <v>0</v>
      </c>
      <c r="O186" s="16">
        <v>1000</v>
      </c>
      <c r="P186" s="17">
        <v>0</v>
      </c>
      <c r="Q186" s="16">
        <v>0</v>
      </c>
      <c r="R186" s="17">
        <v>0</v>
      </c>
      <c r="S186" s="16">
        <v>0</v>
      </c>
      <c r="T186" s="17">
        <v>0</v>
      </c>
      <c r="U186" s="16">
        <v>0</v>
      </c>
      <c r="V186" s="17">
        <v>0</v>
      </c>
      <c r="W186" s="18">
        <v>2000</v>
      </c>
      <c r="X186" s="17">
        <v>0</v>
      </c>
      <c r="Y186" s="17">
        <v>0</v>
      </c>
      <c r="Z186" s="17"/>
      <c r="AA186" s="17"/>
      <c r="AB186" s="144">
        <v>0</v>
      </c>
      <c r="AC186" s="8">
        <f t="shared" si="39"/>
        <v>0</v>
      </c>
      <c r="AD186" s="11" t="str">
        <f>LEFT(details!E186,5)</f>
        <v>0.000</v>
      </c>
      <c r="AE186" s="42">
        <f t="shared" si="25"/>
        <v>0</v>
      </c>
      <c r="AF186" s="42">
        <f>VLOOKUP(C186,MC.5!B:P,15,FALSE)/3</f>
        <v>0</v>
      </c>
      <c r="AG186" s="152">
        <f t="shared" si="41"/>
        <v>0</v>
      </c>
      <c r="AH186" s="137" t="str">
        <f>VLOOKUP(F186,REF!B:C,2,FALSE)</f>
        <v>Secondary/ Component</v>
      </c>
      <c r="AI186" s="3" t="str">
        <f>VLOOKUP(G186,REF!E:F,2,FALSE)</f>
        <v>LABEL, IML, STICKER, SEALED ETC</v>
      </c>
    </row>
    <row r="187" spans="1:35" x14ac:dyDescent="0.3">
      <c r="A187" s="186" t="s">
        <v>1155</v>
      </c>
      <c r="B187" s="24" t="s">
        <v>1155</v>
      </c>
      <c r="C187" s="156">
        <v>529004</v>
      </c>
      <c r="D187" s="24" t="s">
        <v>189</v>
      </c>
      <c r="E187" s="24" t="s">
        <v>32</v>
      </c>
      <c r="F187" s="156">
        <v>60104</v>
      </c>
      <c r="G187" s="24" t="s">
        <v>1438</v>
      </c>
      <c r="H187" s="24" t="s">
        <v>1366</v>
      </c>
      <c r="I187" s="24" t="s">
        <v>1366</v>
      </c>
      <c r="J187" s="186" t="s">
        <v>1367</v>
      </c>
      <c r="K187" s="16">
        <v>30000</v>
      </c>
      <c r="L187" s="17">
        <v>8700</v>
      </c>
      <c r="M187" s="16">
        <v>0</v>
      </c>
      <c r="N187" s="17">
        <v>0</v>
      </c>
      <c r="O187" s="16">
        <v>0</v>
      </c>
      <c r="P187" s="17">
        <v>0</v>
      </c>
      <c r="Q187" s="16">
        <v>0</v>
      </c>
      <c r="R187" s="17">
        <v>0</v>
      </c>
      <c r="S187" s="16">
        <v>0</v>
      </c>
      <c r="T187" s="17">
        <v>0</v>
      </c>
      <c r="U187" s="16">
        <v>0</v>
      </c>
      <c r="V187" s="17">
        <v>0</v>
      </c>
      <c r="W187" s="18">
        <v>30000</v>
      </c>
      <c r="X187" s="17">
        <v>8700</v>
      </c>
      <c r="Y187" s="17">
        <v>0</v>
      </c>
      <c r="Z187" s="17">
        <v>18504</v>
      </c>
      <c r="AA187" s="17">
        <v>6168</v>
      </c>
      <c r="AB187" s="144">
        <v>42.315175097276303</v>
      </c>
      <c r="AC187" s="8">
        <f t="shared" si="39"/>
        <v>930</v>
      </c>
      <c r="AD187" s="11" t="str">
        <f>LEFT(details!E187,5)</f>
        <v>31.00</v>
      </c>
      <c r="AE187" s="42">
        <f t="shared" si="25"/>
        <v>6168</v>
      </c>
      <c r="AF187" s="42">
        <f>VLOOKUP(C187,MC.5!B:P,15,FALSE)/3</f>
        <v>6168</v>
      </c>
      <c r="AG187" s="152">
        <f t="shared" ref="AG185:AG188" si="42">AE187</f>
        <v>6168</v>
      </c>
      <c r="AH187" s="137" t="str">
        <f>VLOOKUP(F187,REF!B:C,2,FALSE)</f>
        <v>PET</v>
      </c>
      <c r="AI187" s="3" t="str">
        <f>VLOOKUP(G187,REF!E:F,2,FALSE)</f>
        <v>Bottle</v>
      </c>
    </row>
    <row r="188" spans="1:35" x14ac:dyDescent="0.3">
      <c r="A188" s="186" t="s">
        <v>1155</v>
      </c>
      <c r="B188" s="24" t="s">
        <v>1155</v>
      </c>
      <c r="C188" s="156">
        <v>532300</v>
      </c>
      <c r="D188" s="24" t="s">
        <v>212</v>
      </c>
      <c r="E188" s="24" t="s">
        <v>274</v>
      </c>
      <c r="F188" s="156">
        <v>60106</v>
      </c>
      <c r="G188" s="24" t="s">
        <v>1440</v>
      </c>
      <c r="H188" s="24" t="s">
        <v>1369</v>
      </c>
      <c r="I188" s="24" t="s">
        <v>1369</v>
      </c>
      <c r="J188" s="186" t="s">
        <v>1367</v>
      </c>
      <c r="K188" s="16">
        <v>42000</v>
      </c>
      <c r="L188" s="17">
        <v>3480.96</v>
      </c>
      <c r="M188" s="16">
        <v>0</v>
      </c>
      <c r="N188" s="17">
        <v>0</v>
      </c>
      <c r="O188" s="16">
        <v>0</v>
      </c>
      <c r="P188" s="17">
        <v>0</v>
      </c>
      <c r="Q188" s="16">
        <v>0</v>
      </c>
      <c r="R188" s="17">
        <v>0</v>
      </c>
      <c r="S188" s="16">
        <v>0</v>
      </c>
      <c r="T188" s="17">
        <v>0</v>
      </c>
      <c r="U188" s="16">
        <v>0</v>
      </c>
      <c r="V188" s="17">
        <v>0</v>
      </c>
      <c r="W188" s="18">
        <v>42000</v>
      </c>
      <c r="X188" s="17">
        <v>3480.96</v>
      </c>
      <c r="Y188" s="17">
        <v>0</v>
      </c>
      <c r="Z188" s="17">
        <v>16757.900000000001</v>
      </c>
      <c r="AA188" s="17">
        <v>5585.9666666666699</v>
      </c>
      <c r="AB188" s="144">
        <v>18.6948483998592</v>
      </c>
      <c r="AC188" s="8">
        <f t="shared" si="39"/>
        <v>203.69999999999996</v>
      </c>
      <c r="AD188" s="11" t="str">
        <f>LEFT(details!E188,5)</f>
        <v>4.850</v>
      </c>
      <c r="AE188" s="42">
        <f t="shared" si="25"/>
        <v>5585.9666666666699</v>
      </c>
      <c r="AF188" s="42">
        <f>VLOOKUP(C188,MC.5!B:P,15,FALSE)/3</f>
        <v>5585.9666666666672</v>
      </c>
      <c r="AG188" s="152">
        <f t="shared" si="42"/>
        <v>5585.9666666666699</v>
      </c>
      <c r="AH188" s="137" t="str">
        <f>VLOOKUP(F188,REF!B:C,2,FALSE)</f>
        <v>PP</v>
      </c>
      <c r="AI188" s="3" t="str">
        <f>VLOOKUP(G188,REF!E:F,2,FALSE)</f>
        <v>Closure/Lid/ Handle</v>
      </c>
    </row>
    <row r="189" spans="1:35" x14ac:dyDescent="0.3">
      <c r="A189" s="186" t="s">
        <v>1155</v>
      </c>
      <c r="B189" s="24" t="s">
        <v>1155</v>
      </c>
      <c r="C189" s="156">
        <v>532981</v>
      </c>
      <c r="D189" s="24" t="s">
        <v>243</v>
      </c>
      <c r="E189" s="24" t="s">
        <v>18</v>
      </c>
      <c r="F189" s="156">
        <v>60104</v>
      </c>
      <c r="G189" s="24" t="s">
        <v>1439</v>
      </c>
      <c r="H189" s="24" t="s">
        <v>1368</v>
      </c>
      <c r="I189" s="24" t="s">
        <v>1368</v>
      </c>
      <c r="J189" s="186" t="s">
        <v>1367</v>
      </c>
      <c r="K189" s="16">
        <v>11815</v>
      </c>
      <c r="L189" s="17">
        <v>2717.45</v>
      </c>
      <c r="M189" s="16">
        <v>0</v>
      </c>
      <c r="N189" s="17">
        <v>0</v>
      </c>
      <c r="O189" s="16">
        <v>0</v>
      </c>
      <c r="P189" s="17">
        <v>0</v>
      </c>
      <c r="Q189" s="16">
        <v>0</v>
      </c>
      <c r="R189" s="17">
        <v>0</v>
      </c>
      <c r="S189" s="16">
        <v>0</v>
      </c>
      <c r="T189" s="17">
        <v>0</v>
      </c>
      <c r="U189" s="16">
        <v>0</v>
      </c>
      <c r="V189" s="17">
        <v>0</v>
      </c>
      <c r="W189" s="18">
        <v>11815</v>
      </c>
      <c r="X189" s="17">
        <v>2717.45</v>
      </c>
      <c r="Y189" s="17">
        <v>0</v>
      </c>
      <c r="Z189" s="17"/>
      <c r="AA189" s="17"/>
      <c r="AB189" s="144">
        <v>0</v>
      </c>
      <c r="AC189" s="8">
        <f t="shared" si="39"/>
        <v>283.56</v>
      </c>
      <c r="AD189" s="11" t="str">
        <f>LEFT(details!E189,5)</f>
        <v>24.00</v>
      </c>
      <c r="AE189" s="42">
        <f t="shared" si="25"/>
        <v>0</v>
      </c>
      <c r="AF189" s="42">
        <f>VLOOKUP(C189,MC.5!B:P,15,FALSE)/3</f>
        <v>12091.016666666668</v>
      </c>
      <c r="AG189" s="152">
        <f>AF189</f>
        <v>12091.016666666668</v>
      </c>
      <c r="AH189" s="137" t="str">
        <f>VLOOKUP(F189,REF!B:C,2,FALSE)</f>
        <v>PET</v>
      </c>
      <c r="AI189" s="3" t="str">
        <f>VLOOKUP(G189,REF!E:F,2,FALSE)</f>
        <v>Jar /Container/Tub</v>
      </c>
    </row>
    <row r="190" spans="1:35" x14ac:dyDescent="0.3">
      <c r="A190" s="186" t="s">
        <v>1155</v>
      </c>
      <c r="B190" s="24" t="s">
        <v>1155</v>
      </c>
      <c r="C190" s="156">
        <v>540600</v>
      </c>
      <c r="D190" s="24" t="s">
        <v>1287</v>
      </c>
      <c r="E190" s="24" t="s">
        <v>2583</v>
      </c>
      <c r="F190" s="156">
        <v>60106</v>
      </c>
      <c r="G190" s="24" t="s">
        <v>1440</v>
      </c>
      <c r="H190" s="24" t="s">
        <v>1371</v>
      </c>
      <c r="I190" s="24" t="s">
        <v>1371</v>
      </c>
      <c r="J190" s="186" t="s">
        <v>1372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>
        <v>19043.53</v>
      </c>
      <c r="AA190" s="17">
        <v>6347.8433333333296</v>
      </c>
      <c r="AB190" s="144"/>
      <c r="AC190" s="8">
        <f t="shared" ref="AC188:AC205" si="43">(AD190*W190)/1000</f>
        <v>0</v>
      </c>
      <c r="AD190" s="11" t="str">
        <f>LEFT(details!E190,5)</f>
        <v>13.90</v>
      </c>
      <c r="AE190" s="42">
        <f t="shared" si="25"/>
        <v>6347.8433333333296</v>
      </c>
      <c r="AF190" s="42">
        <f>VLOOKUP(C190,MC.5!B:P,15,FALSE)/3</f>
        <v>6347.84</v>
      </c>
      <c r="AG190" s="152">
        <f t="shared" ref="AG188:AG203" si="44">AE190</f>
        <v>6347.8433333333296</v>
      </c>
      <c r="AH190" s="137" t="str">
        <f>VLOOKUP(F190,REF!B:C,2,FALSE)</f>
        <v>PP</v>
      </c>
      <c r="AI190" s="3" t="str">
        <f>VLOOKUP(G190,REF!E:F,2,FALSE)</f>
        <v>Closure/Lid/ Handle</v>
      </c>
    </row>
    <row r="191" spans="1:35" x14ac:dyDescent="0.3">
      <c r="A191" s="186" t="s">
        <v>1155</v>
      </c>
      <c r="B191" s="24" t="s">
        <v>1155</v>
      </c>
      <c r="C191" s="156">
        <v>541381</v>
      </c>
      <c r="D191" s="24" t="s">
        <v>228</v>
      </c>
      <c r="E191" s="24" t="s">
        <v>43</v>
      </c>
      <c r="F191" s="156">
        <v>60104</v>
      </c>
      <c r="G191" s="24" t="s">
        <v>1438</v>
      </c>
      <c r="H191" s="24" t="s">
        <v>1382</v>
      </c>
      <c r="I191" s="24" t="s">
        <v>1382</v>
      </c>
      <c r="J191" s="186" t="s">
        <v>1372</v>
      </c>
      <c r="K191" s="16">
        <v>76300</v>
      </c>
      <c r="L191" s="17">
        <v>30520</v>
      </c>
      <c r="M191" s="16">
        <v>0</v>
      </c>
      <c r="N191" s="17">
        <v>0</v>
      </c>
      <c r="O191" s="16">
        <v>0</v>
      </c>
      <c r="P191" s="17">
        <v>0</v>
      </c>
      <c r="Q191" s="16">
        <v>0</v>
      </c>
      <c r="R191" s="17">
        <v>0</v>
      </c>
      <c r="S191" s="16">
        <v>0</v>
      </c>
      <c r="T191" s="17">
        <v>0</v>
      </c>
      <c r="U191" s="16">
        <v>0</v>
      </c>
      <c r="V191" s="17">
        <v>0</v>
      </c>
      <c r="W191" s="18">
        <v>76300</v>
      </c>
      <c r="X191" s="17">
        <v>30520</v>
      </c>
      <c r="Y191" s="17">
        <v>0</v>
      </c>
      <c r="Z191" s="17">
        <v>112840</v>
      </c>
      <c r="AA191" s="17">
        <v>37613.333333333299</v>
      </c>
      <c r="AB191" s="144">
        <v>24.3424317617866</v>
      </c>
      <c r="AC191" s="8">
        <f t="shared" si="43"/>
        <v>4196.5</v>
      </c>
      <c r="AD191" s="11" t="str">
        <f>LEFT(details!E191,5)</f>
        <v>55.00</v>
      </c>
      <c r="AE191" s="42">
        <f t="shared" si="25"/>
        <v>37613.333333333299</v>
      </c>
      <c r="AF191" s="42">
        <f>VLOOKUP(C191,MC.5!B:P,15,FALSE)/3</f>
        <v>37613.333333333336</v>
      </c>
      <c r="AG191" s="152">
        <f t="shared" si="44"/>
        <v>37613.333333333299</v>
      </c>
      <c r="AH191" s="137" t="str">
        <f>VLOOKUP(F191,REF!B:C,2,FALSE)</f>
        <v>PET</v>
      </c>
      <c r="AI191" s="3" t="str">
        <f>VLOOKUP(G191,REF!E:F,2,FALSE)</f>
        <v>Bottle</v>
      </c>
    </row>
    <row r="192" spans="1:35" x14ac:dyDescent="0.3">
      <c r="A192" s="186" t="s">
        <v>1155</v>
      </c>
      <c r="B192" s="24" t="s">
        <v>1155</v>
      </c>
      <c r="C192" s="156">
        <v>542692</v>
      </c>
      <c r="D192" s="24" t="s">
        <v>2277</v>
      </c>
      <c r="E192" s="24" t="s">
        <v>2695</v>
      </c>
      <c r="F192" s="156">
        <v>60105</v>
      </c>
      <c r="G192" s="24" t="s">
        <v>1443</v>
      </c>
      <c r="H192" s="24" t="s">
        <v>1392</v>
      </c>
      <c r="I192" s="24" t="s">
        <v>1392</v>
      </c>
      <c r="J192" s="186" t="s">
        <v>1372</v>
      </c>
      <c r="K192" s="16">
        <v>20020</v>
      </c>
      <c r="L192" s="17">
        <v>5805.8</v>
      </c>
      <c r="M192" s="16">
        <v>0</v>
      </c>
      <c r="N192" s="17">
        <v>0</v>
      </c>
      <c r="O192" s="16">
        <v>0</v>
      </c>
      <c r="P192" s="17">
        <v>0</v>
      </c>
      <c r="Q192" s="16">
        <v>0</v>
      </c>
      <c r="R192" s="17">
        <v>0</v>
      </c>
      <c r="S192" s="16">
        <v>0</v>
      </c>
      <c r="T192" s="17">
        <v>0</v>
      </c>
      <c r="U192" s="16">
        <v>0</v>
      </c>
      <c r="V192" s="17">
        <v>0</v>
      </c>
      <c r="W192" s="18">
        <v>20020</v>
      </c>
      <c r="X192" s="17">
        <v>5805.8</v>
      </c>
      <c r="Y192" s="17">
        <v>0</v>
      </c>
      <c r="Z192" s="17">
        <v>3599.48</v>
      </c>
      <c r="AA192" s="17">
        <v>1199.82666666667</v>
      </c>
      <c r="AB192" s="144">
        <v>145.16596841766</v>
      </c>
      <c r="AC192" s="8">
        <f t="shared" si="43"/>
        <v>590.59</v>
      </c>
      <c r="AD192" s="11" t="str">
        <f>LEFT(details!E192,5)</f>
        <v>29.50</v>
      </c>
      <c r="AE192" s="42">
        <f t="shared" si="25"/>
        <v>1199.82666666667</v>
      </c>
      <c r="AF192" s="42">
        <f>VLOOKUP(C192,MC.5!B:P,15,FALSE)/3</f>
        <v>1199.8266666666666</v>
      </c>
      <c r="AG192" s="152">
        <f t="shared" si="44"/>
        <v>1199.82666666667</v>
      </c>
      <c r="AH192" s="137" t="str">
        <f>VLOOKUP(F192,REF!B:C,2,FALSE)</f>
        <v>PE</v>
      </c>
      <c r="AI192" s="3" t="str">
        <f>VLOOKUP(G192,REF!E:F,2,FALSE)</f>
        <v>Bottle</v>
      </c>
    </row>
    <row r="193" spans="1:35" x14ac:dyDescent="0.3">
      <c r="A193" s="186" t="s">
        <v>1155</v>
      </c>
      <c r="B193" s="24" t="s">
        <v>1155</v>
      </c>
      <c r="C193" s="156">
        <v>543590</v>
      </c>
      <c r="D193" s="24" t="s">
        <v>220</v>
      </c>
      <c r="E193" s="24" t="s">
        <v>127</v>
      </c>
      <c r="F193" s="156">
        <v>60104</v>
      </c>
      <c r="G193" s="24" t="s">
        <v>1438</v>
      </c>
      <c r="H193" s="24" t="s">
        <v>1366</v>
      </c>
      <c r="I193" s="24" t="s">
        <v>1366</v>
      </c>
      <c r="J193" s="186" t="s">
        <v>1367</v>
      </c>
      <c r="K193" s="16">
        <v>120120</v>
      </c>
      <c r="L193" s="17">
        <v>22822.799999999999</v>
      </c>
      <c r="M193" s="16">
        <v>0</v>
      </c>
      <c r="N193" s="17">
        <v>0</v>
      </c>
      <c r="O193" s="16">
        <v>0</v>
      </c>
      <c r="P193" s="17">
        <v>0</v>
      </c>
      <c r="Q193" s="16">
        <v>0</v>
      </c>
      <c r="R193" s="17">
        <v>0</v>
      </c>
      <c r="S193" s="16">
        <v>0</v>
      </c>
      <c r="T193" s="17">
        <v>0</v>
      </c>
      <c r="U193" s="16">
        <v>0</v>
      </c>
      <c r="V193" s="17">
        <v>0</v>
      </c>
      <c r="W193" s="18">
        <v>120120</v>
      </c>
      <c r="X193" s="17">
        <v>22822.799999999999</v>
      </c>
      <c r="Y193" s="17">
        <v>0</v>
      </c>
      <c r="Z193" s="17">
        <v>47598.32</v>
      </c>
      <c r="AA193" s="17">
        <v>15866.106666666699</v>
      </c>
      <c r="AB193" s="144">
        <v>43.1538760191536</v>
      </c>
      <c r="AC193" s="8">
        <f t="shared" si="43"/>
        <v>2282.2800000000002</v>
      </c>
      <c r="AD193" s="11" t="str">
        <f>LEFT(details!E193,5)</f>
        <v>19.00</v>
      </c>
      <c r="AE193" s="42">
        <f t="shared" si="25"/>
        <v>15866.106666666699</v>
      </c>
      <c r="AF193" s="42">
        <f>VLOOKUP(C193,MC.5!B:P,15,FALSE)/3</f>
        <v>15866.106666666667</v>
      </c>
      <c r="AG193" s="152">
        <f t="shared" si="44"/>
        <v>15866.106666666699</v>
      </c>
      <c r="AH193" s="137" t="str">
        <f>VLOOKUP(F193,REF!B:C,2,FALSE)</f>
        <v>PET</v>
      </c>
      <c r="AI193" s="3" t="str">
        <f>VLOOKUP(G193,REF!E:F,2,FALSE)</f>
        <v>Bottle</v>
      </c>
    </row>
    <row r="194" spans="1:35" x14ac:dyDescent="0.3">
      <c r="A194" s="186" t="s">
        <v>1155</v>
      </c>
      <c r="B194" s="24" t="s">
        <v>1155</v>
      </c>
      <c r="C194" s="156">
        <v>545429</v>
      </c>
      <c r="D194" s="24" t="s">
        <v>244</v>
      </c>
      <c r="E194" s="24" t="s">
        <v>259</v>
      </c>
      <c r="F194" s="156">
        <v>60105</v>
      </c>
      <c r="G194" s="24" t="s">
        <v>1441</v>
      </c>
      <c r="H194" s="24" t="s">
        <v>1370</v>
      </c>
      <c r="I194" s="24" t="s">
        <v>1370</v>
      </c>
      <c r="J194" s="186" t="s">
        <v>1367</v>
      </c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>
        <v>1978.77</v>
      </c>
      <c r="AA194" s="17">
        <v>659.59</v>
      </c>
      <c r="AB194" s="144"/>
      <c r="AC194" s="8">
        <f t="shared" si="43"/>
        <v>0</v>
      </c>
      <c r="AD194" s="11" t="str">
        <f>LEFT(details!E194,5)</f>
        <v>7.300</v>
      </c>
      <c r="AE194" s="42">
        <f t="shared" si="25"/>
        <v>659.59</v>
      </c>
      <c r="AF194" s="42">
        <f>VLOOKUP(C194,MC.5!B:P,15,FALSE)/3</f>
        <v>659.59</v>
      </c>
      <c r="AG194" s="152">
        <f t="shared" si="44"/>
        <v>659.59</v>
      </c>
      <c r="AH194" s="137" t="str">
        <f>VLOOKUP(F194,REF!B:C,2,FALSE)</f>
        <v>PE</v>
      </c>
      <c r="AI194" s="3" t="str">
        <f>VLOOKUP(G194,REF!E:F,2,FALSE)</f>
        <v>Closure/Lid/ Handle</v>
      </c>
    </row>
    <row r="195" spans="1:35" x14ac:dyDescent="0.3">
      <c r="A195" s="186" t="s">
        <v>1155</v>
      </c>
      <c r="B195" s="24" t="s">
        <v>1155</v>
      </c>
      <c r="C195" s="156">
        <v>549292</v>
      </c>
      <c r="D195" s="24" t="s">
        <v>1928</v>
      </c>
      <c r="E195" s="24" t="s">
        <v>274</v>
      </c>
      <c r="F195" s="156">
        <v>60106</v>
      </c>
      <c r="G195" s="24" t="s">
        <v>1440</v>
      </c>
      <c r="H195" s="24" t="s">
        <v>1369</v>
      </c>
      <c r="I195" s="24" t="s">
        <v>1369</v>
      </c>
      <c r="J195" s="186" t="s">
        <v>1367</v>
      </c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>
        <v>552.94000000000005</v>
      </c>
      <c r="AA195" s="17">
        <v>184.31333333333299</v>
      </c>
      <c r="AB195" s="144"/>
      <c r="AC195" s="8">
        <f t="shared" si="43"/>
        <v>0</v>
      </c>
      <c r="AD195" s="11" t="str">
        <f>LEFT(details!E195,5)</f>
        <v>4.850</v>
      </c>
      <c r="AE195" s="42">
        <f t="shared" si="25"/>
        <v>184.31333333333299</v>
      </c>
      <c r="AF195" s="42">
        <f>VLOOKUP(C195,MC.5!B:P,15,FALSE)/3</f>
        <v>184.31333333333336</v>
      </c>
      <c r="AG195" s="152">
        <f t="shared" si="44"/>
        <v>184.31333333333299</v>
      </c>
      <c r="AH195" s="137" t="str">
        <f>VLOOKUP(F195,REF!B:C,2,FALSE)</f>
        <v>PP</v>
      </c>
      <c r="AI195" s="3" t="str">
        <f>VLOOKUP(G195,REF!E:F,2,FALSE)</f>
        <v>Closure/Lid/ Handle</v>
      </c>
    </row>
    <row r="196" spans="1:35" x14ac:dyDescent="0.3">
      <c r="A196" s="186" t="s">
        <v>1155</v>
      </c>
      <c r="B196" s="24" t="s">
        <v>1155</v>
      </c>
      <c r="C196" s="156">
        <v>549814</v>
      </c>
      <c r="D196" s="24" t="s">
        <v>255</v>
      </c>
      <c r="E196" s="24" t="s">
        <v>305</v>
      </c>
      <c r="F196" s="156">
        <v>60104</v>
      </c>
      <c r="G196" s="24" t="s">
        <v>1438</v>
      </c>
      <c r="H196" s="24" t="s">
        <v>1366</v>
      </c>
      <c r="I196" s="24" t="s">
        <v>1366</v>
      </c>
      <c r="J196" s="186" t="s">
        <v>1367</v>
      </c>
      <c r="K196" s="16">
        <v>0</v>
      </c>
      <c r="L196" s="17">
        <v>0</v>
      </c>
      <c r="M196" s="16">
        <v>5500</v>
      </c>
      <c r="N196" s="17">
        <v>1100</v>
      </c>
      <c r="O196" s="16">
        <v>0</v>
      </c>
      <c r="P196" s="17">
        <v>0</v>
      </c>
      <c r="Q196" s="16">
        <v>0</v>
      </c>
      <c r="R196" s="17">
        <v>0</v>
      </c>
      <c r="S196" s="16">
        <v>263</v>
      </c>
      <c r="T196" s="17">
        <v>52.6</v>
      </c>
      <c r="U196" s="16">
        <v>0</v>
      </c>
      <c r="V196" s="17">
        <v>0</v>
      </c>
      <c r="W196" s="18">
        <v>5763</v>
      </c>
      <c r="X196" s="17">
        <v>1152.5999999999999</v>
      </c>
      <c r="Y196" s="17">
        <v>52.6</v>
      </c>
      <c r="Z196" s="17">
        <v>835.99</v>
      </c>
      <c r="AA196" s="17">
        <v>278.66333333333301</v>
      </c>
      <c r="AB196" s="144">
        <v>124.08521633033899</v>
      </c>
      <c r="AC196" s="8">
        <f>(AD196*W196)/1000</f>
        <v>105.75105000000001</v>
      </c>
      <c r="AD196" s="11" t="str">
        <f>LEFT(details!E196,5)</f>
        <v>18.35</v>
      </c>
      <c r="AE196" s="42">
        <f t="shared" si="25"/>
        <v>278.66333333333301</v>
      </c>
      <c r="AF196" s="42">
        <f>VLOOKUP(C196,MC.5!B:P,15,FALSE)/3</f>
        <v>278.66666666666669</v>
      </c>
      <c r="AG196" s="152">
        <f t="shared" si="44"/>
        <v>278.66333333333301</v>
      </c>
      <c r="AH196" s="137" t="str">
        <f>VLOOKUP(F196,REF!B:C,2,FALSE)</f>
        <v>PET</v>
      </c>
      <c r="AI196" s="3" t="str">
        <f>VLOOKUP(G196,REF!E:F,2,FALSE)</f>
        <v>Bottle</v>
      </c>
    </row>
    <row r="197" spans="1:35" x14ac:dyDescent="0.3">
      <c r="A197" s="186" t="s">
        <v>1155</v>
      </c>
      <c r="B197" s="24" t="s">
        <v>1155</v>
      </c>
      <c r="C197" s="156">
        <v>550076</v>
      </c>
      <c r="D197" s="24" t="s">
        <v>1178</v>
      </c>
      <c r="E197" s="24" t="s">
        <v>15</v>
      </c>
      <c r="F197" s="156">
        <v>60106</v>
      </c>
      <c r="G197" s="24" t="s">
        <v>1445</v>
      </c>
      <c r="H197" s="24" t="s">
        <v>1395</v>
      </c>
      <c r="I197" s="24" t="s">
        <v>1395</v>
      </c>
      <c r="J197" s="186" t="s">
        <v>1394</v>
      </c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>
        <v>13338</v>
      </c>
      <c r="AA197" s="17">
        <v>4446</v>
      </c>
      <c r="AB197" s="144"/>
      <c r="AC197" s="8">
        <f t="shared" si="43"/>
        <v>0</v>
      </c>
      <c r="AD197" s="11" t="str">
        <f>LEFT(details!E197,5)</f>
        <v>18.80</v>
      </c>
      <c r="AE197" s="42">
        <f t="shared" si="25"/>
        <v>4446</v>
      </c>
      <c r="AF197" s="42">
        <f>VLOOKUP(C197,MC.5!B:P,15,FALSE)/3</f>
        <v>4446</v>
      </c>
      <c r="AG197" s="152">
        <f t="shared" si="44"/>
        <v>4446</v>
      </c>
      <c r="AH197" s="137" t="str">
        <f>VLOOKUP(F197,REF!B:C,2,FALSE)</f>
        <v>PP</v>
      </c>
      <c r="AI197" s="3" t="str">
        <f>VLOOKUP(G197,REF!E:F,2,FALSE)</f>
        <v>Bottle</v>
      </c>
    </row>
    <row r="198" spans="1:35" x14ac:dyDescent="0.3">
      <c r="A198" s="186" t="s">
        <v>1155</v>
      </c>
      <c r="B198" s="24" t="s">
        <v>1155</v>
      </c>
      <c r="C198" s="156">
        <v>550077</v>
      </c>
      <c r="D198" s="24" t="s">
        <v>1179</v>
      </c>
      <c r="E198" s="24" t="s">
        <v>29</v>
      </c>
      <c r="F198" s="156">
        <v>60106</v>
      </c>
      <c r="G198" s="24" t="s">
        <v>1445</v>
      </c>
      <c r="H198" s="24" t="s">
        <v>1395</v>
      </c>
      <c r="I198" s="24" t="s">
        <v>1395</v>
      </c>
      <c r="J198" s="186" t="s">
        <v>1394</v>
      </c>
      <c r="K198" s="16">
        <v>16800</v>
      </c>
      <c r="L198" s="17">
        <v>5208</v>
      </c>
      <c r="M198" s="16">
        <v>0</v>
      </c>
      <c r="N198" s="17">
        <v>0</v>
      </c>
      <c r="O198" s="16">
        <v>0</v>
      </c>
      <c r="P198" s="17">
        <v>0</v>
      </c>
      <c r="Q198" s="16">
        <v>0</v>
      </c>
      <c r="R198" s="17">
        <v>0</v>
      </c>
      <c r="S198" s="16">
        <v>0</v>
      </c>
      <c r="T198" s="17">
        <v>0</v>
      </c>
      <c r="U198" s="16">
        <v>0</v>
      </c>
      <c r="V198" s="17">
        <v>0</v>
      </c>
      <c r="W198" s="18">
        <v>16800</v>
      </c>
      <c r="X198" s="17">
        <v>5208</v>
      </c>
      <c r="Y198" s="17">
        <v>0</v>
      </c>
      <c r="Z198" s="17">
        <v>5208.01</v>
      </c>
      <c r="AA198" s="17">
        <v>1736.0033333333299</v>
      </c>
      <c r="AB198" s="144">
        <v>89.999827189271898</v>
      </c>
      <c r="AC198" s="8">
        <f t="shared" si="43"/>
        <v>470.4</v>
      </c>
      <c r="AD198" s="11" t="str">
        <f>LEFT(details!E198,5)</f>
        <v>28.00</v>
      </c>
      <c r="AE198" s="42">
        <f t="shared" si="25"/>
        <v>1736.0033333333299</v>
      </c>
      <c r="AF198" s="42">
        <f>VLOOKUP(C198,MC.5!B:P,15,FALSE)/3</f>
        <v>1736</v>
      </c>
      <c r="AG198" s="152">
        <f t="shared" si="44"/>
        <v>1736.0033333333299</v>
      </c>
      <c r="AH198" s="137" t="str">
        <f>VLOOKUP(F198,REF!B:C,2,FALSE)</f>
        <v>PP</v>
      </c>
      <c r="AI198" s="3" t="str">
        <f>VLOOKUP(G198,REF!E:F,2,FALSE)</f>
        <v>Bottle</v>
      </c>
    </row>
    <row r="199" spans="1:35" x14ac:dyDescent="0.3">
      <c r="A199" s="186" t="s">
        <v>1155</v>
      </c>
      <c r="B199" s="24" t="s">
        <v>1155</v>
      </c>
      <c r="C199" s="156">
        <v>552181</v>
      </c>
      <c r="D199" s="24" t="s">
        <v>321</v>
      </c>
      <c r="E199" s="24" t="s">
        <v>1937</v>
      </c>
      <c r="F199" s="156">
        <v>60106</v>
      </c>
      <c r="G199" s="24" t="s">
        <v>1445</v>
      </c>
      <c r="H199" s="24" t="s">
        <v>1395</v>
      </c>
      <c r="I199" s="24" t="s">
        <v>1395</v>
      </c>
      <c r="J199" s="186" t="s">
        <v>1394</v>
      </c>
      <c r="K199" s="16">
        <v>712800</v>
      </c>
      <c r="L199" s="17">
        <v>128304</v>
      </c>
      <c r="M199" s="16">
        <v>0</v>
      </c>
      <c r="N199" s="17">
        <v>0</v>
      </c>
      <c r="O199" s="16">
        <v>0</v>
      </c>
      <c r="P199" s="17">
        <v>0</v>
      </c>
      <c r="Q199" s="16">
        <v>0</v>
      </c>
      <c r="R199" s="17">
        <v>0</v>
      </c>
      <c r="S199" s="16">
        <v>0</v>
      </c>
      <c r="T199" s="17">
        <v>0</v>
      </c>
      <c r="U199" s="16">
        <v>810</v>
      </c>
      <c r="V199" s="17">
        <v>145.80000000000001</v>
      </c>
      <c r="W199" s="18">
        <v>713610</v>
      </c>
      <c r="X199" s="17">
        <v>128449.8</v>
      </c>
      <c r="Y199" s="17">
        <v>0</v>
      </c>
      <c r="Z199" s="17">
        <v>371466.06</v>
      </c>
      <c r="AA199" s="17">
        <v>123822.02</v>
      </c>
      <c r="AB199" s="144">
        <v>31.121233525345499</v>
      </c>
      <c r="AC199" s="8">
        <f t="shared" si="43"/>
        <v>10490.066999999999</v>
      </c>
      <c r="AD199" s="11" t="str">
        <f>LEFT(details!E199,5)</f>
        <v>14.70</v>
      </c>
      <c r="AE199" s="42">
        <f t="shared" si="25"/>
        <v>123822.02</v>
      </c>
      <c r="AF199" s="42">
        <f>VLOOKUP(C199,MC.5!B:P,15,FALSE)/3</f>
        <v>123822</v>
      </c>
      <c r="AG199" s="152">
        <f t="shared" si="44"/>
        <v>123822.02</v>
      </c>
      <c r="AH199" s="137" t="str">
        <f>VLOOKUP(F199,REF!B:C,2,FALSE)</f>
        <v>PP</v>
      </c>
      <c r="AI199" s="3" t="str">
        <f>VLOOKUP(G199,REF!E:F,2,FALSE)</f>
        <v>Bottle</v>
      </c>
    </row>
    <row r="200" spans="1:35" x14ac:dyDescent="0.3">
      <c r="A200" s="186" t="s">
        <v>1155</v>
      </c>
      <c r="B200" s="24" t="s">
        <v>1155</v>
      </c>
      <c r="C200" s="156">
        <v>555979</v>
      </c>
      <c r="D200" s="24" t="s">
        <v>325</v>
      </c>
      <c r="E200" s="24" t="s">
        <v>1938</v>
      </c>
      <c r="F200" s="156">
        <v>60106</v>
      </c>
      <c r="G200" s="24" t="s">
        <v>1445</v>
      </c>
      <c r="H200" s="24" t="s">
        <v>1395</v>
      </c>
      <c r="I200" s="24" t="s">
        <v>1395</v>
      </c>
      <c r="J200" s="186" t="s">
        <v>1394</v>
      </c>
      <c r="K200" s="16">
        <v>265104</v>
      </c>
      <c r="L200" s="17">
        <v>82182.240000000005</v>
      </c>
      <c r="M200" s="16">
        <v>617</v>
      </c>
      <c r="N200" s="17">
        <v>191.27</v>
      </c>
      <c r="O200" s="16">
        <v>0</v>
      </c>
      <c r="P200" s="17">
        <v>0</v>
      </c>
      <c r="Q200" s="16">
        <v>0</v>
      </c>
      <c r="R200" s="17">
        <v>0</v>
      </c>
      <c r="S200" s="16">
        <v>0</v>
      </c>
      <c r="T200" s="17">
        <v>0</v>
      </c>
      <c r="U200" s="16">
        <v>0</v>
      </c>
      <c r="V200" s="17">
        <v>0</v>
      </c>
      <c r="W200" s="18">
        <v>265721</v>
      </c>
      <c r="X200" s="17">
        <v>82373.509999999995</v>
      </c>
      <c r="Y200" s="17">
        <v>0</v>
      </c>
      <c r="Z200" s="17">
        <v>400310.43</v>
      </c>
      <c r="AA200" s="17">
        <v>133436.81</v>
      </c>
      <c r="AB200" s="144">
        <v>18.5196670993559</v>
      </c>
      <c r="AC200" s="8">
        <f t="shared" si="43"/>
        <v>7187.7530500000003</v>
      </c>
      <c r="AD200" s="11" t="str">
        <f>LEFT(details!E200,5)</f>
        <v>27.05</v>
      </c>
      <c r="AE200" s="42">
        <f t="shared" ref="AE200:AE263" si="45">AA200</f>
        <v>133436.81</v>
      </c>
      <c r="AF200" s="42">
        <f>VLOOKUP(C200,MC.5!B:P,15,FALSE)/3</f>
        <v>133436.80000000002</v>
      </c>
      <c r="AG200" s="152">
        <f t="shared" si="44"/>
        <v>133436.81</v>
      </c>
      <c r="AH200" s="137" t="str">
        <f>VLOOKUP(F200,REF!B:C,2,FALSE)</f>
        <v>PP</v>
      </c>
      <c r="AI200" s="3" t="str">
        <f>VLOOKUP(G200,REF!E:F,2,FALSE)</f>
        <v>Bottle</v>
      </c>
    </row>
    <row r="201" spans="1:35" x14ac:dyDescent="0.3">
      <c r="A201" s="186" t="s">
        <v>1155</v>
      </c>
      <c r="B201" s="24" t="s">
        <v>1155</v>
      </c>
      <c r="C201" s="156">
        <v>558104</v>
      </c>
      <c r="D201" s="24" t="s">
        <v>1929</v>
      </c>
      <c r="E201" s="24" t="s">
        <v>2602</v>
      </c>
      <c r="F201" s="156">
        <v>60106</v>
      </c>
      <c r="G201" s="24" t="s">
        <v>1445</v>
      </c>
      <c r="H201" s="24" t="s">
        <v>1395</v>
      </c>
      <c r="I201" s="24" t="s">
        <v>1395</v>
      </c>
      <c r="J201" s="186" t="s">
        <v>1394</v>
      </c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>
        <v>2560.0100000000002</v>
      </c>
      <c r="AA201" s="17">
        <v>853.33666666666704</v>
      </c>
      <c r="AB201" s="144"/>
      <c r="AC201" s="8">
        <f t="shared" si="43"/>
        <v>0</v>
      </c>
      <c r="AD201" s="11" t="str">
        <f>LEFT(details!E201,5)</f>
        <v>14.50</v>
      </c>
      <c r="AE201" s="42">
        <f t="shared" si="45"/>
        <v>853.33666666666704</v>
      </c>
      <c r="AF201" s="42">
        <f>VLOOKUP(C201,MC.5!B:P,15,FALSE)/3</f>
        <v>0</v>
      </c>
      <c r="AG201" s="152">
        <f t="shared" si="44"/>
        <v>853.33666666666704</v>
      </c>
      <c r="AH201" s="137" t="str">
        <f>VLOOKUP(F201,REF!B:C,2,FALSE)</f>
        <v>PP</v>
      </c>
      <c r="AI201" s="3" t="str">
        <f>VLOOKUP(G201,REF!E:F,2,FALSE)</f>
        <v>Bottle</v>
      </c>
    </row>
    <row r="202" spans="1:35" x14ac:dyDescent="0.3">
      <c r="A202" s="186" t="s">
        <v>1155</v>
      </c>
      <c r="B202" s="24" t="s">
        <v>1155</v>
      </c>
      <c r="C202" s="156">
        <v>558106</v>
      </c>
      <c r="D202" s="24" t="s">
        <v>1296</v>
      </c>
      <c r="E202" s="24" t="s">
        <v>29</v>
      </c>
      <c r="F202" s="156">
        <v>60106</v>
      </c>
      <c r="G202" s="24" t="s">
        <v>1445</v>
      </c>
      <c r="H202" s="24" t="s">
        <v>1395</v>
      </c>
      <c r="I202" s="24" t="s">
        <v>1395</v>
      </c>
      <c r="J202" s="186" t="s">
        <v>1394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>
        <v>3527.49</v>
      </c>
      <c r="AA202" s="17">
        <v>1175.83</v>
      </c>
      <c r="AB202" s="144"/>
      <c r="AC202" s="8">
        <f t="shared" si="43"/>
        <v>0</v>
      </c>
      <c r="AD202" s="11" t="str">
        <f>LEFT(details!E202,5)</f>
        <v>28.00</v>
      </c>
      <c r="AE202" s="42">
        <f t="shared" si="45"/>
        <v>1175.83</v>
      </c>
      <c r="AF202" s="42">
        <f>VLOOKUP(C202,MC.5!B:P,15,FALSE)/3</f>
        <v>0</v>
      </c>
      <c r="AG202" s="152">
        <f t="shared" si="44"/>
        <v>1175.83</v>
      </c>
      <c r="AH202" s="137" t="str">
        <f>VLOOKUP(F202,REF!B:C,2,FALSE)</f>
        <v>PP</v>
      </c>
      <c r="AI202" s="3" t="str">
        <f>VLOOKUP(G202,REF!E:F,2,FALSE)</f>
        <v>Bottle</v>
      </c>
    </row>
    <row r="203" spans="1:35" x14ac:dyDescent="0.3">
      <c r="A203" s="186" t="s">
        <v>1155</v>
      </c>
      <c r="B203" s="24" t="s">
        <v>1155</v>
      </c>
      <c r="C203" s="156">
        <v>558275</v>
      </c>
      <c r="D203" s="24" t="s">
        <v>1586</v>
      </c>
      <c r="E203" s="24" t="s">
        <v>348</v>
      </c>
      <c r="F203" s="156">
        <v>60105</v>
      </c>
      <c r="G203" s="24" t="s">
        <v>1443</v>
      </c>
      <c r="H203" s="24" t="s">
        <v>1390</v>
      </c>
      <c r="I203" s="24" t="s">
        <v>1390</v>
      </c>
      <c r="J203" s="186" t="s">
        <v>1367</v>
      </c>
      <c r="K203" s="16">
        <v>0</v>
      </c>
      <c r="L203" s="17">
        <v>0</v>
      </c>
      <c r="M203" s="16">
        <v>0</v>
      </c>
      <c r="N203" s="17">
        <v>0</v>
      </c>
      <c r="O203" s="16">
        <v>100</v>
      </c>
      <c r="P203" s="17">
        <v>106</v>
      </c>
      <c r="Q203" s="16">
        <v>0</v>
      </c>
      <c r="R203" s="17">
        <v>0</v>
      </c>
      <c r="S203" s="16">
        <v>0</v>
      </c>
      <c r="T203" s="17">
        <v>0</v>
      </c>
      <c r="U203" s="16">
        <v>0</v>
      </c>
      <c r="V203" s="17">
        <v>0</v>
      </c>
      <c r="W203" s="18">
        <v>100</v>
      </c>
      <c r="X203" s="17">
        <v>106</v>
      </c>
      <c r="Y203" s="17">
        <v>5.89</v>
      </c>
      <c r="Z203" s="17">
        <v>1272</v>
      </c>
      <c r="AA203" s="17">
        <v>424</v>
      </c>
      <c r="AB203" s="144">
        <v>7.5</v>
      </c>
      <c r="AC203" s="8">
        <f t="shared" si="43"/>
        <v>8.65</v>
      </c>
      <c r="AD203" s="11" t="str">
        <f>LEFT(details!E203,5)</f>
        <v>86.50</v>
      </c>
      <c r="AE203" s="42">
        <f t="shared" si="45"/>
        <v>424</v>
      </c>
      <c r="AF203" s="42">
        <f>VLOOKUP(C203,MC.5!B:P,15,FALSE)/3</f>
        <v>424</v>
      </c>
      <c r="AG203" s="152">
        <f t="shared" si="44"/>
        <v>424</v>
      </c>
      <c r="AH203" s="137" t="str">
        <f>VLOOKUP(F203,REF!B:C,2,FALSE)</f>
        <v>PE</v>
      </c>
      <c r="AI203" s="3" t="str">
        <f>VLOOKUP(G203,REF!E:F,2,FALSE)</f>
        <v>Bottle</v>
      </c>
    </row>
    <row r="204" spans="1:35" x14ac:dyDescent="0.3">
      <c r="A204" s="186" t="s">
        <v>1155</v>
      </c>
      <c r="B204" s="24" t="s">
        <v>1155</v>
      </c>
      <c r="C204" s="156">
        <v>565760</v>
      </c>
      <c r="D204" s="24" t="s">
        <v>246</v>
      </c>
      <c r="E204" s="24" t="s">
        <v>68</v>
      </c>
      <c r="F204" s="156">
        <v>65400</v>
      </c>
      <c r="G204" s="24" t="s">
        <v>1378</v>
      </c>
      <c r="H204" s="24" t="s">
        <v>1442</v>
      </c>
      <c r="I204" s="24" t="s">
        <v>1378</v>
      </c>
      <c r="J204" s="186" t="s">
        <v>1379</v>
      </c>
      <c r="K204" s="16">
        <v>0</v>
      </c>
      <c r="L204" s="17">
        <v>0</v>
      </c>
      <c r="M204" s="16">
        <v>0</v>
      </c>
      <c r="N204" s="17">
        <v>0</v>
      </c>
      <c r="O204" s="16">
        <v>0</v>
      </c>
      <c r="P204" s="17">
        <v>0</v>
      </c>
      <c r="Q204" s="16">
        <v>20900</v>
      </c>
      <c r="R204" s="17">
        <v>1421.2</v>
      </c>
      <c r="S204" s="16">
        <v>0</v>
      </c>
      <c r="T204" s="17">
        <v>0</v>
      </c>
      <c r="U204" s="16">
        <v>0</v>
      </c>
      <c r="V204" s="17">
        <v>0</v>
      </c>
      <c r="W204" s="18">
        <v>20900</v>
      </c>
      <c r="X204" s="17">
        <v>1421.2</v>
      </c>
      <c r="Y204" s="17">
        <v>710.65</v>
      </c>
      <c r="Z204" s="17"/>
      <c r="AA204" s="17"/>
      <c r="AB204" s="144">
        <v>0</v>
      </c>
      <c r="AC204" s="8">
        <f t="shared" si="43"/>
        <v>0</v>
      </c>
      <c r="AD204" s="11" t="str">
        <f>LEFT(details!E204,5)</f>
        <v>0.000</v>
      </c>
      <c r="AE204" s="42">
        <f t="shared" si="45"/>
        <v>0</v>
      </c>
      <c r="AF204" s="42">
        <f>VLOOKUP(C204,MC.5!B:P,15,FALSE)/3</f>
        <v>0</v>
      </c>
      <c r="AG204" s="152">
        <f>AF204</f>
        <v>0</v>
      </c>
      <c r="AH204" s="137" t="str">
        <f>VLOOKUP(F204,REF!B:C,2,FALSE)</f>
        <v>Secondary/ Component</v>
      </c>
      <c r="AI204" s="3" t="str">
        <f>VLOOKUP(G204,REF!E:F,2,FALSE)</f>
        <v>LABEL, IML, STICKER, SEALED ETC</v>
      </c>
    </row>
    <row r="205" spans="1:35" x14ac:dyDescent="0.3">
      <c r="A205" s="186" t="s">
        <v>1155</v>
      </c>
      <c r="B205" s="24" t="s">
        <v>1155</v>
      </c>
      <c r="C205" s="156">
        <v>573943</v>
      </c>
      <c r="D205" s="24" t="s">
        <v>1318</v>
      </c>
      <c r="E205" s="24" t="s">
        <v>128</v>
      </c>
      <c r="F205" s="156">
        <v>60105</v>
      </c>
      <c r="G205" s="24" t="s">
        <v>1443</v>
      </c>
      <c r="H205" s="24" t="s">
        <v>1392</v>
      </c>
      <c r="I205" s="24" t="s">
        <v>1392</v>
      </c>
      <c r="J205" s="186" t="s">
        <v>1372</v>
      </c>
      <c r="K205" s="16">
        <v>14760</v>
      </c>
      <c r="L205" s="17">
        <v>20368.8</v>
      </c>
      <c r="M205" s="16">
        <v>0</v>
      </c>
      <c r="N205" s="17">
        <v>0</v>
      </c>
      <c r="O205" s="16">
        <v>0</v>
      </c>
      <c r="P205" s="17">
        <v>0</v>
      </c>
      <c r="Q205" s="16">
        <v>0</v>
      </c>
      <c r="R205" s="17">
        <v>0</v>
      </c>
      <c r="S205" s="16">
        <v>0</v>
      </c>
      <c r="T205" s="17">
        <v>0</v>
      </c>
      <c r="U205" s="16">
        <v>0</v>
      </c>
      <c r="V205" s="17">
        <v>0</v>
      </c>
      <c r="W205" s="18">
        <v>14760</v>
      </c>
      <c r="X205" s="17">
        <v>20368.8</v>
      </c>
      <c r="Y205" s="17">
        <v>0</v>
      </c>
      <c r="Z205" s="17">
        <v>146649.60000000001</v>
      </c>
      <c r="AA205" s="17">
        <v>48883.199999999997</v>
      </c>
      <c r="AB205" s="144">
        <v>12.5004909662215</v>
      </c>
      <c r="AC205" s="8">
        <f t="shared" si="43"/>
        <v>1800.72</v>
      </c>
      <c r="AD205" s="11" t="str">
        <f>LEFT(details!E205,5)</f>
        <v>122.0</v>
      </c>
      <c r="AE205" s="42">
        <f t="shared" si="45"/>
        <v>48883.199999999997</v>
      </c>
      <c r="AF205" s="42">
        <f>VLOOKUP(C205,MC.5!B:P,15,FALSE)/3</f>
        <v>48883.200000000004</v>
      </c>
      <c r="AG205" s="152">
        <f t="shared" ref="AG201:AG209" si="46">AE205</f>
        <v>48883.199999999997</v>
      </c>
      <c r="AH205" s="137" t="str">
        <f>VLOOKUP(F205,REF!B:C,2,FALSE)</f>
        <v>PE</v>
      </c>
      <c r="AI205" s="3" t="str">
        <f>VLOOKUP(G205,REF!E:F,2,FALSE)</f>
        <v>Bottle</v>
      </c>
    </row>
    <row r="206" spans="1:35" x14ac:dyDescent="0.3">
      <c r="A206" s="186" t="s">
        <v>1155</v>
      </c>
      <c r="B206" s="24" t="s">
        <v>1155</v>
      </c>
      <c r="C206" s="156">
        <v>577492</v>
      </c>
      <c r="D206" s="24" t="s">
        <v>294</v>
      </c>
      <c r="E206" s="24" t="s">
        <v>111</v>
      </c>
      <c r="F206" s="156">
        <v>60104</v>
      </c>
      <c r="G206" s="24" t="s">
        <v>1438</v>
      </c>
      <c r="H206" s="24" t="s">
        <v>1366</v>
      </c>
      <c r="I206" s="24" t="s">
        <v>1366</v>
      </c>
      <c r="J206" s="186" t="s">
        <v>1367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>
        <v>72256.800000000003</v>
      </c>
      <c r="AA206" s="17">
        <v>24085.599999999999</v>
      </c>
      <c r="AB206" s="144"/>
      <c r="AC206" s="8">
        <f t="shared" ref="AC203:AC244" si="47">(AD206*W206)/1000</f>
        <v>0</v>
      </c>
      <c r="AD206" s="11" t="str">
        <f>LEFT(details!E206,5)</f>
        <v>35.60</v>
      </c>
      <c r="AE206" s="42">
        <f t="shared" si="45"/>
        <v>24085.599999999999</v>
      </c>
      <c r="AF206" s="42">
        <f>VLOOKUP(C206,MC.5!B:P,15,FALSE)/3</f>
        <v>24085.600000000002</v>
      </c>
      <c r="AG206" s="152">
        <f t="shared" si="46"/>
        <v>24085.599999999999</v>
      </c>
      <c r="AH206" s="137" t="str">
        <f>VLOOKUP(F206,REF!B:C,2,FALSE)</f>
        <v>PET</v>
      </c>
      <c r="AI206" s="3" t="str">
        <f>VLOOKUP(G206,REF!E:F,2,FALSE)</f>
        <v>Bottle</v>
      </c>
    </row>
    <row r="207" spans="1:35" x14ac:dyDescent="0.3">
      <c r="A207" s="186" t="s">
        <v>1155</v>
      </c>
      <c r="B207" s="24" t="s">
        <v>1155</v>
      </c>
      <c r="C207" s="156">
        <v>579471</v>
      </c>
      <c r="D207" s="24" t="s">
        <v>296</v>
      </c>
      <c r="E207" s="24" t="s">
        <v>18</v>
      </c>
      <c r="F207" s="156">
        <v>60104</v>
      </c>
      <c r="G207" s="24" t="s">
        <v>1439</v>
      </c>
      <c r="H207" s="24" t="s">
        <v>1368</v>
      </c>
      <c r="I207" s="24" t="s">
        <v>1368</v>
      </c>
      <c r="J207" s="186" t="s">
        <v>1367</v>
      </c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>
        <v>7938.01</v>
      </c>
      <c r="AA207" s="17">
        <v>2646.0033333333299</v>
      </c>
      <c r="AB207" s="144"/>
      <c r="AC207" s="8">
        <f t="shared" si="47"/>
        <v>0</v>
      </c>
      <c r="AD207" s="11" t="str">
        <f>LEFT(details!E207,5)</f>
        <v>24.00</v>
      </c>
      <c r="AE207" s="42">
        <f t="shared" si="45"/>
        <v>2646.0033333333299</v>
      </c>
      <c r="AF207" s="42">
        <f>VLOOKUP(C207,MC.5!B:P,15,FALSE)/3</f>
        <v>2646</v>
      </c>
      <c r="AG207" s="152">
        <f t="shared" si="46"/>
        <v>2646.0033333333299</v>
      </c>
      <c r="AH207" s="137" t="str">
        <f>VLOOKUP(F207,REF!B:C,2,FALSE)</f>
        <v>PET</v>
      </c>
      <c r="AI207" s="3" t="str">
        <f>VLOOKUP(G207,REF!E:F,2,FALSE)</f>
        <v>Jar /Container/Tub</v>
      </c>
    </row>
    <row r="208" spans="1:35" x14ac:dyDescent="0.3">
      <c r="A208" s="186" t="s">
        <v>1155</v>
      </c>
      <c r="B208" s="24" t="s">
        <v>1155</v>
      </c>
      <c r="C208" s="156">
        <v>580324</v>
      </c>
      <c r="D208" s="24" t="s">
        <v>322</v>
      </c>
      <c r="E208" s="24" t="s">
        <v>10</v>
      </c>
      <c r="F208" s="156">
        <v>60104</v>
      </c>
      <c r="G208" s="24" t="s">
        <v>1438</v>
      </c>
      <c r="H208" s="24" t="s">
        <v>1366</v>
      </c>
      <c r="I208" s="24" t="s">
        <v>1366</v>
      </c>
      <c r="J208" s="186" t="s">
        <v>1367</v>
      </c>
      <c r="K208" s="16">
        <v>0</v>
      </c>
      <c r="L208" s="17">
        <v>0</v>
      </c>
      <c r="M208" s="16">
        <v>100050</v>
      </c>
      <c r="N208" s="17">
        <v>15007.5</v>
      </c>
      <c r="O208" s="16">
        <v>0</v>
      </c>
      <c r="P208" s="17">
        <v>0</v>
      </c>
      <c r="Q208" s="16">
        <v>0</v>
      </c>
      <c r="R208" s="17">
        <v>0</v>
      </c>
      <c r="S208" s="16">
        <v>0</v>
      </c>
      <c r="T208" s="17">
        <v>0</v>
      </c>
      <c r="U208" s="16">
        <v>0</v>
      </c>
      <c r="V208" s="17">
        <v>0</v>
      </c>
      <c r="W208" s="18">
        <v>100050</v>
      </c>
      <c r="X208" s="17">
        <v>15007.5</v>
      </c>
      <c r="Y208" s="17">
        <v>0</v>
      </c>
      <c r="Z208" s="17">
        <v>3565</v>
      </c>
      <c r="AA208" s="17">
        <v>1188.3333333333301</v>
      </c>
      <c r="AB208" s="144">
        <v>378.870967741936</v>
      </c>
      <c r="AC208" s="8">
        <f t="shared" si="47"/>
        <v>1130.5650000000001</v>
      </c>
      <c r="AD208" s="11" t="str">
        <f>LEFT(details!E208,5)</f>
        <v>11.30</v>
      </c>
      <c r="AE208" s="42">
        <f t="shared" si="45"/>
        <v>1188.3333333333301</v>
      </c>
      <c r="AF208" s="42">
        <f>VLOOKUP(C208,MC.5!B:P,15,FALSE)/3</f>
        <v>1188.3333333333333</v>
      </c>
      <c r="AG208" s="152">
        <f t="shared" si="46"/>
        <v>1188.3333333333301</v>
      </c>
      <c r="AH208" s="137" t="str">
        <f>VLOOKUP(F208,REF!B:C,2,FALSE)</f>
        <v>PET</v>
      </c>
      <c r="AI208" s="3" t="str">
        <f>VLOOKUP(G208,REF!E:F,2,FALSE)</f>
        <v>Bottle</v>
      </c>
    </row>
    <row r="209" spans="1:35" x14ac:dyDescent="0.3">
      <c r="A209" s="186" t="s">
        <v>1155</v>
      </c>
      <c r="B209" s="24" t="s">
        <v>1155</v>
      </c>
      <c r="C209" s="156">
        <v>580580</v>
      </c>
      <c r="D209" s="24" t="s">
        <v>1320</v>
      </c>
      <c r="E209" s="24" t="s">
        <v>1180</v>
      </c>
      <c r="F209" s="156">
        <v>60105</v>
      </c>
      <c r="G209" s="24" t="s">
        <v>1443</v>
      </c>
      <c r="H209" s="24" t="s">
        <v>1392</v>
      </c>
      <c r="I209" s="24" t="s">
        <v>1392</v>
      </c>
      <c r="J209" s="186" t="s">
        <v>1372</v>
      </c>
      <c r="K209" s="16">
        <v>40040</v>
      </c>
      <c r="L209" s="17">
        <v>47647.6</v>
      </c>
      <c r="M209" s="16">
        <v>0</v>
      </c>
      <c r="N209" s="17">
        <v>0</v>
      </c>
      <c r="O209" s="16">
        <v>0</v>
      </c>
      <c r="P209" s="17">
        <v>0</v>
      </c>
      <c r="Q209" s="16">
        <v>0</v>
      </c>
      <c r="R209" s="17">
        <v>0</v>
      </c>
      <c r="S209" s="16">
        <v>0</v>
      </c>
      <c r="T209" s="17">
        <v>0</v>
      </c>
      <c r="U209" s="16">
        <v>0</v>
      </c>
      <c r="V209" s="17">
        <v>0</v>
      </c>
      <c r="W209" s="18">
        <v>40040</v>
      </c>
      <c r="X209" s="17">
        <v>47647.6</v>
      </c>
      <c r="Y209" s="17">
        <v>0</v>
      </c>
      <c r="Z209" s="17">
        <v>36027.199999999997</v>
      </c>
      <c r="AA209" s="17">
        <v>12009.0666666667</v>
      </c>
      <c r="AB209" s="144">
        <v>119.02906692721101</v>
      </c>
      <c r="AC209" s="8">
        <f t="shared" si="47"/>
        <v>4124.12</v>
      </c>
      <c r="AD209" s="11" t="str">
        <f>LEFT(details!E209,5)</f>
        <v>103.0</v>
      </c>
      <c r="AE209" s="42">
        <f t="shared" si="45"/>
        <v>12009.0666666667</v>
      </c>
      <c r="AF209" s="42">
        <f>VLOOKUP(C209,MC.5!B:P,15,FALSE)/3</f>
        <v>12009.066666666666</v>
      </c>
      <c r="AG209" s="152">
        <f t="shared" si="46"/>
        <v>12009.0666666667</v>
      </c>
      <c r="AH209" s="137" t="str">
        <f>VLOOKUP(F209,REF!B:C,2,FALSE)</f>
        <v>PE</v>
      </c>
      <c r="AI209" s="3" t="str">
        <f>VLOOKUP(G209,REF!E:F,2,FALSE)</f>
        <v>Bottle</v>
      </c>
    </row>
    <row r="210" spans="1:35" x14ac:dyDescent="0.3">
      <c r="A210" s="186" t="s">
        <v>1155</v>
      </c>
      <c r="B210" s="24" t="s">
        <v>1155</v>
      </c>
      <c r="C210" s="156">
        <v>581042</v>
      </c>
      <c r="D210" s="24" t="s">
        <v>309</v>
      </c>
      <c r="E210" s="24" t="s">
        <v>68</v>
      </c>
      <c r="F210" s="156">
        <v>65400</v>
      </c>
      <c r="G210" s="24" t="s">
        <v>1378</v>
      </c>
      <c r="H210" s="24" t="s">
        <v>1442</v>
      </c>
      <c r="I210" s="24" t="s">
        <v>1378</v>
      </c>
      <c r="J210" s="186" t="s">
        <v>1379</v>
      </c>
      <c r="K210" s="16">
        <v>0</v>
      </c>
      <c r="L210" s="17">
        <v>0</v>
      </c>
      <c r="M210" s="16">
        <v>0</v>
      </c>
      <c r="N210" s="17">
        <v>0</v>
      </c>
      <c r="O210" s="16">
        <v>0</v>
      </c>
      <c r="P210" s="17">
        <v>0</v>
      </c>
      <c r="Q210" s="16">
        <v>0</v>
      </c>
      <c r="R210" s="17">
        <v>0</v>
      </c>
      <c r="S210" s="16">
        <v>2620</v>
      </c>
      <c r="T210" s="17">
        <v>222.7</v>
      </c>
      <c r="U210" s="16">
        <v>0</v>
      </c>
      <c r="V210" s="17">
        <v>0</v>
      </c>
      <c r="W210" s="18">
        <v>2620</v>
      </c>
      <c r="X210" s="17">
        <v>222.7</v>
      </c>
      <c r="Y210" s="17">
        <v>222.7</v>
      </c>
      <c r="Z210" s="17"/>
      <c r="AA210" s="17"/>
      <c r="AB210" s="144">
        <v>0</v>
      </c>
      <c r="AC210" s="8">
        <f t="shared" si="47"/>
        <v>0</v>
      </c>
      <c r="AD210" s="11" t="str">
        <f>LEFT(details!E210,5)</f>
        <v>0.000</v>
      </c>
      <c r="AE210" s="42">
        <f t="shared" si="45"/>
        <v>0</v>
      </c>
      <c r="AF210" s="42">
        <f>VLOOKUP(C210,MC.5!B:P,15,FALSE)/3</f>
        <v>0</v>
      </c>
      <c r="AG210" s="152">
        <f t="shared" ref="AG210:AG211" si="48">AF210</f>
        <v>0</v>
      </c>
      <c r="AH210" s="137" t="str">
        <f>VLOOKUP(F210,REF!B:C,2,FALSE)</f>
        <v>Secondary/ Component</v>
      </c>
      <c r="AI210" s="3" t="str">
        <f>VLOOKUP(G210,REF!E:F,2,FALSE)</f>
        <v>LABEL, IML, STICKER, SEALED ETC</v>
      </c>
    </row>
    <row r="211" spans="1:35" x14ac:dyDescent="0.3">
      <c r="A211" s="186" t="s">
        <v>1155</v>
      </c>
      <c r="B211" s="24" t="s">
        <v>1155</v>
      </c>
      <c r="C211" s="156">
        <v>581956</v>
      </c>
      <c r="D211" s="24" t="s">
        <v>310</v>
      </c>
      <c r="E211" s="24" t="s">
        <v>113</v>
      </c>
      <c r="F211" s="156">
        <v>65400</v>
      </c>
      <c r="G211" s="24" t="s">
        <v>1378</v>
      </c>
      <c r="H211" s="24" t="s">
        <v>1442</v>
      </c>
      <c r="I211" s="24" t="s">
        <v>1378</v>
      </c>
      <c r="J211" s="186" t="s">
        <v>1379</v>
      </c>
      <c r="K211" s="16">
        <v>0</v>
      </c>
      <c r="L211" s="17">
        <v>0</v>
      </c>
      <c r="M211" s="16">
        <v>0</v>
      </c>
      <c r="N211" s="17">
        <v>0</v>
      </c>
      <c r="O211" s="16">
        <v>0</v>
      </c>
      <c r="P211" s="17">
        <v>0</v>
      </c>
      <c r="Q211" s="16">
        <v>13560</v>
      </c>
      <c r="R211" s="17">
        <v>1487.26</v>
      </c>
      <c r="S211" s="16">
        <v>0</v>
      </c>
      <c r="T211" s="17">
        <v>0</v>
      </c>
      <c r="U211" s="16">
        <v>0</v>
      </c>
      <c r="V211" s="17">
        <v>0</v>
      </c>
      <c r="W211" s="18">
        <v>13560</v>
      </c>
      <c r="X211" s="17">
        <v>1487.26</v>
      </c>
      <c r="Y211" s="17">
        <v>991.59</v>
      </c>
      <c r="Z211" s="17"/>
      <c r="AA211" s="17"/>
      <c r="AB211" s="144">
        <v>0</v>
      </c>
      <c r="AC211" s="8">
        <f t="shared" si="47"/>
        <v>0</v>
      </c>
      <c r="AD211" s="11" t="str">
        <f>LEFT(details!E211,5)</f>
        <v>0.000</v>
      </c>
      <c r="AE211" s="42">
        <f t="shared" si="45"/>
        <v>0</v>
      </c>
      <c r="AF211" s="42">
        <f>VLOOKUP(C211,MC.5!B:P,15,FALSE)/3</f>
        <v>0</v>
      </c>
      <c r="AG211" s="152">
        <f t="shared" si="48"/>
        <v>0</v>
      </c>
      <c r="AH211" s="137" t="str">
        <f>VLOOKUP(F211,REF!B:C,2,FALSE)</f>
        <v>Secondary/ Component</v>
      </c>
      <c r="AI211" s="3" t="str">
        <f>VLOOKUP(G211,REF!E:F,2,FALSE)</f>
        <v>LABEL, IML, STICKER, SEALED ETC</v>
      </c>
    </row>
    <row r="212" spans="1:35" x14ac:dyDescent="0.3">
      <c r="A212" s="186" t="s">
        <v>1155</v>
      </c>
      <c r="B212" s="24" t="s">
        <v>1155</v>
      </c>
      <c r="C212" s="156">
        <v>586276</v>
      </c>
      <c r="D212" s="24" t="s">
        <v>336</v>
      </c>
      <c r="E212" s="24" t="s">
        <v>311</v>
      </c>
      <c r="F212" s="156">
        <v>60106</v>
      </c>
      <c r="G212" s="24" t="s">
        <v>1445</v>
      </c>
      <c r="H212" s="24" t="s">
        <v>1395</v>
      </c>
      <c r="I212" s="24" t="s">
        <v>1395</v>
      </c>
      <c r="J212" s="186" t="s">
        <v>1394</v>
      </c>
      <c r="K212" s="16">
        <v>24300</v>
      </c>
      <c r="L212" s="17">
        <v>3888</v>
      </c>
      <c r="M212" s="16">
        <v>0</v>
      </c>
      <c r="N212" s="17">
        <v>0</v>
      </c>
      <c r="O212" s="16">
        <v>0</v>
      </c>
      <c r="P212" s="17">
        <v>0</v>
      </c>
      <c r="Q212" s="16">
        <v>0</v>
      </c>
      <c r="R212" s="17">
        <v>0</v>
      </c>
      <c r="S212" s="16">
        <v>0</v>
      </c>
      <c r="T212" s="17">
        <v>0</v>
      </c>
      <c r="U212" s="16">
        <v>0</v>
      </c>
      <c r="V212" s="17">
        <v>0</v>
      </c>
      <c r="W212" s="18">
        <v>24300</v>
      </c>
      <c r="X212" s="17">
        <v>3888</v>
      </c>
      <c r="Y212" s="17">
        <v>0</v>
      </c>
      <c r="Z212" s="17">
        <v>490779.21</v>
      </c>
      <c r="AA212" s="17">
        <v>163593.07</v>
      </c>
      <c r="AB212" s="144">
        <v>0.71298863698810699</v>
      </c>
      <c r="AC212" s="8">
        <f t="shared" si="47"/>
        <v>298.89</v>
      </c>
      <c r="AD212" s="11" t="str">
        <f>LEFT(details!E212,5)</f>
        <v>12.30</v>
      </c>
      <c r="AE212" s="42">
        <f t="shared" si="45"/>
        <v>163593.07</v>
      </c>
      <c r="AF212" s="42">
        <f>VLOOKUP(C212,MC.5!B:P,15,FALSE)/3</f>
        <v>163593</v>
      </c>
      <c r="AG212" s="152">
        <f t="shared" ref="AG208:AG218" si="49">AE212</f>
        <v>163593.07</v>
      </c>
      <c r="AH212" s="137" t="str">
        <f>VLOOKUP(F212,REF!B:C,2,FALSE)</f>
        <v>PP</v>
      </c>
      <c r="AI212" s="3" t="str">
        <f>VLOOKUP(G212,REF!E:F,2,FALSE)</f>
        <v>Bottle</v>
      </c>
    </row>
    <row r="213" spans="1:35" x14ac:dyDescent="0.3">
      <c r="A213" s="186" t="s">
        <v>1155</v>
      </c>
      <c r="B213" s="24" t="s">
        <v>1155</v>
      </c>
      <c r="C213" s="156">
        <v>588272</v>
      </c>
      <c r="D213" s="24" t="s">
        <v>319</v>
      </c>
      <c r="E213" s="24" t="s">
        <v>1258</v>
      </c>
      <c r="F213" s="156">
        <v>60104</v>
      </c>
      <c r="G213" s="24" t="s">
        <v>1439</v>
      </c>
      <c r="H213" s="24" t="s">
        <v>1396</v>
      </c>
      <c r="I213" s="24" t="s">
        <v>1396</v>
      </c>
      <c r="J213" s="186" t="s">
        <v>1372</v>
      </c>
      <c r="K213" s="16">
        <v>177480</v>
      </c>
      <c r="L213" s="17">
        <v>40820.400000000001</v>
      </c>
      <c r="M213" s="16">
        <v>0</v>
      </c>
      <c r="N213" s="17">
        <v>0</v>
      </c>
      <c r="O213" s="16">
        <v>0</v>
      </c>
      <c r="P213" s="17">
        <v>0</v>
      </c>
      <c r="Q213" s="16">
        <v>0</v>
      </c>
      <c r="R213" s="17">
        <v>0</v>
      </c>
      <c r="S213" s="16">
        <v>0</v>
      </c>
      <c r="T213" s="17">
        <v>0</v>
      </c>
      <c r="U213" s="16">
        <v>0</v>
      </c>
      <c r="V213" s="17">
        <v>0</v>
      </c>
      <c r="W213" s="18">
        <v>177480</v>
      </c>
      <c r="X213" s="17">
        <v>40820.400000000001</v>
      </c>
      <c r="Y213" s="17">
        <v>0</v>
      </c>
      <c r="Z213" s="17">
        <v>211140</v>
      </c>
      <c r="AA213" s="17">
        <v>70380</v>
      </c>
      <c r="AB213" s="144">
        <v>17.399999999999999</v>
      </c>
      <c r="AC213" s="8">
        <f t="shared" si="47"/>
        <v>4366.0079999999998</v>
      </c>
      <c r="AD213" s="11" t="str">
        <f>LEFT(details!E213,5)</f>
        <v>24.60</v>
      </c>
      <c r="AE213" s="42">
        <f t="shared" si="45"/>
        <v>70380</v>
      </c>
      <c r="AF213" s="42">
        <f>VLOOKUP(C213,MC.5!B:P,15,FALSE)/3</f>
        <v>70380</v>
      </c>
      <c r="AG213" s="152">
        <f t="shared" si="49"/>
        <v>70380</v>
      </c>
      <c r="AH213" s="137" t="str">
        <f>VLOOKUP(F213,REF!B:C,2,FALSE)</f>
        <v>PET</v>
      </c>
      <c r="AI213" s="3" t="str">
        <f>VLOOKUP(G213,REF!E:F,2,FALSE)</f>
        <v>Jar /Container/Tub</v>
      </c>
    </row>
    <row r="214" spans="1:35" x14ac:dyDescent="0.3">
      <c r="A214" s="186" t="s">
        <v>1155</v>
      </c>
      <c r="B214" s="24" t="s">
        <v>1155</v>
      </c>
      <c r="C214" s="156">
        <v>591265</v>
      </c>
      <c r="D214" s="24" t="s">
        <v>337</v>
      </c>
      <c r="E214" s="24" t="s">
        <v>18</v>
      </c>
      <c r="F214" s="156">
        <v>60104</v>
      </c>
      <c r="G214" s="24" t="s">
        <v>1439</v>
      </c>
      <c r="H214" s="24" t="s">
        <v>1396</v>
      </c>
      <c r="I214" s="24" t="s">
        <v>1396</v>
      </c>
      <c r="J214" s="186" t="s">
        <v>1372</v>
      </c>
      <c r="K214" s="16">
        <v>16416</v>
      </c>
      <c r="L214" s="17">
        <v>4924.8</v>
      </c>
      <c r="M214" s="16">
        <v>0</v>
      </c>
      <c r="N214" s="17">
        <v>0</v>
      </c>
      <c r="O214" s="16">
        <v>0</v>
      </c>
      <c r="P214" s="17">
        <v>0</v>
      </c>
      <c r="Q214" s="16">
        <v>0</v>
      </c>
      <c r="R214" s="17">
        <v>0</v>
      </c>
      <c r="S214" s="16">
        <v>0</v>
      </c>
      <c r="T214" s="17">
        <v>0</v>
      </c>
      <c r="U214" s="16">
        <v>0</v>
      </c>
      <c r="V214" s="17">
        <v>0</v>
      </c>
      <c r="W214" s="18">
        <v>16416</v>
      </c>
      <c r="X214" s="17">
        <v>4924.8</v>
      </c>
      <c r="Y214" s="17">
        <v>0</v>
      </c>
      <c r="Z214" s="17">
        <v>20465.28</v>
      </c>
      <c r="AA214" s="17">
        <v>6821.76</v>
      </c>
      <c r="AB214" s="144">
        <v>21.6577540106952</v>
      </c>
      <c r="AC214" s="8">
        <f t="shared" si="47"/>
        <v>393.98399999999998</v>
      </c>
      <c r="AD214" s="11" t="str">
        <f>LEFT(details!E214,5)</f>
        <v>24.00</v>
      </c>
      <c r="AE214" s="42">
        <f t="shared" si="45"/>
        <v>6821.76</v>
      </c>
      <c r="AF214" s="42">
        <f>VLOOKUP(C214,MC.5!B:P,15,FALSE)/3</f>
        <v>6821.7599999999993</v>
      </c>
      <c r="AG214" s="152">
        <f t="shared" si="49"/>
        <v>6821.76</v>
      </c>
      <c r="AH214" s="137" t="str">
        <f>VLOOKUP(F214,REF!B:C,2,FALSE)</f>
        <v>PET</v>
      </c>
      <c r="AI214" s="3" t="str">
        <f>VLOOKUP(G214,REF!E:F,2,FALSE)</f>
        <v>Jar /Container/Tub</v>
      </c>
    </row>
    <row r="215" spans="1:35" x14ac:dyDescent="0.3">
      <c r="A215" s="186" t="s">
        <v>1155</v>
      </c>
      <c r="B215" s="24" t="s">
        <v>1155</v>
      </c>
      <c r="C215" s="156">
        <v>591266</v>
      </c>
      <c r="D215" s="24" t="s">
        <v>338</v>
      </c>
      <c r="E215" s="24" t="s">
        <v>18</v>
      </c>
      <c r="F215" s="156">
        <v>60104</v>
      </c>
      <c r="G215" s="24" t="s">
        <v>1439</v>
      </c>
      <c r="H215" s="24" t="s">
        <v>1396</v>
      </c>
      <c r="I215" s="24" t="s">
        <v>1396</v>
      </c>
      <c r="J215" s="186" t="s">
        <v>1372</v>
      </c>
      <c r="K215" s="16">
        <v>5472</v>
      </c>
      <c r="L215" s="17">
        <v>1641.6</v>
      </c>
      <c r="M215" s="16">
        <v>0</v>
      </c>
      <c r="N215" s="17">
        <v>0</v>
      </c>
      <c r="O215" s="16">
        <v>0</v>
      </c>
      <c r="P215" s="17">
        <v>0</v>
      </c>
      <c r="Q215" s="16">
        <v>0</v>
      </c>
      <c r="R215" s="17">
        <v>0</v>
      </c>
      <c r="S215" s="16">
        <v>0</v>
      </c>
      <c r="T215" s="17">
        <v>0</v>
      </c>
      <c r="U215" s="16">
        <v>0</v>
      </c>
      <c r="V215" s="17">
        <v>0</v>
      </c>
      <c r="W215" s="18">
        <v>5472</v>
      </c>
      <c r="X215" s="17">
        <v>1641.6</v>
      </c>
      <c r="Y215" s="17">
        <v>0</v>
      </c>
      <c r="Z215" s="17">
        <v>11108.16</v>
      </c>
      <c r="AA215" s="17">
        <v>3702.72</v>
      </c>
      <c r="AB215" s="144">
        <v>13.3004926108374</v>
      </c>
      <c r="AC215" s="8">
        <f t="shared" si="47"/>
        <v>131.328</v>
      </c>
      <c r="AD215" s="11" t="str">
        <f>LEFT(details!E215,5)</f>
        <v>24.00</v>
      </c>
      <c r="AE215" s="42">
        <f t="shared" si="45"/>
        <v>3702.72</v>
      </c>
      <c r="AF215" s="42">
        <f>VLOOKUP(C215,MC.5!B:P,15,FALSE)/3</f>
        <v>3702.72</v>
      </c>
      <c r="AG215" s="152">
        <f t="shared" si="49"/>
        <v>3702.72</v>
      </c>
      <c r="AH215" s="137" t="str">
        <f>VLOOKUP(F215,REF!B:C,2,FALSE)</f>
        <v>PET</v>
      </c>
      <c r="AI215" s="3" t="str">
        <f>VLOOKUP(G215,REF!E:F,2,FALSE)</f>
        <v>Jar /Container/Tub</v>
      </c>
    </row>
    <row r="216" spans="1:35" x14ac:dyDescent="0.3">
      <c r="A216" s="186" t="s">
        <v>1155</v>
      </c>
      <c r="B216" s="24" t="s">
        <v>1155</v>
      </c>
      <c r="C216" s="156">
        <v>591268</v>
      </c>
      <c r="D216" s="24" t="s">
        <v>339</v>
      </c>
      <c r="E216" s="24" t="s">
        <v>18</v>
      </c>
      <c r="F216" s="156">
        <v>60104</v>
      </c>
      <c r="G216" s="24" t="s">
        <v>1439</v>
      </c>
      <c r="H216" s="24" t="s">
        <v>1396</v>
      </c>
      <c r="I216" s="24" t="s">
        <v>1396</v>
      </c>
      <c r="J216" s="186" t="s">
        <v>1372</v>
      </c>
      <c r="K216" s="16">
        <v>0</v>
      </c>
      <c r="L216" s="17">
        <v>0</v>
      </c>
      <c r="M216" s="16">
        <v>27360</v>
      </c>
      <c r="N216" s="17">
        <v>9849.6</v>
      </c>
      <c r="O216" s="16">
        <v>0</v>
      </c>
      <c r="P216" s="17">
        <v>0</v>
      </c>
      <c r="Q216" s="16">
        <v>0</v>
      </c>
      <c r="R216" s="17">
        <v>0</v>
      </c>
      <c r="S216" s="16">
        <v>0</v>
      </c>
      <c r="T216" s="17">
        <v>0</v>
      </c>
      <c r="U216" s="16">
        <v>0</v>
      </c>
      <c r="V216" s="17">
        <v>0</v>
      </c>
      <c r="W216" s="18">
        <v>27360</v>
      </c>
      <c r="X216" s="17">
        <v>9849.6</v>
      </c>
      <c r="Y216" s="17">
        <v>0</v>
      </c>
      <c r="Z216" s="17">
        <v>1805.76</v>
      </c>
      <c r="AA216" s="17">
        <v>601.91999999999996</v>
      </c>
      <c r="AB216" s="144">
        <v>490.90909090909099</v>
      </c>
      <c r="AC216" s="8">
        <f t="shared" si="47"/>
        <v>656.64</v>
      </c>
      <c r="AD216" s="11" t="str">
        <f>LEFT(details!E216,5)</f>
        <v>24.00</v>
      </c>
      <c r="AE216" s="42">
        <f t="shared" si="45"/>
        <v>601.91999999999996</v>
      </c>
      <c r="AF216" s="42">
        <f>VLOOKUP(C216,MC.5!B:P,15,FALSE)/3</f>
        <v>601.91999999999996</v>
      </c>
      <c r="AG216" s="152">
        <f t="shared" si="49"/>
        <v>601.91999999999996</v>
      </c>
      <c r="AH216" s="137" t="str">
        <f>VLOOKUP(F216,REF!B:C,2,FALSE)</f>
        <v>PET</v>
      </c>
      <c r="AI216" s="3" t="str">
        <f>VLOOKUP(G216,REF!E:F,2,FALSE)</f>
        <v>Jar /Container/Tub</v>
      </c>
    </row>
    <row r="217" spans="1:35" x14ac:dyDescent="0.3">
      <c r="A217" s="186" t="s">
        <v>1155</v>
      </c>
      <c r="B217" s="24" t="s">
        <v>1155</v>
      </c>
      <c r="C217" s="156">
        <v>591269</v>
      </c>
      <c r="D217" s="24" t="s">
        <v>345</v>
      </c>
      <c r="E217" s="24" t="s">
        <v>18</v>
      </c>
      <c r="F217" s="156">
        <v>60104</v>
      </c>
      <c r="G217" s="24" t="s">
        <v>1439</v>
      </c>
      <c r="H217" s="24" t="s">
        <v>1396</v>
      </c>
      <c r="I217" s="24" t="s">
        <v>1396</v>
      </c>
      <c r="J217" s="186" t="s">
        <v>1372</v>
      </c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>
        <v>16142.4</v>
      </c>
      <c r="AA217" s="17">
        <v>5380.8</v>
      </c>
      <c r="AB217" s="144"/>
      <c r="AC217" s="8">
        <f t="shared" si="47"/>
        <v>0</v>
      </c>
      <c r="AD217" s="11" t="str">
        <f>LEFT(details!E217,5)</f>
        <v>24.00</v>
      </c>
      <c r="AE217" s="42">
        <f t="shared" si="45"/>
        <v>5380.8</v>
      </c>
      <c r="AF217" s="42">
        <f>VLOOKUP(C217,MC.5!B:P,15,FALSE)/3</f>
        <v>5380.8</v>
      </c>
      <c r="AG217" s="152">
        <f t="shared" si="49"/>
        <v>5380.8</v>
      </c>
      <c r="AH217" s="137" t="str">
        <f>VLOOKUP(F217,REF!B:C,2,FALSE)</f>
        <v>PET</v>
      </c>
      <c r="AI217" s="3" t="str">
        <f>VLOOKUP(G217,REF!E:F,2,FALSE)</f>
        <v>Jar /Container/Tub</v>
      </c>
    </row>
    <row r="218" spans="1:35" s="28" customFormat="1" x14ac:dyDescent="0.3">
      <c r="A218" s="186" t="s">
        <v>1155</v>
      </c>
      <c r="B218" s="24" t="s">
        <v>1155</v>
      </c>
      <c r="C218" s="156">
        <v>591270</v>
      </c>
      <c r="D218" s="24" t="s">
        <v>346</v>
      </c>
      <c r="E218" s="24" t="s">
        <v>18</v>
      </c>
      <c r="F218" s="156">
        <v>60104</v>
      </c>
      <c r="G218" s="24" t="s">
        <v>1439</v>
      </c>
      <c r="H218" s="24" t="s">
        <v>1396</v>
      </c>
      <c r="I218" s="24" t="s">
        <v>1396</v>
      </c>
      <c r="J218" s="186" t="s">
        <v>1372</v>
      </c>
      <c r="K218" s="16">
        <v>0</v>
      </c>
      <c r="L218" s="17">
        <v>0</v>
      </c>
      <c r="M218" s="16">
        <v>0</v>
      </c>
      <c r="N218" s="17">
        <v>0</v>
      </c>
      <c r="O218" s="16">
        <v>0</v>
      </c>
      <c r="P218" s="17">
        <v>0</v>
      </c>
      <c r="Q218" s="16">
        <v>10944</v>
      </c>
      <c r="R218" s="17">
        <v>3283.2</v>
      </c>
      <c r="S218" s="16">
        <v>0</v>
      </c>
      <c r="T218" s="17">
        <v>0</v>
      </c>
      <c r="U218" s="16">
        <v>0</v>
      </c>
      <c r="V218" s="17">
        <v>0</v>
      </c>
      <c r="W218" s="18">
        <v>10944</v>
      </c>
      <c r="X218" s="17">
        <v>3283.2</v>
      </c>
      <c r="Y218" s="17">
        <v>1459.32</v>
      </c>
      <c r="Z218" s="17">
        <v>3064.32</v>
      </c>
      <c r="AA218" s="17">
        <v>1021.44</v>
      </c>
      <c r="AB218" s="144">
        <v>96.428571428571402</v>
      </c>
      <c r="AC218" s="8">
        <f t="shared" si="47"/>
        <v>262.65600000000001</v>
      </c>
      <c r="AD218" s="11" t="str">
        <f>LEFT(details!E218,5)</f>
        <v>24.00</v>
      </c>
      <c r="AE218" s="42">
        <f t="shared" si="45"/>
        <v>1021.44</v>
      </c>
      <c r="AF218" s="42">
        <f>VLOOKUP(C218,MC.5!B:P,15,FALSE)/3</f>
        <v>1021.44</v>
      </c>
      <c r="AG218" s="152">
        <f t="shared" si="49"/>
        <v>1021.44</v>
      </c>
      <c r="AH218" s="137" t="str">
        <f>VLOOKUP(F218,REF!B:C,2,FALSE)</f>
        <v>PET</v>
      </c>
      <c r="AI218" s="3" t="str">
        <f>VLOOKUP(G218,REF!E:F,2,FALSE)</f>
        <v>Jar /Container/Tub</v>
      </c>
    </row>
    <row r="219" spans="1:35" x14ac:dyDescent="0.3">
      <c r="A219" s="186" t="s">
        <v>1155</v>
      </c>
      <c r="B219" s="24" t="s">
        <v>1155</v>
      </c>
      <c r="C219" s="156">
        <v>591368</v>
      </c>
      <c r="D219" s="24" t="s">
        <v>328</v>
      </c>
      <c r="E219" s="24" t="s">
        <v>68</v>
      </c>
      <c r="F219" s="156">
        <v>65400</v>
      </c>
      <c r="G219" s="24" t="s">
        <v>1378</v>
      </c>
      <c r="H219" s="24" t="s">
        <v>1442</v>
      </c>
      <c r="I219" s="24" t="s">
        <v>1378</v>
      </c>
      <c r="J219" s="186" t="s">
        <v>1379</v>
      </c>
      <c r="K219" s="16">
        <v>123000</v>
      </c>
      <c r="L219" s="17">
        <v>6392.31</v>
      </c>
      <c r="M219" s="16">
        <v>4742</v>
      </c>
      <c r="N219" s="17">
        <v>246.44</v>
      </c>
      <c r="O219" s="16">
        <v>0</v>
      </c>
      <c r="P219" s="17">
        <v>0</v>
      </c>
      <c r="Q219" s="16">
        <v>0</v>
      </c>
      <c r="R219" s="17">
        <v>0</v>
      </c>
      <c r="S219" s="16">
        <v>0</v>
      </c>
      <c r="T219" s="17">
        <v>0</v>
      </c>
      <c r="U219" s="16">
        <v>0</v>
      </c>
      <c r="V219" s="17">
        <v>0</v>
      </c>
      <c r="W219" s="18">
        <v>127742</v>
      </c>
      <c r="X219" s="17">
        <v>6638.75</v>
      </c>
      <c r="Y219" s="17">
        <v>0</v>
      </c>
      <c r="Z219" s="17"/>
      <c r="AA219" s="17"/>
      <c r="AB219" s="144">
        <v>0</v>
      </c>
      <c r="AC219" s="8">
        <f t="shared" si="47"/>
        <v>0</v>
      </c>
      <c r="AD219" s="11" t="str">
        <f>LEFT(details!E219,5)</f>
        <v>0.000</v>
      </c>
      <c r="AE219" s="42">
        <f t="shared" si="45"/>
        <v>0</v>
      </c>
      <c r="AF219" s="42">
        <f>VLOOKUP(C219,MC.5!B:P,15,FALSE)/3</f>
        <v>949.84666666666669</v>
      </c>
      <c r="AG219" s="152">
        <f t="shared" ref="AG219:AG223" si="50">AF219</f>
        <v>949.84666666666669</v>
      </c>
      <c r="AH219" s="137" t="str">
        <f>VLOOKUP(F219,REF!B:C,2,FALSE)</f>
        <v>Secondary/ Component</v>
      </c>
      <c r="AI219" s="3" t="str">
        <f>VLOOKUP(G219,REF!E:F,2,FALSE)</f>
        <v>LABEL, IML, STICKER, SEALED ETC</v>
      </c>
    </row>
    <row r="220" spans="1:35" x14ac:dyDescent="0.3">
      <c r="A220" s="186" t="s">
        <v>1155</v>
      </c>
      <c r="B220" s="24" t="s">
        <v>1155</v>
      </c>
      <c r="C220" s="156">
        <v>591369</v>
      </c>
      <c r="D220" s="24" t="s">
        <v>340</v>
      </c>
      <c r="E220" s="24" t="s">
        <v>68</v>
      </c>
      <c r="F220" s="156">
        <v>65400</v>
      </c>
      <c r="G220" s="24" t="s">
        <v>1378</v>
      </c>
      <c r="H220" s="24" t="s">
        <v>1442</v>
      </c>
      <c r="I220" s="24" t="s">
        <v>1378</v>
      </c>
      <c r="J220" s="186" t="s">
        <v>1379</v>
      </c>
      <c r="K220" s="16">
        <v>50000</v>
      </c>
      <c r="L220" s="17">
        <v>2728</v>
      </c>
      <c r="M220" s="16">
        <v>37254</v>
      </c>
      <c r="N220" s="17">
        <v>2032.58</v>
      </c>
      <c r="O220" s="16">
        <v>0</v>
      </c>
      <c r="P220" s="17">
        <v>0</v>
      </c>
      <c r="Q220" s="16">
        <v>0</v>
      </c>
      <c r="R220" s="17">
        <v>0</v>
      </c>
      <c r="S220" s="16">
        <v>0</v>
      </c>
      <c r="T220" s="17">
        <v>0</v>
      </c>
      <c r="U220" s="16">
        <v>0</v>
      </c>
      <c r="V220" s="17">
        <v>0</v>
      </c>
      <c r="W220" s="18">
        <v>87254</v>
      </c>
      <c r="X220" s="17">
        <v>4760.58</v>
      </c>
      <c r="Y220" s="17">
        <v>0</v>
      </c>
      <c r="Z220" s="17"/>
      <c r="AA220" s="17"/>
      <c r="AB220" s="144">
        <v>0</v>
      </c>
      <c r="AC220" s="8">
        <f t="shared" si="47"/>
        <v>0</v>
      </c>
      <c r="AD220" s="11" t="str">
        <f>LEFT(details!E220,5)</f>
        <v>0.000</v>
      </c>
      <c r="AE220" s="42">
        <f t="shared" si="45"/>
        <v>0</v>
      </c>
      <c r="AF220" s="42">
        <f>VLOOKUP(C220,MC.5!B:P,15,FALSE)/3</f>
        <v>423.94666666666666</v>
      </c>
      <c r="AG220" s="152">
        <f t="shared" si="50"/>
        <v>423.94666666666666</v>
      </c>
      <c r="AH220" s="137" t="str">
        <f>VLOOKUP(F220,REF!B:C,2,FALSE)</f>
        <v>Secondary/ Component</v>
      </c>
      <c r="AI220" s="3" t="str">
        <f>VLOOKUP(G220,REF!E:F,2,FALSE)</f>
        <v>LABEL, IML, STICKER, SEALED ETC</v>
      </c>
    </row>
    <row r="221" spans="1:35" x14ac:dyDescent="0.3">
      <c r="A221" s="186" t="s">
        <v>1155</v>
      </c>
      <c r="B221" s="24" t="s">
        <v>1155</v>
      </c>
      <c r="C221" s="156">
        <v>591370</v>
      </c>
      <c r="D221" s="24" t="s">
        <v>329</v>
      </c>
      <c r="E221" s="24" t="s">
        <v>68</v>
      </c>
      <c r="F221" s="156">
        <v>65400</v>
      </c>
      <c r="G221" s="24" t="s">
        <v>1378</v>
      </c>
      <c r="H221" s="24" t="s">
        <v>1442</v>
      </c>
      <c r="I221" s="24" t="s">
        <v>1378</v>
      </c>
      <c r="J221" s="186" t="s">
        <v>1379</v>
      </c>
      <c r="K221" s="16">
        <v>48068</v>
      </c>
      <c r="L221" s="17">
        <v>5482.16</v>
      </c>
      <c r="M221" s="16">
        <v>0</v>
      </c>
      <c r="N221" s="17">
        <v>0</v>
      </c>
      <c r="O221" s="16">
        <v>0</v>
      </c>
      <c r="P221" s="17">
        <v>0</v>
      </c>
      <c r="Q221" s="16">
        <v>0</v>
      </c>
      <c r="R221" s="17">
        <v>0</v>
      </c>
      <c r="S221" s="16">
        <v>0</v>
      </c>
      <c r="T221" s="17">
        <v>0</v>
      </c>
      <c r="U221" s="16">
        <v>0</v>
      </c>
      <c r="V221" s="17">
        <v>0</v>
      </c>
      <c r="W221" s="18">
        <v>48068</v>
      </c>
      <c r="X221" s="17">
        <v>5482.16</v>
      </c>
      <c r="Y221" s="17">
        <v>0</v>
      </c>
      <c r="Z221" s="17"/>
      <c r="AA221" s="17"/>
      <c r="AB221" s="144">
        <v>0</v>
      </c>
      <c r="AC221" s="8">
        <f t="shared" si="47"/>
        <v>0</v>
      </c>
      <c r="AD221" s="11" t="str">
        <f>LEFT(details!E221,5)</f>
        <v>0.000</v>
      </c>
      <c r="AE221" s="42">
        <f t="shared" si="45"/>
        <v>0</v>
      </c>
      <c r="AF221" s="42">
        <f>VLOOKUP(C221,MC.5!B:P,15,FALSE)/3</f>
        <v>1095.3166666666666</v>
      </c>
      <c r="AG221" s="152">
        <f t="shared" si="50"/>
        <v>1095.3166666666666</v>
      </c>
      <c r="AH221" s="137" t="str">
        <f>VLOOKUP(F221,REF!B:C,2,FALSE)</f>
        <v>Secondary/ Component</v>
      </c>
      <c r="AI221" s="3" t="str">
        <f>VLOOKUP(G221,REF!E:F,2,FALSE)</f>
        <v>LABEL, IML, STICKER, SEALED ETC</v>
      </c>
    </row>
    <row r="222" spans="1:35" x14ac:dyDescent="0.3">
      <c r="A222" s="186" t="s">
        <v>1155</v>
      </c>
      <c r="B222" s="24" t="s">
        <v>1155</v>
      </c>
      <c r="C222" s="156">
        <v>592668</v>
      </c>
      <c r="D222" s="24" t="s">
        <v>341</v>
      </c>
      <c r="E222" s="24" t="s">
        <v>68</v>
      </c>
      <c r="F222" s="156">
        <v>65400</v>
      </c>
      <c r="G222" s="24" t="s">
        <v>1378</v>
      </c>
      <c r="H222" s="24" t="s">
        <v>1442</v>
      </c>
      <c r="I222" s="24" t="s">
        <v>1378</v>
      </c>
      <c r="J222" s="186" t="s">
        <v>1379</v>
      </c>
      <c r="K222" s="16">
        <v>50000</v>
      </c>
      <c r="L222" s="17">
        <v>4012.5</v>
      </c>
      <c r="M222" s="16">
        <v>5470</v>
      </c>
      <c r="N222" s="17">
        <v>438.97</v>
      </c>
      <c r="O222" s="16">
        <v>0</v>
      </c>
      <c r="P222" s="17">
        <v>0</v>
      </c>
      <c r="Q222" s="16">
        <v>0</v>
      </c>
      <c r="R222" s="17">
        <v>0</v>
      </c>
      <c r="S222" s="16">
        <v>0</v>
      </c>
      <c r="T222" s="17">
        <v>0</v>
      </c>
      <c r="U222" s="16">
        <v>0</v>
      </c>
      <c r="V222" s="17">
        <v>0</v>
      </c>
      <c r="W222" s="18">
        <v>55470</v>
      </c>
      <c r="X222" s="17">
        <v>4451.47</v>
      </c>
      <c r="Y222" s="17">
        <v>0</v>
      </c>
      <c r="Z222" s="17"/>
      <c r="AA222" s="17"/>
      <c r="AB222" s="144">
        <v>0</v>
      </c>
      <c r="AC222" s="8">
        <f t="shared" si="47"/>
        <v>0</v>
      </c>
      <c r="AD222" s="11" t="str">
        <f>LEFT(details!E222,5)</f>
        <v>0.000</v>
      </c>
      <c r="AE222" s="42">
        <f t="shared" si="45"/>
        <v>0</v>
      </c>
      <c r="AF222" s="42">
        <f>VLOOKUP(C222,MC.5!B:P,15,FALSE)/3</f>
        <v>1438.8333333333333</v>
      </c>
      <c r="AG222" s="152">
        <f t="shared" si="50"/>
        <v>1438.8333333333333</v>
      </c>
      <c r="AH222" s="137" t="str">
        <f>VLOOKUP(F222,REF!B:C,2,FALSE)</f>
        <v>Secondary/ Component</v>
      </c>
      <c r="AI222" s="3" t="str">
        <f>VLOOKUP(G222,REF!E:F,2,FALSE)</f>
        <v>LABEL, IML, STICKER, SEALED ETC</v>
      </c>
    </row>
    <row r="223" spans="1:35" x14ac:dyDescent="0.3">
      <c r="A223" s="186" t="s">
        <v>1155</v>
      </c>
      <c r="B223" s="24" t="s">
        <v>1155</v>
      </c>
      <c r="C223" s="156">
        <v>592669</v>
      </c>
      <c r="D223" s="24" t="s">
        <v>342</v>
      </c>
      <c r="E223" s="24" t="s">
        <v>68</v>
      </c>
      <c r="F223" s="156">
        <v>65400</v>
      </c>
      <c r="G223" s="24" t="s">
        <v>1378</v>
      </c>
      <c r="H223" s="24" t="s">
        <v>1442</v>
      </c>
      <c r="I223" s="24" t="s">
        <v>1378</v>
      </c>
      <c r="J223" s="186" t="s">
        <v>1379</v>
      </c>
      <c r="K223" s="16">
        <v>0</v>
      </c>
      <c r="L223" s="17">
        <v>0</v>
      </c>
      <c r="M223" s="16">
        <v>0</v>
      </c>
      <c r="N223" s="17">
        <v>0</v>
      </c>
      <c r="O223" s="16">
        <v>30000</v>
      </c>
      <c r="P223" s="17">
        <v>1559.7</v>
      </c>
      <c r="Q223" s="16">
        <v>0</v>
      </c>
      <c r="R223" s="17">
        <v>0</v>
      </c>
      <c r="S223" s="16">
        <v>15350</v>
      </c>
      <c r="T223" s="17">
        <v>798.05</v>
      </c>
      <c r="U223" s="16">
        <v>0</v>
      </c>
      <c r="V223" s="17">
        <v>0</v>
      </c>
      <c r="W223" s="18">
        <v>45350</v>
      </c>
      <c r="X223" s="17">
        <v>2357.75</v>
      </c>
      <c r="Y223" s="17">
        <v>1317.99</v>
      </c>
      <c r="Z223" s="17"/>
      <c r="AA223" s="17"/>
      <c r="AB223" s="144">
        <v>0</v>
      </c>
      <c r="AC223" s="8">
        <f t="shared" si="47"/>
        <v>0</v>
      </c>
      <c r="AD223" s="11" t="str">
        <f>LEFT(details!E223,5)</f>
        <v>0.000</v>
      </c>
      <c r="AE223" s="42">
        <f t="shared" si="45"/>
        <v>0</v>
      </c>
      <c r="AF223" s="42">
        <f>VLOOKUP(C223,MC.5!B:P,15,FALSE)/3</f>
        <v>0</v>
      </c>
      <c r="AG223" s="152">
        <f t="shared" si="50"/>
        <v>0</v>
      </c>
      <c r="AH223" s="137" t="str">
        <f>VLOOKUP(F223,REF!B:C,2,FALSE)</f>
        <v>Secondary/ Component</v>
      </c>
      <c r="AI223" s="3" t="str">
        <f>VLOOKUP(G223,REF!E:F,2,FALSE)</f>
        <v>LABEL, IML, STICKER, SEALED ETC</v>
      </c>
    </row>
    <row r="224" spans="1:35" x14ac:dyDescent="0.3">
      <c r="A224" s="186" t="s">
        <v>1155</v>
      </c>
      <c r="B224" s="24" t="s">
        <v>1155</v>
      </c>
      <c r="C224" s="156">
        <v>593537</v>
      </c>
      <c r="D224" s="24" t="s">
        <v>1549</v>
      </c>
      <c r="E224" s="24" t="s">
        <v>333</v>
      </c>
      <c r="F224" s="156">
        <v>60104</v>
      </c>
      <c r="G224" s="24" t="s">
        <v>1438</v>
      </c>
      <c r="H224" s="24" t="s">
        <v>1366</v>
      </c>
      <c r="I224" s="24" t="s">
        <v>1366</v>
      </c>
      <c r="J224" s="186" t="s">
        <v>1367</v>
      </c>
      <c r="K224" s="16">
        <v>248975</v>
      </c>
      <c r="L224" s="17">
        <v>102079.75</v>
      </c>
      <c r="M224" s="16">
        <v>0</v>
      </c>
      <c r="N224" s="17">
        <v>0</v>
      </c>
      <c r="O224" s="16">
        <v>0</v>
      </c>
      <c r="P224" s="17">
        <v>0</v>
      </c>
      <c r="Q224" s="16">
        <v>0</v>
      </c>
      <c r="R224" s="17">
        <v>0</v>
      </c>
      <c r="S224" s="16">
        <v>0</v>
      </c>
      <c r="T224" s="17">
        <v>0</v>
      </c>
      <c r="U224" s="16">
        <v>0</v>
      </c>
      <c r="V224" s="17">
        <v>0</v>
      </c>
      <c r="W224" s="18">
        <v>248975</v>
      </c>
      <c r="X224" s="17">
        <v>102079.75</v>
      </c>
      <c r="Y224" s="17">
        <v>0</v>
      </c>
      <c r="Z224" s="17">
        <v>320022</v>
      </c>
      <c r="AA224" s="17">
        <v>106674</v>
      </c>
      <c r="AB224" s="144">
        <v>28.707956015523902</v>
      </c>
      <c r="AC224" s="8">
        <f t="shared" si="47"/>
        <v>13917.702499999999</v>
      </c>
      <c r="AD224" s="11" t="str">
        <f>LEFT(details!E224,5)</f>
        <v>55.90</v>
      </c>
      <c r="AE224" s="42">
        <f t="shared" si="45"/>
        <v>106674</v>
      </c>
      <c r="AF224" s="42">
        <f>VLOOKUP(C224,MC.5!B:P,15,FALSE)/3</f>
        <v>106674</v>
      </c>
      <c r="AG224" s="152">
        <f>AE224</f>
        <v>106674</v>
      </c>
      <c r="AH224" s="137" t="str">
        <f>VLOOKUP(F224,REF!B:C,2,FALSE)</f>
        <v>PET</v>
      </c>
      <c r="AI224" s="3" t="str">
        <f>VLOOKUP(G224,REF!E:F,2,FALSE)</f>
        <v>Bottle</v>
      </c>
    </row>
    <row r="225" spans="1:35" x14ac:dyDescent="0.3">
      <c r="A225" s="186" t="s">
        <v>1155</v>
      </c>
      <c r="B225" s="24" t="s">
        <v>1155</v>
      </c>
      <c r="C225" s="156">
        <v>596735</v>
      </c>
      <c r="D225" s="24" t="s">
        <v>1240</v>
      </c>
      <c r="E225" s="24" t="s">
        <v>108</v>
      </c>
      <c r="F225" s="156">
        <v>60106</v>
      </c>
      <c r="G225" s="24" t="s">
        <v>1440</v>
      </c>
      <c r="H225" s="24" t="s">
        <v>1369</v>
      </c>
      <c r="I225" s="24" t="s">
        <v>1369</v>
      </c>
      <c r="J225" s="186" t="s">
        <v>1367</v>
      </c>
      <c r="K225" s="16">
        <v>0</v>
      </c>
      <c r="L225" s="17">
        <v>0</v>
      </c>
      <c r="M225" s="16">
        <v>4800</v>
      </c>
      <c r="N225" s="17">
        <v>628.61</v>
      </c>
      <c r="O225" s="16">
        <v>0</v>
      </c>
      <c r="P225" s="17">
        <v>0</v>
      </c>
      <c r="Q225" s="16">
        <v>0</v>
      </c>
      <c r="R225" s="17">
        <v>0</v>
      </c>
      <c r="S225" s="16">
        <v>0</v>
      </c>
      <c r="T225" s="17">
        <v>0</v>
      </c>
      <c r="U225" s="16">
        <v>0</v>
      </c>
      <c r="V225" s="17">
        <v>0</v>
      </c>
      <c r="W225" s="18">
        <v>4800</v>
      </c>
      <c r="X225" s="17">
        <v>628.61</v>
      </c>
      <c r="Y225" s="17">
        <v>0</v>
      </c>
      <c r="Z225" s="17"/>
      <c r="AA225" s="17"/>
      <c r="AB225" s="144">
        <v>0</v>
      </c>
      <c r="AC225" s="8">
        <f t="shared" si="47"/>
        <v>14.4</v>
      </c>
      <c r="AD225" s="11" t="str">
        <f>LEFT(details!E225,5)</f>
        <v>3.000</v>
      </c>
      <c r="AE225" s="42">
        <f t="shared" si="45"/>
        <v>0</v>
      </c>
      <c r="AF225" s="42">
        <f>VLOOKUP(C225,MC.5!B:P,15,FALSE)/3</f>
        <v>0</v>
      </c>
      <c r="AG225" s="152">
        <f t="shared" ref="AG225:AG226" si="51">AF225</f>
        <v>0</v>
      </c>
      <c r="AH225" s="137" t="str">
        <f>VLOOKUP(F225,REF!B:C,2,FALSE)</f>
        <v>PP</v>
      </c>
      <c r="AI225" s="3" t="str">
        <f>VLOOKUP(G225,REF!E:F,2,FALSE)</f>
        <v>Closure/Lid/ Handle</v>
      </c>
    </row>
    <row r="226" spans="1:35" x14ac:dyDescent="0.3">
      <c r="A226" s="186" t="s">
        <v>1155</v>
      </c>
      <c r="B226" s="24" t="s">
        <v>1155</v>
      </c>
      <c r="C226" s="156">
        <v>597509</v>
      </c>
      <c r="D226" s="24" t="s">
        <v>2434</v>
      </c>
      <c r="E226" s="24" t="s">
        <v>2696</v>
      </c>
      <c r="F226" s="156">
        <v>60104</v>
      </c>
      <c r="G226" s="24" t="s">
        <v>1439</v>
      </c>
      <c r="H226" s="24" t="s">
        <v>1368</v>
      </c>
      <c r="I226" s="24" t="s">
        <v>1368</v>
      </c>
      <c r="J226" s="186" t="s">
        <v>1367</v>
      </c>
      <c r="K226" s="16">
        <v>10920</v>
      </c>
      <c r="L226" s="17">
        <v>2620.8000000000002</v>
      </c>
      <c r="M226" s="16">
        <v>0</v>
      </c>
      <c r="N226" s="17">
        <v>0</v>
      </c>
      <c r="O226" s="16">
        <v>0</v>
      </c>
      <c r="P226" s="17">
        <v>0</v>
      </c>
      <c r="Q226" s="16">
        <v>0</v>
      </c>
      <c r="R226" s="17">
        <v>0</v>
      </c>
      <c r="S226" s="16">
        <v>0</v>
      </c>
      <c r="T226" s="17">
        <v>0</v>
      </c>
      <c r="U226" s="16">
        <v>0</v>
      </c>
      <c r="V226" s="17">
        <v>0</v>
      </c>
      <c r="W226" s="18">
        <v>10920</v>
      </c>
      <c r="X226" s="17">
        <v>2620.8000000000002</v>
      </c>
      <c r="Y226" s="17">
        <v>0</v>
      </c>
      <c r="Z226" s="17"/>
      <c r="AA226" s="17"/>
      <c r="AB226" s="144">
        <v>0</v>
      </c>
      <c r="AC226" s="8">
        <f t="shared" si="47"/>
        <v>271.90800000000002</v>
      </c>
      <c r="AD226" s="11" t="str">
        <f>LEFT(details!E226,5)</f>
        <v>24.90</v>
      </c>
      <c r="AE226" s="42">
        <f t="shared" si="45"/>
        <v>0</v>
      </c>
      <c r="AF226" s="42">
        <f>VLOOKUP(C226,MC.5!B:P,15,FALSE)/3</f>
        <v>1657.4133333333332</v>
      </c>
      <c r="AG226" s="152">
        <f t="shared" si="51"/>
        <v>1657.4133333333332</v>
      </c>
      <c r="AH226" s="137" t="str">
        <f>VLOOKUP(F226,REF!B:C,2,FALSE)</f>
        <v>PET</v>
      </c>
      <c r="AI226" s="3" t="str">
        <f>VLOOKUP(G226,REF!E:F,2,FALSE)</f>
        <v>Jar /Container/Tub</v>
      </c>
    </row>
    <row r="227" spans="1:35" x14ac:dyDescent="0.3">
      <c r="A227" s="186" t="s">
        <v>1155</v>
      </c>
      <c r="B227" s="24" t="s">
        <v>1155</v>
      </c>
      <c r="C227" s="156">
        <v>598630</v>
      </c>
      <c r="D227" s="24" t="s">
        <v>2438</v>
      </c>
      <c r="E227" s="24" t="s">
        <v>2775</v>
      </c>
      <c r="F227" s="156">
        <v>60105</v>
      </c>
      <c r="G227" s="24" t="s">
        <v>1441</v>
      </c>
      <c r="H227" s="24" t="s">
        <v>1370</v>
      </c>
      <c r="I227" s="24" t="s">
        <v>1370</v>
      </c>
      <c r="J227" s="186" t="s">
        <v>1367</v>
      </c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>
        <v>2610</v>
      </c>
      <c r="AA227" s="17">
        <v>870</v>
      </c>
      <c r="AB227" s="144"/>
      <c r="AC227" s="8">
        <f>(AD227*W227)/1000</f>
        <v>0</v>
      </c>
      <c r="AD227" s="11" t="str">
        <f>LEFT(details!E227,5)</f>
        <v>7.700</v>
      </c>
      <c r="AE227" s="42">
        <f t="shared" si="45"/>
        <v>870</v>
      </c>
      <c r="AF227" s="42">
        <f>VLOOKUP(C227,MC.5!B:P,15,FALSE)/3</f>
        <v>870</v>
      </c>
      <c r="AG227" s="152">
        <f>AE227</f>
        <v>870</v>
      </c>
      <c r="AH227" s="137" t="str">
        <f>VLOOKUP(F227,REF!B:C,2,FALSE)</f>
        <v>PE</v>
      </c>
      <c r="AI227" s="3" t="str">
        <f>VLOOKUP(G227,REF!E:F,2,FALSE)</f>
        <v>Closure/Lid/ Handle</v>
      </c>
    </row>
    <row r="228" spans="1:35" x14ac:dyDescent="0.3">
      <c r="A228" s="186" t="s">
        <v>1155</v>
      </c>
      <c r="B228" s="24" t="s">
        <v>1155</v>
      </c>
      <c r="C228" s="156">
        <v>600646</v>
      </c>
      <c r="D228" s="24" t="s">
        <v>1321</v>
      </c>
      <c r="E228" s="24" t="s">
        <v>36</v>
      </c>
      <c r="F228" s="156">
        <v>60104</v>
      </c>
      <c r="G228" s="24" t="s">
        <v>1438</v>
      </c>
      <c r="H228" s="24" t="s">
        <v>1366</v>
      </c>
      <c r="I228" s="24" t="s">
        <v>1366</v>
      </c>
      <c r="J228" s="186" t="s">
        <v>1367</v>
      </c>
      <c r="K228" s="16">
        <v>7800</v>
      </c>
      <c r="L228" s="17">
        <v>3276</v>
      </c>
      <c r="M228" s="16">
        <v>0</v>
      </c>
      <c r="N228" s="17">
        <v>0</v>
      </c>
      <c r="O228" s="16">
        <v>0</v>
      </c>
      <c r="P228" s="17">
        <v>0</v>
      </c>
      <c r="Q228" s="16">
        <v>0</v>
      </c>
      <c r="R228" s="17">
        <v>0</v>
      </c>
      <c r="S228" s="16">
        <v>1800</v>
      </c>
      <c r="T228" s="17">
        <v>756</v>
      </c>
      <c r="U228" s="16">
        <v>0</v>
      </c>
      <c r="V228" s="17">
        <v>0</v>
      </c>
      <c r="W228" s="18">
        <v>9600</v>
      </c>
      <c r="X228" s="17">
        <v>4032</v>
      </c>
      <c r="Y228" s="17">
        <v>756</v>
      </c>
      <c r="Z228" s="17"/>
      <c r="AA228" s="17"/>
      <c r="AB228" s="144">
        <v>0</v>
      </c>
      <c r="AC228" s="8">
        <f t="shared" ref="AC228:AC230" si="52">(AD228*W228)/1000</f>
        <v>422.4</v>
      </c>
      <c r="AD228" s="11" t="str">
        <f>LEFT(details!E228,5)</f>
        <v>44.00</v>
      </c>
      <c r="AE228" s="42">
        <f t="shared" si="45"/>
        <v>0</v>
      </c>
      <c r="AF228" s="42">
        <f>VLOOKUP(C228,MC.5!B:P,15,FALSE)/3</f>
        <v>0</v>
      </c>
      <c r="AG228" s="152">
        <f t="shared" ref="AG228:AG234" si="53">AF228</f>
        <v>0</v>
      </c>
      <c r="AH228" s="137" t="str">
        <f>VLOOKUP(F228,REF!B:C,2,FALSE)</f>
        <v>PET</v>
      </c>
      <c r="AI228" s="3" t="str">
        <f>VLOOKUP(G228,REF!E:F,2,FALSE)</f>
        <v>Bottle</v>
      </c>
    </row>
    <row r="229" spans="1:35" x14ac:dyDescent="0.3">
      <c r="A229" s="186" t="s">
        <v>1155</v>
      </c>
      <c r="B229" s="24" t="s">
        <v>1155</v>
      </c>
      <c r="C229" s="156">
        <v>606138</v>
      </c>
      <c r="D229" s="24" t="s">
        <v>1181</v>
      </c>
      <c r="E229" s="24" t="s">
        <v>68</v>
      </c>
      <c r="F229" s="156">
        <v>65400</v>
      </c>
      <c r="G229" s="24" t="s">
        <v>1378</v>
      </c>
      <c r="H229" s="24" t="s">
        <v>1442</v>
      </c>
      <c r="I229" s="24" t="s">
        <v>1378</v>
      </c>
      <c r="J229" s="186" t="s">
        <v>1379</v>
      </c>
      <c r="K229" s="16">
        <v>0</v>
      </c>
      <c r="L229" s="17">
        <v>0</v>
      </c>
      <c r="M229" s="16">
        <v>20000</v>
      </c>
      <c r="N229" s="17">
        <v>852</v>
      </c>
      <c r="O229" s="16">
        <v>0</v>
      </c>
      <c r="P229" s="17">
        <v>0</v>
      </c>
      <c r="Q229" s="16">
        <v>9400</v>
      </c>
      <c r="R229" s="17">
        <v>400.44</v>
      </c>
      <c r="S229" s="16">
        <v>0</v>
      </c>
      <c r="T229" s="17">
        <v>0</v>
      </c>
      <c r="U229" s="16">
        <v>0</v>
      </c>
      <c r="V229" s="17">
        <v>0</v>
      </c>
      <c r="W229" s="18">
        <v>29400</v>
      </c>
      <c r="X229" s="17">
        <v>1252.44</v>
      </c>
      <c r="Y229" s="17">
        <v>155.74</v>
      </c>
      <c r="Z229" s="17"/>
      <c r="AA229" s="17"/>
      <c r="AB229" s="144">
        <v>0</v>
      </c>
      <c r="AC229" s="8">
        <f t="shared" si="52"/>
        <v>0</v>
      </c>
      <c r="AD229" s="11" t="str">
        <f>LEFT(details!E229,5)</f>
        <v>0.000</v>
      </c>
      <c r="AE229" s="42">
        <f t="shared" si="45"/>
        <v>0</v>
      </c>
      <c r="AF229" s="42">
        <f>VLOOKUP(C229,MC.5!B:P,15,FALSE)/3</f>
        <v>0</v>
      </c>
      <c r="AG229" s="152">
        <f t="shared" si="53"/>
        <v>0</v>
      </c>
      <c r="AH229" s="137" t="str">
        <f>VLOOKUP(F229,REF!B:C,2,FALSE)</f>
        <v>Secondary/ Component</v>
      </c>
      <c r="AI229" s="3" t="str">
        <f>VLOOKUP(G229,REF!E:F,2,FALSE)</f>
        <v>LABEL, IML, STICKER, SEALED ETC</v>
      </c>
    </row>
    <row r="230" spans="1:35" x14ac:dyDescent="0.3">
      <c r="A230" s="186" t="s">
        <v>1155</v>
      </c>
      <c r="B230" s="24" t="s">
        <v>1155</v>
      </c>
      <c r="C230" s="156">
        <v>606524</v>
      </c>
      <c r="D230" s="24" t="s">
        <v>1537</v>
      </c>
      <c r="E230" s="24" t="s">
        <v>2619</v>
      </c>
      <c r="F230" s="156">
        <v>60106</v>
      </c>
      <c r="G230" s="24" t="s">
        <v>1440</v>
      </c>
      <c r="H230" s="24" t="s">
        <v>1371</v>
      </c>
      <c r="I230" s="24" t="s">
        <v>1371</v>
      </c>
      <c r="J230" s="186" t="s">
        <v>1372</v>
      </c>
      <c r="K230" s="16">
        <v>0</v>
      </c>
      <c r="L230" s="17">
        <v>0</v>
      </c>
      <c r="M230" s="16">
        <v>34000</v>
      </c>
      <c r="N230" s="17">
        <v>3060</v>
      </c>
      <c r="O230" s="16">
        <v>0</v>
      </c>
      <c r="P230" s="17">
        <v>0</v>
      </c>
      <c r="Q230" s="16">
        <v>0</v>
      </c>
      <c r="R230" s="17">
        <v>0</v>
      </c>
      <c r="S230" s="16">
        <v>0</v>
      </c>
      <c r="T230" s="17">
        <v>0</v>
      </c>
      <c r="U230" s="16">
        <v>0</v>
      </c>
      <c r="V230" s="17">
        <v>0</v>
      </c>
      <c r="W230" s="18">
        <v>34000</v>
      </c>
      <c r="X230" s="17">
        <v>3060</v>
      </c>
      <c r="Y230" s="17">
        <v>0</v>
      </c>
      <c r="Z230" s="17"/>
      <c r="AA230" s="17"/>
      <c r="AB230" s="144">
        <v>0</v>
      </c>
      <c r="AC230" s="8">
        <f t="shared" si="52"/>
        <v>193.8</v>
      </c>
      <c r="AD230" s="11" t="str">
        <f>LEFT(details!E230,5)</f>
        <v>5.700</v>
      </c>
      <c r="AE230" s="42">
        <f t="shared" si="45"/>
        <v>0</v>
      </c>
      <c r="AF230" s="42">
        <f>VLOOKUP(C230,MC.5!B:P,15,FALSE)/3</f>
        <v>10993.333333333334</v>
      </c>
      <c r="AG230" s="152">
        <f t="shared" si="53"/>
        <v>10993.333333333334</v>
      </c>
      <c r="AH230" s="137" t="str">
        <f>VLOOKUP(F230,REF!B:C,2,FALSE)</f>
        <v>PP</v>
      </c>
      <c r="AI230" s="3" t="str">
        <f>VLOOKUP(G230,REF!E:F,2,FALSE)</f>
        <v>Closure/Lid/ Handle</v>
      </c>
    </row>
    <row r="231" spans="1:35" x14ac:dyDescent="0.3">
      <c r="A231" s="186" t="s">
        <v>1155</v>
      </c>
      <c r="B231" s="24" t="s">
        <v>1155</v>
      </c>
      <c r="C231" s="156">
        <v>606759</v>
      </c>
      <c r="D231" s="24" t="s">
        <v>1193</v>
      </c>
      <c r="E231" s="24" t="s">
        <v>68</v>
      </c>
      <c r="F231" s="156">
        <v>65400</v>
      </c>
      <c r="G231" s="24" t="s">
        <v>1378</v>
      </c>
      <c r="H231" s="24" t="s">
        <v>1442</v>
      </c>
      <c r="I231" s="24" t="s">
        <v>1378</v>
      </c>
      <c r="J231" s="186" t="s">
        <v>1379</v>
      </c>
      <c r="K231" s="22">
        <v>80000</v>
      </c>
      <c r="L231" s="17">
        <v>42100.800000000003</v>
      </c>
      <c r="M231" s="22">
        <v>6866.64</v>
      </c>
      <c r="N231" s="17">
        <v>3613.64</v>
      </c>
      <c r="O231" s="22">
        <v>0</v>
      </c>
      <c r="P231" s="17">
        <v>0</v>
      </c>
      <c r="Q231" s="22">
        <v>0</v>
      </c>
      <c r="R231" s="17">
        <v>0</v>
      </c>
      <c r="S231" s="22">
        <v>0</v>
      </c>
      <c r="T231" s="17">
        <v>0</v>
      </c>
      <c r="U231" s="22">
        <v>0</v>
      </c>
      <c r="V231" s="17">
        <v>0</v>
      </c>
      <c r="W231" s="23">
        <v>86866.64</v>
      </c>
      <c r="X231" s="17">
        <v>45714.44</v>
      </c>
      <c r="Y231" s="17">
        <v>0</v>
      </c>
      <c r="Z231" s="17"/>
      <c r="AA231" s="17"/>
      <c r="AB231" s="144">
        <v>0</v>
      </c>
      <c r="AC231" s="8">
        <f t="shared" si="47"/>
        <v>0</v>
      </c>
      <c r="AD231" s="11" t="str">
        <f>LEFT(details!E231,5)</f>
        <v>0.000</v>
      </c>
      <c r="AE231" s="42">
        <f t="shared" si="45"/>
        <v>0</v>
      </c>
      <c r="AF231" s="42">
        <f>VLOOKUP(C231,MC.5!B:P,15,FALSE)/3</f>
        <v>2017.21</v>
      </c>
      <c r="AG231" s="152">
        <f t="shared" si="53"/>
        <v>2017.21</v>
      </c>
      <c r="AH231" s="137" t="str">
        <f>VLOOKUP(F231,REF!B:C,2,FALSE)</f>
        <v>Secondary/ Component</v>
      </c>
      <c r="AI231" s="3" t="str">
        <f>VLOOKUP(G231,REF!E:F,2,FALSE)</f>
        <v>LABEL, IML, STICKER, SEALED ETC</v>
      </c>
    </row>
    <row r="232" spans="1:35" x14ac:dyDescent="0.3">
      <c r="A232" s="186" t="s">
        <v>1155</v>
      </c>
      <c r="B232" s="24" t="s">
        <v>1155</v>
      </c>
      <c r="C232" s="156">
        <v>607139</v>
      </c>
      <c r="D232" s="24" t="s">
        <v>1195</v>
      </c>
      <c r="E232" s="24" t="s">
        <v>68</v>
      </c>
      <c r="F232" s="156">
        <v>60105</v>
      </c>
      <c r="G232" s="24" t="s">
        <v>1441</v>
      </c>
      <c r="H232" s="24" t="s">
        <v>1370</v>
      </c>
      <c r="I232" s="24" t="s">
        <v>1370</v>
      </c>
      <c r="J232" s="186" t="s">
        <v>1367</v>
      </c>
      <c r="K232" s="16">
        <v>0</v>
      </c>
      <c r="L232" s="17">
        <v>0</v>
      </c>
      <c r="M232" s="16">
        <v>0</v>
      </c>
      <c r="N232" s="17">
        <v>0</v>
      </c>
      <c r="O232" s="16">
        <v>0</v>
      </c>
      <c r="P232" s="17">
        <v>0</v>
      </c>
      <c r="Q232" s="16">
        <v>10000</v>
      </c>
      <c r="R232" s="17">
        <v>7800</v>
      </c>
      <c r="S232" s="16">
        <v>0</v>
      </c>
      <c r="T232" s="17">
        <v>0</v>
      </c>
      <c r="U232" s="16">
        <v>0</v>
      </c>
      <c r="V232" s="17">
        <v>0</v>
      </c>
      <c r="W232" s="18">
        <v>10000</v>
      </c>
      <c r="X232" s="17">
        <v>7800</v>
      </c>
      <c r="Y232" s="17">
        <v>3466.94</v>
      </c>
      <c r="Z232" s="17"/>
      <c r="AA232" s="17"/>
      <c r="AB232" s="144">
        <v>0</v>
      </c>
      <c r="AC232" s="8">
        <f t="shared" si="47"/>
        <v>0</v>
      </c>
      <c r="AD232" s="11" t="str">
        <f>LEFT(details!E232,5)</f>
        <v>0.000</v>
      </c>
      <c r="AE232" s="42">
        <f t="shared" si="45"/>
        <v>0</v>
      </c>
      <c r="AF232" s="42">
        <f>VLOOKUP(C232,MC.5!B:P,15,FALSE)/3</f>
        <v>0</v>
      </c>
      <c r="AG232" s="152">
        <f t="shared" si="53"/>
        <v>0</v>
      </c>
      <c r="AH232" s="137" t="str">
        <f>VLOOKUP(F232,REF!B:C,2,FALSE)</f>
        <v>PE</v>
      </c>
      <c r="AI232" s="3" t="str">
        <f>VLOOKUP(G232,REF!E:F,2,FALSE)</f>
        <v>Closure/Lid/ Handle</v>
      </c>
    </row>
    <row r="233" spans="1:35" x14ac:dyDescent="0.3">
      <c r="A233" s="186" t="s">
        <v>1155</v>
      </c>
      <c r="B233" s="24" t="s">
        <v>1155</v>
      </c>
      <c r="C233" s="156">
        <v>607338</v>
      </c>
      <c r="D233" s="24" t="s">
        <v>1406</v>
      </c>
      <c r="E233" s="24" t="s">
        <v>18</v>
      </c>
      <c r="F233" s="156">
        <v>60104</v>
      </c>
      <c r="G233" s="24" t="s">
        <v>1438</v>
      </c>
      <c r="H233" s="24" t="s">
        <v>1366</v>
      </c>
      <c r="I233" s="24" t="s">
        <v>1366</v>
      </c>
      <c r="J233" s="186" t="s">
        <v>1367</v>
      </c>
      <c r="K233" s="16">
        <v>0</v>
      </c>
      <c r="L233" s="17">
        <v>0</v>
      </c>
      <c r="M233" s="16">
        <v>0</v>
      </c>
      <c r="N233" s="17">
        <v>0</v>
      </c>
      <c r="O233" s="16">
        <v>840</v>
      </c>
      <c r="P233" s="17">
        <v>184.8</v>
      </c>
      <c r="Q233" s="16">
        <v>0</v>
      </c>
      <c r="R233" s="17">
        <v>0</v>
      </c>
      <c r="S233" s="16">
        <v>0</v>
      </c>
      <c r="T233" s="17">
        <v>0</v>
      </c>
      <c r="U233" s="16">
        <v>0</v>
      </c>
      <c r="V233" s="17">
        <v>0</v>
      </c>
      <c r="W233" s="18">
        <v>840</v>
      </c>
      <c r="X233" s="17">
        <v>184.8</v>
      </c>
      <c r="Y233" s="17">
        <v>41.07</v>
      </c>
      <c r="Z233" s="17"/>
      <c r="AA233" s="17"/>
      <c r="AB233" s="144">
        <v>0</v>
      </c>
      <c r="AC233" s="8">
        <f t="shared" si="47"/>
        <v>20.16</v>
      </c>
      <c r="AD233" s="11" t="str">
        <f>LEFT(details!E233,5)</f>
        <v>24.00</v>
      </c>
      <c r="AE233" s="42">
        <f t="shared" si="45"/>
        <v>0</v>
      </c>
      <c r="AF233" s="42">
        <f>VLOOKUP(C233,MC.5!B:P,15,FALSE)/3</f>
        <v>0</v>
      </c>
      <c r="AG233" s="152">
        <f t="shared" si="53"/>
        <v>0</v>
      </c>
      <c r="AH233" s="137" t="str">
        <f>VLOOKUP(F233,REF!B:C,2,FALSE)</f>
        <v>PET</v>
      </c>
      <c r="AI233" s="3" t="str">
        <f>VLOOKUP(G233,REF!E:F,2,FALSE)</f>
        <v>Bottle</v>
      </c>
    </row>
    <row r="234" spans="1:35" x14ac:dyDescent="0.3">
      <c r="A234" s="186" t="s">
        <v>1155</v>
      </c>
      <c r="B234" s="24" t="s">
        <v>1155</v>
      </c>
      <c r="C234" s="156">
        <v>609634</v>
      </c>
      <c r="D234" s="24" t="s">
        <v>1243</v>
      </c>
      <c r="E234" s="24" t="s">
        <v>68</v>
      </c>
      <c r="F234" s="156">
        <v>65400</v>
      </c>
      <c r="G234" s="24" t="s">
        <v>1378</v>
      </c>
      <c r="H234" s="24" t="s">
        <v>1442</v>
      </c>
      <c r="I234" s="24" t="s">
        <v>1378</v>
      </c>
      <c r="J234" s="186" t="s">
        <v>1379</v>
      </c>
      <c r="K234" s="16">
        <v>370000</v>
      </c>
      <c r="L234" s="17">
        <v>30724.799999999999</v>
      </c>
      <c r="M234" s="16">
        <v>21125</v>
      </c>
      <c r="N234" s="17">
        <v>1754.22</v>
      </c>
      <c r="O234" s="16">
        <v>5166</v>
      </c>
      <c r="P234" s="17">
        <v>428.98</v>
      </c>
      <c r="Q234" s="16">
        <v>27453</v>
      </c>
      <c r="R234" s="17">
        <v>2279.6999999999998</v>
      </c>
      <c r="S234" s="16">
        <v>0</v>
      </c>
      <c r="T234" s="17">
        <v>0</v>
      </c>
      <c r="U234" s="16">
        <v>0</v>
      </c>
      <c r="V234" s="17">
        <v>0</v>
      </c>
      <c r="W234" s="18">
        <v>423744</v>
      </c>
      <c r="X234" s="17">
        <v>35187.699999999997</v>
      </c>
      <c r="Y234" s="17">
        <v>1211.44</v>
      </c>
      <c r="Z234" s="17"/>
      <c r="AA234" s="17"/>
      <c r="AB234" s="144">
        <v>0</v>
      </c>
      <c r="AC234" s="8">
        <f t="shared" si="47"/>
        <v>0</v>
      </c>
      <c r="AD234" s="11" t="str">
        <f>LEFT(details!E234,5)</f>
        <v>0.000</v>
      </c>
      <c r="AE234" s="42">
        <f t="shared" si="45"/>
        <v>0</v>
      </c>
      <c r="AF234" s="42">
        <f>VLOOKUP(C234,MC.5!B:P,15,FALSE)/3</f>
        <v>17421.54</v>
      </c>
      <c r="AG234" s="152">
        <f t="shared" si="53"/>
        <v>17421.54</v>
      </c>
      <c r="AH234" s="137" t="str">
        <f>VLOOKUP(F234,REF!B:C,2,FALSE)</f>
        <v>Secondary/ Component</v>
      </c>
      <c r="AI234" s="3" t="str">
        <f>VLOOKUP(G234,REF!E:F,2,FALSE)</f>
        <v>LABEL, IML, STICKER, SEALED ETC</v>
      </c>
    </row>
    <row r="235" spans="1:35" x14ac:dyDescent="0.3">
      <c r="A235" s="186" t="s">
        <v>1155</v>
      </c>
      <c r="B235" s="24" t="s">
        <v>1155</v>
      </c>
      <c r="C235" s="156">
        <v>611204</v>
      </c>
      <c r="D235" s="24" t="s">
        <v>1245</v>
      </c>
      <c r="E235" s="24" t="s">
        <v>259</v>
      </c>
      <c r="F235" s="156">
        <v>60105</v>
      </c>
      <c r="G235" s="24" t="s">
        <v>1441</v>
      </c>
      <c r="H235" s="24" t="s">
        <v>1393</v>
      </c>
      <c r="I235" s="24" t="s">
        <v>1393</v>
      </c>
      <c r="J235" s="186" t="s">
        <v>1372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>
        <v>4669.66</v>
      </c>
      <c r="AA235" s="17">
        <v>1556.5533333333301</v>
      </c>
      <c r="AB235" s="144"/>
      <c r="AC235" s="8">
        <f t="shared" si="47"/>
        <v>0</v>
      </c>
      <c r="AD235" s="11" t="str">
        <f>LEFT(details!E235,5)</f>
        <v>7.300</v>
      </c>
      <c r="AE235" s="42">
        <f t="shared" si="45"/>
        <v>1556.5533333333301</v>
      </c>
      <c r="AF235" s="42">
        <f>VLOOKUP(C235,MC.5!B:P,15,FALSE)/3</f>
        <v>1556.5533333333333</v>
      </c>
      <c r="AG235" s="152">
        <f>AE235</f>
        <v>1556.5533333333301</v>
      </c>
      <c r="AH235" s="137" t="str">
        <f>VLOOKUP(F235,REF!B:C,2,FALSE)</f>
        <v>PE</v>
      </c>
      <c r="AI235" s="3" t="str">
        <f>VLOOKUP(G235,REF!E:F,2,FALSE)</f>
        <v>Closure/Lid/ Handle</v>
      </c>
    </row>
    <row r="236" spans="1:35" x14ac:dyDescent="0.3">
      <c r="A236" s="186" t="s">
        <v>1155</v>
      </c>
      <c r="B236" s="24" t="s">
        <v>1155</v>
      </c>
      <c r="C236" s="156">
        <v>611513</v>
      </c>
      <c r="D236" s="24" t="s">
        <v>1246</v>
      </c>
      <c r="E236" s="24" t="s">
        <v>68</v>
      </c>
      <c r="F236" s="156">
        <v>60105</v>
      </c>
      <c r="G236" s="24" t="s">
        <v>1441</v>
      </c>
      <c r="H236" s="24" t="s">
        <v>1370</v>
      </c>
      <c r="I236" s="24" t="s">
        <v>1370</v>
      </c>
      <c r="J236" s="186" t="s">
        <v>1367</v>
      </c>
      <c r="K236" s="16">
        <v>0</v>
      </c>
      <c r="L236" s="17">
        <v>0</v>
      </c>
      <c r="M236" s="16">
        <v>0</v>
      </c>
      <c r="N236" s="17">
        <v>0</v>
      </c>
      <c r="O236" s="16">
        <v>4000</v>
      </c>
      <c r="P236" s="17">
        <v>4066.68</v>
      </c>
      <c r="Q236" s="16">
        <v>1000</v>
      </c>
      <c r="R236" s="17">
        <v>1016.67</v>
      </c>
      <c r="S236" s="16">
        <v>0</v>
      </c>
      <c r="T236" s="17">
        <v>0</v>
      </c>
      <c r="U236" s="16">
        <v>0</v>
      </c>
      <c r="V236" s="17">
        <v>0</v>
      </c>
      <c r="W236" s="18">
        <v>5000</v>
      </c>
      <c r="X236" s="17">
        <v>5083.3500000000004</v>
      </c>
      <c r="Y236" s="17">
        <v>1864.05</v>
      </c>
      <c r="Z236" s="17"/>
      <c r="AA236" s="17"/>
      <c r="AB236" s="144">
        <v>0</v>
      </c>
      <c r="AC236" s="8">
        <f t="shared" si="47"/>
        <v>0</v>
      </c>
      <c r="AD236" s="11" t="str">
        <f>LEFT(details!E236,5)</f>
        <v>0.000</v>
      </c>
      <c r="AE236" s="42">
        <f t="shared" si="45"/>
        <v>0</v>
      </c>
      <c r="AF236" s="42">
        <f>VLOOKUP(C236,MC.5!B:P,15,FALSE)/3</f>
        <v>0</v>
      </c>
      <c r="AG236" s="152">
        <f>AF236</f>
        <v>0</v>
      </c>
      <c r="AH236" s="137" t="str">
        <f>VLOOKUP(F236,REF!B:C,2,FALSE)</f>
        <v>PE</v>
      </c>
      <c r="AI236" s="3" t="str">
        <f>VLOOKUP(G236,REF!E:F,2,FALSE)</f>
        <v>Closure/Lid/ Handle</v>
      </c>
    </row>
    <row r="237" spans="1:35" x14ac:dyDescent="0.3">
      <c r="A237" s="186" t="s">
        <v>1155</v>
      </c>
      <c r="B237" s="24" t="s">
        <v>1155</v>
      </c>
      <c r="C237" s="156">
        <v>611846</v>
      </c>
      <c r="D237" s="24" t="s">
        <v>1261</v>
      </c>
      <c r="E237" s="24" t="s">
        <v>1262</v>
      </c>
      <c r="F237" s="156">
        <v>60105</v>
      </c>
      <c r="G237" s="24" t="s">
        <v>1447</v>
      </c>
      <c r="H237" s="24" t="s">
        <v>1401</v>
      </c>
      <c r="I237" s="24" t="s">
        <v>1401</v>
      </c>
      <c r="J237" s="186" t="s">
        <v>1388</v>
      </c>
      <c r="K237" s="16">
        <v>44928</v>
      </c>
      <c r="L237" s="17">
        <v>62000.639999999999</v>
      </c>
      <c r="M237" s="16">
        <v>0</v>
      </c>
      <c r="N237" s="17">
        <v>0</v>
      </c>
      <c r="O237" s="16">
        <v>0</v>
      </c>
      <c r="P237" s="17">
        <v>0</v>
      </c>
      <c r="Q237" s="16">
        <v>0</v>
      </c>
      <c r="R237" s="17">
        <v>0</v>
      </c>
      <c r="S237" s="16">
        <v>0</v>
      </c>
      <c r="T237" s="17">
        <v>0</v>
      </c>
      <c r="U237" s="16">
        <v>0</v>
      </c>
      <c r="V237" s="17">
        <v>0</v>
      </c>
      <c r="W237" s="18">
        <v>44928</v>
      </c>
      <c r="X237" s="17">
        <v>62000.639999999999</v>
      </c>
      <c r="Y237" s="17">
        <v>0</v>
      </c>
      <c r="Z237" s="17">
        <v>340208.64000000001</v>
      </c>
      <c r="AA237" s="17">
        <v>113402.88</v>
      </c>
      <c r="AB237" s="144">
        <v>16.401869158878501</v>
      </c>
      <c r="AC237" s="8">
        <f t="shared" si="47"/>
        <v>14376.96</v>
      </c>
      <c r="AD237" s="11" t="str">
        <f>LEFT(details!E237,5)</f>
        <v>320.0</v>
      </c>
      <c r="AE237" s="42">
        <f t="shared" si="45"/>
        <v>113402.88</v>
      </c>
      <c r="AF237" s="42">
        <f>VLOOKUP(C237,MC.5!B:P,15,FALSE)/3</f>
        <v>134847.36000000002</v>
      </c>
      <c r="AG237" s="152">
        <f t="shared" ref="AG237:AG239" si="54">AE237</f>
        <v>113402.88</v>
      </c>
      <c r="AH237" s="137" t="str">
        <f>VLOOKUP(F237,REF!B:C,2,FALSE)</f>
        <v>PE</v>
      </c>
      <c r="AI237" s="3" t="str">
        <f>VLOOKUP(G237,REF!E:F,2,FALSE)</f>
        <v>Jerrycan</v>
      </c>
    </row>
    <row r="238" spans="1:35" x14ac:dyDescent="0.3">
      <c r="A238" s="186" t="s">
        <v>1155</v>
      </c>
      <c r="B238" s="24" t="s">
        <v>1155</v>
      </c>
      <c r="C238" s="156">
        <v>611847</v>
      </c>
      <c r="D238" s="24" t="s">
        <v>1297</v>
      </c>
      <c r="E238" s="24" t="s">
        <v>1298</v>
      </c>
      <c r="F238" s="156">
        <v>60105</v>
      </c>
      <c r="G238" s="24" t="s">
        <v>1441</v>
      </c>
      <c r="H238" s="24" t="s">
        <v>1393</v>
      </c>
      <c r="I238" s="24" t="s">
        <v>1393</v>
      </c>
      <c r="J238" s="186" t="s">
        <v>1372</v>
      </c>
      <c r="K238" s="16">
        <v>22500</v>
      </c>
      <c r="L238" s="17">
        <v>7048.12</v>
      </c>
      <c r="M238" s="16">
        <v>0</v>
      </c>
      <c r="N238" s="17">
        <v>0</v>
      </c>
      <c r="O238" s="16">
        <v>750</v>
      </c>
      <c r="P238" s="17">
        <v>234.94</v>
      </c>
      <c r="Q238" s="16">
        <v>0</v>
      </c>
      <c r="R238" s="17">
        <v>0</v>
      </c>
      <c r="S238" s="16">
        <v>0</v>
      </c>
      <c r="T238" s="17">
        <v>0</v>
      </c>
      <c r="U238" s="16">
        <v>0</v>
      </c>
      <c r="V238" s="17">
        <v>0</v>
      </c>
      <c r="W238" s="18">
        <v>23250</v>
      </c>
      <c r="X238" s="17">
        <v>7283.06</v>
      </c>
      <c r="Y238" s="17">
        <v>13.05</v>
      </c>
      <c r="Z238" s="17">
        <v>65585.61</v>
      </c>
      <c r="AA238" s="17">
        <v>21861.87</v>
      </c>
      <c r="AB238" s="144">
        <v>9.9941953730399096</v>
      </c>
      <c r="AC238" s="8">
        <f t="shared" si="47"/>
        <v>374.32500000000005</v>
      </c>
      <c r="AD238" s="11" t="str">
        <f>LEFT(details!E238,5)</f>
        <v>16.10</v>
      </c>
      <c r="AE238" s="42">
        <f t="shared" si="45"/>
        <v>21861.87</v>
      </c>
      <c r="AF238" s="42">
        <f>VLOOKUP(C238,MC.5!B:P,15,FALSE)/3</f>
        <v>27830.880000000001</v>
      </c>
      <c r="AG238" s="152">
        <f t="shared" si="54"/>
        <v>21861.87</v>
      </c>
      <c r="AH238" s="137" t="str">
        <f>VLOOKUP(F238,REF!B:C,2,FALSE)</f>
        <v>PE</v>
      </c>
      <c r="AI238" s="3" t="str">
        <f>VLOOKUP(G238,REF!E:F,2,FALSE)</f>
        <v>Closure/Lid/ Handle</v>
      </c>
    </row>
    <row r="239" spans="1:35" x14ac:dyDescent="0.3">
      <c r="A239" s="186" t="s">
        <v>1155</v>
      </c>
      <c r="B239" s="24" t="s">
        <v>1155</v>
      </c>
      <c r="C239" s="156">
        <v>611949</v>
      </c>
      <c r="D239" s="24" t="s">
        <v>1408</v>
      </c>
      <c r="E239" s="24" t="s">
        <v>17</v>
      </c>
      <c r="F239" s="156">
        <v>60104</v>
      </c>
      <c r="G239" s="24" t="s">
        <v>1438</v>
      </c>
      <c r="H239" s="24" t="s">
        <v>1366</v>
      </c>
      <c r="I239" s="24" t="s">
        <v>1366</v>
      </c>
      <c r="J239" s="186" t="s">
        <v>1367</v>
      </c>
      <c r="K239" s="16">
        <v>0</v>
      </c>
      <c r="L239" s="17">
        <v>0</v>
      </c>
      <c r="M239" s="16">
        <v>3300</v>
      </c>
      <c r="N239" s="17">
        <v>792</v>
      </c>
      <c r="O239" s="16">
        <v>0</v>
      </c>
      <c r="P239" s="17">
        <v>0</v>
      </c>
      <c r="Q239" s="16">
        <v>388</v>
      </c>
      <c r="R239" s="17">
        <v>93.12</v>
      </c>
      <c r="S239" s="16">
        <v>0</v>
      </c>
      <c r="T239" s="17">
        <v>0</v>
      </c>
      <c r="U239" s="16">
        <v>0</v>
      </c>
      <c r="V239" s="17">
        <v>0</v>
      </c>
      <c r="W239" s="18">
        <v>3688</v>
      </c>
      <c r="X239" s="17">
        <v>885.12</v>
      </c>
      <c r="Y239" s="17">
        <v>77.61</v>
      </c>
      <c r="Z239" s="17">
        <v>6413</v>
      </c>
      <c r="AA239" s="17">
        <v>2137.6666666666702</v>
      </c>
      <c r="AB239" s="144">
        <v>12.421768283174799</v>
      </c>
      <c r="AC239" s="8">
        <f t="shared" si="47"/>
        <v>84.823999999999998</v>
      </c>
      <c r="AD239" s="11" t="str">
        <f>LEFT(details!E239,5)</f>
        <v>23.00</v>
      </c>
      <c r="AE239" s="42">
        <f t="shared" si="45"/>
        <v>2137.6666666666702</v>
      </c>
      <c r="AF239" s="42">
        <f>VLOOKUP(C239,MC.5!B:P,15,FALSE)/3</f>
        <v>2137.6666666666665</v>
      </c>
      <c r="AG239" s="152">
        <f t="shared" si="54"/>
        <v>2137.6666666666702</v>
      </c>
      <c r="AH239" s="137" t="str">
        <f>VLOOKUP(F239,REF!B:C,2,FALSE)</f>
        <v>PET</v>
      </c>
      <c r="AI239" s="3" t="str">
        <f>VLOOKUP(G239,REF!E:F,2,FALSE)</f>
        <v>Bottle</v>
      </c>
    </row>
    <row r="240" spans="1:35" x14ac:dyDescent="0.3">
      <c r="A240" s="186" t="s">
        <v>1155</v>
      </c>
      <c r="B240" s="24" t="s">
        <v>1155</v>
      </c>
      <c r="C240" s="156">
        <v>612139</v>
      </c>
      <c r="D240" s="24" t="s">
        <v>1264</v>
      </c>
      <c r="E240" s="24" t="s">
        <v>68</v>
      </c>
      <c r="F240" s="156">
        <v>65400</v>
      </c>
      <c r="G240" s="24" t="s">
        <v>1378</v>
      </c>
      <c r="H240" s="24" t="s">
        <v>1442</v>
      </c>
      <c r="I240" s="24" t="s">
        <v>1378</v>
      </c>
      <c r="J240" s="186" t="s">
        <v>1379</v>
      </c>
      <c r="K240" s="16">
        <v>0</v>
      </c>
      <c r="L240" s="17">
        <v>0</v>
      </c>
      <c r="M240" s="16">
        <v>0</v>
      </c>
      <c r="N240" s="17">
        <v>0</v>
      </c>
      <c r="O240" s="16">
        <v>0</v>
      </c>
      <c r="P240" s="17">
        <v>0</v>
      </c>
      <c r="Q240" s="16">
        <v>224</v>
      </c>
      <c r="R240" s="17">
        <v>40.32</v>
      </c>
      <c r="S240" s="16">
        <v>0</v>
      </c>
      <c r="T240" s="17">
        <v>0</v>
      </c>
      <c r="U240" s="16">
        <v>0</v>
      </c>
      <c r="V240" s="17">
        <v>0</v>
      </c>
      <c r="W240" s="18">
        <v>224</v>
      </c>
      <c r="X240" s="17">
        <v>40.32</v>
      </c>
      <c r="Y240" s="17">
        <v>15.68</v>
      </c>
      <c r="Z240" s="17"/>
      <c r="AA240" s="17"/>
      <c r="AB240" s="144">
        <v>0</v>
      </c>
      <c r="AC240" s="8">
        <f t="shared" si="47"/>
        <v>0</v>
      </c>
      <c r="AD240" s="11" t="str">
        <f>LEFT(details!E240,5)</f>
        <v>0.000</v>
      </c>
      <c r="AE240" s="42">
        <f t="shared" si="45"/>
        <v>0</v>
      </c>
      <c r="AF240" s="42">
        <f>VLOOKUP(C240,MC.5!B:P,15,FALSE)/3</f>
        <v>0</v>
      </c>
      <c r="AG240" s="152">
        <f t="shared" ref="AG240:AG244" si="55">AF240</f>
        <v>0</v>
      </c>
      <c r="AH240" s="137" t="str">
        <f>VLOOKUP(F240,REF!B:C,2,FALSE)</f>
        <v>Secondary/ Component</v>
      </c>
      <c r="AI240" s="3" t="str">
        <f>VLOOKUP(G240,REF!E:F,2,FALSE)</f>
        <v>LABEL, IML, STICKER, SEALED ETC</v>
      </c>
    </row>
    <row r="241" spans="1:35" x14ac:dyDescent="0.3">
      <c r="A241" s="186" t="s">
        <v>1155</v>
      </c>
      <c r="B241" s="24" t="s">
        <v>1155</v>
      </c>
      <c r="C241" s="156">
        <v>612140</v>
      </c>
      <c r="D241" s="24" t="s">
        <v>1265</v>
      </c>
      <c r="E241" s="24" t="s">
        <v>68</v>
      </c>
      <c r="F241" s="156">
        <v>65400</v>
      </c>
      <c r="G241" s="24" t="s">
        <v>1378</v>
      </c>
      <c r="H241" s="24" t="s">
        <v>1442</v>
      </c>
      <c r="I241" s="24" t="s">
        <v>1378</v>
      </c>
      <c r="J241" s="186" t="s">
        <v>1379</v>
      </c>
      <c r="K241" s="16">
        <v>0</v>
      </c>
      <c r="L241" s="17">
        <v>0</v>
      </c>
      <c r="M241" s="16">
        <v>0</v>
      </c>
      <c r="N241" s="17">
        <v>0</v>
      </c>
      <c r="O241" s="16">
        <v>0</v>
      </c>
      <c r="P241" s="17">
        <v>0</v>
      </c>
      <c r="Q241" s="16">
        <v>23</v>
      </c>
      <c r="R241" s="17">
        <v>4.1399999999999997</v>
      </c>
      <c r="S241" s="16">
        <v>0</v>
      </c>
      <c r="T241" s="17">
        <v>0</v>
      </c>
      <c r="U241" s="16">
        <v>0</v>
      </c>
      <c r="V241" s="17">
        <v>0</v>
      </c>
      <c r="W241" s="18">
        <v>23</v>
      </c>
      <c r="X241" s="17">
        <v>4.1399999999999997</v>
      </c>
      <c r="Y241" s="17">
        <v>1.61</v>
      </c>
      <c r="Z241" s="17"/>
      <c r="AA241" s="17"/>
      <c r="AB241" s="144">
        <v>0</v>
      </c>
      <c r="AC241" s="8">
        <f t="shared" si="47"/>
        <v>0</v>
      </c>
      <c r="AD241" s="11" t="str">
        <f>LEFT(details!E241,5)</f>
        <v>0.000</v>
      </c>
      <c r="AE241" s="42">
        <f t="shared" si="45"/>
        <v>0</v>
      </c>
      <c r="AF241" s="42">
        <f>VLOOKUP(C241,MC.5!B:P,15,FALSE)/3</f>
        <v>0</v>
      </c>
      <c r="AG241" s="152">
        <f t="shared" si="55"/>
        <v>0</v>
      </c>
      <c r="AH241" s="137" t="str">
        <f>VLOOKUP(F241,REF!B:C,2,FALSE)</f>
        <v>Secondary/ Component</v>
      </c>
      <c r="AI241" s="3" t="str">
        <f>VLOOKUP(G241,REF!E:F,2,FALSE)</f>
        <v>LABEL, IML, STICKER, SEALED ETC</v>
      </c>
    </row>
    <row r="242" spans="1:35" x14ac:dyDescent="0.3">
      <c r="A242" s="186" t="s">
        <v>1155</v>
      </c>
      <c r="B242" s="24" t="s">
        <v>1155</v>
      </c>
      <c r="C242" s="156">
        <v>612152</v>
      </c>
      <c r="D242" s="24" t="s">
        <v>1266</v>
      </c>
      <c r="E242" s="24" t="s">
        <v>68</v>
      </c>
      <c r="F242" s="156">
        <v>65400</v>
      </c>
      <c r="G242" s="24" t="s">
        <v>1378</v>
      </c>
      <c r="H242" s="24" t="s">
        <v>1442</v>
      </c>
      <c r="I242" s="24" t="s">
        <v>1378</v>
      </c>
      <c r="J242" s="186" t="s">
        <v>1379</v>
      </c>
      <c r="K242" s="16">
        <v>0</v>
      </c>
      <c r="L242" s="17">
        <v>0</v>
      </c>
      <c r="M242" s="16">
        <v>0</v>
      </c>
      <c r="N242" s="17">
        <v>0</v>
      </c>
      <c r="O242" s="16">
        <v>0</v>
      </c>
      <c r="P242" s="17">
        <v>0</v>
      </c>
      <c r="Q242" s="16">
        <v>298</v>
      </c>
      <c r="R242" s="17">
        <v>53.64</v>
      </c>
      <c r="S242" s="16">
        <v>0</v>
      </c>
      <c r="T242" s="17">
        <v>0</v>
      </c>
      <c r="U242" s="16">
        <v>0</v>
      </c>
      <c r="V242" s="17">
        <v>0</v>
      </c>
      <c r="W242" s="18">
        <v>298</v>
      </c>
      <c r="X242" s="17">
        <v>53.64</v>
      </c>
      <c r="Y242" s="17">
        <v>20.86</v>
      </c>
      <c r="Z242" s="17"/>
      <c r="AA242" s="17"/>
      <c r="AB242" s="144">
        <v>0</v>
      </c>
      <c r="AC242" s="8">
        <f t="shared" si="47"/>
        <v>0</v>
      </c>
      <c r="AD242" s="11" t="str">
        <f>LEFT(details!E242,5)</f>
        <v>0.000</v>
      </c>
      <c r="AE242" s="42">
        <f t="shared" si="45"/>
        <v>0</v>
      </c>
      <c r="AF242" s="42">
        <f>VLOOKUP(C242,MC.5!B:P,15,FALSE)/3</f>
        <v>0</v>
      </c>
      <c r="AG242" s="152">
        <f t="shared" si="55"/>
        <v>0</v>
      </c>
      <c r="AH242" s="137" t="str">
        <f>VLOOKUP(F242,REF!B:C,2,FALSE)</f>
        <v>Secondary/ Component</v>
      </c>
      <c r="AI242" s="3" t="str">
        <f>VLOOKUP(G242,REF!E:F,2,FALSE)</f>
        <v>LABEL, IML, STICKER, SEALED ETC</v>
      </c>
    </row>
    <row r="243" spans="1:35" x14ac:dyDescent="0.3">
      <c r="A243" s="186" t="s">
        <v>1155</v>
      </c>
      <c r="B243" s="24" t="s">
        <v>1155</v>
      </c>
      <c r="C243" s="156">
        <v>613192</v>
      </c>
      <c r="D243" s="24" t="s">
        <v>1268</v>
      </c>
      <c r="E243" s="24" t="s">
        <v>68</v>
      </c>
      <c r="F243" s="156">
        <v>65400</v>
      </c>
      <c r="G243" s="24" t="s">
        <v>1378</v>
      </c>
      <c r="H243" s="24" t="s">
        <v>1442</v>
      </c>
      <c r="I243" s="24" t="s">
        <v>1378</v>
      </c>
      <c r="J243" s="186" t="s">
        <v>1379</v>
      </c>
      <c r="K243" s="16">
        <v>0</v>
      </c>
      <c r="L243" s="17">
        <v>0</v>
      </c>
      <c r="M243" s="16">
        <v>0</v>
      </c>
      <c r="N243" s="17">
        <v>0</v>
      </c>
      <c r="O243" s="16">
        <v>0</v>
      </c>
      <c r="P243" s="17">
        <v>0</v>
      </c>
      <c r="Q243" s="16">
        <v>4100</v>
      </c>
      <c r="R243" s="17">
        <v>287</v>
      </c>
      <c r="S243" s="16">
        <v>0</v>
      </c>
      <c r="T243" s="17">
        <v>0</v>
      </c>
      <c r="U243" s="16">
        <v>0</v>
      </c>
      <c r="V243" s="17">
        <v>0</v>
      </c>
      <c r="W243" s="18">
        <v>4100</v>
      </c>
      <c r="X243" s="17">
        <v>287</v>
      </c>
      <c r="Y243" s="17">
        <v>111.62</v>
      </c>
      <c r="Z243" s="17"/>
      <c r="AA243" s="17"/>
      <c r="AB243" s="144">
        <v>0</v>
      </c>
      <c r="AC243" s="8">
        <f t="shared" si="47"/>
        <v>0</v>
      </c>
      <c r="AD243" s="11" t="str">
        <f>LEFT(details!E243,5)</f>
        <v>0.000</v>
      </c>
      <c r="AE243" s="42">
        <f t="shared" si="45"/>
        <v>0</v>
      </c>
      <c r="AF243" s="42">
        <f>VLOOKUP(C243,MC.5!B:P,15,FALSE)/3</f>
        <v>0</v>
      </c>
      <c r="AG243" s="152">
        <f t="shared" si="55"/>
        <v>0</v>
      </c>
      <c r="AH243" s="137" t="str">
        <f>VLOOKUP(F243,REF!B:C,2,FALSE)</f>
        <v>Secondary/ Component</v>
      </c>
      <c r="AI243" s="3" t="str">
        <f>VLOOKUP(G243,REF!E:F,2,FALSE)</f>
        <v>LABEL, IML, STICKER, SEALED ETC</v>
      </c>
    </row>
    <row r="244" spans="1:35" x14ac:dyDescent="0.3">
      <c r="A244" s="186" t="s">
        <v>1155</v>
      </c>
      <c r="B244" s="24" t="s">
        <v>1155</v>
      </c>
      <c r="C244" s="156">
        <v>616219</v>
      </c>
      <c r="D244" s="24" t="s">
        <v>1324</v>
      </c>
      <c r="E244" s="24" t="s">
        <v>68</v>
      </c>
      <c r="F244" s="156">
        <v>65400</v>
      </c>
      <c r="G244" s="24" t="s">
        <v>1378</v>
      </c>
      <c r="H244" s="24" t="s">
        <v>1442</v>
      </c>
      <c r="I244" s="24" t="s">
        <v>1378</v>
      </c>
      <c r="J244" s="186" t="s">
        <v>1379</v>
      </c>
      <c r="K244" s="16">
        <v>0</v>
      </c>
      <c r="L244" s="17">
        <v>0</v>
      </c>
      <c r="M244" s="16">
        <v>0</v>
      </c>
      <c r="N244" s="17">
        <v>0</v>
      </c>
      <c r="O244" s="16">
        <v>0</v>
      </c>
      <c r="P244" s="17">
        <v>0</v>
      </c>
      <c r="Q244" s="16">
        <v>844</v>
      </c>
      <c r="R244" s="17">
        <v>63.3</v>
      </c>
      <c r="S244" s="16">
        <v>0</v>
      </c>
      <c r="T244" s="17">
        <v>0</v>
      </c>
      <c r="U244" s="16">
        <v>0</v>
      </c>
      <c r="V244" s="17">
        <v>0</v>
      </c>
      <c r="W244" s="18">
        <v>844</v>
      </c>
      <c r="X244" s="17">
        <v>63.3</v>
      </c>
      <c r="Y244" s="17">
        <v>49.24</v>
      </c>
      <c r="Z244" s="17"/>
      <c r="AA244" s="17"/>
      <c r="AB244" s="144">
        <v>0</v>
      </c>
      <c r="AC244" s="8">
        <f t="shared" si="47"/>
        <v>0</v>
      </c>
      <c r="AD244" s="11" t="str">
        <f>LEFT(details!E244,5)</f>
        <v>0.000</v>
      </c>
      <c r="AE244" s="42">
        <f t="shared" si="45"/>
        <v>0</v>
      </c>
      <c r="AF244" s="42">
        <f>VLOOKUP(C244,MC.5!B:P,15,FALSE)/3</f>
        <v>0</v>
      </c>
      <c r="AG244" s="152">
        <f t="shared" si="55"/>
        <v>0</v>
      </c>
      <c r="AH244" s="137" t="str">
        <f>VLOOKUP(F244,REF!B:C,2,FALSE)</f>
        <v>Secondary/ Component</v>
      </c>
      <c r="AI244" s="3" t="str">
        <f>VLOOKUP(G244,REF!E:F,2,FALSE)</f>
        <v>LABEL, IML, STICKER, SEALED ETC</v>
      </c>
    </row>
    <row r="245" spans="1:35" x14ac:dyDescent="0.3">
      <c r="A245" s="186" t="s">
        <v>1155</v>
      </c>
      <c r="B245" s="24" t="s">
        <v>1155</v>
      </c>
      <c r="C245" s="156">
        <v>616879</v>
      </c>
      <c r="D245" s="24" t="s">
        <v>1348</v>
      </c>
      <c r="E245" s="24" t="s">
        <v>270</v>
      </c>
      <c r="F245" s="156">
        <v>60104</v>
      </c>
      <c r="G245" s="24" t="s">
        <v>1439</v>
      </c>
      <c r="H245" s="24" t="s">
        <v>1396</v>
      </c>
      <c r="I245" s="24" t="s">
        <v>1396</v>
      </c>
      <c r="J245" s="186" t="s">
        <v>1372</v>
      </c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>
        <v>3973.2</v>
      </c>
      <c r="AA245" s="17">
        <v>1324.4</v>
      </c>
      <c r="AB245" s="144"/>
      <c r="AC245" s="8">
        <f t="shared" ref="AC241:AC248" si="56">(AD245*W245)/1000</f>
        <v>0</v>
      </c>
      <c r="AD245" s="11" t="str">
        <f>LEFT(details!E245,5)</f>
        <v>34.50</v>
      </c>
      <c r="AE245" s="42">
        <f t="shared" si="45"/>
        <v>1324.4</v>
      </c>
      <c r="AF245" s="42">
        <f>VLOOKUP(C245,MC.5!B:P,15,FALSE)/3</f>
        <v>1324.3999999999999</v>
      </c>
      <c r="AG245" s="152">
        <f t="shared" ref="AG245:AG246" si="57">AE245</f>
        <v>1324.4</v>
      </c>
      <c r="AH245" s="137" t="str">
        <f>VLOOKUP(F245,REF!B:C,2,FALSE)</f>
        <v>PET</v>
      </c>
      <c r="AI245" s="3" t="str">
        <f>VLOOKUP(G245,REF!E:F,2,FALSE)</f>
        <v>Jar /Container/Tub</v>
      </c>
    </row>
    <row r="246" spans="1:35" x14ac:dyDescent="0.3">
      <c r="A246" s="186" t="s">
        <v>1155</v>
      </c>
      <c r="B246" s="24" t="s">
        <v>1155</v>
      </c>
      <c r="C246" s="156">
        <v>616880</v>
      </c>
      <c r="D246" s="24" t="s">
        <v>1967</v>
      </c>
      <c r="E246" s="24" t="s">
        <v>270</v>
      </c>
      <c r="F246" s="156">
        <v>60104</v>
      </c>
      <c r="G246" s="24" t="s">
        <v>1439</v>
      </c>
      <c r="H246" s="24" t="s">
        <v>1396</v>
      </c>
      <c r="I246" s="24" t="s">
        <v>1396</v>
      </c>
      <c r="J246" s="186" t="s">
        <v>1372</v>
      </c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>
        <v>2816.07</v>
      </c>
      <c r="AA246" s="17">
        <v>938.69</v>
      </c>
      <c r="AB246" s="144"/>
      <c r="AC246" s="8">
        <f t="shared" si="56"/>
        <v>0</v>
      </c>
      <c r="AD246" s="11" t="str">
        <f>LEFT(details!E246,5)</f>
        <v>34.50</v>
      </c>
      <c r="AE246" s="42">
        <f t="shared" si="45"/>
        <v>938.69</v>
      </c>
      <c r="AF246" s="42">
        <f>VLOOKUP(C246,MC.5!B:P,15,FALSE)/3</f>
        <v>938.69</v>
      </c>
      <c r="AG246" s="152">
        <f t="shared" si="57"/>
        <v>938.69</v>
      </c>
      <c r="AH246" s="137" t="str">
        <f>VLOOKUP(F246,REF!B:C,2,FALSE)</f>
        <v>PET</v>
      </c>
      <c r="AI246" s="3" t="str">
        <f>VLOOKUP(G246,REF!E:F,2,FALSE)</f>
        <v>Jar /Container/Tub</v>
      </c>
    </row>
    <row r="247" spans="1:35" x14ac:dyDescent="0.3">
      <c r="A247" s="186" t="s">
        <v>1155</v>
      </c>
      <c r="B247" s="24" t="s">
        <v>1155</v>
      </c>
      <c r="C247" s="156">
        <v>616981</v>
      </c>
      <c r="D247" s="24" t="s">
        <v>1349</v>
      </c>
      <c r="E247" s="24" t="s">
        <v>68</v>
      </c>
      <c r="F247" s="156">
        <v>65400</v>
      </c>
      <c r="G247" s="24" t="s">
        <v>1378</v>
      </c>
      <c r="H247" s="24" t="s">
        <v>1442</v>
      </c>
      <c r="I247" s="24" t="s">
        <v>1378</v>
      </c>
      <c r="J247" s="186" t="s">
        <v>1379</v>
      </c>
      <c r="K247" s="16">
        <v>0</v>
      </c>
      <c r="L247" s="17">
        <v>0</v>
      </c>
      <c r="M247" s="16">
        <v>0</v>
      </c>
      <c r="N247" s="17">
        <v>0</v>
      </c>
      <c r="O247" s="16">
        <v>0</v>
      </c>
      <c r="P247" s="17">
        <v>0</v>
      </c>
      <c r="Q247" s="16">
        <v>2393</v>
      </c>
      <c r="R247" s="17">
        <v>275.19</v>
      </c>
      <c r="S247" s="16">
        <v>0</v>
      </c>
      <c r="T247" s="17">
        <v>0</v>
      </c>
      <c r="U247" s="16">
        <v>0</v>
      </c>
      <c r="V247" s="17">
        <v>0</v>
      </c>
      <c r="W247" s="18">
        <v>2393</v>
      </c>
      <c r="X247" s="17">
        <v>275.19</v>
      </c>
      <c r="Y247" s="17">
        <v>122.32</v>
      </c>
      <c r="Z247" s="17"/>
      <c r="AA247" s="17"/>
      <c r="AB247" s="144">
        <v>0</v>
      </c>
      <c r="AC247" s="8">
        <f t="shared" si="56"/>
        <v>0</v>
      </c>
      <c r="AD247" s="11" t="str">
        <f>LEFT(details!E247,5)</f>
        <v>0.000</v>
      </c>
      <c r="AE247" s="42">
        <f t="shared" si="45"/>
        <v>0</v>
      </c>
      <c r="AF247" s="42">
        <f>VLOOKUP(C247,MC.5!B:P,15,FALSE)/3</f>
        <v>298.96333333333331</v>
      </c>
      <c r="AG247" s="152">
        <f t="shared" ref="AG247:AG248" si="58">AF247</f>
        <v>298.96333333333331</v>
      </c>
      <c r="AH247" s="137" t="str">
        <f>VLOOKUP(F247,REF!B:C,2,FALSE)</f>
        <v>Secondary/ Component</v>
      </c>
      <c r="AI247" s="3" t="str">
        <f>VLOOKUP(G247,REF!E:F,2,FALSE)</f>
        <v>LABEL, IML, STICKER, SEALED ETC</v>
      </c>
    </row>
    <row r="248" spans="1:35" x14ac:dyDescent="0.3">
      <c r="A248" s="186" t="s">
        <v>1155</v>
      </c>
      <c r="B248" s="24" t="s">
        <v>1155</v>
      </c>
      <c r="C248" s="156">
        <v>616992</v>
      </c>
      <c r="D248" s="24" t="s">
        <v>1951</v>
      </c>
      <c r="E248" s="24" t="s">
        <v>68</v>
      </c>
      <c r="F248" s="156">
        <v>65400</v>
      </c>
      <c r="G248" s="24" t="s">
        <v>1378</v>
      </c>
      <c r="H248" s="24" t="s">
        <v>1442</v>
      </c>
      <c r="I248" s="24" t="s">
        <v>1378</v>
      </c>
      <c r="J248" s="186" t="s">
        <v>1379</v>
      </c>
      <c r="K248" s="16">
        <v>0</v>
      </c>
      <c r="L248" s="17">
        <v>0</v>
      </c>
      <c r="M248" s="16">
        <v>0</v>
      </c>
      <c r="N248" s="17">
        <v>0</v>
      </c>
      <c r="O248" s="16">
        <v>28460</v>
      </c>
      <c r="P248" s="17">
        <v>3272.9</v>
      </c>
      <c r="Q248" s="16">
        <v>0</v>
      </c>
      <c r="R248" s="17">
        <v>0</v>
      </c>
      <c r="S248" s="16">
        <v>0</v>
      </c>
      <c r="T248" s="17">
        <v>0</v>
      </c>
      <c r="U248" s="16">
        <v>0</v>
      </c>
      <c r="V248" s="17">
        <v>0</v>
      </c>
      <c r="W248" s="18">
        <v>28460</v>
      </c>
      <c r="X248" s="17">
        <v>3272.9</v>
      </c>
      <c r="Y248" s="17">
        <v>909.21</v>
      </c>
      <c r="Z248" s="17"/>
      <c r="AA248" s="17"/>
      <c r="AB248" s="144">
        <v>0</v>
      </c>
      <c r="AC248" s="8">
        <f t="shared" si="56"/>
        <v>0</v>
      </c>
      <c r="AD248" s="11" t="str">
        <f>LEFT(details!E248,5)</f>
        <v>0.000</v>
      </c>
      <c r="AE248" s="42">
        <f t="shared" si="45"/>
        <v>0</v>
      </c>
      <c r="AF248" s="42">
        <f>VLOOKUP(C248,MC.5!B:P,15,FALSE)/3</f>
        <v>309.42666666666668</v>
      </c>
      <c r="AG248" s="152">
        <f t="shared" si="58"/>
        <v>309.42666666666668</v>
      </c>
      <c r="AH248" s="137" t="str">
        <f>VLOOKUP(F248,REF!B:C,2,FALSE)</f>
        <v>Secondary/ Component</v>
      </c>
      <c r="AI248" s="3" t="str">
        <f>VLOOKUP(G248,REF!E:F,2,FALSE)</f>
        <v>LABEL, IML, STICKER, SEALED ETC</v>
      </c>
    </row>
    <row r="249" spans="1:35" x14ac:dyDescent="0.3">
      <c r="A249" s="186" t="s">
        <v>1155</v>
      </c>
      <c r="B249" s="24" t="s">
        <v>1155</v>
      </c>
      <c r="C249" s="156">
        <v>617187</v>
      </c>
      <c r="D249" s="24" t="s">
        <v>1587</v>
      </c>
      <c r="E249" s="24" t="s">
        <v>128</v>
      </c>
      <c r="F249" s="156">
        <v>60105</v>
      </c>
      <c r="G249" s="24" t="s">
        <v>1443</v>
      </c>
      <c r="H249" s="24" t="s">
        <v>1392</v>
      </c>
      <c r="I249" s="24" t="s">
        <v>1392</v>
      </c>
      <c r="J249" s="186" t="s">
        <v>1372</v>
      </c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>
        <v>28224</v>
      </c>
      <c r="AA249" s="17">
        <v>9408</v>
      </c>
      <c r="AB249" s="144"/>
      <c r="AC249" s="8">
        <f t="shared" ref="AC249:AC305" si="59">(AD249*W249)/1000</f>
        <v>0</v>
      </c>
      <c r="AD249" s="11" t="str">
        <f>LEFT(details!E249,5)</f>
        <v>122.0</v>
      </c>
      <c r="AE249" s="42">
        <f t="shared" si="45"/>
        <v>9408</v>
      </c>
      <c r="AF249" s="42">
        <f>VLOOKUP(C249,MC.5!B:P,15,FALSE)/3</f>
        <v>9408</v>
      </c>
      <c r="AG249" s="152">
        <f>AE249</f>
        <v>9408</v>
      </c>
      <c r="AH249" s="137" t="str">
        <f>VLOOKUP(F249,REF!B:C,2,FALSE)</f>
        <v>PE</v>
      </c>
      <c r="AI249" s="3" t="str">
        <f>VLOOKUP(G249,REF!E:F,2,FALSE)</f>
        <v>Bottle</v>
      </c>
    </row>
    <row r="250" spans="1:35" x14ac:dyDescent="0.3">
      <c r="A250" s="186" t="s">
        <v>1155</v>
      </c>
      <c r="B250" s="24" t="s">
        <v>1155</v>
      </c>
      <c r="C250" s="156">
        <v>617192</v>
      </c>
      <c r="D250" s="24" t="s">
        <v>1325</v>
      </c>
      <c r="E250" s="24" t="s">
        <v>1180</v>
      </c>
      <c r="F250" s="156">
        <v>60105</v>
      </c>
      <c r="G250" s="24" t="s">
        <v>1443</v>
      </c>
      <c r="H250" s="24" t="s">
        <v>1392</v>
      </c>
      <c r="I250" s="24" t="s">
        <v>1392</v>
      </c>
      <c r="J250" s="186" t="s">
        <v>1372</v>
      </c>
      <c r="K250" s="16">
        <v>0</v>
      </c>
      <c r="L250" s="17">
        <v>0</v>
      </c>
      <c r="M250" s="16">
        <v>0</v>
      </c>
      <c r="N250" s="17">
        <v>0</v>
      </c>
      <c r="O250" s="16">
        <v>484</v>
      </c>
      <c r="P250" s="17">
        <v>556.6</v>
      </c>
      <c r="Q250" s="16">
        <v>0</v>
      </c>
      <c r="R250" s="17">
        <v>0</v>
      </c>
      <c r="S250" s="16">
        <v>0</v>
      </c>
      <c r="T250" s="17">
        <v>0</v>
      </c>
      <c r="U250" s="16">
        <v>0</v>
      </c>
      <c r="V250" s="17">
        <v>0</v>
      </c>
      <c r="W250" s="18">
        <v>484</v>
      </c>
      <c r="X250" s="17">
        <v>556.6</v>
      </c>
      <c r="Y250" s="17">
        <v>154.62</v>
      </c>
      <c r="Z250" s="17"/>
      <c r="AA250" s="17"/>
      <c r="AB250" s="144">
        <v>0</v>
      </c>
      <c r="AC250" s="8">
        <f t="shared" si="59"/>
        <v>49.851999999999997</v>
      </c>
      <c r="AD250" s="11" t="str">
        <f>LEFT(details!E250,5)</f>
        <v>103.0</v>
      </c>
      <c r="AE250" s="42">
        <f t="shared" si="45"/>
        <v>0</v>
      </c>
      <c r="AF250" s="42">
        <f>VLOOKUP(C250,MC.5!B:P,15,FALSE)/3</f>
        <v>0</v>
      </c>
      <c r="AG250" s="152">
        <f>AF250</f>
        <v>0</v>
      </c>
      <c r="AH250" s="137" t="str">
        <f>VLOOKUP(F250,REF!B:C,2,FALSE)</f>
        <v>PE</v>
      </c>
      <c r="AI250" s="3" t="str">
        <f>VLOOKUP(G250,REF!E:F,2,FALSE)</f>
        <v>Bottle</v>
      </c>
    </row>
    <row r="251" spans="1:35" x14ac:dyDescent="0.3">
      <c r="A251" s="186" t="s">
        <v>1155</v>
      </c>
      <c r="B251" s="24" t="s">
        <v>1155</v>
      </c>
      <c r="C251" s="156">
        <v>617268</v>
      </c>
      <c r="D251" s="24" t="s">
        <v>1350</v>
      </c>
      <c r="E251" s="24" t="s">
        <v>1327</v>
      </c>
      <c r="F251" s="156">
        <v>60106</v>
      </c>
      <c r="G251" s="24" t="s">
        <v>1440</v>
      </c>
      <c r="H251" s="24" t="s">
        <v>1371</v>
      </c>
      <c r="I251" s="24" t="s">
        <v>1371</v>
      </c>
      <c r="J251" s="186" t="s">
        <v>1372</v>
      </c>
      <c r="K251" s="16">
        <v>10000</v>
      </c>
      <c r="L251" s="17">
        <v>647.79999999999995</v>
      </c>
      <c r="M251" s="16">
        <v>4000</v>
      </c>
      <c r="N251" s="17">
        <v>259.12</v>
      </c>
      <c r="O251" s="16">
        <v>0</v>
      </c>
      <c r="P251" s="17">
        <v>0</v>
      </c>
      <c r="Q251" s="16">
        <v>0</v>
      </c>
      <c r="R251" s="17">
        <v>0</v>
      </c>
      <c r="S251" s="16">
        <v>0</v>
      </c>
      <c r="T251" s="17">
        <v>0</v>
      </c>
      <c r="U251" s="16">
        <v>0</v>
      </c>
      <c r="V251" s="17">
        <v>0</v>
      </c>
      <c r="W251" s="18">
        <v>14000</v>
      </c>
      <c r="X251" s="17">
        <v>906.92</v>
      </c>
      <c r="Y251" s="17">
        <v>0</v>
      </c>
      <c r="Z251" s="17">
        <v>647.78</v>
      </c>
      <c r="AA251" s="17">
        <v>215.92666666666699</v>
      </c>
      <c r="AB251" s="144">
        <v>126.003890209639</v>
      </c>
      <c r="AC251" s="8">
        <f t="shared" si="59"/>
        <v>58.8</v>
      </c>
      <c r="AD251" s="11" t="str">
        <f>LEFT(details!E251,5)</f>
        <v>4.200</v>
      </c>
      <c r="AE251" s="42">
        <f t="shared" si="45"/>
        <v>215.92666666666699</v>
      </c>
      <c r="AF251" s="42">
        <f>VLOOKUP(C251,MC.5!B:P,15,FALSE)/3</f>
        <v>215.92666666666665</v>
      </c>
      <c r="AG251" s="152">
        <f>AE251</f>
        <v>215.92666666666699</v>
      </c>
      <c r="AH251" s="137" t="str">
        <f>VLOOKUP(F251,REF!B:C,2,FALSE)</f>
        <v>PP</v>
      </c>
      <c r="AI251" s="3" t="str">
        <f>VLOOKUP(G251,REF!E:F,2,FALSE)</f>
        <v>Closure/Lid/ Handle</v>
      </c>
    </row>
    <row r="252" spans="1:35" x14ac:dyDescent="0.3">
      <c r="A252" s="186" t="s">
        <v>1155</v>
      </c>
      <c r="B252" s="24" t="s">
        <v>1155</v>
      </c>
      <c r="C252" s="156">
        <v>618480</v>
      </c>
      <c r="D252" s="24" t="s">
        <v>1351</v>
      </c>
      <c r="E252" s="24" t="s">
        <v>68</v>
      </c>
      <c r="F252" s="156">
        <v>65400</v>
      </c>
      <c r="G252" s="24" t="s">
        <v>1378</v>
      </c>
      <c r="H252" s="24" t="s">
        <v>1442</v>
      </c>
      <c r="I252" s="24" t="s">
        <v>1378</v>
      </c>
      <c r="J252" s="186" t="s">
        <v>1379</v>
      </c>
      <c r="K252" s="16">
        <v>0</v>
      </c>
      <c r="L252" s="17">
        <v>0</v>
      </c>
      <c r="M252" s="16">
        <v>50000</v>
      </c>
      <c r="N252" s="17">
        <v>2500</v>
      </c>
      <c r="O252" s="16">
        <v>26000</v>
      </c>
      <c r="P252" s="17">
        <v>1300</v>
      </c>
      <c r="Q252" s="16">
        <v>0</v>
      </c>
      <c r="R252" s="17">
        <v>0</v>
      </c>
      <c r="S252" s="16">
        <v>0</v>
      </c>
      <c r="T252" s="17">
        <v>0</v>
      </c>
      <c r="U252" s="16">
        <v>0</v>
      </c>
      <c r="V252" s="17">
        <v>0</v>
      </c>
      <c r="W252" s="18">
        <v>76000</v>
      </c>
      <c r="X252" s="17">
        <v>3800</v>
      </c>
      <c r="Y252" s="17">
        <v>288.91000000000003</v>
      </c>
      <c r="Z252" s="17"/>
      <c r="AA252" s="17"/>
      <c r="AB252" s="144">
        <v>0</v>
      </c>
      <c r="AC252" s="8">
        <f t="shared" si="59"/>
        <v>0</v>
      </c>
      <c r="AD252" s="11" t="str">
        <f>LEFT(details!E252,5)</f>
        <v>0.000</v>
      </c>
      <c r="AE252" s="42">
        <f t="shared" si="45"/>
        <v>0</v>
      </c>
      <c r="AF252" s="42">
        <f>VLOOKUP(C252,MC.5!B:P,15,FALSE)/3</f>
        <v>116.66666666666667</v>
      </c>
      <c r="AG252" s="152">
        <f>AF252</f>
        <v>116.66666666666667</v>
      </c>
      <c r="AH252" s="137" t="str">
        <f>VLOOKUP(F252,REF!B:C,2,FALSE)</f>
        <v>Secondary/ Component</v>
      </c>
      <c r="AI252" s="3" t="str">
        <f>VLOOKUP(G252,REF!E:F,2,FALSE)</f>
        <v>LABEL, IML, STICKER, SEALED ETC</v>
      </c>
    </row>
    <row r="253" spans="1:35" x14ac:dyDescent="0.3">
      <c r="A253" s="186" t="s">
        <v>1155</v>
      </c>
      <c r="B253" s="24" t="s">
        <v>1155</v>
      </c>
      <c r="C253" s="156">
        <v>618592</v>
      </c>
      <c r="D253" s="24" t="s">
        <v>1970</v>
      </c>
      <c r="E253" s="24" t="s">
        <v>2776</v>
      </c>
      <c r="F253" s="156">
        <v>60105</v>
      </c>
      <c r="G253" s="24" t="s">
        <v>1443</v>
      </c>
      <c r="H253" s="24" t="s">
        <v>1392</v>
      </c>
      <c r="I253" s="24" t="s">
        <v>1392</v>
      </c>
      <c r="J253" s="186" t="s">
        <v>1372</v>
      </c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>
        <v>7560</v>
      </c>
      <c r="AA253" s="17">
        <v>2520</v>
      </c>
      <c r="AB253" s="144"/>
      <c r="AC253" s="8">
        <f t="shared" si="59"/>
        <v>0</v>
      </c>
      <c r="AD253" s="11" t="str">
        <f>LEFT(details!E253,5)</f>
        <v>14.60</v>
      </c>
      <c r="AE253" s="42">
        <f t="shared" si="45"/>
        <v>2520</v>
      </c>
      <c r="AF253" s="42">
        <f>VLOOKUP(C253,MC.5!B:P,15,FALSE)/3</f>
        <v>2520</v>
      </c>
      <c r="AG253" s="152">
        <f t="shared" ref="AG251:AG254" si="60">AE253</f>
        <v>2520</v>
      </c>
      <c r="AH253" s="137" t="str">
        <f>VLOOKUP(F253,REF!B:C,2,FALSE)</f>
        <v>PE</v>
      </c>
      <c r="AI253" s="3" t="str">
        <f>VLOOKUP(G253,REF!E:F,2,FALSE)</f>
        <v>Bottle</v>
      </c>
    </row>
    <row r="254" spans="1:35" x14ac:dyDescent="0.3">
      <c r="A254" s="186" t="s">
        <v>1155</v>
      </c>
      <c r="B254" s="24" t="s">
        <v>1155</v>
      </c>
      <c r="C254" s="156">
        <v>619095</v>
      </c>
      <c r="D254" s="24" t="s">
        <v>1352</v>
      </c>
      <c r="E254" s="24" t="s">
        <v>213</v>
      </c>
      <c r="F254" s="156">
        <v>60105</v>
      </c>
      <c r="G254" s="24" t="s">
        <v>1441</v>
      </c>
      <c r="H254" s="24" t="s">
        <v>1393</v>
      </c>
      <c r="I254" s="24" t="s">
        <v>1393</v>
      </c>
      <c r="J254" s="186" t="s">
        <v>1372</v>
      </c>
      <c r="K254" s="16">
        <v>20000</v>
      </c>
      <c r="L254" s="17">
        <v>4979.6000000000004</v>
      </c>
      <c r="M254" s="16">
        <v>0</v>
      </c>
      <c r="N254" s="17">
        <v>0</v>
      </c>
      <c r="O254" s="16">
        <v>0</v>
      </c>
      <c r="P254" s="17">
        <v>0</v>
      </c>
      <c r="Q254" s="16">
        <v>0</v>
      </c>
      <c r="R254" s="17">
        <v>0</v>
      </c>
      <c r="S254" s="16">
        <v>0</v>
      </c>
      <c r="T254" s="17">
        <v>0</v>
      </c>
      <c r="U254" s="16">
        <v>0</v>
      </c>
      <c r="V254" s="17">
        <v>0</v>
      </c>
      <c r="W254" s="18">
        <v>20000</v>
      </c>
      <c r="X254" s="17">
        <v>4979.6000000000004</v>
      </c>
      <c r="Y254" s="17">
        <v>0</v>
      </c>
      <c r="Z254" s="17">
        <v>4760.2700000000004</v>
      </c>
      <c r="AA254" s="17">
        <v>1586.7566666666701</v>
      </c>
      <c r="AB254" s="144">
        <v>94.146760582908101</v>
      </c>
      <c r="AC254" s="8">
        <f t="shared" si="59"/>
        <v>128</v>
      </c>
      <c r="AD254" s="11" t="str">
        <f>LEFT(details!E254,5)</f>
        <v>6.400</v>
      </c>
      <c r="AE254" s="42">
        <f t="shared" si="45"/>
        <v>1586.7566666666701</v>
      </c>
      <c r="AF254" s="42">
        <f>VLOOKUP(C254,MC.5!B:P,15,FALSE)/3</f>
        <v>2693.9933333333333</v>
      </c>
      <c r="AG254" s="152">
        <f t="shared" si="60"/>
        <v>1586.7566666666701</v>
      </c>
      <c r="AH254" s="137" t="str">
        <f>VLOOKUP(F254,REF!B:C,2,FALSE)</f>
        <v>PE</v>
      </c>
      <c r="AI254" s="3" t="str">
        <f>VLOOKUP(G254,REF!E:F,2,FALSE)</f>
        <v>Closure/Lid/ Handle</v>
      </c>
    </row>
    <row r="255" spans="1:35" x14ac:dyDescent="0.3">
      <c r="A255" s="186" t="s">
        <v>1155</v>
      </c>
      <c r="B255" s="24" t="s">
        <v>1155</v>
      </c>
      <c r="C255" s="156">
        <v>619711</v>
      </c>
      <c r="D255" s="24" t="s">
        <v>1409</v>
      </c>
      <c r="E255" s="24" t="s">
        <v>1345</v>
      </c>
      <c r="F255" s="156">
        <v>60104</v>
      </c>
      <c r="G255" s="24" t="s">
        <v>1438</v>
      </c>
      <c r="H255" s="24" t="s">
        <v>1410</v>
      </c>
      <c r="I255" s="24" t="s">
        <v>1410</v>
      </c>
      <c r="J255" s="186" t="s">
        <v>1400</v>
      </c>
      <c r="K255" s="16">
        <v>0</v>
      </c>
      <c r="L255" s="17">
        <v>0</v>
      </c>
      <c r="M255" s="16">
        <v>0</v>
      </c>
      <c r="N255" s="17">
        <v>0</v>
      </c>
      <c r="O255" s="16">
        <v>0</v>
      </c>
      <c r="P255" s="17">
        <v>0</v>
      </c>
      <c r="Q255" s="16">
        <v>61</v>
      </c>
      <c r="R255" s="17">
        <v>33.549999999999997</v>
      </c>
      <c r="S255" s="16">
        <v>0</v>
      </c>
      <c r="T255" s="17">
        <v>0</v>
      </c>
      <c r="U255" s="16">
        <v>0</v>
      </c>
      <c r="V255" s="17">
        <v>0</v>
      </c>
      <c r="W255" s="18">
        <v>61</v>
      </c>
      <c r="X255" s="17">
        <v>33.549999999999997</v>
      </c>
      <c r="Y255" s="17">
        <v>27.96</v>
      </c>
      <c r="Z255" s="17"/>
      <c r="AA255" s="17"/>
      <c r="AB255" s="144">
        <v>0</v>
      </c>
      <c r="AC255" s="8">
        <f t="shared" si="59"/>
        <v>2.3851</v>
      </c>
      <c r="AD255" s="11" t="str">
        <f>LEFT(details!E255,5)</f>
        <v>39.10</v>
      </c>
      <c r="AE255" s="42">
        <f t="shared" si="45"/>
        <v>0</v>
      </c>
      <c r="AF255" s="42">
        <f>VLOOKUP(C255,MC.5!B:P,15,FALSE)/3</f>
        <v>0</v>
      </c>
      <c r="AG255" s="152">
        <f>AF255</f>
        <v>0</v>
      </c>
      <c r="AH255" s="137" t="str">
        <f>VLOOKUP(F255,REF!B:C,2,FALSE)</f>
        <v>PET</v>
      </c>
      <c r="AI255" s="3" t="str">
        <f>VLOOKUP(G255,REF!E:F,2,FALSE)</f>
        <v>Bottle</v>
      </c>
    </row>
    <row r="256" spans="1:35" x14ac:dyDescent="0.3">
      <c r="A256" s="186" t="s">
        <v>1155</v>
      </c>
      <c r="B256" s="24" t="s">
        <v>1155</v>
      </c>
      <c r="C256" s="156">
        <v>620173</v>
      </c>
      <c r="D256" s="24" t="s">
        <v>1411</v>
      </c>
      <c r="E256" s="24" t="s">
        <v>1412</v>
      </c>
      <c r="F256" s="156">
        <v>60105</v>
      </c>
      <c r="G256" s="24" t="s">
        <v>1441</v>
      </c>
      <c r="H256" s="24" t="s">
        <v>1413</v>
      </c>
      <c r="I256" s="24" t="s">
        <v>1413</v>
      </c>
      <c r="J256" s="186" t="s">
        <v>1388</v>
      </c>
      <c r="K256" s="16">
        <v>0</v>
      </c>
      <c r="L256" s="17">
        <v>0</v>
      </c>
      <c r="M256" s="16">
        <v>6600</v>
      </c>
      <c r="N256" s="17">
        <v>419.69</v>
      </c>
      <c r="O256" s="16">
        <v>0</v>
      </c>
      <c r="P256" s="17">
        <v>0</v>
      </c>
      <c r="Q256" s="16">
        <v>0</v>
      </c>
      <c r="R256" s="17">
        <v>0</v>
      </c>
      <c r="S256" s="16">
        <v>0</v>
      </c>
      <c r="T256" s="17">
        <v>0</v>
      </c>
      <c r="U256" s="16">
        <v>0</v>
      </c>
      <c r="V256" s="17">
        <v>0</v>
      </c>
      <c r="W256" s="18">
        <v>6600</v>
      </c>
      <c r="X256" s="17">
        <v>419.69</v>
      </c>
      <c r="Y256" s="17">
        <v>0</v>
      </c>
      <c r="Z256" s="17">
        <v>1888.55</v>
      </c>
      <c r="AA256" s="17">
        <v>629.51666666666699</v>
      </c>
      <c r="AB256" s="144">
        <v>20.000582457440899</v>
      </c>
      <c r="AC256" s="8">
        <f t="shared" si="59"/>
        <v>25.542000000000002</v>
      </c>
      <c r="AD256" s="11" t="str">
        <f>LEFT(details!E256,5)</f>
        <v>3.870</v>
      </c>
      <c r="AE256" s="42">
        <f t="shared" si="45"/>
        <v>629.51666666666699</v>
      </c>
      <c r="AF256" s="42">
        <f>VLOOKUP(C256,MC.5!B:P,15,FALSE)/3</f>
        <v>629.51666666666665</v>
      </c>
      <c r="AG256" s="152">
        <f t="shared" ref="AG256:AG258" si="61">AE256</f>
        <v>629.51666666666699</v>
      </c>
      <c r="AH256" s="137" t="str">
        <f>VLOOKUP(F256,REF!B:C,2,FALSE)</f>
        <v>PE</v>
      </c>
      <c r="AI256" s="3" t="str">
        <f>VLOOKUP(G256,REF!E:F,2,FALSE)</f>
        <v>Closure/Lid/ Handle</v>
      </c>
    </row>
    <row r="257" spans="1:35" x14ac:dyDescent="0.3">
      <c r="A257" s="186" t="s">
        <v>1155</v>
      </c>
      <c r="B257" s="24" t="s">
        <v>1155</v>
      </c>
      <c r="C257" s="156">
        <v>620599</v>
      </c>
      <c r="D257" s="24" t="s">
        <v>1459</v>
      </c>
      <c r="E257" s="24" t="s">
        <v>43</v>
      </c>
      <c r="F257" s="156">
        <v>60104</v>
      </c>
      <c r="G257" s="24" t="s">
        <v>1438</v>
      </c>
      <c r="H257" s="24" t="s">
        <v>1382</v>
      </c>
      <c r="I257" s="24" t="s">
        <v>1382</v>
      </c>
      <c r="J257" s="186" t="s">
        <v>1372</v>
      </c>
      <c r="K257" s="16">
        <v>89100</v>
      </c>
      <c r="L257" s="17">
        <v>35640</v>
      </c>
      <c r="M257" s="16">
        <v>0</v>
      </c>
      <c r="N257" s="17">
        <v>0</v>
      </c>
      <c r="O257" s="16">
        <v>0</v>
      </c>
      <c r="P257" s="17">
        <v>0</v>
      </c>
      <c r="Q257" s="16">
        <v>0</v>
      </c>
      <c r="R257" s="17">
        <v>0</v>
      </c>
      <c r="S257" s="16">
        <v>0</v>
      </c>
      <c r="T257" s="17">
        <v>0</v>
      </c>
      <c r="U257" s="16">
        <v>0</v>
      </c>
      <c r="V257" s="17">
        <v>0</v>
      </c>
      <c r="W257" s="18">
        <v>89100</v>
      </c>
      <c r="X257" s="17">
        <v>35640</v>
      </c>
      <c r="Y257" s="17">
        <v>0</v>
      </c>
      <c r="Z257" s="17">
        <v>306360</v>
      </c>
      <c r="AA257" s="17">
        <v>102120</v>
      </c>
      <c r="AB257" s="144">
        <v>10.4700352526439</v>
      </c>
      <c r="AC257" s="8">
        <f t="shared" si="59"/>
        <v>4900.5</v>
      </c>
      <c r="AD257" s="11" t="str">
        <f>LEFT(details!E257,5)</f>
        <v>55.00</v>
      </c>
      <c r="AE257" s="42">
        <f t="shared" si="45"/>
        <v>102120</v>
      </c>
      <c r="AF257" s="42">
        <f>VLOOKUP(C257,MC.5!B:P,15,FALSE)/3</f>
        <v>102120</v>
      </c>
      <c r="AG257" s="152">
        <f t="shared" si="61"/>
        <v>102120</v>
      </c>
      <c r="AH257" s="137" t="str">
        <f>VLOOKUP(F257,REF!B:C,2,FALSE)</f>
        <v>PET</v>
      </c>
      <c r="AI257" s="3" t="str">
        <f>VLOOKUP(G257,REF!E:F,2,FALSE)</f>
        <v>Bottle</v>
      </c>
    </row>
    <row r="258" spans="1:35" x14ac:dyDescent="0.3">
      <c r="A258" s="186" t="s">
        <v>1155</v>
      </c>
      <c r="B258" s="24" t="s">
        <v>1155</v>
      </c>
      <c r="C258" s="156">
        <v>620994</v>
      </c>
      <c r="D258" s="24" t="s">
        <v>1461</v>
      </c>
      <c r="E258" s="24" t="s">
        <v>24</v>
      </c>
      <c r="F258" s="156">
        <v>60104</v>
      </c>
      <c r="G258" s="24" t="s">
        <v>1439</v>
      </c>
      <c r="H258" s="24" t="s">
        <v>1368</v>
      </c>
      <c r="I258" s="24" t="s">
        <v>1368</v>
      </c>
      <c r="J258" s="186" t="s">
        <v>1367</v>
      </c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>
        <v>120606.71</v>
      </c>
      <c r="AA258" s="17">
        <v>40202.2366666667</v>
      </c>
      <c r="AB258" s="144"/>
      <c r="AC258" s="8">
        <f t="shared" si="59"/>
        <v>0</v>
      </c>
      <c r="AD258" s="11" t="str">
        <f>LEFT(details!E258,5)</f>
        <v>33.00</v>
      </c>
      <c r="AE258" s="42">
        <f t="shared" si="45"/>
        <v>40202.2366666667</v>
      </c>
      <c r="AF258" s="42">
        <f>VLOOKUP(C258,MC.5!B:P,15,FALSE)/3</f>
        <v>40202.239999999998</v>
      </c>
      <c r="AG258" s="152">
        <f t="shared" si="61"/>
        <v>40202.2366666667</v>
      </c>
      <c r="AH258" s="137" t="str">
        <f>VLOOKUP(F258,REF!B:C,2,FALSE)</f>
        <v>PET</v>
      </c>
      <c r="AI258" s="3" t="str">
        <f>VLOOKUP(G258,REF!E:F,2,FALSE)</f>
        <v>Jar /Container/Tub</v>
      </c>
    </row>
    <row r="259" spans="1:35" x14ac:dyDescent="0.3">
      <c r="A259" s="186" t="s">
        <v>1155</v>
      </c>
      <c r="B259" s="24" t="s">
        <v>1155</v>
      </c>
      <c r="C259" s="156">
        <v>621080</v>
      </c>
      <c r="D259" s="24" t="s">
        <v>1551</v>
      </c>
      <c r="E259" s="24" t="s">
        <v>68</v>
      </c>
      <c r="F259" s="156">
        <v>65400</v>
      </c>
      <c r="G259" s="24" t="s">
        <v>1378</v>
      </c>
      <c r="H259" s="24" t="s">
        <v>1442</v>
      </c>
      <c r="I259" s="24" t="s">
        <v>1378</v>
      </c>
      <c r="J259" s="186" t="s">
        <v>1379</v>
      </c>
      <c r="K259" s="16">
        <v>0</v>
      </c>
      <c r="L259" s="17">
        <v>0</v>
      </c>
      <c r="M259" s="16">
        <v>30000</v>
      </c>
      <c r="N259" s="17">
        <v>1950</v>
      </c>
      <c r="O259" s="16">
        <v>0</v>
      </c>
      <c r="P259" s="17">
        <v>0</v>
      </c>
      <c r="Q259" s="16">
        <v>19426</v>
      </c>
      <c r="R259" s="17">
        <v>1262.69</v>
      </c>
      <c r="S259" s="16">
        <v>0</v>
      </c>
      <c r="T259" s="17">
        <v>0</v>
      </c>
      <c r="U259" s="16">
        <v>0</v>
      </c>
      <c r="V259" s="17">
        <v>0</v>
      </c>
      <c r="W259" s="18">
        <v>49426</v>
      </c>
      <c r="X259" s="17">
        <v>3212.69</v>
      </c>
      <c r="Y259" s="17">
        <v>631.39</v>
      </c>
      <c r="Z259" s="17"/>
      <c r="AA259" s="17"/>
      <c r="AB259" s="144">
        <v>0</v>
      </c>
      <c r="AC259" s="8">
        <f t="shared" si="59"/>
        <v>0</v>
      </c>
      <c r="AD259" s="11" t="str">
        <f>LEFT(details!E259,5)</f>
        <v>0.000</v>
      </c>
      <c r="AE259" s="42">
        <f t="shared" si="45"/>
        <v>0</v>
      </c>
      <c r="AF259" s="42">
        <f>VLOOKUP(C259,MC.5!B:P,15,FALSE)/3</f>
        <v>0</v>
      </c>
      <c r="AG259" s="152">
        <f>AF259</f>
        <v>0</v>
      </c>
      <c r="AH259" s="137" t="str">
        <f>VLOOKUP(F259,REF!B:C,2,FALSE)</f>
        <v>Secondary/ Component</v>
      </c>
      <c r="AI259" s="3" t="str">
        <f>VLOOKUP(G259,REF!E:F,2,FALSE)</f>
        <v>LABEL, IML, STICKER, SEALED ETC</v>
      </c>
    </row>
    <row r="260" spans="1:35" x14ac:dyDescent="0.3">
      <c r="A260" s="186" t="s">
        <v>1155</v>
      </c>
      <c r="B260" s="24" t="s">
        <v>1155</v>
      </c>
      <c r="C260" s="156">
        <v>621407</v>
      </c>
      <c r="D260" s="24" t="s">
        <v>1462</v>
      </c>
      <c r="E260" s="24" t="s">
        <v>112</v>
      </c>
      <c r="F260" s="156">
        <v>60106</v>
      </c>
      <c r="G260" s="24" t="s">
        <v>1444</v>
      </c>
      <c r="H260" s="24" t="s">
        <v>1389</v>
      </c>
      <c r="I260" s="24" t="s">
        <v>1389</v>
      </c>
      <c r="J260" s="186" t="s">
        <v>1372</v>
      </c>
      <c r="K260" s="16">
        <v>50960</v>
      </c>
      <c r="L260" s="17">
        <v>17836</v>
      </c>
      <c r="M260" s="16">
        <v>0</v>
      </c>
      <c r="N260" s="17">
        <v>0</v>
      </c>
      <c r="O260" s="16">
        <v>0</v>
      </c>
      <c r="P260" s="17">
        <v>0</v>
      </c>
      <c r="Q260" s="16">
        <v>0</v>
      </c>
      <c r="R260" s="17">
        <v>0</v>
      </c>
      <c r="S260" s="16">
        <v>0</v>
      </c>
      <c r="T260" s="17">
        <v>0</v>
      </c>
      <c r="U260" s="16">
        <v>0</v>
      </c>
      <c r="V260" s="17">
        <v>0</v>
      </c>
      <c r="W260" s="18">
        <v>50960</v>
      </c>
      <c r="X260" s="17">
        <v>17836</v>
      </c>
      <c r="Y260" s="17">
        <v>0</v>
      </c>
      <c r="Z260" s="17">
        <v>55624.800000000003</v>
      </c>
      <c r="AA260" s="17">
        <v>18541.599999999999</v>
      </c>
      <c r="AB260" s="144">
        <v>28.858350951374199</v>
      </c>
      <c r="AC260" s="8">
        <f t="shared" si="59"/>
        <v>1477.84</v>
      </c>
      <c r="AD260" s="11" t="str">
        <f>LEFT(details!E260,5)</f>
        <v>29.00</v>
      </c>
      <c r="AE260" s="42">
        <f t="shared" si="45"/>
        <v>18541.599999999999</v>
      </c>
      <c r="AF260" s="42">
        <f>VLOOKUP(C260,MC.5!B:P,15,FALSE)/3</f>
        <v>18541.600000000002</v>
      </c>
      <c r="AG260" s="152">
        <f>AE260</f>
        <v>18541.599999999999</v>
      </c>
      <c r="AH260" s="137" t="str">
        <f>VLOOKUP(F260,REF!B:C,2,FALSE)</f>
        <v>PP</v>
      </c>
      <c r="AI260" s="3" t="str">
        <f>VLOOKUP(G260,REF!E:F,2,FALSE)</f>
        <v>Jar /Container/Tub</v>
      </c>
    </row>
    <row r="261" spans="1:35" x14ac:dyDescent="0.3">
      <c r="A261" s="186" t="s">
        <v>1155</v>
      </c>
      <c r="B261" s="24" t="s">
        <v>1155</v>
      </c>
      <c r="C261" s="156">
        <v>622724</v>
      </c>
      <c r="D261" s="24" t="s">
        <v>1562</v>
      </c>
      <c r="E261" s="24" t="s">
        <v>68</v>
      </c>
      <c r="F261" s="156">
        <v>65400</v>
      </c>
      <c r="G261" s="24" t="s">
        <v>1378</v>
      </c>
      <c r="H261" s="24" t="s">
        <v>1442</v>
      </c>
      <c r="I261" s="24" t="s">
        <v>1378</v>
      </c>
      <c r="J261" s="186" t="s">
        <v>1379</v>
      </c>
      <c r="K261" s="16">
        <v>0</v>
      </c>
      <c r="L261" s="17">
        <v>0</v>
      </c>
      <c r="M261" s="16">
        <v>0</v>
      </c>
      <c r="N261" s="17">
        <v>0</v>
      </c>
      <c r="O261" s="16">
        <v>0</v>
      </c>
      <c r="P261" s="17">
        <v>0</v>
      </c>
      <c r="Q261" s="16">
        <v>953</v>
      </c>
      <c r="R261" s="17">
        <v>11016.68</v>
      </c>
      <c r="S261" s="16">
        <v>0</v>
      </c>
      <c r="T261" s="17">
        <v>0</v>
      </c>
      <c r="U261" s="16">
        <v>0</v>
      </c>
      <c r="V261" s="17">
        <v>0</v>
      </c>
      <c r="W261" s="18">
        <v>953</v>
      </c>
      <c r="X261" s="17">
        <v>11016.68</v>
      </c>
      <c r="Y261" s="17">
        <v>7345.04</v>
      </c>
      <c r="Z261" s="17"/>
      <c r="AA261" s="17"/>
      <c r="AB261" s="144">
        <v>0</v>
      </c>
      <c r="AC261" s="8">
        <f t="shared" si="59"/>
        <v>0</v>
      </c>
      <c r="AD261" s="11" t="str">
        <f>LEFT(details!E261,5)</f>
        <v>0.000</v>
      </c>
      <c r="AE261" s="42">
        <f t="shared" si="45"/>
        <v>0</v>
      </c>
      <c r="AF261" s="42">
        <f>VLOOKUP(C261,MC.5!B:P,15,FALSE)/3</f>
        <v>0</v>
      </c>
      <c r="AG261" s="152">
        <f>AF261</f>
        <v>0</v>
      </c>
      <c r="AH261" s="137" t="str">
        <f>VLOOKUP(F261,REF!B:C,2,FALSE)</f>
        <v>Secondary/ Component</v>
      </c>
      <c r="AI261" s="3" t="str">
        <f>VLOOKUP(G261,REF!E:F,2,FALSE)</f>
        <v>LABEL, IML, STICKER, SEALED ETC</v>
      </c>
    </row>
    <row r="262" spans="1:35" x14ac:dyDescent="0.3">
      <c r="A262" s="186" t="s">
        <v>1155</v>
      </c>
      <c r="B262" s="24" t="s">
        <v>1155</v>
      </c>
      <c r="C262" s="156">
        <v>623133</v>
      </c>
      <c r="D262" s="24" t="s">
        <v>1563</v>
      </c>
      <c r="E262" s="24" t="s">
        <v>1172</v>
      </c>
      <c r="F262" s="156">
        <v>60104</v>
      </c>
      <c r="G262" s="24" t="s">
        <v>1439</v>
      </c>
      <c r="H262" s="24" t="s">
        <v>1396</v>
      </c>
      <c r="I262" s="24" t="s">
        <v>1396</v>
      </c>
      <c r="J262" s="186" t="s">
        <v>1372</v>
      </c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>
        <v>1898.88</v>
      </c>
      <c r="AA262" s="17">
        <v>632.96</v>
      </c>
      <c r="AB262" s="144"/>
      <c r="AC262" s="8">
        <f t="shared" si="59"/>
        <v>0</v>
      </c>
      <c r="AD262" s="11" t="str">
        <f>LEFT(details!E262,5)</f>
        <v>34.80</v>
      </c>
      <c r="AE262" s="42">
        <f t="shared" si="45"/>
        <v>632.96</v>
      </c>
      <c r="AF262" s="42">
        <f>VLOOKUP(C262,MC.5!B:P,15,FALSE)/3</f>
        <v>632.96</v>
      </c>
      <c r="AG262" s="152">
        <f t="shared" ref="AG262:AG264" si="62">AE262</f>
        <v>632.96</v>
      </c>
      <c r="AH262" s="137" t="str">
        <f>VLOOKUP(F262,REF!B:C,2,FALSE)</f>
        <v>PET</v>
      </c>
      <c r="AI262" s="3" t="str">
        <f>VLOOKUP(G262,REF!E:F,2,FALSE)</f>
        <v>Jar /Container/Tub</v>
      </c>
    </row>
    <row r="263" spans="1:35" x14ac:dyDescent="0.3">
      <c r="A263" s="186" t="s">
        <v>1155</v>
      </c>
      <c r="B263" s="24" t="s">
        <v>1155</v>
      </c>
      <c r="C263" s="156">
        <v>623134</v>
      </c>
      <c r="D263" s="24" t="s">
        <v>1564</v>
      </c>
      <c r="E263" s="24" t="s">
        <v>1172</v>
      </c>
      <c r="F263" s="156">
        <v>60104</v>
      </c>
      <c r="G263" s="24" t="s">
        <v>1439</v>
      </c>
      <c r="H263" s="24" t="s">
        <v>1396</v>
      </c>
      <c r="I263" s="24" t="s">
        <v>1396</v>
      </c>
      <c r="J263" s="186" t="s">
        <v>1372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>
        <v>1810.56</v>
      </c>
      <c r="AA263" s="17">
        <v>603.52</v>
      </c>
      <c r="AB263" s="144"/>
      <c r="AC263" s="8">
        <f t="shared" si="59"/>
        <v>0</v>
      </c>
      <c r="AD263" s="11" t="str">
        <f>LEFT(details!E263,5)</f>
        <v>34.80</v>
      </c>
      <c r="AE263" s="42">
        <f t="shared" si="45"/>
        <v>603.52</v>
      </c>
      <c r="AF263" s="42">
        <f>VLOOKUP(C263,MC.5!B:P,15,FALSE)/3</f>
        <v>603.52</v>
      </c>
      <c r="AG263" s="152">
        <f t="shared" si="62"/>
        <v>603.52</v>
      </c>
      <c r="AH263" s="137" t="str">
        <f>VLOOKUP(F263,REF!B:C,2,FALSE)</f>
        <v>PET</v>
      </c>
      <c r="AI263" s="3" t="str">
        <f>VLOOKUP(G263,REF!E:F,2,FALSE)</f>
        <v>Jar /Container/Tub</v>
      </c>
    </row>
    <row r="264" spans="1:35" x14ac:dyDescent="0.3">
      <c r="A264" s="186" t="s">
        <v>1155</v>
      </c>
      <c r="B264" s="24" t="s">
        <v>1155</v>
      </c>
      <c r="C264" s="156">
        <v>623135</v>
      </c>
      <c r="D264" s="24" t="s">
        <v>1565</v>
      </c>
      <c r="E264" s="24" t="s">
        <v>1172</v>
      </c>
      <c r="F264" s="156">
        <v>60104</v>
      </c>
      <c r="G264" s="24" t="s">
        <v>1439</v>
      </c>
      <c r="H264" s="24" t="s">
        <v>1396</v>
      </c>
      <c r="I264" s="24" t="s">
        <v>1396</v>
      </c>
      <c r="J264" s="186" t="s">
        <v>1372</v>
      </c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>
        <v>1036.8</v>
      </c>
      <c r="AA264" s="17">
        <v>345.6</v>
      </c>
      <c r="AB264" s="144"/>
      <c r="AC264" s="8">
        <f t="shared" si="59"/>
        <v>0</v>
      </c>
      <c r="AD264" s="11" t="str">
        <f>LEFT(details!E264,5)</f>
        <v>34.80</v>
      </c>
      <c r="AE264" s="42">
        <f t="shared" ref="AE264:AE327" si="63">AA264</f>
        <v>345.6</v>
      </c>
      <c r="AF264" s="42">
        <f>VLOOKUP(C264,MC.5!B:P,15,FALSE)/3</f>
        <v>345.59999999999997</v>
      </c>
      <c r="AG264" s="152">
        <f t="shared" si="62"/>
        <v>345.6</v>
      </c>
      <c r="AH264" s="137" t="str">
        <f>VLOOKUP(F264,REF!B:C,2,FALSE)</f>
        <v>PET</v>
      </c>
      <c r="AI264" s="3" t="str">
        <f>VLOOKUP(G264,REF!E:F,2,FALSE)</f>
        <v>Jar /Container/Tub</v>
      </c>
    </row>
    <row r="265" spans="1:35" x14ac:dyDescent="0.3">
      <c r="A265" s="186" t="s">
        <v>1155</v>
      </c>
      <c r="B265" s="24" t="s">
        <v>1155</v>
      </c>
      <c r="C265" s="156">
        <v>623273</v>
      </c>
      <c r="D265" s="24" t="s">
        <v>1566</v>
      </c>
      <c r="E265" s="24" t="s">
        <v>68</v>
      </c>
      <c r="F265" s="156">
        <v>65400</v>
      </c>
      <c r="G265" s="24" t="s">
        <v>1378</v>
      </c>
      <c r="H265" s="24" t="s">
        <v>1442</v>
      </c>
      <c r="I265" s="24" t="s">
        <v>1378</v>
      </c>
      <c r="J265" s="186" t="s">
        <v>1379</v>
      </c>
      <c r="K265" s="16">
        <v>0</v>
      </c>
      <c r="L265" s="17">
        <v>0</v>
      </c>
      <c r="M265" s="16">
        <v>0</v>
      </c>
      <c r="N265" s="17">
        <v>0</v>
      </c>
      <c r="O265" s="16">
        <v>0</v>
      </c>
      <c r="P265" s="17">
        <v>0</v>
      </c>
      <c r="Q265" s="16">
        <v>466</v>
      </c>
      <c r="R265" s="17">
        <v>0</v>
      </c>
      <c r="S265" s="16">
        <v>0</v>
      </c>
      <c r="T265" s="17">
        <v>0</v>
      </c>
      <c r="U265" s="16">
        <v>0</v>
      </c>
      <c r="V265" s="17">
        <v>0</v>
      </c>
      <c r="W265" s="18">
        <v>466</v>
      </c>
      <c r="X265" s="17">
        <v>0</v>
      </c>
      <c r="Y265" s="17">
        <v>0</v>
      </c>
      <c r="Z265" s="17"/>
      <c r="AA265" s="17"/>
      <c r="AB265" s="144">
        <v>0</v>
      </c>
      <c r="AC265" s="8">
        <f t="shared" si="59"/>
        <v>0</v>
      </c>
      <c r="AD265" s="11" t="str">
        <f>LEFT(details!E265,5)</f>
        <v>0.000</v>
      </c>
      <c r="AE265" s="42">
        <f t="shared" si="63"/>
        <v>0</v>
      </c>
      <c r="AF265" s="42">
        <f>VLOOKUP(C265,MC.5!B:P,15,FALSE)/3</f>
        <v>0</v>
      </c>
      <c r="AG265" s="152">
        <f t="shared" ref="AG265:AG267" si="64">AF265</f>
        <v>0</v>
      </c>
      <c r="AH265" s="137" t="str">
        <f>VLOOKUP(F265,REF!B:C,2,FALSE)</f>
        <v>Secondary/ Component</v>
      </c>
      <c r="AI265" s="3" t="str">
        <f>VLOOKUP(G265,REF!E:F,2,FALSE)</f>
        <v>LABEL, IML, STICKER, SEALED ETC</v>
      </c>
    </row>
    <row r="266" spans="1:35" x14ac:dyDescent="0.3">
      <c r="A266" s="186" t="s">
        <v>1155</v>
      </c>
      <c r="B266" s="24" t="s">
        <v>1155</v>
      </c>
      <c r="C266" s="156">
        <v>623274</v>
      </c>
      <c r="D266" s="24" t="s">
        <v>1567</v>
      </c>
      <c r="E266" s="24" t="s">
        <v>68</v>
      </c>
      <c r="F266" s="156">
        <v>65400</v>
      </c>
      <c r="G266" s="24" t="s">
        <v>1378</v>
      </c>
      <c r="H266" s="24" t="s">
        <v>1442</v>
      </c>
      <c r="I266" s="24" t="s">
        <v>1378</v>
      </c>
      <c r="J266" s="186" t="s">
        <v>1379</v>
      </c>
      <c r="K266" s="16">
        <v>0</v>
      </c>
      <c r="L266" s="17">
        <v>0</v>
      </c>
      <c r="M266" s="16">
        <v>0</v>
      </c>
      <c r="N266" s="17">
        <v>0</v>
      </c>
      <c r="O266" s="16">
        <v>4597</v>
      </c>
      <c r="P266" s="17">
        <v>0</v>
      </c>
      <c r="Q266" s="16">
        <v>0</v>
      </c>
      <c r="R266" s="17">
        <v>0</v>
      </c>
      <c r="S266" s="16">
        <v>0</v>
      </c>
      <c r="T266" s="17">
        <v>0</v>
      </c>
      <c r="U266" s="16">
        <v>0</v>
      </c>
      <c r="V266" s="17">
        <v>0</v>
      </c>
      <c r="W266" s="18">
        <v>4597</v>
      </c>
      <c r="X266" s="17">
        <v>0</v>
      </c>
      <c r="Y266" s="17">
        <v>0</v>
      </c>
      <c r="Z266" s="17"/>
      <c r="AA266" s="17"/>
      <c r="AB266" s="144">
        <v>0</v>
      </c>
      <c r="AC266" s="8">
        <f t="shared" si="59"/>
        <v>0</v>
      </c>
      <c r="AD266" s="11" t="str">
        <f>LEFT(details!E266,5)</f>
        <v>0.000</v>
      </c>
      <c r="AE266" s="42">
        <f t="shared" si="63"/>
        <v>0</v>
      </c>
      <c r="AF266" s="42">
        <f>VLOOKUP(C266,MC.5!B:P,15,FALSE)/3</f>
        <v>0</v>
      </c>
      <c r="AG266" s="152">
        <f t="shared" si="64"/>
        <v>0</v>
      </c>
      <c r="AH266" s="137" t="str">
        <f>VLOOKUP(F266,REF!B:C,2,FALSE)</f>
        <v>Secondary/ Component</v>
      </c>
      <c r="AI266" s="3" t="str">
        <f>VLOOKUP(G266,REF!E:F,2,FALSE)</f>
        <v>LABEL, IML, STICKER, SEALED ETC</v>
      </c>
    </row>
    <row r="267" spans="1:35" x14ac:dyDescent="0.3">
      <c r="A267" s="186" t="s">
        <v>1155</v>
      </c>
      <c r="B267" s="24" t="s">
        <v>1155</v>
      </c>
      <c r="C267" s="156">
        <v>623275</v>
      </c>
      <c r="D267" s="24" t="s">
        <v>1568</v>
      </c>
      <c r="E267" s="24" t="s">
        <v>68</v>
      </c>
      <c r="F267" s="156">
        <v>65400</v>
      </c>
      <c r="G267" s="24" t="s">
        <v>1378</v>
      </c>
      <c r="H267" s="24" t="s">
        <v>1442</v>
      </c>
      <c r="I267" s="24" t="s">
        <v>1378</v>
      </c>
      <c r="J267" s="186" t="s">
        <v>1379</v>
      </c>
      <c r="K267" s="16">
        <v>0</v>
      </c>
      <c r="L267" s="17">
        <v>0</v>
      </c>
      <c r="M267" s="16">
        <v>0</v>
      </c>
      <c r="N267" s="17">
        <v>0</v>
      </c>
      <c r="O267" s="16">
        <v>4295</v>
      </c>
      <c r="P267" s="17">
        <v>0</v>
      </c>
      <c r="Q267" s="16">
        <v>0</v>
      </c>
      <c r="R267" s="17">
        <v>0</v>
      </c>
      <c r="S267" s="16">
        <v>0</v>
      </c>
      <c r="T267" s="17">
        <v>0</v>
      </c>
      <c r="U267" s="16">
        <v>0</v>
      </c>
      <c r="V267" s="17">
        <v>0</v>
      </c>
      <c r="W267" s="18">
        <v>4295</v>
      </c>
      <c r="X267" s="17">
        <v>0</v>
      </c>
      <c r="Y267" s="17">
        <v>0</v>
      </c>
      <c r="Z267" s="17"/>
      <c r="AA267" s="17"/>
      <c r="AB267" s="144">
        <v>0</v>
      </c>
      <c r="AC267" s="8">
        <f t="shared" si="59"/>
        <v>0</v>
      </c>
      <c r="AD267" s="11" t="str">
        <f>LEFT(details!E267,5)</f>
        <v>0.000</v>
      </c>
      <c r="AE267" s="42">
        <f t="shared" si="63"/>
        <v>0</v>
      </c>
      <c r="AF267" s="42">
        <f>VLOOKUP(C267,MC.5!B:P,15,FALSE)/3</f>
        <v>0</v>
      </c>
      <c r="AG267" s="152">
        <f t="shared" si="64"/>
        <v>0</v>
      </c>
      <c r="AH267" s="137" t="str">
        <f>VLOOKUP(F267,REF!B:C,2,FALSE)</f>
        <v>Secondary/ Component</v>
      </c>
      <c r="AI267" s="3" t="str">
        <f>VLOOKUP(G267,REF!E:F,2,FALSE)</f>
        <v>LABEL, IML, STICKER, SEALED ETC</v>
      </c>
    </row>
    <row r="268" spans="1:35" x14ac:dyDescent="0.3">
      <c r="A268" s="186" t="s">
        <v>1155</v>
      </c>
      <c r="B268" s="24" t="s">
        <v>1155</v>
      </c>
      <c r="C268" s="156">
        <v>623876</v>
      </c>
      <c r="D268" s="24" t="s">
        <v>1952</v>
      </c>
      <c r="E268" s="24" t="s">
        <v>18</v>
      </c>
      <c r="F268" s="156">
        <v>60104</v>
      </c>
      <c r="G268" s="24" t="s">
        <v>1439</v>
      </c>
      <c r="H268" s="24" t="s">
        <v>1396</v>
      </c>
      <c r="I268" s="24" t="s">
        <v>1396</v>
      </c>
      <c r="J268" s="186" t="s">
        <v>1372</v>
      </c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>
        <v>4106.7</v>
      </c>
      <c r="AA268" s="17">
        <v>1368.9</v>
      </c>
      <c r="AB268" s="144"/>
      <c r="AC268" s="8">
        <f t="shared" si="59"/>
        <v>0</v>
      </c>
      <c r="AD268" s="11" t="str">
        <f>LEFT(details!E268,5)</f>
        <v>24.00</v>
      </c>
      <c r="AE268" s="42">
        <f t="shared" si="63"/>
        <v>1368.9</v>
      </c>
      <c r="AF268" s="42">
        <f>VLOOKUP(C268,MC.5!B:P,15,FALSE)/3</f>
        <v>1368.8999999999999</v>
      </c>
      <c r="AG268" s="152">
        <f t="shared" ref="AG263:AG273" si="65">AE268</f>
        <v>1368.9</v>
      </c>
      <c r="AH268" s="137" t="str">
        <f>VLOOKUP(F268,REF!B:C,2,FALSE)</f>
        <v>PET</v>
      </c>
      <c r="AI268" s="3" t="str">
        <f>VLOOKUP(G268,REF!E:F,2,FALSE)</f>
        <v>Jar /Container/Tub</v>
      </c>
    </row>
    <row r="269" spans="1:35" x14ac:dyDescent="0.3">
      <c r="A269" s="186" t="s">
        <v>1155</v>
      </c>
      <c r="B269" s="24" t="s">
        <v>1155</v>
      </c>
      <c r="C269" s="156">
        <v>623880</v>
      </c>
      <c r="D269" s="24" t="s">
        <v>1608</v>
      </c>
      <c r="E269" s="24" t="s">
        <v>18</v>
      </c>
      <c r="F269" s="156">
        <v>60104</v>
      </c>
      <c r="G269" s="24" t="s">
        <v>1439</v>
      </c>
      <c r="H269" s="24" t="s">
        <v>1396</v>
      </c>
      <c r="I269" s="24" t="s">
        <v>1396</v>
      </c>
      <c r="J269" s="186" t="s">
        <v>1372</v>
      </c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>
        <v>3100.5</v>
      </c>
      <c r="AA269" s="17">
        <v>1033.5</v>
      </c>
      <c r="AB269" s="144"/>
      <c r="AC269" s="8">
        <f t="shared" si="59"/>
        <v>0</v>
      </c>
      <c r="AD269" s="11" t="str">
        <f>LEFT(details!E269,5)</f>
        <v>24.00</v>
      </c>
      <c r="AE269" s="42">
        <f t="shared" si="63"/>
        <v>1033.5</v>
      </c>
      <c r="AF269" s="42">
        <f>VLOOKUP(C269,MC.5!B:P,15,FALSE)/3</f>
        <v>1033.5</v>
      </c>
      <c r="AG269" s="152">
        <f t="shared" si="65"/>
        <v>1033.5</v>
      </c>
      <c r="AH269" s="137" t="str">
        <f>VLOOKUP(F269,REF!B:C,2,FALSE)</f>
        <v>PET</v>
      </c>
      <c r="AI269" s="3" t="str">
        <f>VLOOKUP(G269,REF!E:F,2,FALSE)</f>
        <v>Jar /Container/Tub</v>
      </c>
    </row>
    <row r="270" spans="1:35" x14ac:dyDescent="0.3">
      <c r="A270" s="186" t="s">
        <v>1155</v>
      </c>
      <c r="B270" s="24" t="s">
        <v>1155</v>
      </c>
      <c r="C270" s="156">
        <v>623882</v>
      </c>
      <c r="D270" s="24" t="s">
        <v>1609</v>
      </c>
      <c r="E270" s="24" t="s">
        <v>18</v>
      </c>
      <c r="F270" s="156">
        <v>60104</v>
      </c>
      <c r="G270" s="24" t="s">
        <v>1439</v>
      </c>
      <c r="H270" s="24" t="s">
        <v>1396</v>
      </c>
      <c r="I270" s="24" t="s">
        <v>1396</v>
      </c>
      <c r="J270" s="186" t="s">
        <v>1372</v>
      </c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>
        <v>2457</v>
      </c>
      <c r="AA270" s="17">
        <v>819</v>
      </c>
      <c r="AB270" s="144"/>
      <c r="AC270" s="8">
        <f t="shared" si="59"/>
        <v>0</v>
      </c>
      <c r="AD270" s="11" t="str">
        <f>LEFT(details!E270,5)</f>
        <v>24.00</v>
      </c>
      <c r="AE270" s="42">
        <f t="shared" si="63"/>
        <v>819</v>
      </c>
      <c r="AF270" s="42">
        <f>VLOOKUP(C270,MC.5!B:P,15,FALSE)/3</f>
        <v>819</v>
      </c>
      <c r="AG270" s="152">
        <f t="shared" si="65"/>
        <v>819</v>
      </c>
      <c r="AH270" s="137" t="str">
        <f>VLOOKUP(F270,REF!B:C,2,FALSE)</f>
        <v>PET</v>
      </c>
      <c r="AI270" s="3" t="str">
        <f>VLOOKUP(G270,REF!E:F,2,FALSE)</f>
        <v>Jar /Container/Tub</v>
      </c>
    </row>
    <row r="271" spans="1:35" x14ac:dyDescent="0.3">
      <c r="A271" s="186" t="s">
        <v>1155</v>
      </c>
      <c r="B271" s="24" t="s">
        <v>1155</v>
      </c>
      <c r="C271" s="156">
        <v>623885</v>
      </c>
      <c r="D271" s="24" t="s">
        <v>1588</v>
      </c>
      <c r="E271" s="24" t="s">
        <v>24</v>
      </c>
      <c r="F271" s="156">
        <v>60104</v>
      </c>
      <c r="G271" s="24" t="s">
        <v>1439</v>
      </c>
      <c r="H271" s="24" t="s">
        <v>1396</v>
      </c>
      <c r="I271" s="24" t="s">
        <v>1396</v>
      </c>
      <c r="J271" s="186" t="s">
        <v>1372</v>
      </c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>
        <v>2683.2</v>
      </c>
      <c r="AA271" s="17">
        <v>894.4</v>
      </c>
      <c r="AB271" s="144"/>
      <c r="AC271" s="8">
        <f t="shared" si="59"/>
        <v>0</v>
      </c>
      <c r="AD271" s="11" t="str">
        <f>LEFT(details!E271,5)</f>
        <v>33.00</v>
      </c>
      <c r="AE271" s="42">
        <f t="shared" si="63"/>
        <v>894.4</v>
      </c>
      <c r="AF271" s="42">
        <f>VLOOKUP(C271,MC.5!B:P,15,FALSE)/3</f>
        <v>894.4</v>
      </c>
      <c r="AG271" s="152">
        <f t="shared" si="65"/>
        <v>894.4</v>
      </c>
      <c r="AH271" s="137" t="str">
        <f>VLOOKUP(F271,REF!B:C,2,FALSE)</f>
        <v>PET</v>
      </c>
      <c r="AI271" s="3" t="str">
        <f>VLOOKUP(G271,REF!E:F,2,FALSE)</f>
        <v>Jar /Container/Tub</v>
      </c>
    </row>
    <row r="272" spans="1:35" x14ac:dyDescent="0.3">
      <c r="A272" s="186" t="s">
        <v>1155</v>
      </c>
      <c r="B272" s="24" t="s">
        <v>1155</v>
      </c>
      <c r="C272" s="156">
        <v>623886</v>
      </c>
      <c r="D272" s="24" t="s">
        <v>1589</v>
      </c>
      <c r="E272" s="24" t="s">
        <v>24</v>
      </c>
      <c r="F272" s="156">
        <v>60104</v>
      </c>
      <c r="G272" s="24" t="s">
        <v>1439</v>
      </c>
      <c r="H272" s="24" t="s">
        <v>1396</v>
      </c>
      <c r="I272" s="24" t="s">
        <v>1396</v>
      </c>
      <c r="J272" s="186" t="s">
        <v>1372</v>
      </c>
      <c r="K272" s="16">
        <v>5460</v>
      </c>
      <c r="L272" s="17">
        <v>2184</v>
      </c>
      <c r="M272" s="16">
        <v>0</v>
      </c>
      <c r="N272" s="17">
        <v>0</v>
      </c>
      <c r="O272" s="16">
        <v>0</v>
      </c>
      <c r="P272" s="17">
        <v>0</v>
      </c>
      <c r="Q272" s="16">
        <v>0</v>
      </c>
      <c r="R272" s="17">
        <v>0</v>
      </c>
      <c r="S272" s="16">
        <v>0</v>
      </c>
      <c r="T272" s="17">
        <v>0</v>
      </c>
      <c r="U272" s="16">
        <v>0</v>
      </c>
      <c r="V272" s="17">
        <v>0</v>
      </c>
      <c r="W272" s="18">
        <v>5460</v>
      </c>
      <c r="X272" s="17">
        <v>2184</v>
      </c>
      <c r="Y272" s="17">
        <v>0</v>
      </c>
      <c r="Z272" s="17">
        <v>2184</v>
      </c>
      <c r="AA272" s="17">
        <v>728</v>
      </c>
      <c r="AB272" s="144">
        <v>90</v>
      </c>
      <c r="AC272" s="8">
        <f>(AD272*W272)/1000</f>
        <v>180.18</v>
      </c>
      <c r="AD272" s="11" t="str">
        <f>LEFT(details!E272,5)</f>
        <v>33.00</v>
      </c>
      <c r="AE272" s="42">
        <f t="shared" si="63"/>
        <v>728</v>
      </c>
      <c r="AF272" s="42">
        <f>VLOOKUP(C272,MC.5!B:P,15,FALSE)/3</f>
        <v>728</v>
      </c>
      <c r="AG272" s="152">
        <f t="shared" si="65"/>
        <v>728</v>
      </c>
      <c r="AH272" s="137" t="str">
        <f>VLOOKUP(F272,REF!B:C,2,FALSE)</f>
        <v>PET</v>
      </c>
      <c r="AI272" s="3" t="str">
        <f>VLOOKUP(G272,REF!E:F,2,FALSE)</f>
        <v>Jar /Container/Tub</v>
      </c>
    </row>
    <row r="273" spans="1:35" x14ac:dyDescent="0.3">
      <c r="A273" s="186" t="s">
        <v>1155</v>
      </c>
      <c r="B273" s="24" t="s">
        <v>1155</v>
      </c>
      <c r="C273" s="156">
        <v>623887</v>
      </c>
      <c r="D273" s="24" t="s">
        <v>1590</v>
      </c>
      <c r="E273" s="24" t="s">
        <v>24</v>
      </c>
      <c r="F273" s="156">
        <v>60104</v>
      </c>
      <c r="G273" s="24" t="s">
        <v>1439</v>
      </c>
      <c r="H273" s="24" t="s">
        <v>1396</v>
      </c>
      <c r="I273" s="24" t="s">
        <v>1396</v>
      </c>
      <c r="J273" s="186" t="s">
        <v>1372</v>
      </c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>
        <v>1185.5999999999999</v>
      </c>
      <c r="AA273" s="17">
        <v>395.2</v>
      </c>
      <c r="AB273" s="144"/>
      <c r="AC273" s="8">
        <f t="shared" si="59"/>
        <v>0</v>
      </c>
      <c r="AD273" s="11" t="str">
        <f>LEFT(details!E273,5)</f>
        <v>33.00</v>
      </c>
      <c r="AE273" s="42">
        <f t="shared" si="63"/>
        <v>395.2</v>
      </c>
      <c r="AF273" s="42">
        <f>VLOOKUP(C273,MC.5!B:P,15,FALSE)/3</f>
        <v>395.2</v>
      </c>
      <c r="AG273" s="152">
        <f t="shared" si="65"/>
        <v>395.2</v>
      </c>
      <c r="AH273" s="137" t="str">
        <f>VLOOKUP(F273,REF!B:C,2,FALSE)</f>
        <v>PET</v>
      </c>
      <c r="AI273" s="3" t="str">
        <f>VLOOKUP(G273,REF!E:F,2,FALSE)</f>
        <v>Jar /Container/Tub</v>
      </c>
    </row>
    <row r="274" spans="1:35" x14ac:dyDescent="0.3">
      <c r="A274" s="186" t="s">
        <v>1155</v>
      </c>
      <c r="B274" s="24" t="s">
        <v>1155</v>
      </c>
      <c r="C274" s="156">
        <v>624034</v>
      </c>
      <c r="D274" s="24" t="s">
        <v>1591</v>
      </c>
      <c r="E274" s="24" t="s">
        <v>68</v>
      </c>
      <c r="F274" s="156">
        <v>65400</v>
      </c>
      <c r="G274" s="24" t="s">
        <v>1378</v>
      </c>
      <c r="H274" s="24" t="s">
        <v>1442</v>
      </c>
      <c r="I274" s="24" t="s">
        <v>1378</v>
      </c>
      <c r="J274" s="186" t="s">
        <v>1379</v>
      </c>
      <c r="K274" s="16">
        <v>0</v>
      </c>
      <c r="L274" s="17">
        <v>0</v>
      </c>
      <c r="M274" s="16">
        <v>83524</v>
      </c>
      <c r="N274" s="17">
        <v>6119.8</v>
      </c>
      <c r="O274" s="16">
        <v>0</v>
      </c>
      <c r="P274" s="17">
        <v>0</v>
      </c>
      <c r="Q274" s="16">
        <v>0</v>
      </c>
      <c r="R274" s="17">
        <v>0</v>
      </c>
      <c r="S274" s="16">
        <v>0</v>
      </c>
      <c r="T274" s="17">
        <v>0</v>
      </c>
      <c r="U274" s="16">
        <v>0</v>
      </c>
      <c r="V274" s="17">
        <v>0</v>
      </c>
      <c r="W274" s="18">
        <v>83524</v>
      </c>
      <c r="X274" s="17">
        <v>6119.8</v>
      </c>
      <c r="Y274" s="17">
        <v>0</v>
      </c>
      <c r="Z274" s="17"/>
      <c r="AA274" s="17"/>
      <c r="AB274" s="144">
        <v>0</v>
      </c>
      <c r="AC274" s="8">
        <f t="shared" si="59"/>
        <v>0</v>
      </c>
      <c r="AD274" s="11" t="str">
        <f>LEFT(details!E274,5)</f>
        <v>0.000</v>
      </c>
      <c r="AE274" s="42">
        <f t="shared" si="63"/>
        <v>0</v>
      </c>
      <c r="AF274" s="42">
        <f>VLOOKUP(C274,MC.5!B:P,15,FALSE)/3</f>
        <v>373.48666666666668</v>
      </c>
      <c r="AG274" s="152">
        <f t="shared" ref="AG274:AG283" si="66">AF274</f>
        <v>373.48666666666668</v>
      </c>
      <c r="AH274" s="137" t="str">
        <f>VLOOKUP(F274,REF!B:C,2,FALSE)</f>
        <v>Secondary/ Component</v>
      </c>
      <c r="AI274" s="3" t="str">
        <f>VLOOKUP(G274,REF!E:F,2,FALSE)</f>
        <v>LABEL, IML, STICKER, SEALED ETC</v>
      </c>
    </row>
    <row r="275" spans="1:35" x14ac:dyDescent="0.3">
      <c r="A275" s="186" t="s">
        <v>1155</v>
      </c>
      <c r="B275" s="24" t="s">
        <v>1155</v>
      </c>
      <c r="C275" s="156">
        <v>624036</v>
      </c>
      <c r="D275" s="24" t="s">
        <v>1592</v>
      </c>
      <c r="E275" s="24" t="s">
        <v>68</v>
      </c>
      <c r="F275" s="156">
        <v>65400</v>
      </c>
      <c r="G275" s="24" t="s">
        <v>1378</v>
      </c>
      <c r="H275" s="24" t="s">
        <v>1442</v>
      </c>
      <c r="I275" s="24" t="s">
        <v>1378</v>
      </c>
      <c r="J275" s="186" t="s">
        <v>1379</v>
      </c>
      <c r="K275" s="16">
        <v>33000</v>
      </c>
      <c r="L275" s="17">
        <v>3135</v>
      </c>
      <c r="M275" s="16">
        <v>0</v>
      </c>
      <c r="N275" s="17">
        <v>0</v>
      </c>
      <c r="O275" s="16">
        <v>0</v>
      </c>
      <c r="P275" s="17">
        <v>0</v>
      </c>
      <c r="Q275" s="16">
        <v>5376</v>
      </c>
      <c r="R275" s="17">
        <v>510.72</v>
      </c>
      <c r="S275" s="16">
        <v>0</v>
      </c>
      <c r="T275" s="17">
        <v>0</v>
      </c>
      <c r="U275" s="16">
        <v>0</v>
      </c>
      <c r="V275" s="17">
        <v>0</v>
      </c>
      <c r="W275" s="18">
        <v>38376</v>
      </c>
      <c r="X275" s="17">
        <v>3645.72</v>
      </c>
      <c r="Y275" s="17">
        <v>227.01</v>
      </c>
      <c r="Z275" s="17"/>
      <c r="AA275" s="17"/>
      <c r="AB275" s="144">
        <v>0</v>
      </c>
      <c r="AC275" s="8">
        <f t="shared" si="59"/>
        <v>0</v>
      </c>
      <c r="AD275" s="11" t="str">
        <f>LEFT(details!E275,5)</f>
        <v>0.000</v>
      </c>
      <c r="AE275" s="42">
        <f t="shared" si="63"/>
        <v>0</v>
      </c>
      <c r="AF275" s="42">
        <f>VLOOKUP(C275,MC.5!B:P,15,FALSE)/3</f>
        <v>335.79333333333335</v>
      </c>
      <c r="AG275" s="152">
        <f t="shared" si="66"/>
        <v>335.79333333333335</v>
      </c>
      <c r="AH275" s="137" t="str">
        <f>VLOOKUP(F275,REF!B:C,2,FALSE)</f>
        <v>Secondary/ Component</v>
      </c>
      <c r="AI275" s="3" t="str">
        <f>VLOOKUP(G275,REF!E:F,2,FALSE)</f>
        <v>LABEL, IML, STICKER, SEALED ETC</v>
      </c>
    </row>
    <row r="276" spans="1:35" x14ac:dyDescent="0.3">
      <c r="A276" s="186" t="s">
        <v>1155</v>
      </c>
      <c r="B276" s="24" t="s">
        <v>1155</v>
      </c>
      <c r="C276" s="156">
        <v>624037</v>
      </c>
      <c r="D276" s="24" t="s">
        <v>1593</v>
      </c>
      <c r="E276" s="24" t="s">
        <v>68</v>
      </c>
      <c r="F276" s="156">
        <v>65400</v>
      </c>
      <c r="G276" s="24" t="s">
        <v>1378</v>
      </c>
      <c r="H276" s="24" t="s">
        <v>1442</v>
      </c>
      <c r="I276" s="24" t="s">
        <v>1378</v>
      </c>
      <c r="J276" s="186" t="s">
        <v>1379</v>
      </c>
      <c r="K276" s="16">
        <v>32000</v>
      </c>
      <c r="L276" s="17">
        <v>3040</v>
      </c>
      <c r="M276" s="16">
        <v>0</v>
      </c>
      <c r="N276" s="17">
        <v>0</v>
      </c>
      <c r="O276" s="16">
        <v>0</v>
      </c>
      <c r="P276" s="17">
        <v>0</v>
      </c>
      <c r="Q276" s="16">
        <v>17319</v>
      </c>
      <c r="R276" s="17">
        <v>1645.31</v>
      </c>
      <c r="S276" s="16">
        <v>0</v>
      </c>
      <c r="T276" s="17">
        <v>0</v>
      </c>
      <c r="U276" s="16">
        <v>0</v>
      </c>
      <c r="V276" s="17">
        <v>0</v>
      </c>
      <c r="W276" s="18">
        <v>49319</v>
      </c>
      <c r="X276" s="17">
        <v>4685.3100000000004</v>
      </c>
      <c r="Y276" s="17">
        <v>731.31</v>
      </c>
      <c r="Z276" s="17"/>
      <c r="AA276" s="17"/>
      <c r="AB276" s="144">
        <v>0</v>
      </c>
      <c r="AC276" s="8">
        <f t="shared" si="59"/>
        <v>0</v>
      </c>
      <c r="AD276" s="11" t="str">
        <f>LEFT(details!E276,5)</f>
        <v>0.000</v>
      </c>
      <c r="AE276" s="42">
        <f t="shared" si="63"/>
        <v>0</v>
      </c>
      <c r="AF276" s="42">
        <f>VLOOKUP(C276,MC.5!B:P,15,FALSE)/3</f>
        <v>261.72666666666663</v>
      </c>
      <c r="AG276" s="152">
        <f t="shared" si="66"/>
        <v>261.72666666666663</v>
      </c>
      <c r="AH276" s="137" t="str">
        <f>VLOOKUP(F276,REF!B:C,2,FALSE)</f>
        <v>Secondary/ Component</v>
      </c>
      <c r="AI276" s="3" t="str">
        <f>VLOOKUP(G276,REF!E:F,2,FALSE)</f>
        <v>LABEL, IML, STICKER, SEALED ETC</v>
      </c>
    </row>
    <row r="277" spans="1:35" x14ac:dyDescent="0.3">
      <c r="A277" s="186" t="s">
        <v>1155</v>
      </c>
      <c r="B277" s="24" t="s">
        <v>1155</v>
      </c>
      <c r="C277" s="156">
        <v>624038</v>
      </c>
      <c r="D277" s="24" t="s">
        <v>1594</v>
      </c>
      <c r="E277" s="24" t="s">
        <v>68</v>
      </c>
      <c r="F277" s="156">
        <v>65400</v>
      </c>
      <c r="G277" s="24" t="s">
        <v>1378</v>
      </c>
      <c r="H277" s="24" t="s">
        <v>1442</v>
      </c>
      <c r="I277" s="24" t="s">
        <v>1378</v>
      </c>
      <c r="J277" s="186" t="s">
        <v>1379</v>
      </c>
      <c r="K277" s="16">
        <v>10000</v>
      </c>
      <c r="L277" s="17">
        <v>1655.6</v>
      </c>
      <c r="M277" s="16">
        <v>0</v>
      </c>
      <c r="N277" s="17">
        <v>0</v>
      </c>
      <c r="O277" s="16">
        <v>0</v>
      </c>
      <c r="P277" s="17">
        <v>0</v>
      </c>
      <c r="Q277" s="16">
        <v>8370</v>
      </c>
      <c r="R277" s="17">
        <v>1385.74</v>
      </c>
      <c r="S277" s="16">
        <v>0</v>
      </c>
      <c r="T277" s="17">
        <v>0</v>
      </c>
      <c r="U277" s="16">
        <v>0</v>
      </c>
      <c r="V277" s="17">
        <v>0</v>
      </c>
      <c r="W277" s="18">
        <v>18370</v>
      </c>
      <c r="X277" s="17">
        <v>3041.34</v>
      </c>
      <c r="Y277" s="17">
        <v>769.92</v>
      </c>
      <c r="Z277" s="17"/>
      <c r="AA277" s="17"/>
      <c r="AB277" s="144">
        <v>0</v>
      </c>
      <c r="AC277" s="8">
        <f t="shared" si="59"/>
        <v>0</v>
      </c>
      <c r="AD277" s="11" t="str">
        <f>LEFT(details!E277,5)</f>
        <v>0.000</v>
      </c>
      <c r="AE277" s="42">
        <f t="shared" si="63"/>
        <v>0</v>
      </c>
      <c r="AF277" s="42">
        <f>VLOOKUP(C277,MC.5!B:P,15,FALSE)/3</f>
        <v>350.55</v>
      </c>
      <c r="AG277" s="152">
        <f t="shared" si="66"/>
        <v>350.55</v>
      </c>
      <c r="AH277" s="137" t="str">
        <f>VLOOKUP(F277,REF!B:C,2,FALSE)</f>
        <v>Secondary/ Component</v>
      </c>
      <c r="AI277" s="3" t="str">
        <f>VLOOKUP(G277,REF!E:F,2,FALSE)</f>
        <v>LABEL, IML, STICKER, SEALED ETC</v>
      </c>
    </row>
    <row r="278" spans="1:35" x14ac:dyDescent="0.3">
      <c r="A278" s="186" t="s">
        <v>1155</v>
      </c>
      <c r="B278" s="24" t="s">
        <v>1155</v>
      </c>
      <c r="C278" s="156">
        <v>624039</v>
      </c>
      <c r="D278" s="24" t="s">
        <v>1595</v>
      </c>
      <c r="E278" s="24" t="s">
        <v>68</v>
      </c>
      <c r="F278" s="156">
        <v>65400</v>
      </c>
      <c r="G278" s="24" t="s">
        <v>1378</v>
      </c>
      <c r="H278" s="24" t="s">
        <v>1442</v>
      </c>
      <c r="I278" s="24" t="s">
        <v>1378</v>
      </c>
      <c r="J278" s="186" t="s">
        <v>1379</v>
      </c>
      <c r="K278" s="16">
        <v>0</v>
      </c>
      <c r="L278" s="17">
        <v>0</v>
      </c>
      <c r="M278" s="16">
        <v>0</v>
      </c>
      <c r="N278" s="17">
        <v>0</v>
      </c>
      <c r="O278" s="16">
        <v>37699</v>
      </c>
      <c r="P278" s="17">
        <v>4335.38</v>
      </c>
      <c r="Q278" s="16">
        <v>0</v>
      </c>
      <c r="R278" s="17">
        <v>0</v>
      </c>
      <c r="S278" s="16">
        <v>0</v>
      </c>
      <c r="T278" s="17">
        <v>0</v>
      </c>
      <c r="U278" s="16">
        <v>0</v>
      </c>
      <c r="V278" s="17">
        <v>0</v>
      </c>
      <c r="W278" s="18">
        <v>37699</v>
      </c>
      <c r="X278" s="17">
        <v>4335.38</v>
      </c>
      <c r="Y278" s="17">
        <v>1253.56</v>
      </c>
      <c r="Z278" s="17"/>
      <c r="AA278" s="17"/>
      <c r="AB278" s="144">
        <v>0</v>
      </c>
      <c r="AC278" s="8">
        <f t="shared" si="59"/>
        <v>0</v>
      </c>
      <c r="AD278" s="11" t="str">
        <f>LEFT(details!E278,5)</f>
        <v>0.000</v>
      </c>
      <c r="AE278" s="42">
        <f t="shared" si="63"/>
        <v>0</v>
      </c>
      <c r="AF278" s="42">
        <f>VLOOKUP(C278,MC.5!B:P,15,FALSE)/3</f>
        <v>418.59999999999997</v>
      </c>
      <c r="AG278" s="152">
        <f t="shared" si="66"/>
        <v>418.59999999999997</v>
      </c>
      <c r="AH278" s="137" t="str">
        <f>VLOOKUP(F278,REF!B:C,2,FALSE)</f>
        <v>Secondary/ Component</v>
      </c>
      <c r="AI278" s="3" t="str">
        <f>VLOOKUP(G278,REF!E:F,2,FALSE)</f>
        <v>LABEL, IML, STICKER, SEALED ETC</v>
      </c>
    </row>
    <row r="279" spans="1:35" x14ac:dyDescent="0.3">
      <c r="A279" s="186" t="s">
        <v>1155</v>
      </c>
      <c r="B279" s="24" t="s">
        <v>1155</v>
      </c>
      <c r="C279" s="156">
        <v>624040</v>
      </c>
      <c r="D279" s="24" t="s">
        <v>1596</v>
      </c>
      <c r="E279" s="24" t="s">
        <v>68</v>
      </c>
      <c r="F279" s="156">
        <v>65400</v>
      </c>
      <c r="G279" s="24" t="s">
        <v>1378</v>
      </c>
      <c r="H279" s="24" t="s">
        <v>1442</v>
      </c>
      <c r="I279" s="24" t="s">
        <v>1378</v>
      </c>
      <c r="J279" s="186" t="s">
        <v>1379</v>
      </c>
      <c r="K279" s="16">
        <v>0</v>
      </c>
      <c r="L279" s="17">
        <v>0</v>
      </c>
      <c r="M279" s="16">
        <v>0</v>
      </c>
      <c r="N279" s="17">
        <v>0</v>
      </c>
      <c r="O279" s="16">
        <v>49848</v>
      </c>
      <c r="P279" s="17">
        <v>5732.52</v>
      </c>
      <c r="Q279" s="16">
        <v>0</v>
      </c>
      <c r="R279" s="17">
        <v>0</v>
      </c>
      <c r="S279" s="16">
        <v>0</v>
      </c>
      <c r="T279" s="17">
        <v>0</v>
      </c>
      <c r="U279" s="16">
        <v>0</v>
      </c>
      <c r="V279" s="17">
        <v>0</v>
      </c>
      <c r="W279" s="18">
        <v>49848</v>
      </c>
      <c r="X279" s="17">
        <v>5732.52</v>
      </c>
      <c r="Y279" s="17">
        <v>1719.31</v>
      </c>
      <c r="Z279" s="17"/>
      <c r="AA279" s="17"/>
      <c r="AB279" s="144">
        <v>0</v>
      </c>
      <c r="AC279" s="8">
        <f t="shared" si="59"/>
        <v>0</v>
      </c>
      <c r="AD279" s="11" t="str">
        <f>LEFT(details!E279,5)</f>
        <v>0.000</v>
      </c>
      <c r="AE279" s="42">
        <f t="shared" si="63"/>
        <v>0</v>
      </c>
      <c r="AF279" s="42">
        <f>VLOOKUP(C279,MC.5!B:P,15,FALSE)/3</f>
        <v>120.82666666666667</v>
      </c>
      <c r="AG279" s="152">
        <f t="shared" si="66"/>
        <v>120.82666666666667</v>
      </c>
      <c r="AH279" s="137" t="str">
        <f>VLOOKUP(F279,REF!B:C,2,FALSE)</f>
        <v>Secondary/ Component</v>
      </c>
      <c r="AI279" s="3" t="str">
        <f>VLOOKUP(G279,REF!E:F,2,FALSE)</f>
        <v>LABEL, IML, STICKER, SEALED ETC</v>
      </c>
    </row>
    <row r="280" spans="1:35" x14ac:dyDescent="0.3">
      <c r="A280" s="186" t="s">
        <v>1155</v>
      </c>
      <c r="B280" s="24" t="s">
        <v>1155</v>
      </c>
      <c r="C280" s="156">
        <v>624822</v>
      </c>
      <c r="D280" s="24" t="s">
        <v>1610</v>
      </c>
      <c r="E280" s="24" t="s">
        <v>253</v>
      </c>
      <c r="F280" s="156">
        <v>60106</v>
      </c>
      <c r="G280" s="24" t="s">
        <v>1440</v>
      </c>
      <c r="H280" s="24" t="s">
        <v>1369</v>
      </c>
      <c r="I280" s="24" t="s">
        <v>1369</v>
      </c>
      <c r="J280" s="186" t="s">
        <v>1367</v>
      </c>
      <c r="K280" s="16">
        <v>84000</v>
      </c>
      <c r="L280" s="17">
        <v>12034.68</v>
      </c>
      <c r="M280" s="16">
        <v>0</v>
      </c>
      <c r="N280" s="17">
        <v>0</v>
      </c>
      <c r="O280" s="16">
        <v>0</v>
      </c>
      <c r="P280" s="17">
        <v>0</v>
      </c>
      <c r="Q280" s="16">
        <v>0</v>
      </c>
      <c r="R280" s="17">
        <v>0</v>
      </c>
      <c r="S280" s="16">
        <v>0</v>
      </c>
      <c r="T280" s="17">
        <v>0</v>
      </c>
      <c r="U280" s="16">
        <v>0</v>
      </c>
      <c r="V280" s="17">
        <v>0</v>
      </c>
      <c r="W280" s="18">
        <v>84000</v>
      </c>
      <c r="X280" s="17">
        <v>12034.68</v>
      </c>
      <c r="Y280" s="17">
        <v>0</v>
      </c>
      <c r="Z280" s="17"/>
      <c r="AA280" s="17"/>
      <c r="AB280" s="144">
        <v>0</v>
      </c>
      <c r="AC280" s="8">
        <f t="shared" si="59"/>
        <v>394.8</v>
      </c>
      <c r="AD280" s="11" t="str">
        <f>LEFT(details!E280,5)</f>
        <v>4.700</v>
      </c>
      <c r="AE280" s="42">
        <f t="shared" si="63"/>
        <v>0</v>
      </c>
      <c r="AF280" s="42">
        <f>VLOOKUP(C280,MC.5!B:P,15,FALSE)/3</f>
        <v>0</v>
      </c>
      <c r="AG280" s="152">
        <f t="shared" si="66"/>
        <v>0</v>
      </c>
      <c r="AH280" s="137" t="str">
        <f>VLOOKUP(F280,REF!B:C,2,FALSE)</f>
        <v>PP</v>
      </c>
      <c r="AI280" s="3" t="str">
        <f>VLOOKUP(G280,REF!E:F,2,FALSE)</f>
        <v>Closure/Lid/ Handle</v>
      </c>
    </row>
    <row r="281" spans="1:35" x14ac:dyDescent="0.3">
      <c r="A281" s="186" t="s">
        <v>1155</v>
      </c>
      <c r="B281" s="24" t="s">
        <v>1155</v>
      </c>
      <c r="C281" s="156">
        <v>626029</v>
      </c>
      <c r="D281" s="24" t="s">
        <v>2561</v>
      </c>
      <c r="E281" s="24" t="s">
        <v>358</v>
      </c>
      <c r="F281" s="156">
        <v>60104</v>
      </c>
      <c r="G281" s="24" t="s">
        <v>1438</v>
      </c>
      <c r="H281" s="24" t="s">
        <v>1366</v>
      </c>
      <c r="I281" s="24" t="s">
        <v>1366</v>
      </c>
      <c r="J281" s="186" t="s">
        <v>1367</v>
      </c>
      <c r="K281" s="16">
        <v>33037</v>
      </c>
      <c r="L281" s="17">
        <v>13545.17</v>
      </c>
      <c r="M281" s="16">
        <v>0</v>
      </c>
      <c r="N281" s="17">
        <v>0</v>
      </c>
      <c r="O281" s="16">
        <v>0</v>
      </c>
      <c r="P281" s="17">
        <v>0</v>
      </c>
      <c r="Q281" s="16">
        <v>0</v>
      </c>
      <c r="R281" s="17">
        <v>0</v>
      </c>
      <c r="S281" s="16">
        <v>0</v>
      </c>
      <c r="T281" s="17">
        <v>0</v>
      </c>
      <c r="U281" s="16">
        <v>0</v>
      </c>
      <c r="V281" s="17">
        <v>0</v>
      </c>
      <c r="W281" s="18">
        <v>33037</v>
      </c>
      <c r="X281" s="17">
        <v>13545.17</v>
      </c>
      <c r="Y281" s="17">
        <v>0</v>
      </c>
      <c r="Z281" s="17"/>
      <c r="AA281" s="17"/>
      <c r="AB281" s="144">
        <v>0</v>
      </c>
      <c r="AC281" s="8">
        <f t="shared" si="59"/>
        <v>1585.7760000000001</v>
      </c>
      <c r="AD281" s="11" t="str">
        <f>LEFT(details!E281,5)</f>
        <v>48.00</v>
      </c>
      <c r="AE281" s="42">
        <f t="shared" si="63"/>
        <v>0</v>
      </c>
      <c r="AF281" s="42">
        <f>VLOOKUP(C281,MC.5!B:P,15,FALSE)/3</f>
        <v>5072.833333333333</v>
      </c>
      <c r="AG281" s="152">
        <f t="shared" si="66"/>
        <v>5072.833333333333</v>
      </c>
      <c r="AH281" s="137" t="str">
        <f>VLOOKUP(F281,REF!B:C,2,FALSE)</f>
        <v>PET</v>
      </c>
      <c r="AI281" s="3" t="str">
        <f>VLOOKUP(G281,REF!E:F,2,FALSE)</f>
        <v>Bottle</v>
      </c>
    </row>
    <row r="282" spans="1:35" x14ac:dyDescent="0.3">
      <c r="A282" s="186" t="s">
        <v>1155</v>
      </c>
      <c r="B282" s="24" t="s">
        <v>1155</v>
      </c>
      <c r="C282" s="156">
        <v>644323</v>
      </c>
      <c r="D282" s="24" t="s">
        <v>2488</v>
      </c>
      <c r="E282" s="24" t="s">
        <v>2489</v>
      </c>
      <c r="F282" s="156">
        <v>60105</v>
      </c>
      <c r="G282" s="24" t="s">
        <v>1441</v>
      </c>
      <c r="H282" s="24" t="s">
        <v>1370</v>
      </c>
      <c r="I282" s="24" t="s">
        <v>1370</v>
      </c>
      <c r="J282" s="186" t="s">
        <v>1367</v>
      </c>
      <c r="K282" s="16">
        <v>0</v>
      </c>
      <c r="L282" s="17">
        <v>0</v>
      </c>
      <c r="M282" s="16">
        <v>0</v>
      </c>
      <c r="N282" s="17">
        <v>0</v>
      </c>
      <c r="O282" s="16">
        <v>24000</v>
      </c>
      <c r="P282" s="17">
        <v>2370.48</v>
      </c>
      <c r="Q282" s="16">
        <v>0</v>
      </c>
      <c r="R282" s="17">
        <v>0</v>
      </c>
      <c r="S282" s="16">
        <v>0</v>
      </c>
      <c r="T282" s="17">
        <v>0</v>
      </c>
      <c r="U282" s="16">
        <v>0</v>
      </c>
      <c r="V282" s="17">
        <v>0</v>
      </c>
      <c r="W282" s="18">
        <v>24000</v>
      </c>
      <c r="X282" s="17">
        <v>2370.48</v>
      </c>
      <c r="Y282" s="17">
        <v>658.52</v>
      </c>
      <c r="Z282" s="17"/>
      <c r="AA282" s="17"/>
      <c r="AB282" s="144">
        <v>0</v>
      </c>
      <c r="AC282" s="8">
        <f t="shared" si="59"/>
        <v>182.4</v>
      </c>
      <c r="AD282" s="11" t="str">
        <f>LEFT(details!E282,5)</f>
        <v>7.600</v>
      </c>
      <c r="AE282" s="42">
        <f t="shared" si="63"/>
        <v>0</v>
      </c>
      <c r="AF282" s="42">
        <f>VLOOKUP(C282,MC.5!B:P,15,FALSE)/3</f>
        <v>0</v>
      </c>
      <c r="AG282" s="152">
        <f t="shared" si="66"/>
        <v>0</v>
      </c>
      <c r="AH282" s="137" t="str">
        <f>VLOOKUP(F282,REF!B:C,2,FALSE)</f>
        <v>PE</v>
      </c>
      <c r="AI282" s="3" t="str">
        <f>VLOOKUP(G282,REF!E:F,2,FALSE)</f>
        <v>Closure/Lid/ Handle</v>
      </c>
    </row>
    <row r="283" spans="1:35" x14ac:dyDescent="0.3">
      <c r="A283" s="186" t="s">
        <v>1155</v>
      </c>
      <c r="B283" s="24" t="s">
        <v>1155</v>
      </c>
      <c r="C283" s="156">
        <v>645097</v>
      </c>
      <c r="D283" s="24" t="s">
        <v>1971</v>
      </c>
      <c r="E283" s="24" t="s">
        <v>1972</v>
      </c>
      <c r="F283" s="156">
        <v>60105</v>
      </c>
      <c r="G283" s="24" t="s">
        <v>1447</v>
      </c>
      <c r="H283" s="24" t="s">
        <v>1401</v>
      </c>
      <c r="I283" s="24" t="s">
        <v>1401</v>
      </c>
      <c r="J283" s="186" t="s">
        <v>1388</v>
      </c>
      <c r="K283" s="16">
        <v>0</v>
      </c>
      <c r="L283" s="17">
        <v>0</v>
      </c>
      <c r="M283" s="16">
        <v>0</v>
      </c>
      <c r="N283" s="17">
        <v>0</v>
      </c>
      <c r="O283" s="16">
        <v>0</v>
      </c>
      <c r="P283" s="17">
        <v>0</v>
      </c>
      <c r="Q283" s="16">
        <v>675</v>
      </c>
      <c r="R283" s="17">
        <v>1397.25</v>
      </c>
      <c r="S283" s="16">
        <v>0</v>
      </c>
      <c r="T283" s="17">
        <v>0</v>
      </c>
      <c r="U283" s="16">
        <v>0</v>
      </c>
      <c r="V283" s="17">
        <v>0</v>
      </c>
      <c r="W283" s="18">
        <v>675</v>
      </c>
      <c r="X283" s="17">
        <v>1397.25</v>
      </c>
      <c r="Y283" s="17">
        <v>543.41999999999996</v>
      </c>
      <c r="Z283" s="17"/>
      <c r="AA283" s="17"/>
      <c r="AB283" s="144">
        <v>0</v>
      </c>
      <c r="AC283" s="8">
        <f t="shared" si="59"/>
        <v>189</v>
      </c>
      <c r="AD283" s="11" t="str">
        <f>LEFT(details!E283,5)</f>
        <v>280.0</v>
      </c>
      <c r="AE283" s="42">
        <f t="shared" si="63"/>
        <v>0</v>
      </c>
      <c r="AF283" s="42">
        <f>VLOOKUP(C283,MC.5!B:P,15,FALSE)/3</f>
        <v>0</v>
      </c>
      <c r="AG283" s="152">
        <f t="shared" si="66"/>
        <v>0</v>
      </c>
      <c r="AH283" s="137" t="str">
        <f>VLOOKUP(F283,REF!B:C,2,FALSE)</f>
        <v>PE</v>
      </c>
      <c r="AI283" s="3" t="str">
        <f>VLOOKUP(G283,REF!E:F,2,FALSE)</f>
        <v>Jerrycan</v>
      </c>
    </row>
    <row r="284" spans="1:35" x14ac:dyDescent="0.3">
      <c r="A284" s="186" t="s">
        <v>1155</v>
      </c>
      <c r="B284" s="24" t="s">
        <v>1155</v>
      </c>
      <c r="C284" s="156">
        <v>645098</v>
      </c>
      <c r="D284" s="24" t="s">
        <v>2647</v>
      </c>
      <c r="E284" s="24" t="s">
        <v>68</v>
      </c>
      <c r="F284" s="156">
        <v>60106</v>
      </c>
      <c r="G284" s="24" t="s">
        <v>1445</v>
      </c>
      <c r="H284" s="24" t="s">
        <v>1395</v>
      </c>
      <c r="I284" s="24" t="s">
        <v>1395</v>
      </c>
      <c r="J284" s="186" t="s">
        <v>1394</v>
      </c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>
        <v>12581.99</v>
      </c>
      <c r="AA284" s="17">
        <v>4193.9966666666696</v>
      </c>
      <c r="AB284" s="144"/>
      <c r="AC284" s="8">
        <f>(AD284*W284)/1000</f>
        <v>0</v>
      </c>
      <c r="AD284" s="11" t="str">
        <f>LEFT(details!E284,5)</f>
        <v>0.000</v>
      </c>
      <c r="AE284" s="42">
        <f t="shared" si="63"/>
        <v>4193.9966666666696</v>
      </c>
      <c r="AF284" s="42">
        <f>VLOOKUP(C284,MC.5!B:P,15,FALSE)/3</f>
        <v>4194</v>
      </c>
      <c r="AG284" s="152">
        <f t="shared" ref="AG280:AG285" si="67">AE284</f>
        <v>4193.9966666666696</v>
      </c>
      <c r="AH284" s="137" t="str">
        <f>VLOOKUP(F284,REF!B:C,2,FALSE)</f>
        <v>PP</v>
      </c>
      <c r="AI284" s="3" t="str">
        <f>VLOOKUP(G284,REF!E:F,2,FALSE)</f>
        <v>Bottle</v>
      </c>
    </row>
    <row r="285" spans="1:35" x14ac:dyDescent="0.3">
      <c r="A285" s="186" t="s">
        <v>1155</v>
      </c>
      <c r="B285" s="24" t="s">
        <v>1155</v>
      </c>
      <c r="C285" s="156">
        <v>647556</v>
      </c>
      <c r="D285" s="24" t="s">
        <v>2545</v>
      </c>
      <c r="E285" s="24" t="s">
        <v>24</v>
      </c>
      <c r="F285" s="156">
        <v>60104</v>
      </c>
      <c r="G285" s="24" t="s">
        <v>1439</v>
      </c>
      <c r="H285" s="24" t="s">
        <v>1368</v>
      </c>
      <c r="I285" s="24" t="s">
        <v>1368</v>
      </c>
      <c r="J285" s="186" t="s">
        <v>1367</v>
      </c>
      <c r="K285" s="16">
        <v>13860</v>
      </c>
      <c r="L285" s="17">
        <v>3603.6</v>
      </c>
      <c r="M285" s="16">
        <v>0</v>
      </c>
      <c r="N285" s="17">
        <v>0</v>
      </c>
      <c r="O285" s="16">
        <v>0</v>
      </c>
      <c r="P285" s="17">
        <v>0</v>
      </c>
      <c r="Q285" s="16">
        <v>0</v>
      </c>
      <c r="R285" s="17">
        <v>0</v>
      </c>
      <c r="S285" s="16">
        <v>0</v>
      </c>
      <c r="T285" s="17">
        <v>0</v>
      </c>
      <c r="U285" s="16">
        <v>0</v>
      </c>
      <c r="V285" s="17">
        <v>0</v>
      </c>
      <c r="W285" s="18">
        <v>13860</v>
      </c>
      <c r="X285" s="17">
        <v>3603.6</v>
      </c>
      <c r="Y285" s="17">
        <v>0</v>
      </c>
      <c r="Z285" s="17">
        <v>15800.4</v>
      </c>
      <c r="AA285" s="17">
        <v>5266.8</v>
      </c>
      <c r="AB285" s="144">
        <v>20.526315789473699</v>
      </c>
      <c r="AC285" s="8">
        <f t="shared" ref="AC285:AC286" si="68">(AD285*W285)/1000</f>
        <v>457.38</v>
      </c>
      <c r="AD285" s="11" t="str">
        <f>LEFT(details!E285,5)</f>
        <v>33.00</v>
      </c>
      <c r="AE285" s="42">
        <f t="shared" si="63"/>
        <v>5266.8</v>
      </c>
      <c r="AF285" s="42">
        <f>VLOOKUP(C285,MC.5!B:P,15,FALSE)/3</f>
        <v>5266.8</v>
      </c>
      <c r="AG285" s="152">
        <f t="shared" si="67"/>
        <v>5266.8</v>
      </c>
      <c r="AH285" s="137" t="str">
        <f>VLOOKUP(F285,REF!B:C,2,FALSE)</f>
        <v>PET</v>
      </c>
      <c r="AI285" s="3" t="str">
        <f>VLOOKUP(G285,REF!E:F,2,FALSE)</f>
        <v>Jar /Container/Tub</v>
      </c>
    </row>
    <row r="286" spans="1:35" x14ac:dyDescent="0.3">
      <c r="A286" s="186" t="s">
        <v>1155</v>
      </c>
      <c r="B286" s="24" t="s">
        <v>1155</v>
      </c>
      <c r="C286" s="156">
        <v>647596</v>
      </c>
      <c r="D286" s="24" t="s">
        <v>2522</v>
      </c>
      <c r="E286" s="24" t="s">
        <v>18</v>
      </c>
      <c r="F286" s="156">
        <v>60104</v>
      </c>
      <c r="G286" s="24" t="s">
        <v>1439</v>
      </c>
      <c r="H286" s="24" t="s">
        <v>1396</v>
      </c>
      <c r="I286" s="24" t="s">
        <v>1396</v>
      </c>
      <c r="J286" s="186" t="s">
        <v>1372</v>
      </c>
      <c r="K286" s="16">
        <v>0</v>
      </c>
      <c r="L286" s="17">
        <v>0</v>
      </c>
      <c r="M286" s="16">
        <v>0</v>
      </c>
      <c r="N286" s="17">
        <v>0</v>
      </c>
      <c r="O286" s="16">
        <v>63360</v>
      </c>
      <c r="P286" s="17">
        <v>14572.8</v>
      </c>
      <c r="Q286" s="16">
        <v>0</v>
      </c>
      <c r="R286" s="17">
        <v>0</v>
      </c>
      <c r="S286" s="16">
        <v>0</v>
      </c>
      <c r="T286" s="17">
        <v>0</v>
      </c>
      <c r="U286" s="16">
        <v>0</v>
      </c>
      <c r="V286" s="17">
        <v>0</v>
      </c>
      <c r="W286" s="18">
        <v>63360</v>
      </c>
      <c r="X286" s="17">
        <v>14572.8</v>
      </c>
      <c r="Y286" s="17">
        <v>2428.9899999999998</v>
      </c>
      <c r="Z286" s="17"/>
      <c r="AA286" s="17"/>
      <c r="AB286" s="144">
        <v>0</v>
      </c>
      <c r="AC286" s="8">
        <f t="shared" si="68"/>
        <v>1520.64</v>
      </c>
      <c r="AD286" s="11" t="str">
        <f>LEFT(details!E286,5)</f>
        <v>24.00</v>
      </c>
      <c r="AE286" s="42">
        <f t="shared" si="63"/>
        <v>0</v>
      </c>
      <c r="AF286" s="42">
        <f>VLOOKUP(C286,MC.5!B:P,15,FALSE)/3</f>
        <v>0</v>
      </c>
      <c r="AG286" s="152">
        <f>AF286</f>
        <v>0</v>
      </c>
      <c r="AH286" s="137" t="str">
        <f>VLOOKUP(F286,REF!B:C,2,FALSE)</f>
        <v>PET</v>
      </c>
      <c r="AI286" s="3" t="str">
        <f>VLOOKUP(G286,REF!E:F,2,FALSE)</f>
        <v>Jar /Container/Tub</v>
      </c>
    </row>
    <row r="287" spans="1:35" x14ac:dyDescent="0.3">
      <c r="A287" s="186" t="s">
        <v>1155</v>
      </c>
      <c r="B287" s="24" t="s">
        <v>1155</v>
      </c>
      <c r="C287" s="156">
        <v>647684</v>
      </c>
      <c r="D287" s="24" t="s">
        <v>2546</v>
      </c>
      <c r="E287" s="24" t="s">
        <v>24</v>
      </c>
      <c r="F287" s="156">
        <v>60104</v>
      </c>
      <c r="G287" s="24" t="s">
        <v>1439</v>
      </c>
      <c r="H287" s="24" t="s">
        <v>1396</v>
      </c>
      <c r="I287" s="24" t="s">
        <v>1396</v>
      </c>
      <c r="J287" s="186" t="s">
        <v>1372</v>
      </c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>
        <v>5605.6</v>
      </c>
      <c r="AA287" s="17">
        <v>1868.5333333333299</v>
      </c>
      <c r="AB287" s="144"/>
      <c r="AC287" s="8">
        <f t="shared" si="59"/>
        <v>0</v>
      </c>
      <c r="AD287" s="11" t="str">
        <f>LEFT(details!E287,5)</f>
        <v>33.00</v>
      </c>
      <c r="AE287" s="42">
        <f t="shared" si="63"/>
        <v>1868.5333333333299</v>
      </c>
      <c r="AF287" s="42">
        <f>VLOOKUP(C287,MC.5!B:P,15,FALSE)/3</f>
        <v>1868.5333333333335</v>
      </c>
      <c r="AG287" s="152">
        <f t="shared" ref="AG285:AG290" si="69">AE287</f>
        <v>1868.5333333333299</v>
      </c>
      <c r="AH287" s="137" t="str">
        <f>VLOOKUP(F287,REF!B:C,2,FALSE)</f>
        <v>PET</v>
      </c>
      <c r="AI287" s="3" t="str">
        <f>VLOOKUP(G287,REF!E:F,2,FALSE)</f>
        <v>Jar /Container/Tub</v>
      </c>
    </row>
    <row r="288" spans="1:35" x14ac:dyDescent="0.3">
      <c r="A288" s="186" t="s">
        <v>1155</v>
      </c>
      <c r="B288" s="24" t="s">
        <v>1155</v>
      </c>
      <c r="C288" s="156">
        <v>649108</v>
      </c>
      <c r="D288" s="24" t="s">
        <v>2523</v>
      </c>
      <c r="E288" s="24" t="s">
        <v>1327</v>
      </c>
      <c r="F288" s="156">
        <v>60106</v>
      </c>
      <c r="G288" s="24" t="s">
        <v>1440</v>
      </c>
      <c r="H288" s="24" t="s">
        <v>1371</v>
      </c>
      <c r="I288" s="24" t="s">
        <v>1371</v>
      </c>
      <c r="J288" s="186" t="s">
        <v>1372</v>
      </c>
      <c r="K288" s="16">
        <v>14000</v>
      </c>
      <c r="L288" s="17">
        <v>2100</v>
      </c>
      <c r="M288" s="16">
        <v>0</v>
      </c>
      <c r="N288" s="17">
        <v>0</v>
      </c>
      <c r="O288" s="16">
        <v>26000</v>
      </c>
      <c r="P288" s="17">
        <v>3900</v>
      </c>
      <c r="Q288" s="16">
        <v>0</v>
      </c>
      <c r="R288" s="17">
        <v>0</v>
      </c>
      <c r="S288" s="16">
        <v>0</v>
      </c>
      <c r="T288" s="17">
        <v>0</v>
      </c>
      <c r="U288" s="16">
        <v>0</v>
      </c>
      <c r="V288" s="17">
        <v>0</v>
      </c>
      <c r="W288" s="18">
        <v>40000</v>
      </c>
      <c r="X288" s="17">
        <v>6000</v>
      </c>
      <c r="Y288" s="17">
        <v>866.74</v>
      </c>
      <c r="Z288" s="17">
        <v>1500</v>
      </c>
      <c r="AA288" s="17">
        <v>500</v>
      </c>
      <c r="AB288" s="144">
        <v>360</v>
      </c>
      <c r="AC288" s="8">
        <f>(AD288*W288)/1000</f>
        <v>168</v>
      </c>
      <c r="AD288" s="11" t="str">
        <f>LEFT(details!E288,5)</f>
        <v>4.200</v>
      </c>
      <c r="AE288" s="42">
        <f t="shared" si="63"/>
        <v>500</v>
      </c>
      <c r="AF288" s="42">
        <f>VLOOKUP(C288,MC.5!B:P,15,FALSE)/3</f>
        <v>500</v>
      </c>
      <c r="AG288" s="152">
        <f t="shared" si="69"/>
        <v>500</v>
      </c>
      <c r="AH288" s="137" t="str">
        <f>VLOOKUP(F288,REF!B:C,2,FALSE)</f>
        <v>PP</v>
      </c>
      <c r="AI288" s="3" t="str">
        <f>VLOOKUP(G288,REF!E:F,2,FALSE)</f>
        <v>Closure/Lid/ Handle</v>
      </c>
    </row>
    <row r="289" spans="1:35" x14ac:dyDescent="0.3">
      <c r="A289" s="186" t="s">
        <v>1155</v>
      </c>
      <c r="B289" s="24" t="s">
        <v>1155</v>
      </c>
      <c r="C289" s="156">
        <v>649770</v>
      </c>
      <c r="D289" s="24" t="s">
        <v>2524</v>
      </c>
      <c r="E289" s="24" t="s">
        <v>273</v>
      </c>
      <c r="F289" s="156">
        <v>60105</v>
      </c>
      <c r="G289" s="24" t="s">
        <v>1441</v>
      </c>
      <c r="H289" s="24" t="s">
        <v>1370</v>
      </c>
      <c r="I289" s="24" t="s">
        <v>1370</v>
      </c>
      <c r="J289" s="186" t="s">
        <v>1367</v>
      </c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>
        <v>6160.31</v>
      </c>
      <c r="AA289" s="17">
        <v>2053.4366666666701</v>
      </c>
      <c r="AB289" s="144"/>
      <c r="AC289" s="8">
        <f t="shared" si="59"/>
        <v>0</v>
      </c>
      <c r="AD289" s="11" t="str">
        <f>LEFT(details!E289,5)</f>
        <v>3.750</v>
      </c>
      <c r="AE289" s="42">
        <f t="shared" si="63"/>
        <v>2053.4366666666701</v>
      </c>
      <c r="AF289" s="42">
        <f>VLOOKUP(C289,MC.5!B:P,15,FALSE)/3</f>
        <v>2053.436666666667</v>
      </c>
      <c r="AG289" s="152">
        <f t="shared" si="69"/>
        <v>2053.4366666666701</v>
      </c>
      <c r="AH289" s="137" t="str">
        <f>VLOOKUP(F289,REF!B:C,2,FALSE)</f>
        <v>PE</v>
      </c>
      <c r="AI289" s="3" t="str">
        <f>VLOOKUP(G289,REF!E:F,2,FALSE)</f>
        <v>Closure/Lid/ Handle</v>
      </c>
    </row>
    <row r="290" spans="1:35" x14ac:dyDescent="0.3">
      <c r="A290" s="186" t="s">
        <v>1155</v>
      </c>
      <c r="B290" s="24" t="s">
        <v>1155</v>
      </c>
      <c r="C290" s="156">
        <v>650112</v>
      </c>
      <c r="D290" s="24" t="s">
        <v>2525</v>
      </c>
      <c r="E290" s="24" t="s">
        <v>2696</v>
      </c>
      <c r="F290" s="156">
        <v>60104</v>
      </c>
      <c r="G290" s="24" t="s">
        <v>1439</v>
      </c>
      <c r="H290" s="24" t="s">
        <v>1368</v>
      </c>
      <c r="I290" s="24" t="s">
        <v>1368</v>
      </c>
      <c r="J290" s="186" t="s">
        <v>1367</v>
      </c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>
        <v>5070</v>
      </c>
      <c r="AA290" s="17">
        <v>1690</v>
      </c>
      <c r="AB290" s="144"/>
      <c r="AC290" s="8">
        <f t="shared" si="59"/>
        <v>0</v>
      </c>
      <c r="AD290" s="11" t="str">
        <f>LEFT(details!E290,5)</f>
        <v>24.90</v>
      </c>
      <c r="AE290" s="42">
        <f t="shared" si="63"/>
        <v>1690</v>
      </c>
      <c r="AF290" s="42">
        <f>VLOOKUP(C290,MC.5!B:P,15,FALSE)/3</f>
        <v>1690</v>
      </c>
      <c r="AG290" s="152">
        <f t="shared" si="69"/>
        <v>1690</v>
      </c>
      <c r="AH290" s="137" t="str">
        <f>VLOOKUP(F290,REF!B:C,2,FALSE)</f>
        <v>PET</v>
      </c>
      <c r="AI290" s="3" t="str">
        <f>VLOOKUP(G290,REF!E:F,2,FALSE)</f>
        <v>Jar /Container/Tub</v>
      </c>
    </row>
    <row r="291" spans="1:35" x14ac:dyDescent="0.3">
      <c r="A291" s="186" t="s">
        <v>1155</v>
      </c>
      <c r="B291" s="24" t="s">
        <v>1155</v>
      </c>
      <c r="C291" s="156">
        <v>650289</v>
      </c>
      <c r="D291" s="24" t="s">
        <v>2526</v>
      </c>
      <c r="E291" s="24" t="s">
        <v>68</v>
      </c>
      <c r="F291" s="156">
        <v>65400</v>
      </c>
      <c r="G291" s="24" t="s">
        <v>1378</v>
      </c>
      <c r="H291" s="24" t="s">
        <v>1442</v>
      </c>
      <c r="I291" s="24" t="s">
        <v>1378</v>
      </c>
      <c r="J291" s="186" t="s">
        <v>1379</v>
      </c>
      <c r="K291" s="16">
        <v>31008</v>
      </c>
      <c r="L291" s="17">
        <v>0</v>
      </c>
      <c r="M291" s="16">
        <v>0</v>
      </c>
      <c r="N291" s="17">
        <v>0</v>
      </c>
      <c r="O291" s="16">
        <v>0</v>
      </c>
      <c r="P291" s="17">
        <v>0</v>
      </c>
      <c r="Q291" s="16">
        <v>0</v>
      </c>
      <c r="R291" s="17">
        <v>0</v>
      </c>
      <c r="S291" s="16">
        <v>0</v>
      </c>
      <c r="T291" s="17">
        <v>0</v>
      </c>
      <c r="U291" s="16">
        <v>0</v>
      </c>
      <c r="V291" s="17">
        <v>0</v>
      </c>
      <c r="W291" s="18">
        <v>31008</v>
      </c>
      <c r="X291" s="17">
        <v>0</v>
      </c>
      <c r="Y291" s="17">
        <v>0</v>
      </c>
      <c r="Z291" s="17"/>
      <c r="AA291" s="17"/>
      <c r="AB291" s="144">
        <v>0</v>
      </c>
      <c r="AC291" s="8">
        <f>(AD291*W291)/1000</f>
        <v>0</v>
      </c>
      <c r="AD291" s="11" t="str">
        <f>LEFT(details!E291,5)</f>
        <v>0.000</v>
      </c>
      <c r="AE291" s="42">
        <f t="shared" si="63"/>
        <v>0</v>
      </c>
      <c r="AF291" s="42">
        <f>VLOOKUP(C291,MC.5!B:P,15,FALSE)/3</f>
        <v>0</v>
      </c>
      <c r="AG291" s="152">
        <f>AF291</f>
        <v>0</v>
      </c>
      <c r="AH291" s="137" t="str">
        <f>VLOOKUP(F291,REF!B:C,2,FALSE)</f>
        <v>Secondary/ Component</v>
      </c>
      <c r="AI291" s="3" t="str">
        <f>VLOOKUP(G291,REF!E:F,2,FALSE)</f>
        <v>LABEL, IML, STICKER, SEALED ETC</v>
      </c>
    </row>
    <row r="292" spans="1:35" x14ac:dyDescent="0.3">
      <c r="A292" s="186" t="s">
        <v>1155</v>
      </c>
      <c r="B292" s="24" t="s">
        <v>1155</v>
      </c>
      <c r="C292" s="156">
        <v>650368</v>
      </c>
      <c r="D292" s="24" t="s">
        <v>2562</v>
      </c>
      <c r="E292" s="24" t="s">
        <v>43</v>
      </c>
      <c r="F292" s="156">
        <v>60104</v>
      </c>
      <c r="G292" s="24" t="s">
        <v>1438</v>
      </c>
      <c r="H292" s="24" t="s">
        <v>1366</v>
      </c>
      <c r="I292" s="24" t="s">
        <v>1366</v>
      </c>
      <c r="J292" s="186" t="s">
        <v>1367</v>
      </c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>
        <v>6952.05</v>
      </c>
      <c r="AA292" s="17">
        <v>2317.35</v>
      </c>
      <c r="AB292" s="144"/>
      <c r="AC292" s="8">
        <f t="shared" si="59"/>
        <v>0</v>
      </c>
      <c r="AD292" s="11" t="str">
        <f>LEFT(details!E292,5)</f>
        <v>55.00</v>
      </c>
      <c r="AE292" s="42">
        <f t="shared" si="63"/>
        <v>2317.35</v>
      </c>
      <c r="AF292" s="42">
        <f>VLOOKUP(C292,MC.5!B:P,15,FALSE)/3</f>
        <v>2317.35</v>
      </c>
      <c r="AG292" s="152">
        <f t="shared" ref="AG292:AG301" si="70">AE292</f>
        <v>2317.35</v>
      </c>
      <c r="AH292" s="137" t="str">
        <f>VLOOKUP(F292,REF!B:C,2,FALSE)</f>
        <v>PET</v>
      </c>
      <c r="AI292" s="3" t="str">
        <f>VLOOKUP(G292,REF!E:F,2,FALSE)</f>
        <v>Bottle</v>
      </c>
    </row>
    <row r="293" spans="1:35" x14ac:dyDescent="0.3">
      <c r="A293" s="186" t="s">
        <v>1155</v>
      </c>
      <c r="B293" s="24" t="s">
        <v>1155</v>
      </c>
      <c r="C293" s="156">
        <v>650369</v>
      </c>
      <c r="D293" s="24" t="s">
        <v>2777</v>
      </c>
      <c r="E293" s="24" t="s">
        <v>2778</v>
      </c>
      <c r="F293" s="156">
        <v>60106</v>
      </c>
      <c r="G293" s="24" t="s">
        <v>1444</v>
      </c>
      <c r="H293" s="24" t="s">
        <v>2779</v>
      </c>
      <c r="I293" s="24" t="s">
        <v>2779</v>
      </c>
      <c r="J293" s="186" t="s">
        <v>1367</v>
      </c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>
        <v>30</v>
      </c>
      <c r="AA293" s="17">
        <v>10</v>
      </c>
      <c r="AB293" s="144"/>
      <c r="AC293" s="8">
        <f t="shared" si="59"/>
        <v>0</v>
      </c>
      <c r="AD293" s="11" t="str">
        <f>LEFT(details!E293,5)</f>
        <v>0.236</v>
      </c>
      <c r="AE293" s="42">
        <f t="shared" si="63"/>
        <v>10</v>
      </c>
      <c r="AF293" s="42">
        <f>VLOOKUP(C293,MC.5!B:P,15,FALSE)/3</f>
        <v>10</v>
      </c>
      <c r="AG293" s="152">
        <f t="shared" si="70"/>
        <v>10</v>
      </c>
      <c r="AH293" s="137" t="str">
        <f>VLOOKUP(F293,REF!B:C,2,FALSE)</f>
        <v>PP</v>
      </c>
      <c r="AI293" s="3" t="str">
        <f>VLOOKUP(G293,REF!E:F,2,FALSE)</f>
        <v>Jar /Container/Tub</v>
      </c>
    </row>
    <row r="294" spans="1:35" x14ac:dyDescent="0.3">
      <c r="A294" s="186" t="s">
        <v>1155</v>
      </c>
      <c r="B294" s="24" t="s">
        <v>1155</v>
      </c>
      <c r="C294" s="156">
        <v>650542</v>
      </c>
      <c r="D294" s="24" t="s">
        <v>2780</v>
      </c>
      <c r="E294" s="24" t="s">
        <v>2778</v>
      </c>
      <c r="F294" s="156">
        <v>60107</v>
      </c>
      <c r="G294" s="156">
        <v>6010720000</v>
      </c>
      <c r="H294" s="24" t="s">
        <v>2781</v>
      </c>
      <c r="I294" s="24" t="s">
        <v>2781</v>
      </c>
      <c r="J294" s="186" t="s">
        <v>2782</v>
      </c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>
        <v>30</v>
      </c>
      <c r="AA294" s="17">
        <v>10</v>
      </c>
      <c r="AB294" s="144"/>
      <c r="AC294" s="8">
        <f>(AD294*W294)/1000</f>
        <v>0</v>
      </c>
      <c r="AD294" s="11" t="str">
        <f>LEFT(details!E294,5)</f>
        <v>0.236</v>
      </c>
      <c r="AE294" s="42">
        <f t="shared" si="63"/>
        <v>10</v>
      </c>
      <c r="AF294" s="42">
        <f>VLOOKUP(C294,MC.5!B:P,15,FALSE)/3</f>
        <v>10</v>
      </c>
      <c r="AG294" s="152">
        <f t="shared" si="70"/>
        <v>10</v>
      </c>
      <c r="AH294" s="137" t="str">
        <f>VLOOKUP(F294,REF!B:C,2,FALSE)</f>
        <v>Nylon</v>
      </c>
      <c r="AI294" s="3" t="str">
        <f>VLOOKUP(G294,REF!E:F,2,FALSE)</f>
        <v>Component</v>
      </c>
    </row>
    <row r="295" spans="1:35" x14ac:dyDescent="0.3">
      <c r="A295" s="186" t="s">
        <v>1155</v>
      </c>
      <c r="B295" s="24" t="s">
        <v>1155</v>
      </c>
      <c r="C295" s="156">
        <v>650545</v>
      </c>
      <c r="D295" s="24" t="s">
        <v>2783</v>
      </c>
      <c r="E295" s="24" t="s">
        <v>2778</v>
      </c>
      <c r="F295" s="156">
        <v>60107</v>
      </c>
      <c r="G295" s="156">
        <v>6010720000</v>
      </c>
      <c r="H295" s="24" t="s">
        <v>2781</v>
      </c>
      <c r="I295" s="24" t="s">
        <v>2781</v>
      </c>
      <c r="J295" s="186" t="s">
        <v>2782</v>
      </c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>
        <v>30</v>
      </c>
      <c r="AA295" s="17">
        <v>10</v>
      </c>
      <c r="AB295" s="144"/>
      <c r="AC295" s="8">
        <f>(AD295*W295)/1000</f>
        <v>0</v>
      </c>
      <c r="AD295" s="11" t="str">
        <f>LEFT(details!E295,5)</f>
        <v>0.236</v>
      </c>
      <c r="AE295" s="42">
        <f t="shared" si="63"/>
        <v>10</v>
      </c>
      <c r="AF295" s="42">
        <f>VLOOKUP(C295,MC.5!B:P,15,FALSE)/3</f>
        <v>10</v>
      </c>
      <c r="AG295" s="152">
        <f t="shared" si="70"/>
        <v>10</v>
      </c>
      <c r="AH295" s="137" t="str">
        <f>VLOOKUP(F295,REF!B:C,2,FALSE)</f>
        <v>Nylon</v>
      </c>
      <c r="AI295" s="3" t="str">
        <f>VLOOKUP(G295,REF!E:F,2,FALSE)</f>
        <v>Component</v>
      </c>
    </row>
    <row r="296" spans="1:35" x14ac:dyDescent="0.3">
      <c r="A296" s="186" t="s">
        <v>1155</v>
      </c>
      <c r="B296" s="24" t="s">
        <v>1155</v>
      </c>
      <c r="C296" s="156">
        <v>650582</v>
      </c>
      <c r="D296" s="24" t="s">
        <v>2784</v>
      </c>
      <c r="E296" s="24" t="s">
        <v>2778</v>
      </c>
      <c r="F296" s="156">
        <v>60107</v>
      </c>
      <c r="G296" s="156">
        <v>6010720000</v>
      </c>
      <c r="H296" s="24" t="s">
        <v>2781</v>
      </c>
      <c r="I296" s="24" t="s">
        <v>2781</v>
      </c>
      <c r="J296" s="186" t="s">
        <v>2782</v>
      </c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>
        <v>30</v>
      </c>
      <c r="AA296" s="17">
        <v>10</v>
      </c>
      <c r="AB296" s="144"/>
      <c r="AC296" s="8">
        <f t="shared" si="59"/>
        <v>0</v>
      </c>
      <c r="AD296" s="11" t="str">
        <f>LEFT(details!E296,5)</f>
        <v>0.236</v>
      </c>
      <c r="AE296" s="42">
        <f t="shared" si="63"/>
        <v>10</v>
      </c>
      <c r="AF296" s="42">
        <f>VLOOKUP(C296,MC.5!B:P,15,FALSE)/3</f>
        <v>10</v>
      </c>
      <c r="AG296" s="152">
        <f t="shared" si="70"/>
        <v>10</v>
      </c>
      <c r="AH296" s="137" t="str">
        <f>VLOOKUP(F296,REF!B:C,2,FALSE)</f>
        <v>Nylon</v>
      </c>
      <c r="AI296" s="3" t="str">
        <f>VLOOKUP(G296,REF!E:F,2,FALSE)</f>
        <v>Component</v>
      </c>
    </row>
    <row r="297" spans="1:35" x14ac:dyDescent="0.3">
      <c r="A297" s="186" t="s">
        <v>1155</v>
      </c>
      <c r="B297" s="24" t="s">
        <v>1155</v>
      </c>
      <c r="C297" s="156">
        <v>650584</v>
      </c>
      <c r="D297" s="24" t="s">
        <v>2785</v>
      </c>
      <c r="E297" s="24" t="s">
        <v>2778</v>
      </c>
      <c r="F297" s="156">
        <v>60107</v>
      </c>
      <c r="G297" s="156">
        <v>6010720000</v>
      </c>
      <c r="H297" s="24" t="s">
        <v>2781</v>
      </c>
      <c r="I297" s="24" t="s">
        <v>2781</v>
      </c>
      <c r="J297" s="186" t="s">
        <v>2782</v>
      </c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>
        <v>30</v>
      </c>
      <c r="AA297" s="17">
        <v>10</v>
      </c>
      <c r="AB297" s="144"/>
      <c r="AC297" s="8">
        <f>(AD297*W297)/1000</f>
        <v>0</v>
      </c>
      <c r="AD297" s="11" t="str">
        <f>LEFT(details!E297,5)</f>
        <v>0.236</v>
      </c>
      <c r="AE297" s="42">
        <f t="shared" si="63"/>
        <v>10</v>
      </c>
      <c r="AF297" s="42">
        <f>VLOOKUP(C297,MC.5!B:P,15,FALSE)/3</f>
        <v>10</v>
      </c>
      <c r="AG297" s="152">
        <f t="shared" si="70"/>
        <v>10</v>
      </c>
      <c r="AH297" s="137" t="str">
        <f>VLOOKUP(F297,REF!B:C,2,FALSE)</f>
        <v>Nylon</v>
      </c>
      <c r="AI297" s="3" t="str">
        <f>VLOOKUP(G297,REF!E:F,2,FALSE)</f>
        <v>Component</v>
      </c>
    </row>
    <row r="298" spans="1:35" x14ac:dyDescent="0.3">
      <c r="A298" s="186" t="s">
        <v>1155</v>
      </c>
      <c r="B298" s="24" t="s">
        <v>1155</v>
      </c>
      <c r="C298" s="156">
        <v>650585</v>
      </c>
      <c r="D298" s="24" t="s">
        <v>2786</v>
      </c>
      <c r="E298" s="24" t="s">
        <v>2778</v>
      </c>
      <c r="F298" s="156">
        <v>60107</v>
      </c>
      <c r="G298" s="156">
        <v>6010720000</v>
      </c>
      <c r="H298" s="24" t="s">
        <v>2781</v>
      </c>
      <c r="I298" s="24" t="s">
        <v>2781</v>
      </c>
      <c r="J298" s="186" t="s">
        <v>2782</v>
      </c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>
        <v>30</v>
      </c>
      <c r="AA298" s="17">
        <v>10</v>
      </c>
      <c r="AB298" s="144"/>
      <c r="AC298" s="8">
        <f t="shared" si="59"/>
        <v>0</v>
      </c>
      <c r="AD298" s="11" t="str">
        <f>LEFT(details!E298,5)</f>
        <v>0.236</v>
      </c>
      <c r="AE298" s="42">
        <f t="shared" si="63"/>
        <v>10</v>
      </c>
      <c r="AF298" s="42">
        <f>VLOOKUP(C298,MC.5!B:P,15,FALSE)/3</f>
        <v>10</v>
      </c>
      <c r="AG298" s="152">
        <f t="shared" si="70"/>
        <v>10</v>
      </c>
      <c r="AH298" s="137" t="str">
        <f>VLOOKUP(F298,REF!B:C,2,FALSE)</f>
        <v>Nylon</v>
      </c>
      <c r="AI298" s="3" t="str">
        <f>VLOOKUP(G298,REF!E:F,2,FALSE)</f>
        <v>Component</v>
      </c>
    </row>
    <row r="299" spans="1:35" x14ac:dyDescent="0.3">
      <c r="A299" s="186" t="s">
        <v>1155</v>
      </c>
      <c r="B299" s="24" t="s">
        <v>1155</v>
      </c>
      <c r="C299" s="156">
        <v>652202</v>
      </c>
      <c r="D299" s="24" t="s">
        <v>2563</v>
      </c>
      <c r="E299" s="24" t="s">
        <v>358</v>
      </c>
      <c r="F299" s="156">
        <v>60104</v>
      </c>
      <c r="G299" s="24" t="s">
        <v>1438</v>
      </c>
      <c r="H299" s="24" t="s">
        <v>1382</v>
      </c>
      <c r="I299" s="24" t="s">
        <v>1382</v>
      </c>
      <c r="J299" s="186" t="s">
        <v>1372</v>
      </c>
      <c r="K299" s="16">
        <v>2496</v>
      </c>
      <c r="L299" s="17">
        <v>1073.28</v>
      </c>
      <c r="M299" s="16">
        <v>0</v>
      </c>
      <c r="N299" s="17">
        <v>0</v>
      </c>
      <c r="O299" s="16">
        <v>0</v>
      </c>
      <c r="P299" s="17">
        <v>0</v>
      </c>
      <c r="Q299" s="16">
        <v>0</v>
      </c>
      <c r="R299" s="17">
        <v>0</v>
      </c>
      <c r="S299" s="16">
        <v>0</v>
      </c>
      <c r="T299" s="17">
        <v>0</v>
      </c>
      <c r="U299" s="16">
        <v>0</v>
      </c>
      <c r="V299" s="17">
        <v>0</v>
      </c>
      <c r="W299" s="18">
        <v>2496</v>
      </c>
      <c r="X299" s="17">
        <v>1073.28</v>
      </c>
      <c r="Y299" s="17">
        <v>0</v>
      </c>
      <c r="Z299" s="17">
        <v>4942.08</v>
      </c>
      <c r="AA299" s="17">
        <v>1647.36</v>
      </c>
      <c r="AB299" s="144">
        <v>19.545454545454501</v>
      </c>
      <c r="AC299" s="8">
        <f t="shared" si="59"/>
        <v>119.80800000000001</v>
      </c>
      <c r="AD299" s="11" t="str">
        <f>LEFT(details!E299,5)</f>
        <v>48.00</v>
      </c>
      <c r="AE299" s="42">
        <f t="shared" si="63"/>
        <v>1647.36</v>
      </c>
      <c r="AF299" s="42">
        <f>VLOOKUP(C299,MC.5!B:P,15,FALSE)/3</f>
        <v>1647.36</v>
      </c>
      <c r="AG299" s="152">
        <f t="shared" si="70"/>
        <v>1647.36</v>
      </c>
      <c r="AH299" s="137" t="str">
        <f>VLOOKUP(F299,REF!B:C,2,FALSE)</f>
        <v>PET</v>
      </c>
      <c r="AI299" s="3" t="str">
        <f>VLOOKUP(G299,REF!E:F,2,FALSE)</f>
        <v>Bottle</v>
      </c>
    </row>
    <row r="300" spans="1:35" x14ac:dyDescent="0.3">
      <c r="A300" s="186" t="s">
        <v>1155</v>
      </c>
      <c r="B300" s="24" t="s">
        <v>1155</v>
      </c>
      <c r="C300" s="156">
        <v>652203</v>
      </c>
      <c r="D300" s="24" t="s">
        <v>2564</v>
      </c>
      <c r="E300" s="24" t="s">
        <v>358</v>
      </c>
      <c r="F300" s="156">
        <v>60104</v>
      </c>
      <c r="G300" s="24" t="s">
        <v>1438</v>
      </c>
      <c r="H300" s="24" t="s">
        <v>1382</v>
      </c>
      <c r="I300" s="24" t="s">
        <v>1382</v>
      </c>
      <c r="J300" s="186" t="s">
        <v>1372</v>
      </c>
      <c r="K300" s="16">
        <v>2496</v>
      </c>
      <c r="L300" s="17">
        <v>1073.28</v>
      </c>
      <c r="M300" s="16">
        <v>0</v>
      </c>
      <c r="N300" s="17">
        <v>0</v>
      </c>
      <c r="O300" s="16">
        <v>0</v>
      </c>
      <c r="P300" s="17">
        <v>0</v>
      </c>
      <c r="Q300" s="16">
        <v>0</v>
      </c>
      <c r="R300" s="17">
        <v>0</v>
      </c>
      <c r="S300" s="16">
        <v>0</v>
      </c>
      <c r="T300" s="17">
        <v>0</v>
      </c>
      <c r="U300" s="16">
        <v>0</v>
      </c>
      <c r="V300" s="17">
        <v>0</v>
      </c>
      <c r="W300" s="18">
        <v>2496</v>
      </c>
      <c r="X300" s="17">
        <v>1073.28</v>
      </c>
      <c r="Y300" s="17">
        <v>0</v>
      </c>
      <c r="Z300" s="17">
        <v>4917.12</v>
      </c>
      <c r="AA300" s="17">
        <v>1639.04</v>
      </c>
      <c r="AB300" s="144">
        <v>19.644670050761398</v>
      </c>
      <c r="AC300" s="8">
        <f t="shared" si="59"/>
        <v>119.80800000000001</v>
      </c>
      <c r="AD300" s="11" t="str">
        <f>LEFT(details!E300,5)</f>
        <v>48.00</v>
      </c>
      <c r="AE300" s="42">
        <f t="shared" si="63"/>
        <v>1639.04</v>
      </c>
      <c r="AF300" s="42">
        <f>VLOOKUP(C300,MC.5!B:P,15,FALSE)/3</f>
        <v>1639.04</v>
      </c>
      <c r="AG300" s="152">
        <f t="shared" si="70"/>
        <v>1639.04</v>
      </c>
      <c r="AH300" s="137" t="str">
        <f>VLOOKUP(F300,REF!B:C,2,FALSE)</f>
        <v>PET</v>
      </c>
      <c r="AI300" s="3" t="str">
        <f>VLOOKUP(G300,REF!E:F,2,FALSE)</f>
        <v>Bottle</v>
      </c>
    </row>
    <row r="301" spans="1:35" x14ac:dyDescent="0.3">
      <c r="A301" s="186" t="s">
        <v>1155</v>
      </c>
      <c r="B301" s="24" t="s">
        <v>1155</v>
      </c>
      <c r="C301" s="156">
        <v>652204</v>
      </c>
      <c r="D301" s="24" t="s">
        <v>2565</v>
      </c>
      <c r="E301" s="24" t="s">
        <v>358</v>
      </c>
      <c r="F301" s="156">
        <v>60104</v>
      </c>
      <c r="G301" s="24" t="s">
        <v>1438</v>
      </c>
      <c r="H301" s="24" t="s">
        <v>1382</v>
      </c>
      <c r="I301" s="24" t="s">
        <v>1382</v>
      </c>
      <c r="J301" s="186" t="s">
        <v>1372</v>
      </c>
      <c r="K301" s="16">
        <v>2496</v>
      </c>
      <c r="L301" s="17">
        <v>1073.28</v>
      </c>
      <c r="M301" s="16">
        <v>0</v>
      </c>
      <c r="N301" s="17">
        <v>0</v>
      </c>
      <c r="O301" s="16">
        <v>0</v>
      </c>
      <c r="P301" s="17">
        <v>0</v>
      </c>
      <c r="Q301" s="16">
        <v>0</v>
      </c>
      <c r="R301" s="17">
        <v>0</v>
      </c>
      <c r="S301" s="16">
        <v>0</v>
      </c>
      <c r="T301" s="17">
        <v>0</v>
      </c>
      <c r="U301" s="16">
        <v>0</v>
      </c>
      <c r="V301" s="17">
        <v>0</v>
      </c>
      <c r="W301" s="18">
        <v>2496</v>
      </c>
      <c r="X301" s="17">
        <v>1073.28</v>
      </c>
      <c r="Y301" s="17">
        <v>0</v>
      </c>
      <c r="Z301" s="17">
        <v>4661.28</v>
      </c>
      <c r="AA301" s="17">
        <v>1553.76</v>
      </c>
      <c r="AB301" s="144">
        <v>20.722891566265101</v>
      </c>
      <c r="AC301" s="8">
        <f t="shared" si="59"/>
        <v>119.80800000000001</v>
      </c>
      <c r="AD301" s="11" t="str">
        <f>LEFT(details!E301,5)</f>
        <v>48.00</v>
      </c>
      <c r="AE301" s="42">
        <f t="shared" si="63"/>
        <v>1553.76</v>
      </c>
      <c r="AF301" s="42">
        <f>VLOOKUP(C301,MC.5!B:P,15,FALSE)/3</f>
        <v>1553.76</v>
      </c>
      <c r="AG301" s="152">
        <f t="shared" si="70"/>
        <v>1553.76</v>
      </c>
      <c r="AH301" s="137" t="str">
        <f>VLOOKUP(F301,REF!B:C,2,FALSE)</f>
        <v>PET</v>
      </c>
      <c r="AI301" s="3" t="str">
        <f>VLOOKUP(G301,REF!E:F,2,FALSE)</f>
        <v>Bottle</v>
      </c>
    </row>
    <row r="302" spans="1:35" x14ac:dyDescent="0.3">
      <c r="A302" s="186" t="s">
        <v>1155</v>
      </c>
      <c r="B302" s="24" t="s">
        <v>1155</v>
      </c>
      <c r="C302" s="156">
        <v>652829</v>
      </c>
      <c r="D302" s="24" t="s">
        <v>2566</v>
      </c>
      <c r="E302" s="24" t="s">
        <v>68</v>
      </c>
      <c r="F302" s="156">
        <v>65400</v>
      </c>
      <c r="G302" s="24" t="s">
        <v>1378</v>
      </c>
      <c r="H302" s="24" t="s">
        <v>1442</v>
      </c>
      <c r="I302" s="24" t="s">
        <v>1378</v>
      </c>
      <c r="J302" s="186" t="s">
        <v>1379</v>
      </c>
      <c r="K302" s="16">
        <v>33700</v>
      </c>
      <c r="L302" s="17">
        <v>0</v>
      </c>
      <c r="M302" s="16">
        <v>0</v>
      </c>
      <c r="N302" s="17">
        <v>0</v>
      </c>
      <c r="O302" s="16">
        <v>352</v>
      </c>
      <c r="P302" s="17">
        <v>0</v>
      </c>
      <c r="Q302" s="16">
        <v>0</v>
      </c>
      <c r="R302" s="17">
        <v>0</v>
      </c>
      <c r="S302" s="16">
        <v>0</v>
      </c>
      <c r="T302" s="17">
        <v>0</v>
      </c>
      <c r="U302" s="16">
        <v>0</v>
      </c>
      <c r="V302" s="17">
        <v>0</v>
      </c>
      <c r="W302" s="18">
        <v>34052</v>
      </c>
      <c r="X302" s="17">
        <v>0</v>
      </c>
      <c r="Y302" s="17">
        <v>0</v>
      </c>
      <c r="Z302" s="17"/>
      <c r="AA302" s="17"/>
      <c r="AB302" s="144">
        <v>0</v>
      </c>
      <c r="AC302" s="8">
        <f t="shared" si="59"/>
        <v>0</v>
      </c>
      <c r="AD302" s="11" t="str">
        <f>LEFT(details!E302,5)</f>
        <v>0.000</v>
      </c>
      <c r="AE302" s="42">
        <f t="shared" si="63"/>
        <v>0</v>
      </c>
      <c r="AF302" s="42">
        <f>VLOOKUP(C302,MC.5!B:P,15,FALSE)/3</f>
        <v>0</v>
      </c>
      <c r="AG302" s="152">
        <f t="shared" ref="AG302:AG304" si="71">AF302</f>
        <v>0</v>
      </c>
      <c r="AH302" s="137" t="str">
        <f>VLOOKUP(F302,REF!B:C,2,FALSE)</f>
        <v>Secondary/ Component</v>
      </c>
      <c r="AI302" s="3" t="str">
        <f>VLOOKUP(G302,REF!E:F,2,FALSE)</f>
        <v>LABEL, IML, STICKER, SEALED ETC</v>
      </c>
    </row>
    <row r="303" spans="1:35" x14ac:dyDescent="0.3">
      <c r="A303" s="186" t="s">
        <v>1155</v>
      </c>
      <c r="B303" s="24" t="s">
        <v>1155</v>
      </c>
      <c r="C303" s="156">
        <v>652843</v>
      </c>
      <c r="D303" s="24" t="s">
        <v>2567</v>
      </c>
      <c r="E303" s="24" t="s">
        <v>68</v>
      </c>
      <c r="F303" s="156">
        <v>65400</v>
      </c>
      <c r="G303" s="24" t="s">
        <v>1378</v>
      </c>
      <c r="H303" s="24" t="s">
        <v>1442</v>
      </c>
      <c r="I303" s="24" t="s">
        <v>1378</v>
      </c>
      <c r="J303" s="186" t="s">
        <v>1379</v>
      </c>
      <c r="K303" s="16">
        <v>35000</v>
      </c>
      <c r="L303" s="17">
        <v>0</v>
      </c>
      <c r="M303" s="16">
        <v>0</v>
      </c>
      <c r="N303" s="17">
        <v>0</v>
      </c>
      <c r="O303" s="16">
        <v>1300</v>
      </c>
      <c r="P303" s="17">
        <v>0</v>
      </c>
      <c r="Q303" s="16">
        <v>0</v>
      </c>
      <c r="R303" s="17">
        <v>0</v>
      </c>
      <c r="S303" s="16">
        <v>0</v>
      </c>
      <c r="T303" s="17">
        <v>0</v>
      </c>
      <c r="U303" s="16">
        <v>0</v>
      </c>
      <c r="V303" s="17">
        <v>0</v>
      </c>
      <c r="W303" s="18">
        <v>36300</v>
      </c>
      <c r="X303" s="17">
        <v>0</v>
      </c>
      <c r="Y303" s="17">
        <v>0</v>
      </c>
      <c r="Z303" s="17"/>
      <c r="AA303" s="17"/>
      <c r="AB303" s="144">
        <v>0</v>
      </c>
      <c r="AC303" s="8">
        <f t="shared" si="59"/>
        <v>0</v>
      </c>
      <c r="AD303" s="11" t="str">
        <f>LEFT(details!E303,5)</f>
        <v>0.000</v>
      </c>
      <c r="AE303" s="42">
        <f t="shared" si="63"/>
        <v>0</v>
      </c>
      <c r="AF303" s="42">
        <f>VLOOKUP(C303,MC.5!B:P,15,FALSE)/3</f>
        <v>0</v>
      </c>
      <c r="AG303" s="152">
        <f t="shared" si="71"/>
        <v>0</v>
      </c>
      <c r="AH303" s="137" t="str">
        <f>VLOOKUP(F303,REF!B:C,2,FALSE)</f>
        <v>Secondary/ Component</v>
      </c>
      <c r="AI303" s="3" t="str">
        <f>VLOOKUP(G303,REF!E:F,2,FALSE)</f>
        <v>LABEL, IML, STICKER, SEALED ETC</v>
      </c>
    </row>
    <row r="304" spans="1:35" x14ac:dyDescent="0.3">
      <c r="A304" s="186" t="s">
        <v>1155</v>
      </c>
      <c r="B304" s="24" t="s">
        <v>1155</v>
      </c>
      <c r="C304" s="156">
        <v>652844</v>
      </c>
      <c r="D304" s="24" t="s">
        <v>2568</v>
      </c>
      <c r="E304" s="24" t="s">
        <v>68</v>
      </c>
      <c r="F304" s="156">
        <v>65400</v>
      </c>
      <c r="G304" s="24" t="s">
        <v>1378</v>
      </c>
      <c r="H304" s="24" t="s">
        <v>1442</v>
      </c>
      <c r="I304" s="24" t="s">
        <v>1378</v>
      </c>
      <c r="J304" s="186" t="s">
        <v>1379</v>
      </c>
      <c r="K304" s="16">
        <v>36300</v>
      </c>
      <c r="L304" s="17">
        <v>0</v>
      </c>
      <c r="M304" s="16">
        <v>0</v>
      </c>
      <c r="N304" s="17">
        <v>0</v>
      </c>
      <c r="O304" s="16">
        <v>177</v>
      </c>
      <c r="P304" s="17">
        <v>0</v>
      </c>
      <c r="Q304" s="16">
        <v>0</v>
      </c>
      <c r="R304" s="17">
        <v>0</v>
      </c>
      <c r="S304" s="16">
        <v>0</v>
      </c>
      <c r="T304" s="17">
        <v>0</v>
      </c>
      <c r="U304" s="16">
        <v>0</v>
      </c>
      <c r="V304" s="17">
        <v>0</v>
      </c>
      <c r="W304" s="18">
        <v>36477</v>
      </c>
      <c r="X304" s="17">
        <v>0</v>
      </c>
      <c r="Y304" s="17">
        <v>0</v>
      </c>
      <c r="Z304" s="17"/>
      <c r="AA304" s="17"/>
      <c r="AB304" s="144">
        <v>0</v>
      </c>
      <c r="AC304" s="8">
        <f t="shared" si="59"/>
        <v>0</v>
      </c>
      <c r="AD304" s="11" t="str">
        <f>LEFT(details!E304,5)</f>
        <v>0.000</v>
      </c>
      <c r="AE304" s="42">
        <f t="shared" si="63"/>
        <v>0</v>
      </c>
      <c r="AF304" s="42">
        <f>VLOOKUP(C304,MC.5!B:P,15,FALSE)/3</f>
        <v>0</v>
      </c>
      <c r="AG304" s="152">
        <f t="shared" si="71"/>
        <v>0</v>
      </c>
      <c r="AH304" s="137" t="str">
        <f>VLOOKUP(F304,REF!B:C,2,FALSE)</f>
        <v>Secondary/ Component</v>
      </c>
      <c r="AI304" s="3" t="str">
        <f>VLOOKUP(G304,REF!E:F,2,FALSE)</f>
        <v>LABEL, IML, STICKER, SEALED ETC</v>
      </c>
    </row>
    <row r="305" spans="1:35" x14ac:dyDescent="0.3">
      <c r="A305" s="186" t="s">
        <v>1155</v>
      </c>
      <c r="B305" s="24" t="s">
        <v>1155</v>
      </c>
      <c r="C305" s="156">
        <v>653092</v>
      </c>
      <c r="D305" s="24" t="s">
        <v>2584</v>
      </c>
      <c r="E305" s="24" t="s">
        <v>2487</v>
      </c>
      <c r="F305" s="156">
        <v>60106</v>
      </c>
      <c r="G305" s="24" t="s">
        <v>1440</v>
      </c>
      <c r="H305" s="24" t="s">
        <v>1371</v>
      </c>
      <c r="I305" s="24" t="s">
        <v>1371</v>
      </c>
      <c r="J305" s="186" t="s">
        <v>1372</v>
      </c>
      <c r="K305" s="16">
        <v>58800</v>
      </c>
      <c r="L305" s="17">
        <v>7047.18</v>
      </c>
      <c r="M305" s="16">
        <v>0</v>
      </c>
      <c r="N305" s="17">
        <v>0</v>
      </c>
      <c r="O305" s="16">
        <v>0</v>
      </c>
      <c r="P305" s="17">
        <v>0</v>
      </c>
      <c r="Q305" s="16">
        <v>0</v>
      </c>
      <c r="R305" s="17">
        <v>0</v>
      </c>
      <c r="S305" s="16">
        <v>0</v>
      </c>
      <c r="T305" s="17">
        <v>0</v>
      </c>
      <c r="U305" s="16">
        <v>0</v>
      </c>
      <c r="V305" s="17">
        <v>0</v>
      </c>
      <c r="W305" s="18">
        <v>58800</v>
      </c>
      <c r="X305" s="17">
        <v>7047.18</v>
      </c>
      <c r="Y305" s="17">
        <v>0</v>
      </c>
      <c r="Z305" s="17">
        <v>19954.78</v>
      </c>
      <c r="AA305" s="17">
        <v>6651.5933333333296</v>
      </c>
      <c r="AB305" s="144">
        <v>31.784174017453498</v>
      </c>
      <c r="AC305" s="8">
        <f t="shared" si="59"/>
        <v>352.8</v>
      </c>
      <c r="AD305" s="11" t="str">
        <f>LEFT(details!E305,5)</f>
        <v>6.000</v>
      </c>
      <c r="AE305" s="42">
        <f t="shared" si="63"/>
        <v>6651.5933333333296</v>
      </c>
      <c r="AF305" s="42">
        <f>VLOOKUP(C305,MC.5!B:P,15,FALSE)/3</f>
        <v>6651.5933333333332</v>
      </c>
      <c r="AG305" s="152">
        <f>AE305</f>
        <v>6651.5933333333296</v>
      </c>
      <c r="AH305" s="137" t="str">
        <f>VLOOKUP(F305,REF!B:C,2,FALSE)</f>
        <v>PP</v>
      </c>
      <c r="AI305" s="3" t="str">
        <f>VLOOKUP(G305,REF!E:F,2,FALSE)</f>
        <v>Closure/Lid/ Handle</v>
      </c>
    </row>
    <row r="306" spans="1:35" x14ac:dyDescent="0.3">
      <c r="A306" s="186" t="s">
        <v>1155</v>
      </c>
      <c r="B306" s="24" t="s">
        <v>1155</v>
      </c>
      <c r="C306" s="156">
        <v>653153</v>
      </c>
      <c r="D306" s="24" t="s">
        <v>2601</v>
      </c>
      <c r="E306" s="24" t="s">
        <v>2602</v>
      </c>
      <c r="F306" s="156">
        <v>60106</v>
      </c>
      <c r="G306" s="24" t="s">
        <v>1445</v>
      </c>
      <c r="H306" s="24" t="s">
        <v>1395</v>
      </c>
      <c r="I306" s="24" t="s">
        <v>1395</v>
      </c>
      <c r="J306" s="186" t="s">
        <v>1394</v>
      </c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>
        <v>0</v>
      </c>
      <c r="AA306" s="17">
        <v>0</v>
      </c>
      <c r="AB306" s="144"/>
      <c r="AC306" s="8">
        <f t="shared" ref="AC304:AC310" si="72">(AD306*W306)/1000</f>
        <v>0</v>
      </c>
      <c r="AD306" s="11" t="str">
        <f>LEFT(details!E306,5)</f>
        <v>14.50</v>
      </c>
      <c r="AE306" s="42">
        <f t="shared" si="63"/>
        <v>0</v>
      </c>
      <c r="AF306" s="42">
        <v>0</v>
      </c>
      <c r="AG306" s="152">
        <f t="shared" ref="AG306:AG307" si="73">AF306</f>
        <v>0</v>
      </c>
      <c r="AH306" s="137" t="str">
        <f>VLOOKUP(F306,REF!B:C,2,FALSE)</f>
        <v>PP</v>
      </c>
      <c r="AI306" s="3" t="str">
        <f>VLOOKUP(G306,REF!E:F,2,FALSE)</f>
        <v>Bottle</v>
      </c>
    </row>
    <row r="307" spans="1:35" x14ac:dyDescent="0.3">
      <c r="A307" s="186" t="s">
        <v>1155</v>
      </c>
      <c r="B307" s="24" t="s">
        <v>1155</v>
      </c>
      <c r="C307" s="156">
        <v>657111</v>
      </c>
      <c r="D307" s="24" t="s">
        <v>2721</v>
      </c>
      <c r="E307" s="24" t="s">
        <v>1982</v>
      </c>
      <c r="F307" s="156">
        <v>60105</v>
      </c>
      <c r="G307" s="24" t="s">
        <v>1441</v>
      </c>
      <c r="H307" s="24" t="s">
        <v>1370</v>
      </c>
      <c r="I307" s="24" t="s">
        <v>1370</v>
      </c>
      <c r="J307" s="186" t="s">
        <v>1367</v>
      </c>
      <c r="K307" s="16">
        <v>0</v>
      </c>
      <c r="L307" s="17">
        <v>0</v>
      </c>
      <c r="M307" s="16">
        <v>6000</v>
      </c>
      <c r="N307" s="17">
        <v>1128</v>
      </c>
      <c r="O307" s="16">
        <v>0</v>
      </c>
      <c r="P307" s="17">
        <v>0</v>
      </c>
      <c r="Q307" s="16">
        <v>0</v>
      </c>
      <c r="R307" s="17">
        <v>0</v>
      </c>
      <c r="S307" s="16">
        <v>0</v>
      </c>
      <c r="T307" s="17">
        <v>0</v>
      </c>
      <c r="U307" s="16">
        <v>0</v>
      </c>
      <c r="V307" s="17">
        <v>0</v>
      </c>
      <c r="W307" s="18">
        <v>6000</v>
      </c>
      <c r="X307" s="17">
        <v>1128</v>
      </c>
      <c r="Y307" s="17">
        <v>0</v>
      </c>
      <c r="Z307" s="17"/>
      <c r="AA307" s="17"/>
      <c r="AB307" s="144">
        <v>0</v>
      </c>
      <c r="AC307" s="8">
        <f t="shared" si="72"/>
        <v>37.200000000000003</v>
      </c>
      <c r="AD307" s="11" t="str">
        <f>LEFT(details!E307,5)</f>
        <v>6.200</v>
      </c>
      <c r="AE307" s="42">
        <f t="shared" si="63"/>
        <v>0</v>
      </c>
      <c r="AF307" s="42">
        <f>VLOOKUP(C307,MC.5!B:P,15,FALSE)/3</f>
        <v>0</v>
      </c>
      <c r="AG307" s="152">
        <f t="shared" si="73"/>
        <v>0</v>
      </c>
      <c r="AH307" s="137" t="str">
        <f>VLOOKUP(F307,REF!B:C,2,FALSE)</f>
        <v>PE</v>
      </c>
      <c r="AI307" s="3" t="str">
        <f>VLOOKUP(G307,REF!E:F,2,FALSE)</f>
        <v>Closure/Lid/ Handle</v>
      </c>
    </row>
    <row r="308" spans="1:35" x14ac:dyDescent="0.3">
      <c r="A308" s="186" t="s">
        <v>1155</v>
      </c>
      <c r="B308" s="24" t="s">
        <v>1155</v>
      </c>
      <c r="C308" s="156">
        <v>657223</v>
      </c>
      <c r="D308" s="24" t="s">
        <v>2648</v>
      </c>
      <c r="E308" s="24" t="s">
        <v>2489</v>
      </c>
      <c r="F308" s="156">
        <v>60105</v>
      </c>
      <c r="G308" s="24" t="s">
        <v>1441</v>
      </c>
      <c r="H308" s="24" t="s">
        <v>1370</v>
      </c>
      <c r="I308" s="24" t="s">
        <v>1370</v>
      </c>
      <c r="J308" s="186" t="s">
        <v>1367</v>
      </c>
      <c r="K308" s="16">
        <v>18500</v>
      </c>
      <c r="L308" s="17">
        <v>2385.39</v>
      </c>
      <c r="M308" s="16">
        <v>0</v>
      </c>
      <c r="N308" s="17">
        <v>0</v>
      </c>
      <c r="O308" s="16">
        <v>0</v>
      </c>
      <c r="P308" s="17">
        <v>0</v>
      </c>
      <c r="Q308" s="16">
        <v>0</v>
      </c>
      <c r="R308" s="17">
        <v>0</v>
      </c>
      <c r="S308" s="16">
        <v>0</v>
      </c>
      <c r="T308" s="17">
        <v>0</v>
      </c>
      <c r="U308" s="16">
        <v>0</v>
      </c>
      <c r="V308" s="17">
        <v>0</v>
      </c>
      <c r="W308" s="18">
        <v>18500</v>
      </c>
      <c r="X308" s="17">
        <v>2385.39</v>
      </c>
      <c r="Y308" s="17">
        <v>0</v>
      </c>
      <c r="Z308" s="17">
        <v>1535.91</v>
      </c>
      <c r="AA308" s="17">
        <v>511.97</v>
      </c>
      <c r="AB308" s="144">
        <v>139.77713537902599</v>
      </c>
      <c r="AC308" s="8">
        <f t="shared" si="72"/>
        <v>140.6</v>
      </c>
      <c r="AD308" s="11" t="str">
        <f>LEFT(details!E308,5)</f>
        <v>7.600</v>
      </c>
      <c r="AE308" s="42">
        <f t="shared" si="63"/>
        <v>511.97</v>
      </c>
      <c r="AF308" s="42">
        <f>VLOOKUP(C308,MC.5!B:P,15,FALSE)/3</f>
        <v>511.97666666666669</v>
      </c>
      <c r="AG308" s="152">
        <f t="shared" ref="AG308:AG309" si="74">AE308</f>
        <v>511.97</v>
      </c>
      <c r="AH308" s="137" t="str">
        <f>VLOOKUP(F308,REF!B:C,2,FALSE)</f>
        <v>PE</v>
      </c>
      <c r="AI308" s="3" t="str">
        <f>VLOOKUP(G308,REF!E:F,2,FALSE)</f>
        <v>Closure/Lid/ Handle</v>
      </c>
    </row>
    <row r="309" spans="1:35" x14ac:dyDescent="0.3">
      <c r="A309" s="186" t="s">
        <v>1155</v>
      </c>
      <c r="B309" s="24" t="s">
        <v>1155</v>
      </c>
      <c r="C309" s="156">
        <v>657982</v>
      </c>
      <c r="D309" s="24" t="s">
        <v>2650</v>
      </c>
      <c r="E309" s="24" t="s">
        <v>17</v>
      </c>
      <c r="F309" s="156">
        <v>60104</v>
      </c>
      <c r="G309" s="24" t="s">
        <v>1438</v>
      </c>
      <c r="H309" s="24" t="s">
        <v>1382</v>
      </c>
      <c r="I309" s="24" t="s">
        <v>1382</v>
      </c>
      <c r="J309" s="186" t="s">
        <v>1372</v>
      </c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>
        <v>8537.76</v>
      </c>
      <c r="AA309" s="17">
        <v>2845.92</v>
      </c>
      <c r="AB309" s="144"/>
      <c r="AC309" s="8">
        <f t="shared" si="72"/>
        <v>0</v>
      </c>
      <c r="AD309" s="11" t="str">
        <f>LEFT(details!E309,5)</f>
        <v>23.00</v>
      </c>
      <c r="AE309" s="42">
        <f t="shared" si="63"/>
        <v>2845.92</v>
      </c>
      <c r="AF309" s="42">
        <f>VLOOKUP(C309,MC.5!B:P,15,FALSE)/3</f>
        <v>2845.92</v>
      </c>
      <c r="AG309" s="152">
        <f t="shared" si="74"/>
        <v>2845.92</v>
      </c>
      <c r="AH309" s="137" t="str">
        <f>VLOOKUP(F309,REF!B:C,2,FALSE)</f>
        <v>PET</v>
      </c>
      <c r="AI309" s="3" t="str">
        <f>VLOOKUP(G309,REF!E:F,2,FALSE)</f>
        <v>Bottle</v>
      </c>
    </row>
    <row r="310" spans="1:35" x14ac:dyDescent="0.3">
      <c r="A310" s="186" t="s">
        <v>1155</v>
      </c>
      <c r="B310" s="24" t="s">
        <v>1155</v>
      </c>
      <c r="C310" s="156">
        <v>657983</v>
      </c>
      <c r="D310" s="24" t="s">
        <v>2651</v>
      </c>
      <c r="E310" s="24" t="s">
        <v>68</v>
      </c>
      <c r="F310" s="156">
        <v>65400</v>
      </c>
      <c r="G310" s="24" t="s">
        <v>1378</v>
      </c>
      <c r="H310" s="24" t="s">
        <v>1442</v>
      </c>
      <c r="I310" s="24" t="s">
        <v>1378</v>
      </c>
      <c r="J310" s="186" t="s">
        <v>1379</v>
      </c>
      <c r="K310" s="16">
        <v>42600</v>
      </c>
      <c r="L310" s="17">
        <v>0</v>
      </c>
      <c r="M310" s="16">
        <v>0</v>
      </c>
      <c r="N310" s="17">
        <v>0</v>
      </c>
      <c r="O310" s="16">
        <v>0</v>
      </c>
      <c r="P310" s="17">
        <v>0</v>
      </c>
      <c r="Q310" s="16">
        <v>0</v>
      </c>
      <c r="R310" s="17">
        <v>0</v>
      </c>
      <c r="S310" s="16">
        <v>0</v>
      </c>
      <c r="T310" s="17">
        <v>0</v>
      </c>
      <c r="U310" s="16">
        <v>0</v>
      </c>
      <c r="V310" s="17">
        <v>0</v>
      </c>
      <c r="W310" s="18">
        <v>42600</v>
      </c>
      <c r="X310" s="17">
        <v>0</v>
      </c>
      <c r="Y310" s="17">
        <v>0</v>
      </c>
      <c r="Z310" s="17"/>
      <c r="AA310" s="17"/>
      <c r="AB310" s="144">
        <v>0</v>
      </c>
      <c r="AC310" s="8">
        <f>(AD310*W310)/1000</f>
        <v>0</v>
      </c>
      <c r="AD310" s="11" t="str">
        <f>LEFT(details!E310,5)</f>
        <v>0.000</v>
      </c>
      <c r="AE310" s="42">
        <f t="shared" si="63"/>
        <v>0</v>
      </c>
      <c r="AF310" s="42">
        <f>VLOOKUP(C310,MC.5!B:P,15,FALSE)/3</f>
        <v>0</v>
      </c>
      <c r="AG310" s="152">
        <f>AF310</f>
        <v>0</v>
      </c>
      <c r="AH310" s="137" t="str">
        <f>VLOOKUP(F310,REF!B:C,2,FALSE)</f>
        <v>Secondary/ Component</v>
      </c>
      <c r="AI310" s="3" t="str">
        <f>VLOOKUP(G310,REF!E:F,2,FALSE)</f>
        <v>LABEL, IML, STICKER, SEALED ETC</v>
      </c>
    </row>
    <row r="311" spans="1:35" x14ac:dyDescent="0.3">
      <c r="A311" s="186" t="s">
        <v>1155</v>
      </c>
      <c r="B311" s="24" t="s">
        <v>1155</v>
      </c>
      <c r="C311" s="156">
        <v>658124</v>
      </c>
      <c r="D311" s="24" t="s">
        <v>2652</v>
      </c>
      <c r="E311" s="24" t="s">
        <v>17</v>
      </c>
      <c r="F311" s="156">
        <v>60104</v>
      </c>
      <c r="G311" s="24" t="s">
        <v>1438</v>
      </c>
      <c r="H311" s="24" t="s">
        <v>1382</v>
      </c>
      <c r="I311" s="24" t="s">
        <v>1382</v>
      </c>
      <c r="J311" s="186" t="s">
        <v>1372</v>
      </c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>
        <v>8904.2800000000007</v>
      </c>
      <c r="AA311" s="17">
        <v>2968.0933333333301</v>
      </c>
      <c r="AB311" s="144"/>
      <c r="AC311" s="8">
        <f>W311</f>
        <v>0</v>
      </c>
      <c r="AD311" s="11" t="str">
        <f>LEFT(details!E311,5)</f>
        <v>23.00</v>
      </c>
      <c r="AE311" s="42">
        <f t="shared" si="63"/>
        <v>2968.0933333333301</v>
      </c>
      <c r="AF311" s="42">
        <f>VLOOKUP(C311,MC.5!B:P,15,FALSE)/3</f>
        <v>2968.0933333333337</v>
      </c>
      <c r="AG311" s="152">
        <f>AE311</f>
        <v>2968.0933333333301</v>
      </c>
      <c r="AH311" s="137" t="str">
        <f>VLOOKUP(F311,REF!B:C,2,FALSE)</f>
        <v>PET</v>
      </c>
      <c r="AI311" s="3" t="str">
        <f>VLOOKUP(G311,REF!E:F,2,FALSE)</f>
        <v>Bottle</v>
      </c>
    </row>
    <row r="312" spans="1:35" x14ac:dyDescent="0.3">
      <c r="A312" s="186" t="s">
        <v>1155</v>
      </c>
      <c r="B312" s="24" t="s">
        <v>1155</v>
      </c>
      <c r="C312" s="156">
        <v>658125</v>
      </c>
      <c r="D312" s="24" t="s">
        <v>2653</v>
      </c>
      <c r="E312" s="24" t="s">
        <v>68</v>
      </c>
      <c r="F312" s="156">
        <v>65400</v>
      </c>
      <c r="G312" s="24" t="s">
        <v>1378</v>
      </c>
      <c r="H312" s="24" t="s">
        <v>1442</v>
      </c>
      <c r="I312" s="24" t="s">
        <v>1378</v>
      </c>
      <c r="J312" s="186" t="s">
        <v>1379</v>
      </c>
      <c r="K312" s="16">
        <v>36800</v>
      </c>
      <c r="L312" s="17">
        <v>0</v>
      </c>
      <c r="M312" s="16">
        <v>0</v>
      </c>
      <c r="N312" s="17">
        <v>0</v>
      </c>
      <c r="O312" s="16">
        <v>0</v>
      </c>
      <c r="P312" s="17">
        <v>0</v>
      </c>
      <c r="Q312" s="16">
        <v>0</v>
      </c>
      <c r="R312" s="17">
        <v>0</v>
      </c>
      <c r="S312" s="16">
        <v>0</v>
      </c>
      <c r="T312" s="17">
        <v>0</v>
      </c>
      <c r="U312" s="16">
        <v>0</v>
      </c>
      <c r="V312" s="17">
        <v>0</v>
      </c>
      <c r="W312" s="18">
        <v>36800</v>
      </c>
      <c r="X312" s="17">
        <v>0</v>
      </c>
      <c r="Y312" s="17">
        <v>0</v>
      </c>
      <c r="Z312" s="17"/>
      <c r="AA312" s="17"/>
      <c r="AB312" s="144">
        <v>0</v>
      </c>
      <c r="AC312" s="8">
        <f>(AD312*W312)/1000</f>
        <v>0</v>
      </c>
      <c r="AD312" s="11" t="str">
        <f>LEFT(details!E312,5)</f>
        <v>0.000</v>
      </c>
      <c r="AE312" s="42">
        <f t="shared" si="63"/>
        <v>0</v>
      </c>
      <c r="AF312" s="42">
        <f>VLOOKUP(C312,MC.5!B:P,15,FALSE)/3</f>
        <v>0</v>
      </c>
      <c r="AG312" s="152">
        <f>AF312</f>
        <v>0</v>
      </c>
      <c r="AH312" s="137" t="str">
        <f>VLOOKUP(F312,REF!B:C,2,FALSE)</f>
        <v>Secondary/ Component</v>
      </c>
      <c r="AI312" s="3" t="str">
        <f>VLOOKUP(G312,REF!E:F,2,FALSE)</f>
        <v>LABEL, IML, STICKER, SEALED ETC</v>
      </c>
    </row>
    <row r="313" spans="1:35" x14ac:dyDescent="0.3">
      <c r="A313" s="186" t="s">
        <v>1155</v>
      </c>
      <c r="B313" s="24" t="s">
        <v>1155</v>
      </c>
      <c r="C313" s="156">
        <v>658159</v>
      </c>
      <c r="D313" s="24" t="s">
        <v>2654</v>
      </c>
      <c r="E313" s="24" t="s">
        <v>17</v>
      </c>
      <c r="F313" s="156">
        <v>60104</v>
      </c>
      <c r="G313" s="24" t="s">
        <v>1438</v>
      </c>
      <c r="H313" s="24" t="s">
        <v>1382</v>
      </c>
      <c r="I313" s="24" t="s">
        <v>1382</v>
      </c>
      <c r="J313" s="186" t="s">
        <v>1372</v>
      </c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>
        <v>10715.32</v>
      </c>
      <c r="AA313" s="17">
        <v>3571.7733333333299</v>
      </c>
      <c r="AB313" s="144"/>
      <c r="AC313" s="8">
        <f t="shared" ref="AC312:AC375" si="75">W313</f>
        <v>0</v>
      </c>
      <c r="AD313" s="11" t="str">
        <f>LEFT(details!E313,5)</f>
        <v>23.00</v>
      </c>
      <c r="AE313" s="42">
        <f t="shared" si="63"/>
        <v>3571.7733333333299</v>
      </c>
      <c r="AF313" s="42">
        <f>VLOOKUP(C313,MC.5!B:P,15,FALSE)/3</f>
        <v>3571.7733333333331</v>
      </c>
      <c r="AG313" s="152">
        <f t="shared" ref="AG313:AG314" si="76">AE313</f>
        <v>3571.7733333333299</v>
      </c>
      <c r="AH313" s="137" t="str">
        <f>VLOOKUP(F313,REF!B:C,2,FALSE)</f>
        <v>PET</v>
      </c>
      <c r="AI313" s="3" t="str">
        <f>VLOOKUP(G313,REF!E:F,2,FALSE)</f>
        <v>Bottle</v>
      </c>
    </row>
    <row r="314" spans="1:35" x14ac:dyDescent="0.3">
      <c r="A314" s="186" t="s">
        <v>1155</v>
      </c>
      <c r="B314" s="24" t="s">
        <v>1155</v>
      </c>
      <c r="C314" s="156">
        <v>658161</v>
      </c>
      <c r="D314" s="24" t="s">
        <v>2655</v>
      </c>
      <c r="E314" s="24" t="s">
        <v>17</v>
      </c>
      <c r="F314" s="156">
        <v>60104</v>
      </c>
      <c r="G314" s="24" t="s">
        <v>1438</v>
      </c>
      <c r="H314" s="24" t="s">
        <v>1382</v>
      </c>
      <c r="I314" s="24" t="s">
        <v>1382</v>
      </c>
      <c r="J314" s="186" t="s">
        <v>1372</v>
      </c>
      <c r="K314" s="16">
        <v>4312</v>
      </c>
      <c r="L314" s="17">
        <v>1078</v>
      </c>
      <c r="M314" s="16">
        <v>0</v>
      </c>
      <c r="N314" s="17">
        <v>0</v>
      </c>
      <c r="O314" s="16">
        <v>0</v>
      </c>
      <c r="P314" s="17">
        <v>0</v>
      </c>
      <c r="Q314" s="16">
        <v>0</v>
      </c>
      <c r="R314" s="17">
        <v>0</v>
      </c>
      <c r="S314" s="16">
        <v>0</v>
      </c>
      <c r="T314" s="17">
        <v>0</v>
      </c>
      <c r="U314" s="16">
        <v>0</v>
      </c>
      <c r="V314" s="17">
        <v>0</v>
      </c>
      <c r="W314" s="18">
        <v>4312</v>
      </c>
      <c r="X314" s="17">
        <v>1078</v>
      </c>
      <c r="Y314" s="17">
        <v>0</v>
      </c>
      <c r="Z314" s="17">
        <v>8904.2800000000007</v>
      </c>
      <c r="AA314" s="17">
        <v>2968.0933333333301</v>
      </c>
      <c r="AB314" s="144">
        <v>10.8958837772397</v>
      </c>
      <c r="AC314" s="8">
        <f t="shared" ref="AC314:AC316" si="77">(AD314*W314)/1000</f>
        <v>99.176000000000002</v>
      </c>
      <c r="AD314" s="11" t="str">
        <f>LEFT(details!E314,5)</f>
        <v>23.00</v>
      </c>
      <c r="AE314" s="42">
        <f t="shared" si="63"/>
        <v>2968.0933333333301</v>
      </c>
      <c r="AF314" s="42">
        <f>VLOOKUP(C314,MC.5!B:P,15,FALSE)/3</f>
        <v>2968.0933333333337</v>
      </c>
      <c r="AG314" s="152">
        <f t="shared" si="76"/>
        <v>2968.0933333333301</v>
      </c>
      <c r="AH314" s="137" t="str">
        <f>VLOOKUP(F314,REF!B:C,2,FALSE)</f>
        <v>PET</v>
      </c>
      <c r="AI314" s="3" t="str">
        <f>VLOOKUP(G314,REF!E:F,2,FALSE)</f>
        <v>Bottle</v>
      </c>
    </row>
    <row r="315" spans="1:35" x14ac:dyDescent="0.3">
      <c r="A315" s="186" t="s">
        <v>1155</v>
      </c>
      <c r="B315" s="24" t="s">
        <v>1155</v>
      </c>
      <c r="C315" s="156">
        <v>658162</v>
      </c>
      <c r="D315" s="24" t="s">
        <v>2656</v>
      </c>
      <c r="E315" s="24" t="s">
        <v>68</v>
      </c>
      <c r="F315" s="156">
        <v>65400</v>
      </c>
      <c r="G315" s="24" t="s">
        <v>1378</v>
      </c>
      <c r="H315" s="24" t="s">
        <v>1442</v>
      </c>
      <c r="I315" s="24" t="s">
        <v>1378</v>
      </c>
      <c r="J315" s="186" t="s">
        <v>1379</v>
      </c>
      <c r="K315" s="16">
        <v>31130</v>
      </c>
      <c r="L315" s="17">
        <v>0</v>
      </c>
      <c r="M315" s="16">
        <v>0</v>
      </c>
      <c r="N315" s="17">
        <v>0</v>
      </c>
      <c r="O315" s="16">
        <v>0</v>
      </c>
      <c r="P315" s="17">
        <v>0</v>
      </c>
      <c r="Q315" s="16">
        <v>0</v>
      </c>
      <c r="R315" s="17">
        <v>0</v>
      </c>
      <c r="S315" s="16">
        <v>0</v>
      </c>
      <c r="T315" s="17">
        <v>0</v>
      </c>
      <c r="U315" s="16">
        <v>0</v>
      </c>
      <c r="V315" s="17">
        <v>0</v>
      </c>
      <c r="W315" s="18">
        <v>31130</v>
      </c>
      <c r="X315" s="17">
        <v>0</v>
      </c>
      <c r="Y315" s="17">
        <v>0</v>
      </c>
      <c r="Z315" s="17"/>
      <c r="AA315" s="17"/>
      <c r="AB315" s="144">
        <v>0</v>
      </c>
      <c r="AC315" s="8">
        <f t="shared" si="77"/>
        <v>0</v>
      </c>
      <c r="AD315" s="11" t="str">
        <f>LEFT(details!E315,5)</f>
        <v>0.000</v>
      </c>
      <c r="AE315" s="42">
        <f t="shared" si="63"/>
        <v>0</v>
      </c>
      <c r="AF315" s="42">
        <f>VLOOKUP(C315,MC.5!B:P,15,FALSE)/3</f>
        <v>0</v>
      </c>
      <c r="AG315" s="152">
        <f t="shared" ref="AG315:AG316" si="78">AF315</f>
        <v>0</v>
      </c>
      <c r="AH315" s="137" t="str">
        <f>VLOOKUP(F315,REF!B:C,2,FALSE)</f>
        <v>Secondary/ Component</v>
      </c>
      <c r="AI315" s="3" t="str">
        <f>VLOOKUP(G315,REF!E:F,2,FALSE)</f>
        <v>LABEL, IML, STICKER, SEALED ETC</v>
      </c>
    </row>
    <row r="316" spans="1:35" x14ac:dyDescent="0.3">
      <c r="A316" s="186" t="s">
        <v>1155</v>
      </c>
      <c r="B316" s="24" t="s">
        <v>1155</v>
      </c>
      <c r="C316" s="156">
        <v>658163</v>
      </c>
      <c r="D316" s="24" t="s">
        <v>2657</v>
      </c>
      <c r="E316" s="24" t="s">
        <v>68</v>
      </c>
      <c r="F316" s="156">
        <v>65400</v>
      </c>
      <c r="G316" s="24" t="s">
        <v>1378</v>
      </c>
      <c r="H316" s="24" t="s">
        <v>1442</v>
      </c>
      <c r="I316" s="24" t="s">
        <v>1378</v>
      </c>
      <c r="J316" s="186" t="s">
        <v>1379</v>
      </c>
      <c r="K316" s="16">
        <v>50609</v>
      </c>
      <c r="L316" s="17">
        <v>0</v>
      </c>
      <c r="M316" s="16">
        <v>0</v>
      </c>
      <c r="N316" s="17">
        <v>0</v>
      </c>
      <c r="O316" s="16">
        <v>0</v>
      </c>
      <c r="P316" s="17">
        <v>0</v>
      </c>
      <c r="Q316" s="16">
        <v>0</v>
      </c>
      <c r="R316" s="17">
        <v>0</v>
      </c>
      <c r="S316" s="16">
        <v>0</v>
      </c>
      <c r="T316" s="17">
        <v>0</v>
      </c>
      <c r="U316" s="16">
        <v>0</v>
      </c>
      <c r="V316" s="17">
        <v>0</v>
      </c>
      <c r="W316" s="18">
        <v>50609</v>
      </c>
      <c r="X316" s="17">
        <v>0</v>
      </c>
      <c r="Y316" s="17">
        <v>0</v>
      </c>
      <c r="Z316" s="17"/>
      <c r="AA316" s="17"/>
      <c r="AB316" s="144">
        <v>0</v>
      </c>
      <c r="AC316" s="8">
        <f t="shared" si="77"/>
        <v>0</v>
      </c>
      <c r="AD316" s="11" t="str">
        <f>LEFT(details!E316,5)</f>
        <v>0.000</v>
      </c>
      <c r="AE316" s="42">
        <f t="shared" si="63"/>
        <v>0</v>
      </c>
      <c r="AF316" s="42">
        <f>VLOOKUP(C316,MC.5!B:P,15,FALSE)/3</f>
        <v>0</v>
      </c>
      <c r="AG316" s="152">
        <f t="shared" si="78"/>
        <v>0</v>
      </c>
      <c r="AH316" s="137" t="str">
        <f>VLOOKUP(F316,REF!B:C,2,FALSE)</f>
        <v>Secondary/ Component</v>
      </c>
      <c r="AI316" s="3" t="str">
        <f>VLOOKUP(G316,REF!E:F,2,FALSE)</f>
        <v>LABEL, IML, STICKER, SEALED ETC</v>
      </c>
    </row>
    <row r="317" spans="1:35" x14ac:dyDescent="0.3">
      <c r="A317" s="186" t="s">
        <v>1155</v>
      </c>
      <c r="B317" s="24" t="s">
        <v>1155</v>
      </c>
      <c r="C317" s="156">
        <v>661980</v>
      </c>
      <c r="D317" s="24" t="s">
        <v>2697</v>
      </c>
      <c r="E317" s="24" t="s">
        <v>2696</v>
      </c>
      <c r="F317" s="156">
        <v>60104</v>
      </c>
      <c r="G317" s="24" t="s">
        <v>1439</v>
      </c>
      <c r="H317" s="24" t="s">
        <v>1396</v>
      </c>
      <c r="I317" s="24" t="s">
        <v>1396</v>
      </c>
      <c r="J317" s="186" t="s">
        <v>1372</v>
      </c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>
        <v>3744</v>
      </c>
      <c r="AA317" s="17">
        <v>1248</v>
      </c>
      <c r="AB317" s="144"/>
      <c r="AC317" s="8">
        <f t="shared" si="75"/>
        <v>0</v>
      </c>
      <c r="AD317" s="11" t="str">
        <f>LEFT(details!E317,5)</f>
        <v>24.90</v>
      </c>
      <c r="AE317" s="42">
        <f t="shared" si="63"/>
        <v>1248</v>
      </c>
      <c r="AF317" s="42">
        <f>VLOOKUP(C317,MC.5!B:P,15,FALSE)/3</f>
        <v>1248</v>
      </c>
      <c r="AG317" s="152">
        <f t="shared" ref="AG317:AG318" si="79">AE317</f>
        <v>1248</v>
      </c>
      <c r="AH317" s="137" t="str">
        <f>VLOOKUP(F317,REF!B:C,2,FALSE)</f>
        <v>PET</v>
      </c>
      <c r="AI317" s="3" t="str">
        <f>VLOOKUP(G317,REF!E:F,2,FALSE)</f>
        <v>Jar /Container/Tub</v>
      </c>
    </row>
    <row r="318" spans="1:35" x14ac:dyDescent="0.3">
      <c r="A318" s="186" t="s">
        <v>1155</v>
      </c>
      <c r="B318" s="24" t="s">
        <v>1155</v>
      </c>
      <c r="C318" s="156">
        <v>663215</v>
      </c>
      <c r="D318" s="24" t="s">
        <v>2787</v>
      </c>
      <c r="E318" s="24" t="s">
        <v>124</v>
      </c>
      <c r="F318" s="156">
        <v>60105</v>
      </c>
      <c r="G318" s="24" t="s">
        <v>1441</v>
      </c>
      <c r="H318" s="24" t="s">
        <v>1370</v>
      </c>
      <c r="I318" s="24" t="s">
        <v>1370</v>
      </c>
      <c r="J318" s="186" t="s">
        <v>1367</v>
      </c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>
        <v>11245.07</v>
      </c>
      <c r="AA318" s="17">
        <v>3748.3566666666702</v>
      </c>
      <c r="AB318" s="144"/>
      <c r="AC318" s="8">
        <f t="shared" si="75"/>
        <v>0</v>
      </c>
      <c r="AD318" s="11" t="str">
        <f>LEFT(details!E318,5)</f>
        <v>6.300</v>
      </c>
      <c r="AE318" s="42">
        <f t="shared" si="63"/>
        <v>3748.3566666666702</v>
      </c>
      <c r="AF318" s="42">
        <f>VLOOKUP(C318,MC.5!B:P,15,FALSE)/3</f>
        <v>3748.35</v>
      </c>
      <c r="AG318" s="152">
        <f t="shared" si="79"/>
        <v>3748.3566666666702</v>
      </c>
      <c r="AH318" s="137" t="str">
        <f>VLOOKUP(F318,REF!B:C,2,FALSE)</f>
        <v>PE</v>
      </c>
      <c r="AI318" s="3" t="str">
        <f>VLOOKUP(G318,REF!E:F,2,FALSE)</f>
        <v>Closure/Lid/ Handle</v>
      </c>
    </row>
    <row r="319" spans="1:35" x14ac:dyDescent="0.3">
      <c r="A319" s="186" t="s">
        <v>1155</v>
      </c>
      <c r="B319" s="24" t="s">
        <v>1155</v>
      </c>
      <c r="C319" s="156">
        <v>663634</v>
      </c>
      <c r="D319" s="24" t="s">
        <v>2788</v>
      </c>
      <c r="E319" s="24" t="s">
        <v>113</v>
      </c>
      <c r="F319" s="156">
        <v>65400</v>
      </c>
      <c r="G319" s="24" t="s">
        <v>1378</v>
      </c>
      <c r="H319" s="24" t="s">
        <v>1442</v>
      </c>
      <c r="I319" s="24" t="s">
        <v>1378</v>
      </c>
      <c r="J319" s="186" t="s">
        <v>1379</v>
      </c>
      <c r="K319" s="16">
        <v>500000</v>
      </c>
      <c r="L319" s="17">
        <v>27500</v>
      </c>
      <c r="M319" s="16">
        <v>0</v>
      </c>
      <c r="N319" s="17">
        <v>0</v>
      </c>
      <c r="O319" s="16">
        <v>0</v>
      </c>
      <c r="P319" s="17">
        <v>0</v>
      </c>
      <c r="Q319" s="16">
        <v>0</v>
      </c>
      <c r="R319" s="17">
        <v>0</v>
      </c>
      <c r="S319" s="16">
        <v>0</v>
      </c>
      <c r="T319" s="17">
        <v>0</v>
      </c>
      <c r="U319" s="16">
        <v>0</v>
      </c>
      <c r="V319" s="17">
        <v>0</v>
      </c>
      <c r="W319" s="18">
        <v>500000</v>
      </c>
      <c r="X319" s="17">
        <v>27500</v>
      </c>
      <c r="Y319" s="17">
        <v>0</v>
      </c>
      <c r="Z319" s="17"/>
      <c r="AA319" s="17"/>
      <c r="AB319" s="144">
        <v>0</v>
      </c>
      <c r="AC319" s="8">
        <f t="shared" ref="AC319:AC325" si="80">(AD319*W319)/1000</f>
        <v>0</v>
      </c>
      <c r="AD319" s="11" t="str">
        <f>LEFT(details!E319,5)</f>
        <v>0.000</v>
      </c>
      <c r="AE319" s="42">
        <f t="shared" si="63"/>
        <v>0</v>
      </c>
      <c r="AF319" s="42">
        <f>VLOOKUP(C319,MC.5!B:P,15,FALSE)/3</f>
        <v>0</v>
      </c>
      <c r="AG319" s="152">
        <f t="shared" ref="AG319:AG357" si="81">AF319</f>
        <v>0</v>
      </c>
      <c r="AH319" s="137" t="str">
        <f>VLOOKUP(F319,REF!B:C,2,FALSE)</f>
        <v>Secondary/ Component</v>
      </c>
      <c r="AI319" s="3" t="str">
        <f>VLOOKUP(G319,REF!E:F,2,FALSE)</f>
        <v>LABEL, IML, STICKER, SEALED ETC</v>
      </c>
    </row>
    <row r="320" spans="1:35" x14ac:dyDescent="0.3">
      <c r="A320" s="186" t="s">
        <v>1157</v>
      </c>
      <c r="B320" s="24" t="s">
        <v>1157</v>
      </c>
      <c r="C320" s="156">
        <v>339253</v>
      </c>
      <c r="D320" s="24" t="s">
        <v>1985</v>
      </c>
      <c r="E320" s="24" t="s">
        <v>68</v>
      </c>
      <c r="F320" s="156">
        <v>65000</v>
      </c>
      <c r="G320" s="24" t="s">
        <v>1383</v>
      </c>
      <c r="H320" s="24" t="s">
        <v>1442</v>
      </c>
      <c r="I320" s="24" t="s">
        <v>1383</v>
      </c>
      <c r="J320" s="186" t="s">
        <v>1384</v>
      </c>
      <c r="K320" s="16">
        <v>0</v>
      </c>
      <c r="L320" s="17">
        <v>0</v>
      </c>
      <c r="M320" s="16">
        <v>0</v>
      </c>
      <c r="N320" s="17">
        <v>0</v>
      </c>
      <c r="O320" s="16">
        <v>7786</v>
      </c>
      <c r="P320" s="17">
        <v>0</v>
      </c>
      <c r="Q320" s="16">
        <v>0</v>
      </c>
      <c r="R320" s="17">
        <v>0</v>
      </c>
      <c r="S320" s="16">
        <v>0</v>
      </c>
      <c r="T320" s="17">
        <v>0</v>
      </c>
      <c r="U320" s="16">
        <v>0</v>
      </c>
      <c r="V320" s="17">
        <v>0</v>
      </c>
      <c r="W320" s="18">
        <v>7786</v>
      </c>
      <c r="X320" s="17">
        <v>0</v>
      </c>
      <c r="Y320" s="17">
        <v>0</v>
      </c>
      <c r="Z320" s="17"/>
      <c r="AA320" s="17"/>
      <c r="AB320" s="144">
        <v>0</v>
      </c>
      <c r="AC320" s="8">
        <f t="shared" si="80"/>
        <v>0</v>
      </c>
      <c r="AD320" s="11" t="str">
        <f>LEFT(details!E320,5)</f>
        <v>0.000</v>
      </c>
      <c r="AE320" s="42">
        <f t="shared" si="63"/>
        <v>0</v>
      </c>
      <c r="AF320" s="42">
        <f>VLOOKUP(C320,MC.5!B:P,15,FALSE)/3</f>
        <v>0</v>
      </c>
      <c r="AG320" s="152">
        <f t="shared" si="81"/>
        <v>0</v>
      </c>
      <c r="AH320" s="137" t="str">
        <f>VLOOKUP(F320,REF!B:C,2,FALSE)</f>
        <v>Supplies</v>
      </c>
      <c r="AI320" s="3" t="str">
        <f>VLOOKUP(G320,REF!E:F,2,FALSE)</f>
        <v>Logistic &amp; Other Supplies</v>
      </c>
    </row>
    <row r="321" spans="1:35" x14ac:dyDescent="0.3">
      <c r="A321" s="186" t="s">
        <v>1157</v>
      </c>
      <c r="B321" s="24" t="s">
        <v>1157</v>
      </c>
      <c r="C321" s="156">
        <v>340302</v>
      </c>
      <c r="D321" s="24" t="s">
        <v>107</v>
      </c>
      <c r="E321" s="24" t="s">
        <v>68</v>
      </c>
      <c r="F321" s="156">
        <v>65000</v>
      </c>
      <c r="G321" s="24" t="s">
        <v>1383</v>
      </c>
      <c r="H321" s="24" t="s">
        <v>1442</v>
      </c>
      <c r="I321" s="24" t="s">
        <v>1383</v>
      </c>
      <c r="J321" s="186" t="s">
        <v>1384</v>
      </c>
      <c r="K321" s="16">
        <v>1000</v>
      </c>
      <c r="L321" s="17">
        <v>0</v>
      </c>
      <c r="M321" s="16">
        <v>800</v>
      </c>
      <c r="N321" s="17">
        <v>0</v>
      </c>
      <c r="O321" s="16">
        <v>1600</v>
      </c>
      <c r="P321" s="17">
        <v>0</v>
      </c>
      <c r="Q321" s="16">
        <v>2440</v>
      </c>
      <c r="R321" s="17">
        <v>0</v>
      </c>
      <c r="S321" s="16">
        <v>6461</v>
      </c>
      <c r="T321" s="17">
        <v>0</v>
      </c>
      <c r="U321" s="16">
        <v>0</v>
      </c>
      <c r="V321" s="17">
        <v>0</v>
      </c>
      <c r="W321" s="18">
        <v>12301</v>
      </c>
      <c r="X321" s="17">
        <v>0</v>
      </c>
      <c r="Y321" s="17">
        <v>0</v>
      </c>
      <c r="Z321" s="17"/>
      <c r="AA321" s="17"/>
      <c r="AB321" s="144">
        <v>0</v>
      </c>
      <c r="AC321" s="8">
        <f t="shared" si="80"/>
        <v>0</v>
      </c>
      <c r="AD321" s="11" t="str">
        <f>LEFT(details!E321,5)</f>
        <v>0.000</v>
      </c>
      <c r="AE321" s="42">
        <f t="shared" si="63"/>
        <v>0</v>
      </c>
      <c r="AF321" s="42">
        <f>VLOOKUP(C321,MC.5!B:P,15,FALSE)/3</f>
        <v>0</v>
      </c>
      <c r="AG321" s="152">
        <f t="shared" si="81"/>
        <v>0</v>
      </c>
      <c r="AH321" s="137" t="str">
        <f>VLOOKUP(F321,REF!B:C,2,FALSE)</f>
        <v>Supplies</v>
      </c>
      <c r="AI321" s="3" t="str">
        <f>VLOOKUP(G321,REF!E:F,2,FALSE)</f>
        <v>Logistic &amp; Other Supplies</v>
      </c>
    </row>
    <row r="322" spans="1:35" x14ac:dyDescent="0.3">
      <c r="A322" s="186" t="s">
        <v>1157</v>
      </c>
      <c r="B322" s="24" t="s">
        <v>1157</v>
      </c>
      <c r="C322" s="156">
        <v>340979</v>
      </c>
      <c r="D322" s="24" t="s">
        <v>1986</v>
      </c>
      <c r="E322" s="24" t="s">
        <v>68</v>
      </c>
      <c r="F322" s="156">
        <v>65000</v>
      </c>
      <c r="G322" s="24" t="s">
        <v>1383</v>
      </c>
      <c r="H322" s="24" t="s">
        <v>1442</v>
      </c>
      <c r="I322" s="24" t="s">
        <v>1383</v>
      </c>
      <c r="J322" s="186" t="s">
        <v>1384</v>
      </c>
      <c r="K322" s="16">
        <v>1800</v>
      </c>
      <c r="L322" s="17">
        <v>0</v>
      </c>
      <c r="M322" s="16">
        <v>0</v>
      </c>
      <c r="N322" s="17">
        <v>0</v>
      </c>
      <c r="O322" s="16">
        <v>2911</v>
      </c>
      <c r="P322" s="17">
        <v>0</v>
      </c>
      <c r="Q322" s="16">
        <v>0</v>
      </c>
      <c r="R322" s="17">
        <v>0</v>
      </c>
      <c r="S322" s="16">
        <v>0</v>
      </c>
      <c r="T322" s="17">
        <v>0</v>
      </c>
      <c r="U322" s="16">
        <v>0</v>
      </c>
      <c r="V322" s="17">
        <v>0</v>
      </c>
      <c r="W322" s="18">
        <v>4711</v>
      </c>
      <c r="X322" s="17">
        <v>0</v>
      </c>
      <c r="Y322" s="17">
        <v>0</v>
      </c>
      <c r="Z322" s="17"/>
      <c r="AA322" s="17"/>
      <c r="AB322" s="144">
        <v>0</v>
      </c>
      <c r="AC322" s="8">
        <f t="shared" si="80"/>
        <v>0</v>
      </c>
      <c r="AD322" s="11" t="str">
        <f>LEFT(details!E322,5)</f>
        <v>0.000</v>
      </c>
      <c r="AE322" s="42">
        <f t="shared" si="63"/>
        <v>0</v>
      </c>
      <c r="AF322" s="42">
        <f>VLOOKUP(C322,MC.5!B:P,15,FALSE)/3</f>
        <v>0</v>
      </c>
      <c r="AG322" s="152">
        <f t="shared" si="81"/>
        <v>0</v>
      </c>
      <c r="AH322" s="137" t="str">
        <f>VLOOKUP(F322,REF!B:C,2,FALSE)</f>
        <v>Supplies</v>
      </c>
      <c r="AI322" s="3" t="str">
        <f>VLOOKUP(G322,REF!E:F,2,FALSE)</f>
        <v>Logistic &amp; Other Supplies</v>
      </c>
    </row>
    <row r="323" spans="1:35" x14ac:dyDescent="0.3">
      <c r="A323" s="186" t="s">
        <v>1157</v>
      </c>
      <c r="B323" s="24" t="s">
        <v>1157</v>
      </c>
      <c r="C323" s="156">
        <v>380849</v>
      </c>
      <c r="D323" s="24" t="s">
        <v>115</v>
      </c>
      <c r="E323" s="24" t="s">
        <v>68</v>
      </c>
      <c r="F323" s="156">
        <v>65000</v>
      </c>
      <c r="G323" s="24" t="s">
        <v>1383</v>
      </c>
      <c r="H323" s="24" t="s">
        <v>1442</v>
      </c>
      <c r="I323" s="24" t="s">
        <v>1383</v>
      </c>
      <c r="J323" s="186" t="s">
        <v>1384</v>
      </c>
      <c r="K323" s="16">
        <v>0</v>
      </c>
      <c r="L323" s="17">
        <v>0</v>
      </c>
      <c r="M323" s="16">
        <v>800</v>
      </c>
      <c r="N323" s="17">
        <v>0</v>
      </c>
      <c r="O323" s="16">
        <v>300</v>
      </c>
      <c r="P323" s="17">
        <v>0</v>
      </c>
      <c r="Q323" s="16">
        <v>0</v>
      </c>
      <c r="R323" s="17">
        <v>0</v>
      </c>
      <c r="S323" s="16">
        <v>996</v>
      </c>
      <c r="T323" s="17">
        <v>0</v>
      </c>
      <c r="U323" s="16">
        <v>0</v>
      </c>
      <c r="V323" s="17">
        <v>0</v>
      </c>
      <c r="W323" s="18">
        <v>2096</v>
      </c>
      <c r="X323" s="17">
        <v>0</v>
      </c>
      <c r="Y323" s="17">
        <v>0</v>
      </c>
      <c r="Z323" s="17"/>
      <c r="AA323" s="17"/>
      <c r="AB323" s="144">
        <v>0</v>
      </c>
      <c r="AC323" s="8">
        <f t="shared" si="80"/>
        <v>0</v>
      </c>
      <c r="AD323" s="11" t="str">
        <f>LEFT(details!E323,5)</f>
        <v>0.000</v>
      </c>
      <c r="AE323" s="42">
        <f t="shared" si="63"/>
        <v>0</v>
      </c>
      <c r="AF323" s="42">
        <f>VLOOKUP(C323,MC.5!B:P,15,FALSE)/3</f>
        <v>0</v>
      </c>
      <c r="AG323" s="152">
        <f t="shared" si="81"/>
        <v>0</v>
      </c>
      <c r="AH323" s="137" t="str">
        <f>VLOOKUP(F323,REF!B:C,2,FALSE)</f>
        <v>Supplies</v>
      </c>
      <c r="AI323" s="3" t="str">
        <f>VLOOKUP(G323,REF!E:F,2,FALSE)</f>
        <v>Logistic &amp; Other Supplies</v>
      </c>
    </row>
    <row r="324" spans="1:35" x14ac:dyDescent="0.3">
      <c r="A324" s="186" t="s">
        <v>1157</v>
      </c>
      <c r="B324" s="24" t="s">
        <v>1157</v>
      </c>
      <c r="C324" s="156">
        <v>492555</v>
      </c>
      <c r="D324" s="24" t="s">
        <v>142</v>
      </c>
      <c r="E324" s="24" t="s">
        <v>68</v>
      </c>
      <c r="F324" s="156">
        <v>65000</v>
      </c>
      <c r="G324" s="24" t="s">
        <v>1383</v>
      </c>
      <c r="H324" s="24" t="s">
        <v>1442</v>
      </c>
      <c r="I324" s="24" t="s">
        <v>1383</v>
      </c>
      <c r="J324" s="186" t="s">
        <v>1384</v>
      </c>
      <c r="K324" s="16">
        <v>0</v>
      </c>
      <c r="L324" s="17">
        <v>0</v>
      </c>
      <c r="M324" s="16">
        <v>0</v>
      </c>
      <c r="N324" s="17">
        <v>0</v>
      </c>
      <c r="O324" s="16">
        <v>400</v>
      </c>
      <c r="P324" s="17">
        <v>0</v>
      </c>
      <c r="Q324" s="16">
        <v>0</v>
      </c>
      <c r="R324" s="17">
        <v>0</v>
      </c>
      <c r="S324" s="16">
        <v>56</v>
      </c>
      <c r="T324" s="17">
        <v>0</v>
      </c>
      <c r="U324" s="16">
        <v>0</v>
      </c>
      <c r="V324" s="17">
        <v>0</v>
      </c>
      <c r="W324" s="18">
        <v>456</v>
      </c>
      <c r="X324" s="17">
        <v>0</v>
      </c>
      <c r="Y324" s="17">
        <v>0</v>
      </c>
      <c r="Z324" s="17"/>
      <c r="AA324" s="17"/>
      <c r="AB324" s="144">
        <v>0</v>
      </c>
      <c r="AC324" s="8">
        <f t="shared" si="80"/>
        <v>0</v>
      </c>
      <c r="AD324" s="11" t="str">
        <f>LEFT(details!E324,5)</f>
        <v>0.000</v>
      </c>
      <c r="AE324" s="42">
        <f t="shared" si="63"/>
        <v>0</v>
      </c>
      <c r="AF324" s="42">
        <f>VLOOKUP(C324,MC.5!B:P,15,FALSE)/3</f>
        <v>0</v>
      </c>
      <c r="AG324" s="152">
        <f t="shared" si="81"/>
        <v>0</v>
      </c>
      <c r="AH324" s="137" t="str">
        <f>VLOOKUP(F324,REF!B:C,2,FALSE)</f>
        <v>Supplies</v>
      </c>
      <c r="AI324" s="3" t="str">
        <f>VLOOKUP(G324,REF!E:F,2,FALSE)</f>
        <v>Logistic &amp; Other Supplies</v>
      </c>
    </row>
    <row r="325" spans="1:35" x14ac:dyDescent="0.3">
      <c r="A325" s="186" t="s">
        <v>1157</v>
      </c>
      <c r="B325" s="24" t="s">
        <v>1157</v>
      </c>
      <c r="C325" s="156">
        <v>611851</v>
      </c>
      <c r="D325" s="24" t="s">
        <v>1323</v>
      </c>
      <c r="E325" s="24" t="s">
        <v>68</v>
      </c>
      <c r="F325" s="156">
        <v>65000</v>
      </c>
      <c r="G325" s="24" t="s">
        <v>1383</v>
      </c>
      <c r="H325" s="24" t="s">
        <v>1442</v>
      </c>
      <c r="I325" s="24" t="s">
        <v>1383</v>
      </c>
      <c r="J325" s="186" t="s">
        <v>1384</v>
      </c>
      <c r="K325" s="16">
        <v>0</v>
      </c>
      <c r="L325" s="17">
        <v>0</v>
      </c>
      <c r="M325" s="16">
        <v>0</v>
      </c>
      <c r="N325" s="17">
        <v>0</v>
      </c>
      <c r="O325" s="16">
        <v>0</v>
      </c>
      <c r="P325" s="17">
        <v>0</v>
      </c>
      <c r="Q325" s="16">
        <v>529</v>
      </c>
      <c r="R325" s="17">
        <v>0</v>
      </c>
      <c r="S325" s="16">
        <v>0</v>
      </c>
      <c r="T325" s="17">
        <v>0</v>
      </c>
      <c r="U325" s="16">
        <v>0</v>
      </c>
      <c r="V325" s="17">
        <v>0</v>
      </c>
      <c r="W325" s="18">
        <v>529</v>
      </c>
      <c r="X325" s="17">
        <v>0</v>
      </c>
      <c r="Y325" s="17">
        <v>0</v>
      </c>
      <c r="Z325" s="17"/>
      <c r="AA325" s="17"/>
      <c r="AB325" s="144">
        <v>0</v>
      </c>
      <c r="AC325" s="8">
        <f t="shared" si="80"/>
        <v>0</v>
      </c>
      <c r="AD325" s="11" t="str">
        <f>LEFT(details!E325,5)</f>
        <v>0.000</v>
      </c>
      <c r="AE325" s="42">
        <f t="shared" si="63"/>
        <v>0</v>
      </c>
      <c r="AF325" s="42">
        <f>VLOOKUP(C325,MC.5!B:P,15,FALSE)/3</f>
        <v>0</v>
      </c>
      <c r="AG325" s="152">
        <f t="shared" si="81"/>
        <v>0</v>
      </c>
      <c r="AH325" s="137" t="str">
        <f>VLOOKUP(F325,REF!B:C,2,FALSE)</f>
        <v>Supplies</v>
      </c>
      <c r="AI325" s="3" t="str">
        <f>VLOOKUP(G325,REF!E:F,2,FALSE)</f>
        <v>Logistic &amp; Other Supplies</v>
      </c>
    </row>
    <row r="326" spans="1:35" x14ac:dyDescent="0.3">
      <c r="A326" s="186" t="s">
        <v>1158</v>
      </c>
      <c r="B326" s="24" t="s">
        <v>1158</v>
      </c>
      <c r="C326" s="156">
        <v>322720</v>
      </c>
      <c r="D326" s="24" t="s">
        <v>138</v>
      </c>
      <c r="E326" s="24" t="s">
        <v>68</v>
      </c>
      <c r="F326" s="156">
        <v>60200</v>
      </c>
      <c r="G326" s="24" t="s">
        <v>1442</v>
      </c>
      <c r="H326" s="24" t="s">
        <v>1442</v>
      </c>
      <c r="I326" s="24" t="s">
        <v>1373</v>
      </c>
      <c r="J326" s="186" t="s">
        <v>1374</v>
      </c>
      <c r="K326" s="19">
        <v>42</v>
      </c>
      <c r="L326" s="17">
        <v>2665.31</v>
      </c>
      <c r="M326" s="19">
        <v>24</v>
      </c>
      <c r="N326" s="17">
        <v>1523.03</v>
      </c>
      <c r="O326" s="19">
        <v>29.922000000000001</v>
      </c>
      <c r="P326" s="17">
        <v>1898.84</v>
      </c>
      <c r="Q326" s="19">
        <v>0</v>
      </c>
      <c r="R326" s="17">
        <v>0</v>
      </c>
      <c r="S326" s="19">
        <v>0</v>
      </c>
      <c r="T326" s="17">
        <v>0</v>
      </c>
      <c r="U326" s="19">
        <v>0</v>
      </c>
      <c r="V326" s="17">
        <v>0</v>
      </c>
      <c r="W326" s="19">
        <v>95.921999999999997</v>
      </c>
      <c r="X326" s="17">
        <v>6087.18</v>
      </c>
      <c r="Y326" s="17">
        <v>422</v>
      </c>
      <c r="Z326" s="17"/>
      <c r="AA326" s="17"/>
      <c r="AB326" s="144">
        <v>0</v>
      </c>
      <c r="AC326" s="8">
        <f t="shared" si="75"/>
        <v>95.921999999999997</v>
      </c>
      <c r="AD326" s="11" t="str">
        <f>LEFT(details!E326,5)</f>
        <v>0.000</v>
      </c>
      <c r="AE326" s="42">
        <f t="shared" si="63"/>
        <v>0</v>
      </c>
      <c r="AF326" s="42">
        <f>VLOOKUP(C326,MC.5!B:P,15,FALSE)/3</f>
        <v>114.52333333333333</v>
      </c>
      <c r="AG326" s="152">
        <f t="shared" si="81"/>
        <v>114.52333333333333</v>
      </c>
      <c r="AH326" s="137" t="str">
        <f>VLOOKUP(F326,REF!B:C,2,FALSE)</f>
        <v>Additives</v>
      </c>
      <c r="AI326" s="3" t="s">
        <v>1374</v>
      </c>
    </row>
    <row r="327" spans="1:35" x14ac:dyDescent="0.3">
      <c r="A327" s="186" t="s">
        <v>1158</v>
      </c>
      <c r="B327" s="24" t="s">
        <v>1158</v>
      </c>
      <c r="C327" s="156">
        <v>322732</v>
      </c>
      <c r="D327" s="24" t="s">
        <v>1255</v>
      </c>
      <c r="E327" s="24" t="s">
        <v>68</v>
      </c>
      <c r="F327" s="156">
        <v>60200</v>
      </c>
      <c r="G327" s="24" t="s">
        <v>1442</v>
      </c>
      <c r="H327" s="24" t="s">
        <v>1442</v>
      </c>
      <c r="I327" s="24" t="s">
        <v>1373</v>
      </c>
      <c r="J327" s="186" t="s">
        <v>1374</v>
      </c>
      <c r="K327" s="19">
        <v>0</v>
      </c>
      <c r="L327" s="17">
        <v>0</v>
      </c>
      <c r="M327" s="19">
        <v>0</v>
      </c>
      <c r="N327" s="17">
        <v>0</v>
      </c>
      <c r="O327" s="19">
        <v>0</v>
      </c>
      <c r="P327" s="17">
        <v>0</v>
      </c>
      <c r="Q327" s="19">
        <v>0</v>
      </c>
      <c r="R327" s="17">
        <v>0</v>
      </c>
      <c r="S327" s="19">
        <v>1.038</v>
      </c>
      <c r="T327" s="17">
        <v>0.01</v>
      </c>
      <c r="U327" s="19">
        <v>0</v>
      </c>
      <c r="V327" s="17">
        <v>0</v>
      </c>
      <c r="W327" s="19">
        <v>1.038</v>
      </c>
      <c r="X327" s="17">
        <v>0.01</v>
      </c>
      <c r="Y327" s="17">
        <v>0.01</v>
      </c>
      <c r="Z327" s="17"/>
      <c r="AA327" s="17"/>
      <c r="AB327" s="144">
        <v>0</v>
      </c>
      <c r="AC327" s="8">
        <f t="shared" si="75"/>
        <v>1.038</v>
      </c>
      <c r="AD327" s="11" t="str">
        <f>LEFT(details!E327,5)</f>
        <v>0.000</v>
      </c>
      <c r="AE327" s="42">
        <f t="shared" si="63"/>
        <v>0</v>
      </c>
      <c r="AF327" s="42">
        <f>VLOOKUP(C327,MC.5!B:P,15,FALSE)/3</f>
        <v>0</v>
      </c>
      <c r="AG327" s="152">
        <f t="shared" si="81"/>
        <v>0</v>
      </c>
      <c r="AH327" s="137" t="str">
        <f>VLOOKUP(F327,REF!B:C,2,FALSE)</f>
        <v>Additives</v>
      </c>
      <c r="AI327" s="3" t="s">
        <v>1374</v>
      </c>
    </row>
    <row r="328" spans="1:35" x14ac:dyDescent="0.3">
      <c r="A328" s="186" t="s">
        <v>1158</v>
      </c>
      <c r="B328" s="24" t="s">
        <v>1158</v>
      </c>
      <c r="C328" s="156">
        <v>322734</v>
      </c>
      <c r="D328" s="24" t="s">
        <v>139</v>
      </c>
      <c r="E328" s="24" t="s">
        <v>68</v>
      </c>
      <c r="F328" s="156">
        <v>60200</v>
      </c>
      <c r="G328" s="24" t="s">
        <v>1442</v>
      </c>
      <c r="H328" s="24" t="s">
        <v>1442</v>
      </c>
      <c r="I328" s="24" t="s">
        <v>1373</v>
      </c>
      <c r="J328" s="186" t="s">
        <v>1374</v>
      </c>
      <c r="K328" s="19">
        <v>83.942999999999998</v>
      </c>
      <c r="L328" s="17">
        <v>5395.43</v>
      </c>
      <c r="M328" s="19">
        <v>4.0000000000000001E-3</v>
      </c>
      <c r="N328" s="17">
        <v>0.26</v>
      </c>
      <c r="O328" s="19">
        <v>0</v>
      </c>
      <c r="P328" s="17">
        <v>0</v>
      </c>
      <c r="Q328" s="19">
        <v>0</v>
      </c>
      <c r="R328" s="17">
        <v>0</v>
      </c>
      <c r="S328" s="19">
        <v>0</v>
      </c>
      <c r="T328" s="17">
        <v>0</v>
      </c>
      <c r="U328" s="19">
        <v>0</v>
      </c>
      <c r="V328" s="17">
        <v>0</v>
      </c>
      <c r="W328" s="19">
        <v>83.947000000000003</v>
      </c>
      <c r="X328" s="17">
        <v>5395.69</v>
      </c>
      <c r="Y328" s="17">
        <v>0</v>
      </c>
      <c r="Z328" s="17"/>
      <c r="AA328" s="17"/>
      <c r="AB328" s="144">
        <v>0</v>
      </c>
      <c r="AC328" s="8">
        <f t="shared" si="75"/>
        <v>83.947000000000003</v>
      </c>
      <c r="AD328" s="11" t="str">
        <f>LEFT(details!E328,5)</f>
        <v>0.000</v>
      </c>
      <c r="AE328" s="42">
        <f t="shared" ref="AE328:AE391" si="82">AA328</f>
        <v>0</v>
      </c>
      <c r="AF328" s="42">
        <f>VLOOKUP(C328,MC.5!B:P,15,FALSE)/3</f>
        <v>1762.4233333333334</v>
      </c>
      <c r="AG328" s="152">
        <f t="shared" si="81"/>
        <v>1762.4233333333334</v>
      </c>
      <c r="AH328" s="137" t="str">
        <f>VLOOKUP(F328,REF!B:C,2,FALSE)</f>
        <v>Additives</v>
      </c>
      <c r="AI328" s="3" t="s">
        <v>1374</v>
      </c>
    </row>
    <row r="329" spans="1:35" x14ac:dyDescent="0.3">
      <c r="A329" s="186" t="s">
        <v>1158</v>
      </c>
      <c r="B329" s="24" t="s">
        <v>1158</v>
      </c>
      <c r="C329" s="156">
        <v>322762</v>
      </c>
      <c r="D329" s="24" t="s">
        <v>147</v>
      </c>
      <c r="E329" s="24" t="s">
        <v>68</v>
      </c>
      <c r="F329" s="156">
        <v>60200</v>
      </c>
      <c r="G329" s="24" t="s">
        <v>1442</v>
      </c>
      <c r="H329" s="24" t="s">
        <v>1442</v>
      </c>
      <c r="I329" s="24" t="s">
        <v>1373</v>
      </c>
      <c r="J329" s="186" t="s">
        <v>1374</v>
      </c>
      <c r="K329" s="19">
        <v>0</v>
      </c>
      <c r="L329" s="17">
        <v>0</v>
      </c>
      <c r="M329" s="19">
        <v>0</v>
      </c>
      <c r="N329" s="17">
        <v>0</v>
      </c>
      <c r="O329" s="19">
        <v>0</v>
      </c>
      <c r="P329" s="17">
        <v>0</v>
      </c>
      <c r="Q329" s="19">
        <v>0</v>
      </c>
      <c r="R329" s="17">
        <v>0</v>
      </c>
      <c r="S329" s="19">
        <v>22.382999999999999</v>
      </c>
      <c r="T329" s="17">
        <v>1231.06</v>
      </c>
      <c r="U329" s="19">
        <v>0</v>
      </c>
      <c r="V329" s="17">
        <v>0</v>
      </c>
      <c r="W329" s="19">
        <v>22.382999999999999</v>
      </c>
      <c r="X329" s="17">
        <v>1231.06</v>
      </c>
      <c r="Y329" s="17">
        <v>1231.06</v>
      </c>
      <c r="Z329" s="17"/>
      <c r="AA329" s="17"/>
      <c r="AB329" s="144">
        <v>0</v>
      </c>
      <c r="AC329" s="8">
        <f t="shared" si="75"/>
        <v>22.382999999999999</v>
      </c>
      <c r="AD329" s="11" t="str">
        <f>LEFT(details!E329,5)</f>
        <v>0.000</v>
      </c>
      <c r="AE329" s="42">
        <f t="shared" si="82"/>
        <v>0</v>
      </c>
      <c r="AF329" s="42">
        <f>VLOOKUP(C329,MC.5!B:P,15,FALSE)/3</f>
        <v>0</v>
      </c>
      <c r="AG329" s="152">
        <f t="shared" si="81"/>
        <v>0</v>
      </c>
      <c r="AH329" s="137" t="str">
        <f>VLOOKUP(F329,REF!B:C,2,FALSE)</f>
        <v>Additives</v>
      </c>
      <c r="AI329" s="3" t="s">
        <v>1374</v>
      </c>
    </row>
    <row r="330" spans="1:35" x14ac:dyDescent="0.3">
      <c r="A330" s="186" t="s">
        <v>1158</v>
      </c>
      <c r="B330" s="24" t="s">
        <v>1158</v>
      </c>
      <c r="C330" s="156">
        <v>322764</v>
      </c>
      <c r="D330" s="24" t="s">
        <v>77</v>
      </c>
      <c r="E330" s="24" t="s">
        <v>68</v>
      </c>
      <c r="F330" s="156">
        <v>60200</v>
      </c>
      <c r="G330" s="24" t="s">
        <v>1442</v>
      </c>
      <c r="H330" s="24" t="s">
        <v>1442</v>
      </c>
      <c r="I330" s="24" t="s">
        <v>1373</v>
      </c>
      <c r="J330" s="186" t="s">
        <v>1374</v>
      </c>
      <c r="K330" s="19">
        <v>137.12799999999999</v>
      </c>
      <c r="L330" s="17">
        <v>3606.49</v>
      </c>
      <c r="M330" s="19">
        <v>0</v>
      </c>
      <c r="N330" s="17">
        <v>0</v>
      </c>
      <c r="O330" s="19">
        <v>0</v>
      </c>
      <c r="P330" s="17">
        <v>0</v>
      </c>
      <c r="Q330" s="19">
        <v>0</v>
      </c>
      <c r="R330" s="17">
        <v>0</v>
      </c>
      <c r="S330" s="19">
        <v>0</v>
      </c>
      <c r="T330" s="17">
        <v>0</v>
      </c>
      <c r="U330" s="19">
        <v>0</v>
      </c>
      <c r="V330" s="17">
        <v>0</v>
      </c>
      <c r="W330" s="19">
        <v>137.12799999999999</v>
      </c>
      <c r="X330" s="17">
        <v>3606.49</v>
      </c>
      <c r="Y330" s="17">
        <v>0</v>
      </c>
      <c r="Z330" s="17"/>
      <c r="AA330" s="17"/>
      <c r="AB330" s="144">
        <v>0</v>
      </c>
      <c r="AC330" s="8">
        <f t="shared" si="75"/>
        <v>137.12799999999999</v>
      </c>
      <c r="AD330" s="11" t="str">
        <f>LEFT(details!E330,5)</f>
        <v>0.000</v>
      </c>
      <c r="AE330" s="42">
        <f t="shared" si="82"/>
        <v>0</v>
      </c>
      <c r="AF330" s="42">
        <f>VLOOKUP(C330,MC.5!B:P,15,FALSE)/3</f>
        <v>1740.18</v>
      </c>
      <c r="AG330" s="152">
        <f t="shared" si="81"/>
        <v>1740.18</v>
      </c>
      <c r="AH330" s="137" t="str">
        <f>VLOOKUP(F330,REF!B:C,2,FALSE)</f>
        <v>Additives</v>
      </c>
      <c r="AI330" s="3" t="s">
        <v>1374</v>
      </c>
    </row>
    <row r="331" spans="1:35" x14ac:dyDescent="0.3">
      <c r="A331" s="186" t="s">
        <v>1158</v>
      </c>
      <c r="B331" s="24" t="s">
        <v>1158</v>
      </c>
      <c r="C331" s="156">
        <v>322765</v>
      </c>
      <c r="D331" s="24" t="s">
        <v>78</v>
      </c>
      <c r="E331" s="24" t="s">
        <v>68</v>
      </c>
      <c r="F331" s="156">
        <v>60200</v>
      </c>
      <c r="G331" s="24" t="s">
        <v>1442</v>
      </c>
      <c r="H331" s="24" t="s">
        <v>1442</v>
      </c>
      <c r="I331" s="24" t="s">
        <v>1373</v>
      </c>
      <c r="J331" s="186" t="s">
        <v>1374</v>
      </c>
      <c r="K331" s="19">
        <v>50</v>
      </c>
      <c r="L331" s="17">
        <v>1469.68</v>
      </c>
      <c r="M331" s="19">
        <v>33.694000000000003</v>
      </c>
      <c r="N331" s="17">
        <v>990.39</v>
      </c>
      <c r="O331" s="19">
        <v>0</v>
      </c>
      <c r="P331" s="17">
        <v>0</v>
      </c>
      <c r="Q331" s="19">
        <v>0</v>
      </c>
      <c r="R331" s="17">
        <v>0</v>
      </c>
      <c r="S331" s="19">
        <v>0</v>
      </c>
      <c r="T331" s="17">
        <v>0</v>
      </c>
      <c r="U331" s="19">
        <v>0</v>
      </c>
      <c r="V331" s="17">
        <v>0</v>
      </c>
      <c r="W331" s="19">
        <v>83.694000000000003</v>
      </c>
      <c r="X331" s="17">
        <v>2460.0700000000002</v>
      </c>
      <c r="Y331" s="17">
        <v>0</v>
      </c>
      <c r="Z331" s="17"/>
      <c r="AA331" s="17"/>
      <c r="AB331" s="144">
        <v>0</v>
      </c>
      <c r="AC331" s="8">
        <f t="shared" si="75"/>
        <v>83.694000000000003</v>
      </c>
      <c r="AD331" s="11" t="str">
        <f>LEFT(details!E331,5)</f>
        <v>0.000</v>
      </c>
      <c r="AE331" s="42">
        <f t="shared" si="82"/>
        <v>0</v>
      </c>
      <c r="AF331" s="42">
        <f>VLOOKUP(C331,MC.5!B:P,15,FALSE)/3</f>
        <v>384.17666666666668</v>
      </c>
      <c r="AG331" s="152">
        <f t="shared" si="81"/>
        <v>384.17666666666668</v>
      </c>
      <c r="AH331" s="137" t="str">
        <f>VLOOKUP(F331,REF!B:C,2,FALSE)</f>
        <v>Additives</v>
      </c>
      <c r="AI331" s="3" t="s">
        <v>1374</v>
      </c>
    </row>
    <row r="332" spans="1:35" x14ac:dyDescent="0.3">
      <c r="A332" s="186" t="s">
        <v>1158</v>
      </c>
      <c r="B332" s="24" t="s">
        <v>1158</v>
      </c>
      <c r="C332" s="156">
        <v>322779</v>
      </c>
      <c r="D332" s="24" t="s">
        <v>354</v>
      </c>
      <c r="E332" s="24" t="s">
        <v>68</v>
      </c>
      <c r="F332" s="156">
        <v>60200</v>
      </c>
      <c r="G332" s="24" t="s">
        <v>1442</v>
      </c>
      <c r="H332" s="24" t="s">
        <v>1442</v>
      </c>
      <c r="I332" s="24" t="s">
        <v>1373</v>
      </c>
      <c r="J332" s="186" t="s">
        <v>1374</v>
      </c>
      <c r="K332" s="19">
        <v>75</v>
      </c>
      <c r="L332" s="17">
        <v>2812.84</v>
      </c>
      <c r="M332" s="19">
        <v>7.5810000000000004</v>
      </c>
      <c r="N332" s="17">
        <v>284.32</v>
      </c>
      <c r="O332" s="19">
        <v>0</v>
      </c>
      <c r="P332" s="17">
        <v>0</v>
      </c>
      <c r="Q332" s="19">
        <v>0</v>
      </c>
      <c r="R332" s="17">
        <v>0</v>
      </c>
      <c r="S332" s="19">
        <v>0</v>
      </c>
      <c r="T332" s="17">
        <v>0</v>
      </c>
      <c r="U332" s="19">
        <v>0</v>
      </c>
      <c r="V332" s="17">
        <v>0</v>
      </c>
      <c r="W332" s="19">
        <v>82.581000000000003</v>
      </c>
      <c r="X332" s="17">
        <v>3097.16</v>
      </c>
      <c r="Y332" s="17">
        <v>0</v>
      </c>
      <c r="Z332" s="17"/>
      <c r="AA332" s="17"/>
      <c r="AB332" s="144">
        <v>0</v>
      </c>
      <c r="AC332" s="8">
        <f t="shared" si="75"/>
        <v>82.581000000000003</v>
      </c>
      <c r="AD332" s="11" t="str">
        <f>LEFT(details!E332,5)</f>
        <v>0.000</v>
      </c>
      <c r="AE332" s="42">
        <f t="shared" si="82"/>
        <v>0</v>
      </c>
      <c r="AF332" s="42">
        <f>VLOOKUP(C332,MC.5!B:P,15,FALSE)/3</f>
        <v>0</v>
      </c>
      <c r="AG332" s="152">
        <f t="shared" si="81"/>
        <v>0</v>
      </c>
      <c r="AH332" s="137" t="str">
        <f>VLOOKUP(F332,REF!B:C,2,FALSE)</f>
        <v>Additives</v>
      </c>
      <c r="AI332" s="3" t="s">
        <v>1374</v>
      </c>
    </row>
    <row r="333" spans="1:35" x14ac:dyDescent="0.3">
      <c r="A333" s="186" t="s">
        <v>1158</v>
      </c>
      <c r="B333" s="24" t="s">
        <v>1158</v>
      </c>
      <c r="C333" s="156">
        <v>322792</v>
      </c>
      <c r="D333" s="24" t="s">
        <v>79</v>
      </c>
      <c r="E333" s="24" t="s">
        <v>68</v>
      </c>
      <c r="F333" s="156">
        <v>60106</v>
      </c>
      <c r="G333" s="24" t="s">
        <v>1375</v>
      </c>
      <c r="H333" s="24" t="s">
        <v>1442</v>
      </c>
      <c r="I333" s="24" t="s">
        <v>1375</v>
      </c>
      <c r="J333" s="186" t="s">
        <v>1376</v>
      </c>
      <c r="K333" s="19">
        <v>4259.9309999999996</v>
      </c>
      <c r="L333" s="17">
        <v>19458.849999999999</v>
      </c>
      <c r="M333" s="19">
        <v>0</v>
      </c>
      <c r="N333" s="17">
        <v>0</v>
      </c>
      <c r="O333" s="19">
        <v>0</v>
      </c>
      <c r="P333" s="17">
        <v>0</v>
      </c>
      <c r="Q333" s="19">
        <v>0</v>
      </c>
      <c r="R333" s="17">
        <v>0</v>
      </c>
      <c r="S333" s="19">
        <v>17.332999999999998</v>
      </c>
      <c r="T333" s="17">
        <v>79.180000000000007</v>
      </c>
      <c r="U333" s="19">
        <v>0</v>
      </c>
      <c r="V333" s="17">
        <v>0</v>
      </c>
      <c r="W333" s="19">
        <v>4277.2640000000001</v>
      </c>
      <c r="X333" s="17">
        <v>19538.03</v>
      </c>
      <c r="Y333" s="17">
        <v>79.180000000000007</v>
      </c>
      <c r="Z333" s="17"/>
      <c r="AA333" s="17"/>
      <c r="AB333" s="144">
        <v>0</v>
      </c>
      <c r="AC333" s="8">
        <f t="shared" si="75"/>
        <v>4277.2640000000001</v>
      </c>
      <c r="AD333" s="11" t="str">
        <f>LEFT(details!E333,5)</f>
        <v>0.000</v>
      </c>
      <c r="AE333" s="42">
        <f t="shared" si="82"/>
        <v>0</v>
      </c>
      <c r="AF333" s="42">
        <f>VLOOKUP(C333,MC.5!B:P,15,FALSE)/3</f>
        <v>6997.0166666666664</v>
      </c>
      <c r="AG333" s="152">
        <f t="shared" si="81"/>
        <v>6997.0166666666664</v>
      </c>
      <c r="AH333" s="137" t="str">
        <f>VLOOKUP(F333,REF!B:C,2,FALSE)</f>
        <v>PP</v>
      </c>
      <c r="AI333" s="3" t="str">
        <f>VLOOKUP(G333,REF!E:F,2,FALSE)</f>
        <v>Virgin grade</v>
      </c>
    </row>
    <row r="334" spans="1:35" x14ac:dyDescent="0.3">
      <c r="A334" s="186" t="s">
        <v>1158</v>
      </c>
      <c r="B334" s="24" t="s">
        <v>1158</v>
      </c>
      <c r="C334" s="156">
        <v>322795</v>
      </c>
      <c r="D334" s="24" t="s">
        <v>80</v>
      </c>
      <c r="E334" s="24" t="s">
        <v>68</v>
      </c>
      <c r="F334" s="156">
        <v>60105</v>
      </c>
      <c r="G334" s="24" t="s">
        <v>1377</v>
      </c>
      <c r="H334" s="24" t="s">
        <v>1442</v>
      </c>
      <c r="I334" s="24" t="s">
        <v>1377</v>
      </c>
      <c r="J334" s="186" t="s">
        <v>1376</v>
      </c>
      <c r="K334" s="19">
        <v>0</v>
      </c>
      <c r="L334" s="17">
        <v>0</v>
      </c>
      <c r="M334" s="19">
        <v>0</v>
      </c>
      <c r="N334" s="17">
        <v>0</v>
      </c>
      <c r="O334" s="19">
        <v>615.55399999999997</v>
      </c>
      <c r="P334" s="17">
        <v>3746.95</v>
      </c>
      <c r="Q334" s="19">
        <v>0</v>
      </c>
      <c r="R334" s="17">
        <v>0</v>
      </c>
      <c r="S334" s="19">
        <v>0</v>
      </c>
      <c r="T334" s="17">
        <v>0</v>
      </c>
      <c r="U334" s="19">
        <v>0</v>
      </c>
      <c r="V334" s="17">
        <v>0</v>
      </c>
      <c r="W334" s="19">
        <v>615.55399999999997</v>
      </c>
      <c r="X334" s="17">
        <v>3746.95</v>
      </c>
      <c r="Y334" s="17">
        <v>624.54</v>
      </c>
      <c r="Z334" s="17"/>
      <c r="AA334" s="17"/>
      <c r="AB334" s="144">
        <v>0</v>
      </c>
      <c r="AC334" s="8">
        <f t="shared" si="75"/>
        <v>615.55399999999997</v>
      </c>
      <c r="AD334" s="11" t="str">
        <f>LEFT(details!E334,5)</f>
        <v>0.000</v>
      </c>
      <c r="AE334" s="42">
        <f t="shared" si="82"/>
        <v>0</v>
      </c>
      <c r="AF334" s="42">
        <f>VLOOKUP(C334,MC.5!B:P,15,FALSE)/3</f>
        <v>-744.84333333333336</v>
      </c>
      <c r="AG334" s="152">
        <f t="shared" si="81"/>
        <v>-744.84333333333336</v>
      </c>
      <c r="AH334" s="137" t="str">
        <f>VLOOKUP(F334,REF!B:C,2,FALSE)</f>
        <v>PE</v>
      </c>
      <c r="AI334" s="3" t="str">
        <f>VLOOKUP(G334,REF!E:F,2,FALSE)</f>
        <v>Virgin grade</v>
      </c>
    </row>
    <row r="335" spans="1:35" x14ac:dyDescent="0.3">
      <c r="A335" s="186" t="s">
        <v>1158</v>
      </c>
      <c r="B335" s="24" t="s">
        <v>1158</v>
      </c>
      <c r="C335" s="156">
        <v>322799</v>
      </c>
      <c r="D335" s="24" t="s">
        <v>81</v>
      </c>
      <c r="E335" s="24" t="s">
        <v>68</v>
      </c>
      <c r="F335" s="156">
        <v>60106</v>
      </c>
      <c r="G335" s="24" t="s">
        <v>1375</v>
      </c>
      <c r="H335" s="24" t="s">
        <v>1442</v>
      </c>
      <c r="I335" s="24" t="s">
        <v>1375</v>
      </c>
      <c r="J335" s="186" t="s">
        <v>1376</v>
      </c>
      <c r="K335" s="19">
        <v>14056.088</v>
      </c>
      <c r="L335" s="17">
        <v>90014.77</v>
      </c>
      <c r="M335" s="19">
        <v>112.371</v>
      </c>
      <c r="N335" s="17">
        <v>719.62</v>
      </c>
      <c r="O335" s="19">
        <v>0</v>
      </c>
      <c r="P335" s="17">
        <v>0</v>
      </c>
      <c r="Q335" s="19">
        <v>0</v>
      </c>
      <c r="R335" s="17">
        <v>0</v>
      </c>
      <c r="S335" s="19">
        <v>0</v>
      </c>
      <c r="T335" s="17">
        <v>0</v>
      </c>
      <c r="U335" s="19">
        <v>0</v>
      </c>
      <c r="V335" s="17">
        <v>0</v>
      </c>
      <c r="W335" s="19">
        <v>14168.459000000001</v>
      </c>
      <c r="X335" s="17">
        <v>90734.39</v>
      </c>
      <c r="Y335" s="17">
        <v>0</v>
      </c>
      <c r="Z335" s="17"/>
      <c r="AA335" s="17"/>
      <c r="AB335" s="144">
        <v>0</v>
      </c>
      <c r="AC335" s="8">
        <f t="shared" si="75"/>
        <v>14168.459000000001</v>
      </c>
      <c r="AD335" s="11" t="str">
        <f>LEFT(details!E335,5)</f>
        <v>0.000</v>
      </c>
      <c r="AE335" s="42">
        <f t="shared" si="82"/>
        <v>0</v>
      </c>
      <c r="AF335" s="42">
        <f>VLOOKUP(C335,MC.5!B:P,15,FALSE)/3</f>
        <v>20298.846666666668</v>
      </c>
      <c r="AG335" s="152">
        <f t="shared" si="81"/>
        <v>20298.846666666668</v>
      </c>
      <c r="AH335" s="137" t="str">
        <f>VLOOKUP(F335,REF!B:C,2,FALSE)</f>
        <v>PP</v>
      </c>
      <c r="AI335" s="3" t="str">
        <f>VLOOKUP(G335,REF!E:F,2,FALSE)</f>
        <v>Virgin grade</v>
      </c>
    </row>
    <row r="336" spans="1:35" x14ac:dyDescent="0.3">
      <c r="A336" s="186" t="s">
        <v>1158</v>
      </c>
      <c r="B336" s="24" t="s">
        <v>1158</v>
      </c>
      <c r="C336" s="156">
        <v>324493</v>
      </c>
      <c r="D336" s="24" t="s">
        <v>101</v>
      </c>
      <c r="E336" s="24" t="s">
        <v>68</v>
      </c>
      <c r="F336" s="156">
        <v>60200</v>
      </c>
      <c r="G336" s="24" t="s">
        <v>1442</v>
      </c>
      <c r="H336" s="24" t="s">
        <v>1442</v>
      </c>
      <c r="I336" s="24" t="s">
        <v>1373</v>
      </c>
      <c r="J336" s="186" t="s">
        <v>1374</v>
      </c>
      <c r="K336" s="19">
        <v>0</v>
      </c>
      <c r="L336" s="17">
        <v>0</v>
      </c>
      <c r="M336" s="19">
        <v>35.83</v>
      </c>
      <c r="N336" s="17">
        <v>1455.7</v>
      </c>
      <c r="O336" s="19">
        <v>0</v>
      </c>
      <c r="P336" s="17">
        <v>0</v>
      </c>
      <c r="Q336" s="19">
        <v>0</v>
      </c>
      <c r="R336" s="17">
        <v>0</v>
      </c>
      <c r="S336" s="19">
        <v>0</v>
      </c>
      <c r="T336" s="17">
        <v>0</v>
      </c>
      <c r="U336" s="19">
        <v>0</v>
      </c>
      <c r="V336" s="17">
        <v>0</v>
      </c>
      <c r="W336" s="19">
        <v>35.83</v>
      </c>
      <c r="X336" s="17">
        <v>1455.7</v>
      </c>
      <c r="Y336" s="17">
        <v>0</v>
      </c>
      <c r="Z336" s="17"/>
      <c r="AA336" s="17"/>
      <c r="AB336" s="144">
        <v>0</v>
      </c>
      <c r="AC336" s="8">
        <f t="shared" si="75"/>
        <v>35.83</v>
      </c>
      <c r="AD336" s="11" t="str">
        <f>LEFT(details!E336,5)</f>
        <v>0.000</v>
      </c>
      <c r="AE336" s="42">
        <f t="shared" si="82"/>
        <v>0</v>
      </c>
      <c r="AF336" s="42">
        <f>VLOOKUP(C336,MC.5!B:P,15,FALSE)/3</f>
        <v>0</v>
      </c>
      <c r="AG336" s="152">
        <f t="shared" si="81"/>
        <v>0</v>
      </c>
      <c r="AH336" s="137" t="str">
        <f>VLOOKUP(F336,REF!B:C,2,FALSE)</f>
        <v>Additives</v>
      </c>
      <c r="AI336" s="3" t="s">
        <v>1374</v>
      </c>
    </row>
    <row r="337" spans="1:35" x14ac:dyDescent="0.3">
      <c r="A337" s="186" t="s">
        <v>1158</v>
      </c>
      <c r="B337" s="24" t="s">
        <v>1158</v>
      </c>
      <c r="C337" s="156">
        <v>330830</v>
      </c>
      <c r="D337" s="24" t="s">
        <v>202</v>
      </c>
      <c r="E337" s="24" t="s">
        <v>68</v>
      </c>
      <c r="F337" s="156">
        <v>60200</v>
      </c>
      <c r="G337" s="24" t="s">
        <v>1442</v>
      </c>
      <c r="H337" s="24" t="s">
        <v>1442</v>
      </c>
      <c r="I337" s="24" t="s">
        <v>1373</v>
      </c>
      <c r="J337" s="186" t="s">
        <v>1374</v>
      </c>
      <c r="K337" s="19">
        <v>122.057</v>
      </c>
      <c r="L337" s="17">
        <v>4516.12</v>
      </c>
      <c r="M337" s="19">
        <v>0</v>
      </c>
      <c r="N337" s="17">
        <v>0</v>
      </c>
      <c r="O337" s="19">
        <v>0</v>
      </c>
      <c r="P337" s="17">
        <v>0</v>
      </c>
      <c r="Q337" s="19">
        <v>0</v>
      </c>
      <c r="R337" s="17">
        <v>0</v>
      </c>
      <c r="S337" s="19">
        <v>0</v>
      </c>
      <c r="T337" s="17">
        <v>0</v>
      </c>
      <c r="U337" s="19">
        <v>0</v>
      </c>
      <c r="V337" s="17">
        <v>0</v>
      </c>
      <c r="W337" s="19">
        <v>122.057</v>
      </c>
      <c r="X337" s="17">
        <v>4516.12</v>
      </c>
      <c r="Y337" s="17">
        <v>0</v>
      </c>
      <c r="Z337" s="17"/>
      <c r="AA337" s="17"/>
      <c r="AB337" s="144">
        <v>0</v>
      </c>
      <c r="AC337" s="8">
        <f t="shared" si="75"/>
        <v>122.057</v>
      </c>
      <c r="AD337" s="11" t="str">
        <f>LEFT(details!E337,5)</f>
        <v>0.000</v>
      </c>
      <c r="AE337" s="42">
        <f t="shared" si="82"/>
        <v>0</v>
      </c>
      <c r="AF337" s="42">
        <f>VLOOKUP(C337,MC.5!B:P,15,FALSE)/3</f>
        <v>6604.4966666666669</v>
      </c>
      <c r="AG337" s="152">
        <f t="shared" si="81"/>
        <v>6604.4966666666669</v>
      </c>
      <c r="AH337" s="137" t="str">
        <f>VLOOKUP(F337,REF!B:C,2,FALSE)</f>
        <v>Additives</v>
      </c>
      <c r="AI337" s="3" t="s">
        <v>1374</v>
      </c>
    </row>
    <row r="338" spans="1:35" x14ac:dyDescent="0.3">
      <c r="A338" s="186" t="s">
        <v>1158</v>
      </c>
      <c r="B338" s="24" t="s">
        <v>1158</v>
      </c>
      <c r="C338" s="156">
        <v>331724</v>
      </c>
      <c r="D338" s="24" t="s">
        <v>221</v>
      </c>
      <c r="E338" s="24" t="s">
        <v>222</v>
      </c>
      <c r="F338" s="156">
        <v>60104</v>
      </c>
      <c r="G338" s="24" t="s">
        <v>1381</v>
      </c>
      <c r="H338" s="24" t="s">
        <v>1442</v>
      </c>
      <c r="I338" s="24" t="s">
        <v>1381</v>
      </c>
      <c r="J338" s="186" t="s">
        <v>1376</v>
      </c>
      <c r="K338" s="19">
        <v>105595.716</v>
      </c>
      <c r="L338" s="17">
        <v>482070.84</v>
      </c>
      <c r="M338" s="19">
        <v>0</v>
      </c>
      <c r="N338" s="17">
        <v>0</v>
      </c>
      <c r="O338" s="19">
        <v>0</v>
      </c>
      <c r="P338" s="17">
        <v>0</v>
      </c>
      <c r="Q338" s="19">
        <v>583.66099999999994</v>
      </c>
      <c r="R338" s="17">
        <v>2664.55</v>
      </c>
      <c r="S338" s="19">
        <v>0</v>
      </c>
      <c r="T338" s="17">
        <v>0</v>
      </c>
      <c r="U338" s="19">
        <v>0</v>
      </c>
      <c r="V338" s="17">
        <v>0</v>
      </c>
      <c r="W338" s="19">
        <v>106179.37699999999</v>
      </c>
      <c r="X338" s="17">
        <v>484735.39</v>
      </c>
      <c r="Y338" s="17">
        <v>1931.43</v>
      </c>
      <c r="Z338" s="17"/>
      <c r="AA338" s="17"/>
      <c r="AB338" s="144">
        <v>0</v>
      </c>
      <c r="AC338" s="8">
        <f t="shared" si="75"/>
        <v>106179.37699999999</v>
      </c>
      <c r="AD338" s="11" t="str">
        <f>LEFT(details!E338,5)</f>
        <v>0.000</v>
      </c>
      <c r="AE338" s="42">
        <f t="shared" si="82"/>
        <v>0</v>
      </c>
      <c r="AF338" s="42">
        <f>VLOOKUP(C338,MC.5!B:P,15,FALSE)/3</f>
        <v>433918.70333333337</v>
      </c>
      <c r="AG338" s="152">
        <f t="shared" si="81"/>
        <v>433918.70333333337</v>
      </c>
      <c r="AH338" s="137" t="str">
        <f>VLOOKUP(F338,REF!B:C,2,FALSE)</f>
        <v>PET</v>
      </c>
      <c r="AI338" s="3" t="str">
        <f>VLOOKUP(G338,REF!E:F,2,FALSE)</f>
        <v>Virgin grade</v>
      </c>
    </row>
    <row r="339" spans="1:35" x14ac:dyDescent="0.3">
      <c r="A339" s="186" t="s">
        <v>1158</v>
      </c>
      <c r="B339" s="24" t="s">
        <v>1158</v>
      </c>
      <c r="C339" s="156">
        <v>335835</v>
      </c>
      <c r="D339" s="24" t="s">
        <v>105</v>
      </c>
      <c r="E339" s="24" t="s">
        <v>68</v>
      </c>
      <c r="F339" s="156">
        <v>60200</v>
      </c>
      <c r="G339" s="24" t="s">
        <v>1442</v>
      </c>
      <c r="H339" s="24" t="s">
        <v>1442</v>
      </c>
      <c r="I339" s="24" t="s">
        <v>1373</v>
      </c>
      <c r="J339" s="186" t="s">
        <v>1374</v>
      </c>
      <c r="K339" s="19">
        <v>48</v>
      </c>
      <c r="L339" s="17">
        <v>2337.7199999999998</v>
      </c>
      <c r="M339" s="19">
        <v>15.618</v>
      </c>
      <c r="N339" s="17">
        <v>760.63</v>
      </c>
      <c r="O339" s="19">
        <v>0</v>
      </c>
      <c r="P339" s="17">
        <v>0</v>
      </c>
      <c r="Q339" s="19">
        <v>0</v>
      </c>
      <c r="R339" s="17">
        <v>0</v>
      </c>
      <c r="S339" s="19">
        <v>16.241</v>
      </c>
      <c r="T339" s="17">
        <v>790.98</v>
      </c>
      <c r="U339" s="19">
        <v>0</v>
      </c>
      <c r="V339" s="17">
        <v>0</v>
      </c>
      <c r="W339" s="19">
        <v>79.858999999999995</v>
      </c>
      <c r="X339" s="17">
        <v>3889.33</v>
      </c>
      <c r="Y339" s="17">
        <v>790.98</v>
      </c>
      <c r="Z339" s="17"/>
      <c r="AA339" s="17"/>
      <c r="AB339" s="144">
        <v>0</v>
      </c>
      <c r="AC339" s="8">
        <f t="shared" si="75"/>
        <v>79.858999999999995</v>
      </c>
      <c r="AD339" s="11" t="str">
        <f>LEFT(details!E339,5)</f>
        <v>0.000</v>
      </c>
      <c r="AE339" s="42">
        <f t="shared" si="82"/>
        <v>0</v>
      </c>
      <c r="AF339" s="42">
        <f>VLOOKUP(C339,MC.5!B:P,15,FALSE)/3</f>
        <v>351.54666666666668</v>
      </c>
      <c r="AG339" s="152">
        <f t="shared" si="81"/>
        <v>351.54666666666668</v>
      </c>
      <c r="AH339" s="137" t="str">
        <f>VLOOKUP(F339,REF!B:C,2,FALSE)</f>
        <v>Additives</v>
      </c>
      <c r="AI339" s="3" t="s">
        <v>1374</v>
      </c>
    </row>
    <row r="340" spans="1:35" x14ac:dyDescent="0.3">
      <c r="A340" s="186" t="s">
        <v>1158</v>
      </c>
      <c r="B340" s="24" t="s">
        <v>1158</v>
      </c>
      <c r="C340" s="156">
        <v>369382</v>
      </c>
      <c r="D340" s="24" t="s">
        <v>224</v>
      </c>
      <c r="E340" s="24" t="s">
        <v>113</v>
      </c>
      <c r="F340" s="156">
        <v>60200</v>
      </c>
      <c r="G340" s="24" t="s">
        <v>1442</v>
      </c>
      <c r="H340" s="24" t="s">
        <v>1442</v>
      </c>
      <c r="I340" s="24" t="s">
        <v>1373</v>
      </c>
      <c r="J340" s="186" t="s">
        <v>1374</v>
      </c>
      <c r="K340" s="19">
        <v>46</v>
      </c>
      <c r="L340" s="17">
        <v>3351.16</v>
      </c>
      <c r="M340" s="19">
        <v>47</v>
      </c>
      <c r="N340" s="17">
        <v>3424.01</v>
      </c>
      <c r="O340" s="19">
        <v>30.227</v>
      </c>
      <c r="P340" s="17">
        <v>2202.0700000000002</v>
      </c>
      <c r="Q340" s="19">
        <v>0</v>
      </c>
      <c r="R340" s="17">
        <v>0</v>
      </c>
      <c r="S340" s="19">
        <v>0</v>
      </c>
      <c r="T340" s="17">
        <v>0</v>
      </c>
      <c r="U340" s="19">
        <v>0</v>
      </c>
      <c r="V340" s="17">
        <v>0</v>
      </c>
      <c r="W340" s="19">
        <v>123.227</v>
      </c>
      <c r="X340" s="17">
        <v>8977.24</v>
      </c>
      <c r="Y340" s="17">
        <v>329.32</v>
      </c>
      <c r="Z340" s="17"/>
      <c r="AA340" s="17"/>
      <c r="AB340" s="144">
        <v>0</v>
      </c>
      <c r="AC340" s="8">
        <f t="shared" si="75"/>
        <v>123.227</v>
      </c>
      <c r="AD340" s="11" t="str">
        <f>LEFT(details!E340,5)</f>
        <v>0.000</v>
      </c>
      <c r="AE340" s="42">
        <f t="shared" si="82"/>
        <v>0</v>
      </c>
      <c r="AF340" s="42">
        <f>VLOOKUP(C340,MC.5!B:P,15,FALSE)/3</f>
        <v>269.37666666666667</v>
      </c>
      <c r="AG340" s="152">
        <f t="shared" si="81"/>
        <v>269.37666666666667</v>
      </c>
      <c r="AH340" s="137" t="str">
        <f>VLOOKUP(F340,REF!B:C,2,FALSE)</f>
        <v>Additives</v>
      </c>
      <c r="AI340" s="3" t="s">
        <v>1374</v>
      </c>
    </row>
    <row r="341" spans="1:35" x14ac:dyDescent="0.3">
      <c r="A341" s="186" t="s">
        <v>1158</v>
      </c>
      <c r="B341" s="24" t="s">
        <v>1158</v>
      </c>
      <c r="C341" s="156">
        <v>374617</v>
      </c>
      <c r="D341" s="24" t="s">
        <v>1915</v>
      </c>
      <c r="E341" s="24" t="s">
        <v>113</v>
      </c>
      <c r="F341" s="156">
        <v>60104</v>
      </c>
      <c r="G341" s="24" t="s">
        <v>1381</v>
      </c>
      <c r="H341" s="24" t="s">
        <v>1442</v>
      </c>
      <c r="I341" s="24" t="s">
        <v>1381</v>
      </c>
      <c r="J341" s="186" t="s">
        <v>1376</v>
      </c>
      <c r="K341" s="19">
        <v>47000</v>
      </c>
      <c r="L341" s="17">
        <v>247451.71</v>
      </c>
      <c r="M341" s="19">
        <v>0</v>
      </c>
      <c r="N341" s="17">
        <v>0</v>
      </c>
      <c r="O341" s="19">
        <v>0</v>
      </c>
      <c r="P341" s="17">
        <v>0</v>
      </c>
      <c r="Q341" s="19">
        <v>9059.1080000000002</v>
      </c>
      <c r="R341" s="17">
        <v>47695.57</v>
      </c>
      <c r="S341" s="19">
        <v>0</v>
      </c>
      <c r="T341" s="17">
        <v>0</v>
      </c>
      <c r="U341" s="19">
        <v>0</v>
      </c>
      <c r="V341" s="17">
        <v>0</v>
      </c>
      <c r="W341" s="19">
        <v>56059.108</v>
      </c>
      <c r="X341" s="17">
        <v>295147.28000000003</v>
      </c>
      <c r="Y341" s="17">
        <v>23849.69</v>
      </c>
      <c r="Z341" s="17"/>
      <c r="AA341" s="17"/>
      <c r="AB341" s="144">
        <v>0</v>
      </c>
      <c r="AC341" s="8">
        <f t="shared" si="75"/>
        <v>56059.108</v>
      </c>
      <c r="AD341" s="11" t="str">
        <f>LEFT(details!E341,5)</f>
        <v>0.000</v>
      </c>
      <c r="AE341" s="42">
        <f t="shared" si="82"/>
        <v>0</v>
      </c>
      <c r="AF341" s="42">
        <f>VLOOKUP(C341,MC.5!B:P,15,FALSE)/3</f>
        <v>4195.95</v>
      </c>
      <c r="AG341" s="152">
        <f t="shared" si="81"/>
        <v>4195.95</v>
      </c>
      <c r="AH341" s="137" t="str">
        <f>VLOOKUP(F341,REF!B:C,2,FALSE)</f>
        <v>PET</v>
      </c>
      <c r="AI341" s="3" t="str">
        <f>VLOOKUP(G341,REF!E:F,2,FALSE)</f>
        <v>Virgin grade</v>
      </c>
    </row>
    <row r="342" spans="1:35" x14ac:dyDescent="0.3">
      <c r="A342" s="186" t="s">
        <v>1158</v>
      </c>
      <c r="B342" s="24" t="s">
        <v>1158</v>
      </c>
      <c r="C342" s="156">
        <v>379402</v>
      </c>
      <c r="D342" s="24" t="s">
        <v>114</v>
      </c>
      <c r="E342" s="24" t="s">
        <v>113</v>
      </c>
      <c r="F342" s="156">
        <v>60105</v>
      </c>
      <c r="G342" s="24" t="s">
        <v>1377</v>
      </c>
      <c r="H342" s="24" t="s">
        <v>1442</v>
      </c>
      <c r="I342" s="24" t="s">
        <v>1377</v>
      </c>
      <c r="J342" s="186" t="s">
        <v>1376</v>
      </c>
      <c r="K342" s="19">
        <v>4567.7240000000002</v>
      </c>
      <c r="L342" s="17">
        <v>30822.73</v>
      </c>
      <c r="M342" s="19">
        <v>0</v>
      </c>
      <c r="N342" s="17">
        <v>0</v>
      </c>
      <c r="O342" s="19">
        <v>0</v>
      </c>
      <c r="P342" s="17">
        <v>0</v>
      </c>
      <c r="Q342" s="19">
        <v>123.43</v>
      </c>
      <c r="R342" s="17">
        <v>832.9</v>
      </c>
      <c r="S342" s="19">
        <v>0</v>
      </c>
      <c r="T342" s="17">
        <v>0</v>
      </c>
      <c r="U342" s="19">
        <v>0</v>
      </c>
      <c r="V342" s="17">
        <v>0</v>
      </c>
      <c r="W342" s="19">
        <v>4691.1540000000005</v>
      </c>
      <c r="X342" s="17">
        <v>31655.63</v>
      </c>
      <c r="Y342" s="17">
        <v>644.26</v>
      </c>
      <c r="Z342" s="17"/>
      <c r="AA342" s="17"/>
      <c r="AB342" s="144">
        <v>0</v>
      </c>
      <c r="AC342" s="8">
        <f t="shared" si="75"/>
        <v>4691.1540000000005</v>
      </c>
      <c r="AD342" s="11" t="str">
        <f>LEFT(details!E342,5)</f>
        <v>0.000</v>
      </c>
      <c r="AE342" s="42">
        <f t="shared" si="82"/>
        <v>0</v>
      </c>
      <c r="AF342" s="42">
        <f>VLOOKUP(C342,MC.5!B:P,15,FALSE)/3</f>
        <v>9254.67</v>
      </c>
      <c r="AG342" s="152">
        <f t="shared" si="81"/>
        <v>9254.67</v>
      </c>
      <c r="AH342" s="137" t="str">
        <f>VLOOKUP(F342,REF!B:C,2,FALSE)</f>
        <v>PE</v>
      </c>
      <c r="AI342" s="3" t="str">
        <f>VLOOKUP(G342,REF!E:F,2,FALSE)</f>
        <v>Virgin grade</v>
      </c>
    </row>
    <row r="343" spans="1:35" x14ac:dyDescent="0.3">
      <c r="A343" s="186" t="s">
        <v>1158</v>
      </c>
      <c r="B343" s="24" t="s">
        <v>1158</v>
      </c>
      <c r="C343" s="156">
        <v>410629</v>
      </c>
      <c r="D343" s="24" t="s">
        <v>117</v>
      </c>
      <c r="E343" s="24" t="s">
        <v>68</v>
      </c>
      <c r="F343" s="156">
        <v>60200</v>
      </c>
      <c r="G343" s="24" t="s">
        <v>1442</v>
      </c>
      <c r="H343" s="24" t="s">
        <v>1442</v>
      </c>
      <c r="I343" s="24" t="s">
        <v>1373</v>
      </c>
      <c r="J343" s="186" t="s">
        <v>1374</v>
      </c>
      <c r="K343" s="19">
        <v>125</v>
      </c>
      <c r="L343" s="17">
        <v>5087.45</v>
      </c>
      <c r="M343" s="19">
        <v>9.7279999999999998</v>
      </c>
      <c r="N343" s="17">
        <v>395.93</v>
      </c>
      <c r="O343" s="19">
        <v>6.1319999999999997</v>
      </c>
      <c r="P343" s="17">
        <v>249.57</v>
      </c>
      <c r="Q343" s="19">
        <v>0</v>
      </c>
      <c r="R343" s="17">
        <v>0</v>
      </c>
      <c r="S343" s="19">
        <v>0</v>
      </c>
      <c r="T343" s="17">
        <v>0</v>
      </c>
      <c r="U343" s="19">
        <v>0</v>
      </c>
      <c r="V343" s="17">
        <v>0</v>
      </c>
      <c r="W343" s="19">
        <v>140.86000000000001</v>
      </c>
      <c r="X343" s="17">
        <v>5732.95</v>
      </c>
      <c r="Y343" s="17">
        <v>69.33</v>
      </c>
      <c r="Z343" s="17"/>
      <c r="AA343" s="17"/>
      <c r="AB343" s="144">
        <v>0</v>
      </c>
      <c r="AC343" s="8">
        <f t="shared" si="75"/>
        <v>140.86000000000001</v>
      </c>
      <c r="AD343" s="11" t="str">
        <f>LEFT(details!E343,5)</f>
        <v>0.000</v>
      </c>
      <c r="AE343" s="42">
        <f t="shared" si="82"/>
        <v>0</v>
      </c>
      <c r="AF343" s="42">
        <f>VLOOKUP(C343,MC.5!B:P,15,FALSE)/3</f>
        <v>531.90666666666664</v>
      </c>
      <c r="AG343" s="152">
        <f t="shared" si="81"/>
        <v>531.90666666666664</v>
      </c>
      <c r="AH343" s="137" t="str">
        <f>VLOOKUP(F343,REF!B:C,2,FALSE)</f>
        <v>Additives</v>
      </c>
      <c r="AI343" s="3" t="s">
        <v>1374</v>
      </c>
    </row>
    <row r="344" spans="1:35" x14ac:dyDescent="0.3">
      <c r="A344" s="186" t="s">
        <v>1158</v>
      </c>
      <c r="B344" s="24" t="s">
        <v>1158</v>
      </c>
      <c r="C344" s="156">
        <v>411451</v>
      </c>
      <c r="D344" s="24" t="s">
        <v>118</v>
      </c>
      <c r="E344" s="24" t="s">
        <v>68</v>
      </c>
      <c r="F344" s="156">
        <v>60200</v>
      </c>
      <c r="G344" s="24" t="s">
        <v>1442</v>
      </c>
      <c r="H344" s="24" t="s">
        <v>1442</v>
      </c>
      <c r="I344" s="24" t="s">
        <v>1373</v>
      </c>
      <c r="J344" s="186" t="s">
        <v>1374</v>
      </c>
      <c r="K344" s="19">
        <v>50</v>
      </c>
      <c r="L344" s="17">
        <v>4553.17</v>
      </c>
      <c r="M344" s="19">
        <v>37.268999999999998</v>
      </c>
      <c r="N344" s="17">
        <v>3393.84</v>
      </c>
      <c r="O344" s="19">
        <v>0</v>
      </c>
      <c r="P344" s="17">
        <v>0</v>
      </c>
      <c r="Q344" s="19">
        <v>0</v>
      </c>
      <c r="R344" s="17">
        <v>0</v>
      </c>
      <c r="S344" s="19">
        <v>0</v>
      </c>
      <c r="T344" s="17">
        <v>0</v>
      </c>
      <c r="U344" s="19">
        <v>0</v>
      </c>
      <c r="V344" s="17">
        <v>0</v>
      </c>
      <c r="W344" s="19">
        <v>87.269000000000005</v>
      </c>
      <c r="X344" s="17">
        <v>7947.01</v>
      </c>
      <c r="Y344" s="17">
        <v>0</v>
      </c>
      <c r="Z344" s="17"/>
      <c r="AA344" s="17"/>
      <c r="AB344" s="144">
        <v>0</v>
      </c>
      <c r="AC344" s="8">
        <f t="shared" si="75"/>
        <v>87.269000000000005</v>
      </c>
      <c r="AD344" s="11" t="str">
        <f>LEFT(details!E344,5)</f>
        <v>0.000</v>
      </c>
      <c r="AE344" s="42">
        <f t="shared" si="82"/>
        <v>0</v>
      </c>
      <c r="AF344" s="42">
        <f>VLOOKUP(C344,MC.5!B:P,15,FALSE)/3</f>
        <v>557.64</v>
      </c>
      <c r="AG344" s="152">
        <f t="shared" si="81"/>
        <v>557.64</v>
      </c>
      <c r="AH344" s="137" t="str">
        <f>VLOOKUP(F344,REF!B:C,2,FALSE)</f>
        <v>Additives</v>
      </c>
      <c r="AI344" s="3" t="s">
        <v>1374</v>
      </c>
    </row>
    <row r="345" spans="1:35" x14ac:dyDescent="0.3">
      <c r="A345" s="186" t="s">
        <v>1158</v>
      </c>
      <c r="B345" s="24" t="s">
        <v>1158</v>
      </c>
      <c r="C345" s="156">
        <v>412421</v>
      </c>
      <c r="D345" s="24" t="s">
        <v>119</v>
      </c>
      <c r="E345" s="24" t="s">
        <v>68</v>
      </c>
      <c r="F345" s="156">
        <v>60200</v>
      </c>
      <c r="G345" s="24" t="s">
        <v>1442</v>
      </c>
      <c r="H345" s="24" t="s">
        <v>1442</v>
      </c>
      <c r="I345" s="24" t="s">
        <v>1373</v>
      </c>
      <c r="J345" s="186" t="s">
        <v>1374</v>
      </c>
      <c r="K345" s="19">
        <v>0</v>
      </c>
      <c r="L345" s="17">
        <v>0</v>
      </c>
      <c r="M345" s="19">
        <v>31.46</v>
      </c>
      <c r="N345" s="17">
        <v>1216.6300000000001</v>
      </c>
      <c r="O345" s="19">
        <v>0</v>
      </c>
      <c r="P345" s="17">
        <v>0</v>
      </c>
      <c r="Q345" s="19">
        <v>0</v>
      </c>
      <c r="R345" s="17">
        <v>0</v>
      </c>
      <c r="S345" s="19">
        <v>0</v>
      </c>
      <c r="T345" s="17">
        <v>0</v>
      </c>
      <c r="U345" s="19">
        <v>0</v>
      </c>
      <c r="V345" s="17">
        <v>0</v>
      </c>
      <c r="W345" s="19">
        <v>31.46</v>
      </c>
      <c r="X345" s="17">
        <v>1216.6300000000001</v>
      </c>
      <c r="Y345" s="17">
        <v>0</v>
      </c>
      <c r="Z345" s="17"/>
      <c r="AA345" s="17"/>
      <c r="AB345" s="144">
        <v>0</v>
      </c>
      <c r="AC345" s="8">
        <f t="shared" si="75"/>
        <v>31.46</v>
      </c>
      <c r="AD345" s="11" t="str">
        <f>LEFT(details!E345,5)</f>
        <v>0.000</v>
      </c>
      <c r="AE345" s="42">
        <f t="shared" si="82"/>
        <v>0</v>
      </c>
      <c r="AF345" s="42">
        <f>VLOOKUP(C345,MC.5!B:P,15,FALSE)/3</f>
        <v>269.73</v>
      </c>
      <c r="AG345" s="152">
        <f t="shared" si="81"/>
        <v>269.73</v>
      </c>
      <c r="AH345" s="137" t="str">
        <f>VLOOKUP(F345,REF!B:C,2,FALSE)</f>
        <v>Additives</v>
      </c>
      <c r="AI345" s="3" t="s">
        <v>1374</v>
      </c>
    </row>
    <row r="346" spans="1:35" x14ac:dyDescent="0.3">
      <c r="A346" s="186" t="s">
        <v>1158</v>
      </c>
      <c r="B346" s="24" t="s">
        <v>1158</v>
      </c>
      <c r="C346" s="156">
        <v>441894</v>
      </c>
      <c r="D346" s="24" t="s">
        <v>187</v>
      </c>
      <c r="E346" s="24" t="s">
        <v>68</v>
      </c>
      <c r="F346" s="156">
        <v>60200</v>
      </c>
      <c r="G346" s="24" t="s">
        <v>1442</v>
      </c>
      <c r="H346" s="24" t="s">
        <v>1442</v>
      </c>
      <c r="I346" s="24" t="s">
        <v>1373</v>
      </c>
      <c r="J346" s="186" t="s">
        <v>1374</v>
      </c>
      <c r="K346" s="19">
        <v>0</v>
      </c>
      <c r="L346" s="17">
        <v>0</v>
      </c>
      <c r="M346" s="19">
        <v>0</v>
      </c>
      <c r="N346" s="17">
        <v>0</v>
      </c>
      <c r="O346" s="19">
        <v>24</v>
      </c>
      <c r="P346" s="17">
        <v>1350.07</v>
      </c>
      <c r="Q346" s="19">
        <v>0</v>
      </c>
      <c r="R346" s="17">
        <v>0</v>
      </c>
      <c r="S346" s="19">
        <v>4.859</v>
      </c>
      <c r="T346" s="17">
        <v>273.33999999999997</v>
      </c>
      <c r="U346" s="19">
        <v>0</v>
      </c>
      <c r="V346" s="17">
        <v>0</v>
      </c>
      <c r="W346" s="19">
        <v>28.859000000000002</v>
      </c>
      <c r="X346" s="17">
        <v>1623.41</v>
      </c>
      <c r="Y346" s="17">
        <v>648.39</v>
      </c>
      <c r="Z346" s="17"/>
      <c r="AA346" s="17"/>
      <c r="AB346" s="144">
        <v>0</v>
      </c>
      <c r="AC346" s="8">
        <f t="shared" si="75"/>
        <v>28.859000000000002</v>
      </c>
      <c r="AD346" s="11" t="str">
        <f>LEFT(details!E346,5)</f>
        <v>0.000</v>
      </c>
      <c r="AE346" s="42">
        <f t="shared" si="82"/>
        <v>0</v>
      </c>
      <c r="AF346" s="42">
        <f>VLOOKUP(C346,MC.5!B:P,15,FALSE)/3</f>
        <v>0</v>
      </c>
      <c r="AG346" s="152">
        <f t="shared" si="81"/>
        <v>0</v>
      </c>
      <c r="AH346" s="137" t="str">
        <f>VLOOKUP(F346,REF!B:C,2,FALSE)</f>
        <v>Additives</v>
      </c>
      <c r="AI346" s="3" t="s">
        <v>1374</v>
      </c>
    </row>
    <row r="347" spans="1:35" x14ac:dyDescent="0.3">
      <c r="A347" s="186" t="s">
        <v>1158</v>
      </c>
      <c r="B347" s="24" t="s">
        <v>1158</v>
      </c>
      <c r="C347" s="156">
        <v>442069</v>
      </c>
      <c r="D347" s="24" t="s">
        <v>144</v>
      </c>
      <c r="E347" s="24" t="s">
        <v>68</v>
      </c>
      <c r="F347" s="156">
        <v>60200</v>
      </c>
      <c r="G347" s="24" t="s">
        <v>1442</v>
      </c>
      <c r="H347" s="24" t="s">
        <v>1442</v>
      </c>
      <c r="I347" s="24" t="s">
        <v>1373</v>
      </c>
      <c r="J347" s="186" t="s">
        <v>1374</v>
      </c>
      <c r="K347" s="19">
        <v>99.373999999999995</v>
      </c>
      <c r="L347" s="17">
        <v>6033.83</v>
      </c>
      <c r="M347" s="19">
        <v>0</v>
      </c>
      <c r="N347" s="17">
        <v>0</v>
      </c>
      <c r="O347" s="19">
        <v>0</v>
      </c>
      <c r="P347" s="17">
        <v>0</v>
      </c>
      <c r="Q347" s="19">
        <v>0</v>
      </c>
      <c r="R347" s="17">
        <v>0</v>
      </c>
      <c r="S347" s="19">
        <v>0</v>
      </c>
      <c r="T347" s="17">
        <v>0</v>
      </c>
      <c r="U347" s="19">
        <v>0</v>
      </c>
      <c r="V347" s="17">
        <v>0</v>
      </c>
      <c r="W347" s="19">
        <v>99.373999999999995</v>
      </c>
      <c r="X347" s="17">
        <v>6033.83</v>
      </c>
      <c r="Y347" s="17">
        <v>0</v>
      </c>
      <c r="Z347" s="17"/>
      <c r="AA347" s="17"/>
      <c r="AB347" s="144">
        <v>0</v>
      </c>
      <c r="AC347" s="8">
        <f t="shared" si="75"/>
        <v>99.373999999999995</v>
      </c>
      <c r="AD347" s="11" t="str">
        <f>LEFT(details!E347,5)</f>
        <v>0.000</v>
      </c>
      <c r="AE347" s="42">
        <f t="shared" si="82"/>
        <v>0</v>
      </c>
      <c r="AF347" s="42">
        <f>VLOOKUP(C347,MC.5!B:P,15,FALSE)/3</f>
        <v>1885.28</v>
      </c>
      <c r="AG347" s="152">
        <f t="shared" si="81"/>
        <v>1885.28</v>
      </c>
      <c r="AH347" s="137" t="str">
        <f>VLOOKUP(F347,REF!B:C,2,FALSE)</f>
        <v>Additives</v>
      </c>
      <c r="AI347" s="3" t="s">
        <v>1374</v>
      </c>
    </row>
    <row r="348" spans="1:35" x14ac:dyDescent="0.3">
      <c r="A348" s="186" t="s">
        <v>1158</v>
      </c>
      <c r="B348" s="24" t="s">
        <v>1158</v>
      </c>
      <c r="C348" s="156">
        <v>454612</v>
      </c>
      <c r="D348" s="24" t="s">
        <v>148</v>
      </c>
      <c r="E348" s="24" t="s">
        <v>113</v>
      </c>
      <c r="F348" s="156">
        <v>60105</v>
      </c>
      <c r="G348" s="24" t="s">
        <v>1377</v>
      </c>
      <c r="H348" s="24" t="s">
        <v>1442</v>
      </c>
      <c r="I348" s="24" t="s">
        <v>1377</v>
      </c>
      <c r="J348" s="186" t="s">
        <v>1376</v>
      </c>
      <c r="K348" s="19">
        <v>13750</v>
      </c>
      <c r="L348" s="17">
        <v>83081.490000000005</v>
      </c>
      <c r="M348" s="19">
        <v>11000</v>
      </c>
      <c r="N348" s="17">
        <v>66465.19</v>
      </c>
      <c r="O348" s="19">
        <v>2490.8420000000001</v>
      </c>
      <c r="P348" s="17">
        <v>15050.4</v>
      </c>
      <c r="Q348" s="19">
        <v>487.72300000000001</v>
      </c>
      <c r="R348" s="17">
        <v>2946.96</v>
      </c>
      <c r="S348" s="19">
        <v>0</v>
      </c>
      <c r="T348" s="17">
        <v>0</v>
      </c>
      <c r="U348" s="19">
        <v>0</v>
      </c>
      <c r="V348" s="17">
        <v>0</v>
      </c>
      <c r="W348" s="19">
        <v>27728.564999999999</v>
      </c>
      <c r="X348" s="17">
        <v>167544.04</v>
      </c>
      <c r="Y348" s="17">
        <v>6654.53</v>
      </c>
      <c r="Z348" s="17"/>
      <c r="AA348" s="17"/>
      <c r="AB348" s="144">
        <v>0</v>
      </c>
      <c r="AC348" s="8">
        <f t="shared" si="75"/>
        <v>27728.564999999999</v>
      </c>
      <c r="AD348" s="11" t="str">
        <f>LEFT(details!E348,5)</f>
        <v>0.000</v>
      </c>
      <c r="AE348" s="42">
        <f t="shared" si="82"/>
        <v>0</v>
      </c>
      <c r="AF348" s="42">
        <f>VLOOKUP(C348,MC.5!B:P,15,FALSE)/3</f>
        <v>14920.64</v>
      </c>
      <c r="AG348" s="152">
        <f t="shared" si="81"/>
        <v>14920.64</v>
      </c>
      <c r="AH348" s="137" t="str">
        <f>VLOOKUP(F348,REF!B:C,2,FALSE)</f>
        <v>PE</v>
      </c>
      <c r="AI348" s="3" t="str">
        <f>VLOOKUP(G348,REF!E:F,2,FALSE)</f>
        <v>Virgin grade</v>
      </c>
    </row>
    <row r="349" spans="1:35" x14ac:dyDescent="0.3">
      <c r="A349" s="186" t="s">
        <v>1158</v>
      </c>
      <c r="B349" s="24" t="s">
        <v>1158</v>
      </c>
      <c r="C349" s="156">
        <v>454613</v>
      </c>
      <c r="D349" s="24" t="s">
        <v>2658</v>
      </c>
      <c r="E349" s="24" t="s">
        <v>113</v>
      </c>
      <c r="F349" s="156">
        <v>60105</v>
      </c>
      <c r="G349" s="24" t="s">
        <v>1377</v>
      </c>
      <c r="H349" s="24" t="s">
        <v>1442</v>
      </c>
      <c r="I349" s="24" t="s">
        <v>1377</v>
      </c>
      <c r="J349" s="186" t="s">
        <v>1376</v>
      </c>
      <c r="K349" s="19">
        <v>15738.743</v>
      </c>
      <c r="L349" s="17">
        <v>116184.35</v>
      </c>
      <c r="M349" s="19">
        <v>0</v>
      </c>
      <c r="N349" s="17">
        <v>0</v>
      </c>
      <c r="O349" s="19">
        <v>0</v>
      </c>
      <c r="P349" s="17">
        <v>0</v>
      </c>
      <c r="Q349" s="19">
        <v>0</v>
      </c>
      <c r="R349" s="17">
        <v>0</v>
      </c>
      <c r="S349" s="19">
        <v>0</v>
      </c>
      <c r="T349" s="17">
        <v>0</v>
      </c>
      <c r="U349" s="19">
        <v>0</v>
      </c>
      <c r="V349" s="17">
        <v>0</v>
      </c>
      <c r="W349" s="19">
        <v>15738.743</v>
      </c>
      <c r="X349" s="17">
        <v>116184.35</v>
      </c>
      <c r="Y349" s="17">
        <v>0</v>
      </c>
      <c r="Z349" s="17"/>
      <c r="AA349" s="17"/>
      <c r="AB349" s="144">
        <v>0</v>
      </c>
      <c r="AC349" s="8">
        <f t="shared" si="75"/>
        <v>15738.743</v>
      </c>
      <c r="AD349" s="11" t="str">
        <f>LEFT(details!E349,5)</f>
        <v>0.000</v>
      </c>
      <c r="AE349" s="42">
        <f t="shared" si="82"/>
        <v>0</v>
      </c>
      <c r="AF349" s="42">
        <f>VLOOKUP(C349,MC.5!B:P,15,FALSE)/3</f>
        <v>47320.943333333329</v>
      </c>
      <c r="AG349" s="152">
        <f t="shared" si="81"/>
        <v>47320.943333333329</v>
      </c>
      <c r="AH349" s="137" t="str">
        <f>VLOOKUP(F349,REF!B:C,2,FALSE)</f>
        <v>PE</v>
      </c>
      <c r="AI349" s="3" t="str">
        <f>VLOOKUP(G349,REF!E:F,2,FALSE)</f>
        <v>Virgin grade</v>
      </c>
    </row>
    <row r="350" spans="1:35" x14ac:dyDescent="0.3">
      <c r="A350" s="186" t="s">
        <v>1158</v>
      </c>
      <c r="B350" s="24" t="s">
        <v>1158</v>
      </c>
      <c r="C350" s="156">
        <v>454618</v>
      </c>
      <c r="D350" s="24" t="s">
        <v>188</v>
      </c>
      <c r="E350" s="24" t="s">
        <v>113</v>
      </c>
      <c r="F350" s="156">
        <v>60200</v>
      </c>
      <c r="G350" s="24" t="s">
        <v>1442</v>
      </c>
      <c r="H350" s="24" t="s">
        <v>1442</v>
      </c>
      <c r="I350" s="24" t="s">
        <v>1373</v>
      </c>
      <c r="J350" s="186" t="s">
        <v>1374</v>
      </c>
      <c r="K350" s="19">
        <v>249.04499999999999</v>
      </c>
      <c r="L350" s="17">
        <v>3746.22</v>
      </c>
      <c r="M350" s="19">
        <v>0</v>
      </c>
      <c r="N350" s="17">
        <v>0</v>
      </c>
      <c r="O350" s="19">
        <v>0</v>
      </c>
      <c r="P350" s="17">
        <v>0</v>
      </c>
      <c r="Q350" s="19">
        <v>0</v>
      </c>
      <c r="R350" s="17">
        <v>0</v>
      </c>
      <c r="S350" s="19">
        <v>16.241</v>
      </c>
      <c r="T350" s="17">
        <v>244.3</v>
      </c>
      <c r="U350" s="19">
        <v>0</v>
      </c>
      <c r="V350" s="17">
        <v>0</v>
      </c>
      <c r="W350" s="19">
        <v>265.286</v>
      </c>
      <c r="X350" s="17">
        <v>3990.52</v>
      </c>
      <c r="Y350" s="17">
        <v>244.3</v>
      </c>
      <c r="Z350" s="17"/>
      <c r="AA350" s="17"/>
      <c r="AB350" s="144">
        <v>0</v>
      </c>
      <c r="AC350" s="8">
        <f t="shared" si="75"/>
        <v>265.286</v>
      </c>
      <c r="AD350" s="11" t="str">
        <f>LEFT(details!E350,5)</f>
        <v>0.000</v>
      </c>
      <c r="AE350" s="42">
        <f t="shared" si="82"/>
        <v>0</v>
      </c>
      <c r="AF350" s="42">
        <f>VLOOKUP(C350,MC.5!B:P,15,FALSE)/3</f>
        <v>756.29</v>
      </c>
      <c r="AG350" s="152">
        <f t="shared" si="81"/>
        <v>756.29</v>
      </c>
      <c r="AH350" s="137" t="str">
        <f>VLOOKUP(F350,REF!B:C,2,FALSE)</f>
        <v>Additives</v>
      </c>
      <c r="AI350" s="3" t="s">
        <v>1374</v>
      </c>
    </row>
    <row r="351" spans="1:35" x14ac:dyDescent="0.3">
      <c r="A351" s="186" t="s">
        <v>1158</v>
      </c>
      <c r="B351" s="24" t="s">
        <v>1158</v>
      </c>
      <c r="C351" s="156">
        <v>454619</v>
      </c>
      <c r="D351" s="24" t="s">
        <v>131</v>
      </c>
      <c r="E351" s="24" t="s">
        <v>113</v>
      </c>
      <c r="F351" s="156">
        <v>60200</v>
      </c>
      <c r="G351" s="24" t="s">
        <v>1442</v>
      </c>
      <c r="H351" s="24" t="s">
        <v>1442</v>
      </c>
      <c r="I351" s="24" t="s">
        <v>1373</v>
      </c>
      <c r="J351" s="186" t="s">
        <v>1374</v>
      </c>
      <c r="K351" s="19">
        <v>0</v>
      </c>
      <c r="L351" s="17">
        <v>0</v>
      </c>
      <c r="M351" s="19">
        <v>0</v>
      </c>
      <c r="N351" s="17">
        <v>0</v>
      </c>
      <c r="O351" s="19">
        <v>0</v>
      </c>
      <c r="P351" s="17">
        <v>0</v>
      </c>
      <c r="Q351" s="19">
        <v>0</v>
      </c>
      <c r="R351" s="17">
        <v>0</v>
      </c>
      <c r="S351" s="19">
        <v>31.545999999999999</v>
      </c>
      <c r="T351" s="17">
        <v>626.62</v>
      </c>
      <c r="U351" s="19">
        <v>0</v>
      </c>
      <c r="V351" s="17">
        <v>0</v>
      </c>
      <c r="W351" s="19">
        <v>31.545999999999999</v>
      </c>
      <c r="X351" s="17">
        <v>626.62</v>
      </c>
      <c r="Y351" s="17">
        <v>626.62</v>
      </c>
      <c r="Z351" s="17"/>
      <c r="AA351" s="17"/>
      <c r="AB351" s="144">
        <v>0</v>
      </c>
      <c r="AC351" s="8">
        <f t="shared" si="75"/>
        <v>31.545999999999999</v>
      </c>
      <c r="AD351" s="11" t="str">
        <f>LEFT(details!E351,5)</f>
        <v>0.000</v>
      </c>
      <c r="AE351" s="42">
        <f t="shared" si="82"/>
        <v>0</v>
      </c>
      <c r="AF351" s="42">
        <f>VLOOKUP(C351,MC.5!B:P,15,FALSE)/3</f>
        <v>0</v>
      </c>
      <c r="AG351" s="152">
        <f t="shared" si="81"/>
        <v>0</v>
      </c>
      <c r="AH351" s="137" t="str">
        <f>VLOOKUP(F351,REF!B:C,2,FALSE)</f>
        <v>Additives</v>
      </c>
      <c r="AI351" s="3" t="s">
        <v>1374</v>
      </c>
    </row>
    <row r="352" spans="1:35" x14ac:dyDescent="0.3">
      <c r="A352" s="186" t="s">
        <v>1158</v>
      </c>
      <c r="B352" s="24" t="s">
        <v>1158</v>
      </c>
      <c r="C352" s="156">
        <v>454626</v>
      </c>
      <c r="D352" s="24" t="s">
        <v>133</v>
      </c>
      <c r="E352" s="24" t="s">
        <v>113</v>
      </c>
      <c r="F352" s="156">
        <v>60200</v>
      </c>
      <c r="G352" s="24" t="s">
        <v>1442</v>
      </c>
      <c r="H352" s="24" t="s">
        <v>1442</v>
      </c>
      <c r="I352" s="24" t="s">
        <v>1373</v>
      </c>
      <c r="J352" s="186" t="s">
        <v>1374</v>
      </c>
      <c r="K352" s="19">
        <v>0</v>
      </c>
      <c r="L352" s="17">
        <v>0</v>
      </c>
      <c r="M352" s="19">
        <v>0</v>
      </c>
      <c r="N352" s="17">
        <v>0</v>
      </c>
      <c r="O352" s="19">
        <v>50</v>
      </c>
      <c r="P352" s="17">
        <v>1600</v>
      </c>
      <c r="Q352" s="19">
        <v>44.801000000000002</v>
      </c>
      <c r="R352" s="17">
        <v>1433.63</v>
      </c>
      <c r="S352" s="19">
        <v>0</v>
      </c>
      <c r="T352" s="17">
        <v>0</v>
      </c>
      <c r="U352" s="19">
        <v>0</v>
      </c>
      <c r="V352" s="17">
        <v>0</v>
      </c>
      <c r="W352" s="19">
        <v>94.801000000000002</v>
      </c>
      <c r="X352" s="17">
        <v>3033.63</v>
      </c>
      <c r="Y352" s="17">
        <v>903.91</v>
      </c>
      <c r="Z352" s="17"/>
      <c r="AA352" s="17"/>
      <c r="AB352" s="144">
        <v>0</v>
      </c>
      <c r="AC352" s="8">
        <f t="shared" si="75"/>
        <v>94.801000000000002</v>
      </c>
      <c r="AD352" s="11" t="str">
        <f>LEFT(details!E352,5)</f>
        <v>0.000</v>
      </c>
      <c r="AE352" s="42">
        <f t="shared" si="82"/>
        <v>0</v>
      </c>
      <c r="AF352" s="42">
        <f>VLOOKUP(C352,MC.5!B:P,15,FALSE)/3</f>
        <v>0</v>
      </c>
      <c r="AG352" s="152">
        <f t="shared" si="81"/>
        <v>0</v>
      </c>
      <c r="AH352" s="137" t="str">
        <f>VLOOKUP(F352,REF!B:C,2,FALSE)</f>
        <v>Additives</v>
      </c>
      <c r="AI352" s="3" t="s">
        <v>1374</v>
      </c>
    </row>
    <row r="353" spans="1:35" x14ac:dyDescent="0.3">
      <c r="A353" s="186" t="s">
        <v>1158</v>
      </c>
      <c r="B353" s="24" t="s">
        <v>1158</v>
      </c>
      <c r="C353" s="156">
        <v>454640</v>
      </c>
      <c r="D353" s="24" t="s">
        <v>134</v>
      </c>
      <c r="E353" s="24" t="s">
        <v>113</v>
      </c>
      <c r="F353" s="156">
        <v>60200</v>
      </c>
      <c r="G353" s="24" t="s">
        <v>1442</v>
      </c>
      <c r="H353" s="24" t="s">
        <v>1442</v>
      </c>
      <c r="I353" s="24" t="s">
        <v>1373</v>
      </c>
      <c r="J353" s="186" t="s">
        <v>1374</v>
      </c>
      <c r="K353" s="19">
        <v>50</v>
      </c>
      <c r="L353" s="17">
        <v>1847.03</v>
      </c>
      <c r="M353" s="19">
        <v>49.02</v>
      </c>
      <c r="N353" s="17">
        <v>1810.83</v>
      </c>
      <c r="O353" s="19">
        <v>0</v>
      </c>
      <c r="P353" s="17">
        <v>0</v>
      </c>
      <c r="Q353" s="19">
        <v>0</v>
      </c>
      <c r="R353" s="17">
        <v>0</v>
      </c>
      <c r="S353" s="19">
        <v>0</v>
      </c>
      <c r="T353" s="17">
        <v>0</v>
      </c>
      <c r="U353" s="19">
        <v>0</v>
      </c>
      <c r="V353" s="17">
        <v>0</v>
      </c>
      <c r="W353" s="19">
        <v>99.02</v>
      </c>
      <c r="X353" s="17">
        <v>3657.86</v>
      </c>
      <c r="Y353" s="17">
        <v>0</v>
      </c>
      <c r="Z353" s="17"/>
      <c r="AA353" s="17"/>
      <c r="AB353" s="144">
        <v>0</v>
      </c>
      <c r="AC353" s="8">
        <f t="shared" si="75"/>
        <v>99.02</v>
      </c>
      <c r="AD353" s="11" t="str">
        <f>LEFT(details!E353,5)</f>
        <v>0.000</v>
      </c>
      <c r="AE353" s="42">
        <f t="shared" si="82"/>
        <v>0</v>
      </c>
      <c r="AF353" s="42">
        <f>VLOOKUP(C353,MC.5!B:P,15,FALSE)/3</f>
        <v>348.30333333333334</v>
      </c>
      <c r="AG353" s="152">
        <f t="shared" si="81"/>
        <v>348.30333333333334</v>
      </c>
      <c r="AH353" s="137" t="str">
        <f>VLOOKUP(F353,REF!B:C,2,FALSE)</f>
        <v>Additives</v>
      </c>
      <c r="AI353" s="3" t="s">
        <v>1374</v>
      </c>
    </row>
    <row r="354" spans="1:35" x14ac:dyDescent="0.3">
      <c r="A354" s="186" t="s">
        <v>1158</v>
      </c>
      <c r="B354" s="24" t="s">
        <v>1158</v>
      </c>
      <c r="C354" s="156">
        <v>454657</v>
      </c>
      <c r="D354" s="24" t="s">
        <v>205</v>
      </c>
      <c r="E354" s="24" t="s">
        <v>113</v>
      </c>
      <c r="F354" s="156">
        <v>60200</v>
      </c>
      <c r="G354" s="24" t="s">
        <v>1442</v>
      </c>
      <c r="H354" s="24" t="s">
        <v>1442</v>
      </c>
      <c r="I354" s="24" t="s">
        <v>1373</v>
      </c>
      <c r="J354" s="186" t="s">
        <v>1374</v>
      </c>
      <c r="K354" s="19">
        <v>288.15899999999999</v>
      </c>
      <c r="L354" s="17">
        <v>3688.41</v>
      </c>
      <c r="M354" s="19">
        <v>29.856999999999999</v>
      </c>
      <c r="N354" s="17">
        <v>382.17</v>
      </c>
      <c r="O354" s="19">
        <v>3.3929999999999998</v>
      </c>
      <c r="P354" s="17">
        <v>43.43</v>
      </c>
      <c r="Q354" s="19">
        <v>0</v>
      </c>
      <c r="R354" s="17">
        <v>0</v>
      </c>
      <c r="S354" s="19">
        <v>0</v>
      </c>
      <c r="T354" s="17">
        <v>0</v>
      </c>
      <c r="U354" s="19">
        <v>0</v>
      </c>
      <c r="V354" s="17">
        <v>0</v>
      </c>
      <c r="W354" s="19">
        <v>321.40899999999999</v>
      </c>
      <c r="X354" s="17">
        <v>4114.01</v>
      </c>
      <c r="Y354" s="17">
        <v>2.41</v>
      </c>
      <c r="Z354" s="17"/>
      <c r="AA354" s="17"/>
      <c r="AB354" s="144">
        <v>0</v>
      </c>
      <c r="AC354" s="8">
        <f t="shared" si="75"/>
        <v>321.40899999999999</v>
      </c>
      <c r="AD354" s="11" t="str">
        <f>LEFT(details!E354,5)</f>
        <v>0.000</v>
      </c>
      <c r="AE354" s="42">
        <f t="shared" si="82"/>
        <v>0</v>
      </c>
      <c r="AF354" s="42">
        <f>VLOOKUP(C354,MC.5!B:P,15,FALSE)/3</f>
        <v>1610.2266666666667</v>
      </c>
      <c r="AG354" s="152">
        <f t="shared" si="81"/>
        <v>1610.2266666666667</v>
      </c>
      <c r="AH354" s="137" t="str">
        <f>VLOOKUP(F354,REF!B:C,2,FALSE)</f>
        <v>Additives</v>
      </c>
      <c r="AI354" s="3" t="s">
        <v>1374</v>
      </c>
    </row>
    <row r="355" spans="1:35" x14ac:dyDescent="0.3">
      <c r="A355" s="186" t="s">
        <v>1158</v>
      </c>
      <c r="B355" s="24" t="s">
        <v>1158</v>
      </c>
      <c r="C355" s="156">
        <v>454661</v>
      </c>
      <c r="D355" s="24" t="s">
        <v>1404</v>
      </c>
      <c r="E355" s="24" t="s">
        <v>113</v>
      </c>
      <c r="F355" s="156">
        <v>60200</v>
      </c>
      <c r="G355" s="24" t="s">
        <v>1442</v>
      </c>
      <c r="H355" s="24" t="s">
        <v>1442</v>
      </c>
      <c r="I355" s="24" t="s">
        <v>1373</v>
      </c>
      <c r="J355" s="186" t="s">
        <v>1374</v>
      </c>
      <c r="K355" s="19">
        <v>0</v>
      </c>
      <c r="L355" s="17">
        <v>0</v>
      </c>
      <c r="M355" s="19">
        <v>0</v>
      </c>
      <c r="N355" s="17">
        <v>0</v>
      </c>
      <c r="O355" s="19">
        <v>0</v>
      </c>
      <c r="P355" s="17">
        <v>0</v>
      </c>
      <c r="Q355" s="19">
        <v>0</v>
      </c>
      <c r="R355" s="17">
        <v>0</v>
      </c>
      <c r="S355" s="19">
        <v>2.9969999999999999</v>
      </c>
      <c r="T355" s="17">
        <v>0.03</v>
      </c>
      <c r="U355" s="19">
        <v>0</v>
      </c>
      <c r="V355" s="17">
        <v>0</v>
      </c>
      <c r="W355" s="19">
        <v>2.9969999999999999</v>
      </c>
      <c r="X355" s="17">
        <v>0.03</v>
      </c>
      <c r="Y355" s="17">
        <v>0.03</v>
      </c>
      <c r="Z355" s="17"/>
      <c r="AA355" s="17"/>
      <c r="AB355" s="144">
        <v>0</v>
      </c>
      <c r="AC355" s="8">
        <f t="shared" si="75"/>
        <v>2.9969999999999999</v>
      </c>
      <c r="AD355" s="11" t="str">
        <f>LEFT(details!E355,5)</f>
        <v>0.000</v>
      </c>
      <c r="AE355" s="42">
        <f t="shared" si="82"/>
        <v>0</v>
      </c>
      <c r="AF355" s="42">
        <f>VLOOKUP(C355,MC.5!B:P,15,FALSE)/3</f>
        <v>0</v>
      </c>
      <c r="AG355" s="152">
        <f t="shared" si="81"/>
        <v>0</v>
      </c>
      <c r="AH355" s="137" t="str">
        <f>VLOOKUP(F355,REF!B:C,2,FALSE)</f>
        <v>Additives</v>
      </c>
      <c r="AI355" s="3" t="s">
        <v>1374</v>
      </c>
    </row>
    <row r="356" spans="1:35" x14ac:dyDescent="0.3">
      <c r="A356" s="186" t="s">
        <v>1158</v>
      </c>
      <c r="B356" s="24" t="s">
        <v>1158</v>
      </c>
      <c r="C356" s="156">
        <v>454671</v>
      </c>
      <c r="D356" s="24" t="s">
        <v>150</v>
      </c>
      <c r="E356" s="24" t="s">
        <v>113</v>
      </c>
      <c r="F356" s="156">
        <v>60106</v>
      </c>
      <c r="G356" s="24" t="s">
        <v>1375</v>
      </c>
      <c r="H356" s="24" t="s">
        <v>1442</v>
      </c>
      <c r="I356" s="24" t="s">
        <v>1375</v>
      </c>
      <c r="J356" s="186" t="s">
        <v>1376</v>
      </c>
      <c r="K356" s="19">
        <v>0</v>
      </c>
      <c r="L356" s="17">
        <v>0</v>
      </c>
      <c r="M356" s="19">
        <v>498.96499999999997</v>
      </c>
      <c r="N356" s="17">
        <v>2609.12</v>
      </c>
      <c r="O356" s="19">
        <v>213.87200000000001</v>
      </c>
      <c r="P356" s="17">
        <v>1118.3499999999999</v>
      </c>
      <c r="Q356" s="19">
        <v>0</v>
      </c>
      <c r="R356" s="17">
        <v>0</v>
      </c>
      <c r="S356" s="19">
        <v>0</v>
      </c>
      <c r="T356" s="17">
        <v>0</v>
      </c>
      <c r="U356" s="19">
        <v>0</v>
      </c>
      <c r="V356" s="17">
        <v>0</v>
      </c>
      <c r="W356" s="19">
        <v>712.83699999999999</v>
      </c>
      <c r="X356" s="17">
        <v>3727.47</v>
      </c>
      <c r="Y356" s="17">
        <v>186.4</v>
      </c>
      <c r="Z356" s="17"/>
      <c r="AA356" s="17"/>
      <c r="AB356" s="144">
        <v>0</v>
      </c>
      <c r="AC356" s="8">
        <f t="shared" si="75"/>
        <v>712.83699999999999</v>
      </c>
      <c r="AD356" s="11" t="str">
        <f>LEFT(details!E356,5)</f>
        <v>0.000</v>
      </c>
      <c r="AE356" s="42">
        <f t="shared" si="82"/>
        <v>0</v>
      </c>
      <c r="AF356" s="42">
        <f>VLOOKUP(C356,MC.5!B:P,15,FALSE)/3</f>
        <v>309.47666666666663</v>
      </c>
      <c r="AG356" s="152">
        <f t="shared" si="81"/>
        <v>309.47666666666663</v>
      </c>
      <c r="AH356" s="137" t="str">
        <f>VLOOKUP(F356,REF!B:C,2,FALSE)</f>
        <v>PP</v>
      </c>
      <c r="AI356" s="3" t="str">
        <f>VLOOKUP(G356,REF!E:F,2,FALSE)</f>
        <v>Virgin grade</v>
      </c>
    </row>
    <row r="357" spans="1:35" x14ac:dyDescent="0.3">
      <c r="A357" s="186" t="s">
        <v>1158</v>
      </c>
      <c r="B357" s="24" t="s">
        <v>1158</v>
      </c>
      <c r="C357" s="156">
        <v>454674</v>
      </c>
      <c r="D357" s="24" t="s">
        <v>151</v>
      </c>
      <c r="E357" s="24" t="s">
        <v>113</v>
      </c>
      <c r="F357" s="156">
        <v>60106</v>
      </c>
      <c r="G357" s="24" t="s">
        <v>1375</v>
      </c>
      <c r="H357" s="24" t="s">
        <v>1442</v>
      </c>
      <c r="I357" s="24" t="s">
        <v>1375</v>
      </c>
      <c r="J357" s="186" t="s">
        <v>1376</v>
      </c>
      <c r="K357" s="19">
        <v>2500</v>
      </c>
      <c r="L357" s="17">
        <v>12242.9</v>
      </c>
      <c r="M357" s="19">
        <v>7699.2539999999999</v>
      </c>
      <c r="N357" s="17">
        <v>37704.47</v>
      </c>
      <c r="O357" s="19">
        <v>0</v>
      </c>
      <c r="P357" s="17">
        <v>0</v>
      </c>
      <c r="Q357" s="19">
        <v>0</v>
      </c>
      <c r="R357" s="17">
        <v>0</v>
      </c>
      <c r="S357" s="19">
        <v>0</v>
      </c>
      <c r="T357" s="17">
        <v>0</v>
      </c>
      <c r="U357" s="19">
        <v>0</v>
      </c>
      <c r="V357" s="17">
        <v>0</v>
      </c>
      <c r="W357" s="19">
        <v>10199.254000000001</v>
      </c>
      <c r="X357" s="17">
        <v>49947.37</v>
      </c>
      <c r="Y357" s="17">
        <v>0</v>
      </c>
      <c r="Z357" s="17"/>
      <c r="AA357" s="17"/>
      <c r="AB357" s="144">
        <v>0</v>
      </c>
      <c r="AC357" s="8">
        <f t="shared" si="75"/>
        <v>10199.254000000001</v>
      </c>
      <c r="AD357" s="11" t="str">
        <f>LEFT(details!E357,5)</f>
        <v>0.000</v>
      </c>
      <c r="AE357" s="42">
        <f t="shared" si="82"/>
        <v>0</v>
      </c>
      <c r="AF357" s="42">
        <f>VLOOKUP(C357,MC.5!B:P,15,FALSE)/3</f>
        <v>6810.3633333333337</v>
      </c>
      <c r="AG357" s="152">
        <f t="shared" si="81"/>
        <v>6810.3633333333337</v>
      </c>
      <c r="AH357" s="137" t="str">
        <f>VLOOKUP(F357,REF!B:C,2,FALSE)</f>
        <v>PP</v>
      </c>
      <c r="AI357" s="3" t="str">
        <f>VLOOKUP(G357,REF!E:F,2,FALSE)</f>
        <v>Virgin grade</v>
      </c>
    </row>
    <row r="358" spans="1:35" x14ac:dyDescent="0.3">
      <c r="A358" s="186" t="s">
        <v>1158</v>
      </c>
      <c r="B358" s="24" t="s">
        <v>1158</v>
      </c>
      <c r="C358" s="156">
        <v>454679</v>
      </c>
      <c r="D358" s="24" t="s">
        <v>152</v>
      </c>
      <c r="E358" s="24" t="s">
        <v>113</v>
      </c>
      <c r="F358" s="156">
        <v>60106</v>
      </c>
      <c r="G358" s="24" t="s">
        <v>1375</v>
      </c>
      <c r="H358" s="24" t="s">
        <v>1442</v>
      </c>
      <c r="I358" s="24" t="s">
        <v>1375</v>
      </c>
      <c r="J358" s="186" t="s">
        <v>1376</v>
      </c>
      <c r="K358" s="19">
        <v>10089.038</v>
      </c>
      <c r="L358" s="17">
        <v>67504.240000000005</v>
      </c>
      <c r="M358" s="19">
        <v>2684.67</v>
      </c>
      <c r="N358" s="17">
        <v>17962.72</v>
      </c>
      <c r="O358" s="19">
        <v>1657.568</v>
      </c>
      <c r="P358" s="17">
        <v>11090.54</v>
      </c>
      <c r="Q358" s="19">
        <v>0</v>
      </c>
      <c r="R358" s="17">
        <v>0</v>
      </c>
      <c r="S358" s="19">
        <v>0</v>
      </c>
      <c r="T358" s="17">
        <v>0</v>
      </c>
      <c r="U358" s="19">
        <v>0</v>
      </c>
      <c r="V358" s="17">
        <v>0</v>
      </c>
      <c r="W358" s="19">
        <v>14431.276</v>
      </c>
      <c r="X358" s="17">
        <v>96557.5</v>
      </c>
      <c r="Y358" s="17">
        <v>2875.14</v>
      </c>
      <c r="Z358" s="17">
        <v>234.08</v>
      </c>
      <c r="AA358" s="17">
        <v>78.026666666666699</v>
      </c>
      <c r="AB358" s="144">
        <v>37124.807758031398</v>
      </c>
      <c r="AC358" s="8">
        <f t="shared" si="75"/>
        <v>14431.276</v>
      </c>
      <c r="AD358" s="11" t="str">
        <f>LEFT(details!E358,5)</f>
        <v>0.000</v>
      </c>
      <c r="AE358" s="42">
        <f t="shared" si="82"/>
        <v>78.026666666666699</v>
      </c>
      <c r="AF358" s="42">
        <f>VLOOKUP(C358,MC.5!B:P,15,FALSE)/3</f>
        <v>27720.413333333334</v>
      </c>
      <c r="AG358" s="152">
        <f>AE358</f>
        <v>78.026666666666699</v>
      </c>
      <c r="AH358" s="137" t="str">
        <f>VLOOKUP(F358,REF!B:C,2,FALSE)</f>
        <v>PP</v>
      </c>
      <c r="AI358" s="3" t="str">
        <f>VLOOKUP(G358,REF!E:F,2,FALSE)</f>
        <v>Virgin grade</v>
      </c>
    </row>
    <row r="359" spans="1:35" x14ac:dyDescent="0.3">
      <c r="A359" s="186" t="s">
        <v>1158</v>
      </c>
      <c r="B359" s="24" t="s">
        <v>1158</v>
      </c>
      <c r="C359" s="156">
        <v>454698</v>
      </c>
      <c r="D359" s="24" t="s">
        <v>145</v>
      </c>
      <c r="E359" s="24" t="s">
        <v>113</v>
      </c>
      <c r="F359" s="156">
        <v>60200</v>
      </c>
      <c r="G359" s="24" t="s">
        <v>1442</v>
      </c>
      <c r="H359" s="24" t="s">
        <v>1442</v>
      </c>
      <c r="I359" s="24" t="s">
        <v>1373</v>
      </c>
      <c r="J359" s="186" t="s">
        <v>1374</v>
      </c>
      <c r="K359" s="19">
        <v>0</v>
      </c>
      <c r="L359" s="17">
        <v>0</v>
      </c>
      <c r="M359" s="19">
        <v>25</v>
      </c>
      <c r="N359" s="17">
        <v>500</v>
      </c>
      <c r="O359" s="19">
        <v>8.9339999999999993</v>
      </c>
      <c r="P359" s="17">
        <v>178.68</v>
      </c>
      <c r="Q359" s="19">
        <v>0</v>
      </c>
      <c r="R359" s="17">
        <v>0</v>
      </c>
      <c r="S359" s="19">
        <v>0</v>
      </c>
      <c r="T359" s="17">
        <v>0</v>
      </c>
      <c r="U359" s="19">
        <v>0</v>
      </c>
      <c r="V359" s="17">
        <v>0</v>
      </c>
      <c r="W359" s="19">
        <v>33.933999999999997</v>
      </c>
      <c r="X359" s="17">
        <v>678.68</v>
      </c>
      <c r="Y359" s="17">
        <v>39.71</v>
      </c>
      <c r="Z359" s="17"/>
      <c r="AA359" s="17"/>
      <c r="AB359" s="144">
        <v>0</v>
      </c>
      <c r="AC359" s="8">
        <f t="shared" si="75"/>
        <v>33.933999999999997</v>
      </c>
      <c r="AD359" s="11" t="str">
        <f>LEFT(details!E359,5)</f>
        <v>0.000</v>
      </c>
      <c r="AE359" s="42">
        <f t="shared" si="82"/>
        <v>0</v>
      </c>
      <c r="AF359" s="42">
        <f>VLOOKUP(C359,MC.5!B:P,15,FALSE)/3</f>
        <v>104.37333333333333</v>
      </c>
      <c r="AG359" s="152">
        <f t="shared" ref="AG359:AG370" si="83">AF359</f>
        <v>104.37333333333333</v>
      </c>
      <c r="AH359" s="137" t="str">
        <f>VLOOKUP(F359,REF!B:C,2,FALSE)</f>
        <v>Additives</v>
      </c>
      <c r="AI359" s="3" t="s">
        <v>1374</v>
      </c>
    </row>
    <row r="360" spans="1:35" x14ac:dyDescent="0.3">
      <c r="A360" s="186" t="s">
        <v>1158</v>
      </c>
      <c r="B360" s="24" t="s">
        <v>1158</v>
      </c>
      <c r="C360" s="156">
        <v>454700</v>
      </c>
      <c r="D360" s="24" t="s">
        <v>203</v>
      </c>
      <c r="E360" s="24" t="s">
        <v>113</v>
      </c>
      <c r="F360" s="156">
        <v>60200</v>
      </c>
      <c r="G360" s="24" t="s">
        <v>1442</v>
      </c>
      <c r="H360" s="24" t="s">
        <v>1442</v>
      </c>
      <c r="I360" s="24" t="s">
        <v>1373</v>
      </c>
      <c r="J360" s="186" t="s">
        <v>1374</v>
      </c>
      <c r="K360" s="19">
        <v>25</v>
      </c>
      <c r="L360" s="17">
        <v>584.61</v>
      </c>
      <c r="M360" s="19">
        <v>19.321999999999999</v>
      </c>
      <c r="N360" s="17">
        <v>451.83</v>
      </c>
      <c r="O360" s="19">
        <v>0</v>
      </c>
      <c r="P360" s="17">
        <v>0</v>
      </c>
      <c r="Q360" s="19">
        <v>0</v>
      </c>
      <c r="R360" s="17">
        <v>0</v>
      </c>
      <c r="S360" s="19">
        <v>0</v>
      </c>
      <c r="T360" s="17">
        <v>0</v>
      </c>
      <c r="U360" s="19">
        <v>0</v>
      </c>
      <c r="V360" s="17">
        <v>0</v>
      </c>
      <c r="W360" s="19">
        <v>44.322000000000003</v>
      </c>
      <c r="X360" s="17">
        <v>1036.44</v>
      </c>
      <c r="Y360" s="17">
        <v>0</v>
      </c>
      <c r="Z360" s="17"/>
      <c r="AA360" s="17"/>
      <c r="AB360" s="144">
        <v>0</v>
      </c>
      <c r="AC360" s="8">
        <f t="shared" si="75"/>
        <v>44.322000000000003</v>
      </c>
      <c r="AD360" s="11" t="str">
        <f>LEFT(details!E360,5)</f>
        <v>0.000</v>
      </c>
      <c r="AE360" s="42">
        <f t="shared" si="82"/>
        <v>0</v>
      </c>
      <c r="AF360" s="42">
        <f>VLOOKUP(C360,MC.5!B:P,15,FALSE)/3</f>
        <v>156.56</v>
      </c>
      <c r="AG360" s="152">
        <f t="shared" si="83"/>
        <v>156.56</v>
      </c>
      <c r="AH360" s="137" t="str">
        <f>VLOOKUP(F360,REF!B:C,2,FALSE)</f>
        <v>Additives</v>
      </c>
      <c r="AI360" s="3" t="s">
        <v>1374</v>
      </c>
    </row>
    <row r="361" spans="1:35" x14ac:dyDescent="0.3">
      <c r="A361" s="186" t="s">
        <v>1158</v>
      </c>
      <c r="B361" s="24" t="s">
        <v>1158</v>
      </c>
      <c r="C361" s="156">
        <v>463143</v>
      </c>
      <c r="D361" s="24" t="s">
        <v>135</v>
      </c>
      <c r="E361" s="24" t="s">
        <v>68</v>
      </c>
      <c r="F361" s="156">
        <v>60200</v>
      </c>
      <c r="G361" s="24" t="s">
        <v>1442</v>
      </c>
      <c r="H361" s="24" t="s">
        <v>1442</v>
      </c>
      <c r="I361" s="24" t="s">
        <v>1373</v>
      </c>
      <c r="J361" s="186" t="s">
        <v>1374</v>
      </c>
      <c r="K361" s="19">
        <v>0</v>
      </c>
      <c r="L361" s="17">
        <v>0</v>
      </c>
      <c r="M361" s="19">
        <v>0</v>
      </c>
      <c r="N361" s="17">
        <v>0</v>
      </c>
      <c r="O361" s="19">
        <v>0</v>
      </c>
      <c r="P361" s="17">
        <v>0</v>
      </c>
      <c r="Q361" s="19">
        <v>0</v>
      </c>
      <c r="R361" s="17">
        <v>0</v>
      </c>
      <c r="S361" s="19">
        <v>24.617000000000001</v>
      </c>
      <c r="T361" s="17">
        <v>720.78</v>
      </c>
      <c r="U361" s="19">
        <v>0</v>
      </c>
      <c r="V361" s="17">
        <v>0</v>
      </c>
      <c r="W361" s="19">
        <v>24.617000000000001</v>
      </c>
      <c r="X361" s="17">
        <v>720.78</v>
      </c>
      <c r="Y361" s="17">
        <v>720.78</v>
      </c>
      <c r="Z361" s="17"/>
      <c r="AA361" s="17"/>
      <c r="AB361" s="144">
        <v>0</v>
      </c>
      <c r="AC361" s="8">
        <f t="shared" si="75"/>
        <v>24.617000000000001</v>
      </c>
      <c r="AD361" s="11" t="str">
        <f>LEFT(details!E361,5)</f>
        <v>0.000</v>
      </c>
      <c r="AE361" s="42">
        <f t="shared" si="82"/>
        <v>0</v>
      </c>
      <c r="AF361" s="42">
        <f>VLOOKUP(C361,MC.5!B:P,15,FALSE)/3</f>
        <v>336.55333333333334</v>
      </c>
      <c r="AG361" s="152">
        <f t="shared" si="83"/>
        <v>336.55333333333334</v>
      </c>
      <c r="AH361" s="137" t="str">
        <f>VLOOKUP(F361,REF!B:C,2,FALSE)</f>
        <v>Additives</v>
      </c>
      <c r="AI361" s="3" t="s">
        <v>1374</v>
      </c>
    </row>
    <row r="362" spans="1:35" x14ac:dyDescent="0.3">
      <c r="A362" s="186" t="s">
        <v>1158</v>
      </c>
      <c r="B362" s="24" t="s">
        <v>1158</v>
      </c>
      <c r="C362" s="156">
        <v>475923</v>
      </c>
      <c r="D362" s="24" t="s">
        <v>292</v>
      </c>
      <c r="E362" s="24" t="s">
        <v>68</v>
      </c>
      <c r="F362" s="156">
        <v>60200</v>
      </c>
      <c r="G362" s="24" t="s">
        <v>1442</v>
      </c>
      <c r="H362" s="24" t="s">
        <v>1442</v>
      </c>
      <c r="I362" s="24" t="s">
        <v>1373</v>
      </c>
      <c r="J362" s="186" t="s">
        <v>1374</v>
      </c>
      <c r="K362" s="19">
        <v>0</v>
      </c>
      <c r="L362" s="17">
        <v>0</v>
      </c>
      <c r="M362" s="19">
        <v>0</v>
      </c>
      <c r="N362" s="17">
        <v>0</v>
      </c>
      <c r="O362" s="19">
        <v>23</v>
      </c>
      <c r="P362" s="17">
        <v>1217.74</v>
      </c>
      <c r="Q362" s="19">
        <v>3.1160000000000001</v>
      </c>
      <c r="R362" s="17">
        <v>164.98</v>
      </c>
      <c r="S362" s="19">
        <v>0</v>
      </c>
      <c r="T362" s="17">
        <v>0</v>
      </c>
      <c r="U362" s="19">
        <v>0</v>
      </c>
      <c r="V362" s="17">
        <v>0</v>
      </c>
      <c r="W362" s="19">
        <v>26.116</v>
      </c>
      <c r="X362" s="17">
        <v>1382.72</v>
      </c>
      <c r="Y362" s="17">
        <v>177.66</v>
      </c>
      <c r="Z362" s="17"/>
      <c r="AA362" s="17"/>
      <c r="AB362" s="144">
        <v>0</v>
      </c>
      <c r="AC362" s="8">
        <f t="shared" si="75"/>
        <v>26.116</v>
      </c>
      <c r="AD362" s="11" t="str">
        <f>LEFT(details!E362,5)</f>
        <v>0.000</v>
      </c>
      <c r="AE362" s="42">
        <f t="shared" si="82"/>
        <v>0</v>
      </c>
      <c r="AF362" s="42">
        <f>VLOOKUP(C362,MC.5!B:P,15,FALSE)/3</f>
        <v>83.053333333333327</v>
      </c>
      <c r="AG362" s="152">
        <f t="shared" si="83"/>
        <v>83.053333333333327</v>
      </c>
      <c r="AH362" s="137" t="str">
        <f>VLOOKUP(F362,REF!B:C,2,FALSE)</f>
        <v>Additives</v>
      </c>
      <c r="AI362" s="3" t="s">
        <v>1374</v>
      </c>
    </row>
    <row r="363" spans="1:35" x14ac:dyDescent="0.3">
      <c r="A363" s="186" t="s">
        <v>1158</v>
      </c>
      <c r="B363" s="24" t="s">
        <v>1158</v>
      </c>
      <c r="C363" s="156">
        <v>477632</v>
      </c>
      <c r="D363" s="24" t="s">
        <v>2659</v>
      </c>
      <c r="E363" s="24" t="s">
        <v>113</v>
      </c>
      <c r="F363" s="156">
        <v>60105</v>
      </c>
      <c r="G363" s="24" t="s">
        <v>1377</v>
      </c>
      <c r="H363" s="24" t="s">
        <v>1442</v>
      </c>
      <c r="I363" s="24" t="s">
        <v>1377</v>
      </c>
      <c r="J363" s="186" t="s">
        <v>1376</v>
      </c>
      <c r="K363" s="19">
        <v>0</v>
      </c>
      <c r="L363" s="17">
        <v>0</v>
      </c>
      <c r="M363" s="19">
        <v>3000</v>
      </c>
      <c r="N363" s="17">
        <v>14366.88</v>
      </c>
      <c r="O363" s="19">
        <v>3000</v>
      </c>
      <c r="P363" s="17">
        <v>14366.88</v>
      </c>
      <c r="Q363" s="19">
        <v>2197</v>
      </c>
      <c r="R363" s="17">
        <v>10521.35</v>
      </c>
      <c r="S363" s="19">
        <v>0</v>
      </c>
      <c r="T363" s="17">
        <v>0</v>
      </c>
      <c r="U363" s="19">
        <v>0</v>
      </c>
      <c r="V363" s="17">
        <v>0</v>
      </c>
      <c r="W363" s="19">
        <v>8197</v>
      </c>
      <c r="X363" s="17">
        <v>39255.11</v>
      </c>
      <c r="Y363" s="17">
        <v>8454</v>
      </c>
      <c r="Z363" s="17"/>
      <c r="AA363" s="17"/>
      <c r="AB363" s="144">
        <v>0</v>
      </c>
      <c r="AC363" s="8">
        <f t="shared" si="75"/>
        <v>8197</v>
      </c>
      <c r="AD363" s="11" t="str">
        <f>LEFT(details!E363,5)</f>
        <v>0.000</v>
      </c>
      <c r="AE363" s="42">
        <f t="shared" si="82"/>
        <v>0</v>
      </c>
      <c r="AF363" s="42">
        <f>VLOOKUP(C363,MC.5!B:P,15,FALSE)/3</f>
        <v>0</v>
      </c>
      <c r="AG363" s="152">
        <f t="shared" si="83"/>
        <v>0</v>
      </c>
      <c r="AH363" s="137" t="str">
        <f>VLOOKUP(F363,REF!B:C,2,FALSE)</f>
        <v>PE</v>
      </c>
      <c r="AI363" s="3" t="str">
        <f>VLOOKUP(G363,REF!E:F,2,FALSE)</f>
        <v>Virgin grade</v>
      </c>
    </row>
    <row r="364" spans="1:35" x14ac:dyDescent="0.3">
      <c r="A364" s="186" t="s">
        <v>1158</v>
      </c>
      <c r="B364" s="24" t="s">
        <v>1158</v>
      </c>
      <c r="C364" s="156">
        <v>478170</v>
      </c>
      <c r="D364" s="24" t="s">
        <v>141</v>
      </c>
      <c r="E364" s="24" t="s">
        <v>68</v>
      </c>
      <c r="F364" s="156">
        <v>60200</v>
      </c>
      <c r="G364" s="24" t="s">
        <v>1442</v>
      </c>
      <c r="H364" s="24" t="s">
        <v>1442</v>
      </c>
      <c r="I364" s="24" t="s">
        <v>1373</v>
      </c>
      <c r="J364" s="186" t="s">
        <v>1374</v>
      </c>
      <c r="K364" s="19">
        <v>0</v>
      </c>
      <c r="L364" s="17">
        <v>0</v>
      </c>
      <c r="M364" s="19">
        <v>0</v>
      </c>
      <c r="N364" s="17">
        <v>0</v>
      </c>
      <c r="O364" s="19">
        <v>0</v>
      </c>
      <c r="P364" s="17">
        <v>0</v>
      </c>
      <c r="Q364" s="19">
        <v>24</v>
      </c>
      <c r="R364" s="17">
        <v>2058.64</v>
      </c>
      <c r="S364" s="19">
        <v>4.0250000000000004</v>
      </c>
      <c r="T364" s="17">
        <v>345.25</v>
      </c>
      <c r="U364" s="19">
        <v>0</v>
      </c>
      <c r="V364" s="17">
        <v>0</v>
      </c>
      <c r="W364" s="19">
        <v>28.024999999999999</v>
      </c>
      <c r="X364" s="17">
        <v>2403.89</v>
      </c>
      <c r="Y364" s="17">
        <v>2060.92</v>
      </c>
      <c r="Z364" s="17"/>
      <c r="AA364" s="17"/>
      <c r="AB364" s="144">
        <v>0</v>
      </c>
      <c r="AC364" s="8">
        <f t="shared" si="75"/>
        <v>28.024999999999999</v>
      </c>
      <c r="AD364" s="11" t="str">
        <f>LEFT(details!E364,5)</f>
        <v>0.000</v>
      </c>
      <c r="AE364" s="42">
        <f t="shared" si="82"/>
        <v>0</v>
      </c>
      <c r="AF364" s="42">
        <f>VLOOKUP(C364,MC.5!B:P,15,FALSE)/3</f>
        <v>0</v>
      </c>
      <c r="AG364" s="152">
        <f t="shared" si="83"/>
        <v>0</v>
      </c>
      <c r="AH364" s="137" t="str">
        <f>VLOOKUP(F364,REF!B:C,2,FALSE)</f>
        <v>Additives</v>
      </c>
      <c r="AI364" s="3" t="s">
        <v>1374</v>
      </c>
    </row>
    <row r="365" spans="1:35" x14ac:dyDescent="0.3">
      <c r="A365" s="186" t="s">
        <v>1158</v>
      </c>
      <c r="B365" s="24" t="s">
        <v>1158</v>
      </c>
      <c r="C365" s="156">
        <v>507127</v>
      </c>
      <c r="D365" s="24" t="s">
        <v>180</v>
      </c>
      <c r="E365" s="24" t="s">
        <v>113</v>
      </c>
      <c r="F365" s="156">
        <v>60200</v>
      </c>
      <c r="G365" s="24" t="s">
        <v>1442</v>
      </c>
      <c r="H365" s="24" t="s">
        <v>1442</v>
      </c>
      <c r="I365" s="24" t="s">
        <v>1373</v>
      </c>
      <c r="J365" s="186" t="s">
        <v>1374</v>
      </c>
      <c r="K365" s="19">
        <v>0</v>
      </c>
      <c r="L365" s="17">
        <v>0</v>
      </c>
      <c r="M365" s="19">
        <v>0</v>
      </c>
      <c r="N365" s="17">
        <v>0</v>
      </c>
      <c r="O365" s="19">
        <v>75</v>
      </c>
      <c r="P365" s="17">
        <v>2024.99</v>
      </c>
      <c r="Q365" s="19">
        <v>11.436999999999999</v>
      </c>
      <c r="R365" s="17">
        <v>308.8</v>
      </c>
      <c r="S365" s="19">
        <v>0</v>
      </c>
      <c r="T365" s="17">
        <v>0</v>
      </c>
      <c r="U365" s="19">
        <v>0</v>
      </c>
      <c r="V365" s="17">
        <v>0</v>
      </c>
      <c r="W365" s="19">
        <v>86.436999999999998</v>
      </c>
      <c r="X365" s="17">
        <v>2333.79</v>
      </c>
      <c r="Y365" s="17">
        <v>543.4</v>
      </c>
      <c r="Z365" s="17"/>
      <c r="AA365" s="17"/>
      <c r="AB365" s="144">
        <v>0</v>
      </c>
      <c r="AC365" s="8">
        <f t="shared" si="75"/>
        <v>86.436999999999998</v>
      </c>
      <c r="AD365" s="11" t="str">
        <f>LEFT(details!E365,5)</f>
        <v>0.000</v>
      </c>
      <c r="AE365" s="42">
        <f t="shared" si="82"/>
        <v>0</v>
      </c>
      <c r="AF365" s="42">
        <f>VLOOKUP(C365,MC.5!B:P,15,FALSE)/3</f>
        <v>0</v>
      </c>
      <c r="AG365" s="152">
        <f t="shared" si="83"/>
        <v>0</v>
      </c>
      <c r="AH365" s="137" t="str">
        <f>VLOOKUP(F365,REF!B:C,2,FALSE)</f>
        <v>Additives</v>
      </c>
      <c r="AI365" s="3" t="s">
        <v>1374</v>
      </c>
    </row>
    <row r="366" spans="1:35" x14ac:dyDescent="0.3">
      <c r="A366" s="186" t="s">
        <v>1158</v>
      </c>
      <c r="B366" s="24" t="s">
        <v>1158</v>
      </c>
      <c r="C366" s="156">
        <v>507565</v>
      </c>
      <c r="D366" s="24" t="s">
        <v>181</v>
      </c>
      <c r="E366" s="24" t="s">
        <v>68</v>
      </c>
      <c r="F366" s="156">
        <v>60200</v>
      </c>
      <c r="G366" s="24" t="s">
        <v>1442</v>
      </c>
      <c r="H366" s="24" t="s">
        <v>1442</v>
      </c>
      <c r="I366" s="24" t="s">
        <v>1373</v>
      </c>
      <c r="J366" s="186" t="s">
        <v>1374</v>
      </c>
      <c r="K366" s="19">
        <v>0</v>
      </c>
      <c r="L366" s="17">
        <v>0</v>
      </c>
      <c r="M366" s="19">
        <v>0</v>
      </c>
      <c r="N366" s="17">
        <v>0</v>
      </c>
      <c r="O366" s="19">
        <v>32.906999999999996</v>
      </c>
      <c r="P366" s="17">
        <v>1442.97</v>
      </c>
      <c r="Q366" s="19">
        <v>0</v>
      </c>
      <c r="R366" s="17">
        <v>0</v>
      </c>
      <c r="S366" s="19">
        <v>0.5</v>
      </c>
      <c r="T366" s="17">
        <v>21.93</v>
      </c>
      <c r="U366" s="19">
        <v>0</v>
      </c>
      <c r="V366" s="17">
        <v>0</v>
      </c>
      <c r="W366" s="19">
        <v>33.406999999999996</v>
      </c>
      <c r="X366" s="17">
        <v>1464.9</v>
      </c>
      <c r="Y366" s="17">
        <v>422.79</v>
      </c>
      <c r="Z366" s="17"/>
      <c r="AA366" s="17"/>
      <c r="AB366" s="144">
        <v>0</v>
      </c>
      <c r="AC366" s="8">
        <f t="shared" si="75"/>
        <v>33.406999999999996</v>
      </c>
      <c r="AD366" s="11" t="str">
        <f>LEFT(details!E366,5)</f>
        <v>0.000</v>
      </c>
      <c r="AE366" s="42">
        <f t="shared" si="82"/>
        <v>0</v>
      </c>
      <c r="AF366" s="42">
        <f>VLOOKUP(C366,MC.5!B:P,15,FALSE)/3</f>
        <v>146.72</v>
      </c>
      <c r="AG366" s="152">
        <f t="shared" si="83"/>
        <v>146.72</v>
      </c>
      <c r="AH366" s="137" t="str">
        <f>VLOOKUP(F366,REF!B:C,2,FALSE)</f>
        <v>Additives</v>
      </c>
      <c r="AI366" s="3" t="s">
        <v>1374</v>
      </c>
    </row>
    <row r="367" spans="1:35" x14ac:dyDescent="0.3">
      <c r="A367" s="186" t="s">
        <v>1158</v>
      </c>
      <c r="B367" s="24" t="s">
        <v>1158</v>
      </c>
      <c r="C367" s="156">
        <v>532948</v>
      </c>
      <c r="D367" s="24" t="s">
        <v>192</v>
      </c>
      <c r="E367" s="24" t="s">
        <v>68</v>
      </c>
      <c r="F367" s="156">
        <v>60200</v>
      </c>
      <c r="G367" s="24" t="s">
        <v>1442</v>
      </c>
      <c r="H367" s="24" t="s">
        <v>1442</v>
      </c>
      <c r="I367" s="24" t="s">
        <v>1373</v>
      </c>
      <c r="J367" s="186" t="s">
        <v>1374</v>
      </c>
      <c r="K367" s="19">
        <v>0</v>
      </c>
      <c r="L367" s="17">
        <v>0</v>
      </c>
      <c r="M367" s="19">
        <v>51.456000000000003</v>
      </c>
      <c r="N367" s="17">
        <v>2548.0300000000002</v>
      </c>
      <c r="O367" s="19">
        <v>0</v>
      </c>
      <c r="P367" s="17">
        <v>0</v>
      </c>
      <c r="Q367" s="19">
        <v>0</v>
      </c>
      <c r="R367" s="17">
        <v>0</v>
      </c>
      <c r="S367" s="19">
        <v>0</v>
      </c>
      <c r="T367" s="17">
        <v>0</v>
      </c>
      <c r="U367" s="19">
        <v>0</v>
      </c>
      <c r="V367" s="17">
        <v>0</v>
      </c>
      <c r="W367" s="19">
        <v>51.456000000000003</v>
      </c>
      <c r="X367" s="17">
        <v>2548.0300000000002</v>
      </c>
      <c r="Y367" s="17">
        <v>0</v>
      </c>
      <c r="Z367" s="17"/>
      <c r="AA367" s="17"/>
      <c r="AB367" s="144">
        <v>0</v>
      </c>
      <c r="AC367" s="8">
        <f t="shared" si="75"/>
        <v>51.456000000000003</v>
      </c>
      <c r="AD367" s="11" t="str">
        <f>LEFT(details!E367,5)</f>
        <v>0.000</v>
      </c>
      <c r="AE367" s="42">
        <f t="shared" si="82"/>
        <v>0</v>
      </c>
      <c r="AF367" s="42">
        <f>VLOOKUP(C367,MC.5!B:P,15,FALSE)/3</f>
        <v>521.26666666666665</v>
      </c>
      <c r="AG367" s="152">
        <f t="shared" si="83"/>
        <v>521.26666666666665</v>
      </c>
      <c r="AH367" s="137" t="str">
        <f>VLOOKUP(F367,REF!B:C,2,FALSE)</f>
        <v>Additives</v>
      </c>
      <c r="AI367" s="3" t="s">
        <v>1374</v>
      </c>
    </row>
    <row r="368" spans="1:35" x14ac:dyDescent="0.3">
      <c r="A368" s="186" t="s">
        <v>1158</v>
      </c>
      <c r="B368" s="24" t="s">
        <v>1158</v>
      </c>
      <c r="C368" s="156">
        <v>541707</v>
      </c>
      <c r="D368" s="24" t="s">
        <v>208</v>
      </c>
      <c r="E368" s="24" t="s">
        <v>113</v>
      </c>
      <c r="F368" s="156">
        <v>60106</v>
      </c>
      <c r="G368" s="24" t="s">
        <v>1375</v>
      </c>
      <c r="H368" s="24" t="s">
        <v>1442</v>
      </c>
      <c r="I368" s="24" t="s">
        <v>1375</v>
      </c>
      <c r="J368" s="186" t="s">
        <v>1376</v>
      </c>
      <c r="K368" s="19">
        <v>59930.313999999998</v>
      </c>
      <c r="L368" s="17">
        <v>454715.26</v>
      </c>
      <c r="M368" s="19">
        <v>0</v>
      </c>
      <c r="N368" s="17">
        <v>0</v>
      </c>
      <c r="O368" s="19">
        <v>0</v>
      </c>
      <c r="P368" s="17">
        <v>0</v>
      </c>
      <c r="Q368" s="19">
        <v>0</v>
      </c>
      <c r="R368" s="17">
        <v>0</v>
      </c>
      <c r="S368" s="19">
        <v>0</v>
      </c>
      <c r="T368" s="17">
        <v>0</v>
      </c>
      <c r="U368" s="19">
        <v>0</v>
      </c>
      <c r="V368" s="17">
        <v>0</v>
      </c>
      <c r="W368" s="19">
        <v>59930.313999999998</v>
      </c>
      <c r="X368" s="17">
        <v>454715.26</v>
      </c>
      <c r="Y368" s="17">
        <v>0</v>
      </c>
      <c r="Z368" s="17"/>
      <c r="AA368" s="17"/>
      <c r="AB368" s="144">
        <v>0</v>
      </c>
      <c r="AC368" s="8">
        <f t="shared" si="75"/>
        <v>59930.313999999998</v>
      </c>
      <c r="AD368" s="11" t="str">
        <f>LEFT(details!E368,5)</f>
        <v>0.000</v>
      </c>
      <c r="AE368" s="42">
        <f t="shared" si="82"/>
        <v>0</v>
      </c>
      <c r="AF368" s="42">
        <f>VLOOKUP(C368,MC.5!B:P,15,FALSE)/3</f>
        <v>262613.73333333334</v>
      </c>
      <c r="AG368" s="152">
        <f t="shared" si="83"/>
        <v>262613.73333333334</v>
      </c>
      <c r="AH368" s="137" t="str">
        <f>VLOOKUP(F368,REF!B:C,2,FALSE)</f>
        <v>PP</v>
      </c>
      <c r="AI368" s="3" t="str">
        <f>VLOOKUP(G368,REF!E:F,2,FALSE)</f>
        <v>Virgin grade</v>
      </c>
    </row>
    <row r="369" spans="1:35" x14ac:dyDescent="0.3">
      <c r="A369" s="186" t="s">
        <v>1158</v>
      </c>
      <c r="B369" s="24" t="s">
        <v>1158</v>
      </c>
      <c r="C369" s="156">
        <v>542951</v>
      </c>
      <c r="D369" s="24" t="s">
        <v>2278</v>
      </c>
      <c r="E369" s="24" t="s">
        <v>68</v>
      </c>
      <c r="F369" s="156">
        <v>60200</v>
      </c>
      <c r="G369" s="24" t="s">
        <v>1442</v>
      </c>
      <c r="H369" s="24" t="s">
        <v>1442</v>
      </c>
      <c r="I369" s="24" t="s">
        <v>1373</v>
      </c>
      <c r="J369" s="186" t="s">
        <v>1374</v>
      </c>
      <c r="K369" s="19">
        <v>0</v>
      </c>
      <c r="L369" s="17">
        <v>0</v>
      </c>
      <c r="M369" s="19">
        <v>0</v>
      </c>
      <c r="N369" s="17">
        <v>0</v>
      </c>
      <c r="O369" s="19">
        <v>0</v>
      </c>
      <c r="P369" s="17">
        <v>0</v>
      </c>
      <c r="Q369" s="19">
        <v>0</v>
      </c>
      <c r="R369" s="17">
        <v>0</v>
      </c>
      <c r="S369" s="19">
        <v>7.4390000000000001</v>
      </c>
      <c r="T369" s="17">
        <v>358.56</v>
      </c>
      <c r="U369" s="19">
        <v>0</v>
      </c>
      <c r="V369" s="17">
        <v>0</v>
      </c>
      <c r="W369" s="19">
        <v>7.4390000000000001</v>
      </c>
      <c r="X369" s="17">
        <v>358.56</v>
      </c>
      <c r="Y369" s="17">
        <v>358.56</v>
      </c>
      <c r="Z369" s="17"/>
      <c r="AA369" s="17"/>
      <c r="AB369" s="144">
        <v>0</v>
      </c>
      <c r="AC369" s="8">
        <f t="shared" si="75"/>
        <v>7.4390000000000001</v>
      </c>
      <c r="AD369" s="11" t="str">
        <f>LEFT(details!E369,5)</f>
        <v>0.000</v>
      </c>
      <c r="AE369" s="42">
        <f t="shared" si="82"/>
        <v>0</v>
      </c>
      <c r="AF369" s="42">
        <f>VLOOKUP(C369,MC.5!B:P,15,FALSE)/3</f>
        <v>579.37666666666667</v>
      </c>
      <c r="AG369" s="152">
        <f t="shared" si="83"/>
        <v>579.37666666666667</v>
      </c>
      <c r="AH369" s="137" t="str">
        <f>VLOOKUP(F369,REF!B:C,2,FALSE)</f>
        <v>Additives</v>
      </c>
      <c r="AI369" s="3" t="s">
        <v>1374</v>
      </c>
    </row>
    <row r="370" spans="1:35" x14ac:dyDescent="0.3">
      <c r="A370" s="186" t="s">
        <v>1158</v>
      </c>
      <c r="B370" s="24" t="s">
        <v>1158</v>
      </c>
      <c r="C370" s="156">
        <v>545476</v>
      </c>
      <c r="D370" s="24" t="s">
        <v>201</v>
      </c>
      <c r="E370" s="24" t="s">
        <v>113</v>
      </c>
      <c r="F370" s="156">
        <v>60200</v>
      </c>
      <c r="G370" s="24" t="s">
        <v>1442</v>
      </c>
      <c r="H370" s="24" t="s">
        <v>1442</v>
      </c>
      <c r="I370" s="24" t="s">
        <v>1373</v>
      </c>
      <c r="J370" s="186" t="s">
        <v>1374</v>
      </c>
      <c r="K370" s="19">
        <v>0</v>
      </c>
      <c r="L370" s="17">
        <v>0</v>
      </c>
      <c r="M370" s="19">
        <v>25</v>
      </c>
      <c r="N370" s="17">
        <v>1025</v>
      </c>
      <c r="O370" s="19">
        <v>21.678000000000001</v>
      </c>
      <c r="P370" s="17">
        <v>888.8</v>
      </c>
      <c r="Q370" s="19">
        <v>8.0459999999999994</v>
      </c>
      <c r="R370" s="17">
        <v>329.89</v>
      </c>
      <c r="S370" s="19">
        <v>7.9340000000000002</v>
      </c>
      <c r="T370" s="17">
        <v>325.29000000000002</v>
      </c>
      <c r="U370" s="19">
        <v>0</v>
      </c>
      <c r="V370" s="17">
        <v>0</v>
      </c>
      <c r="W370" s="19">
        <v>62.658000000000001</v>
      </c>
      <c r="X370" s="17">
        <v>2568.98</v>
      </c>
      <c r="Y370" s="17">
        <v>779.42</v>
      </c>
      <c r="Z370" s="17"/>
      <c r="AA370" s="17"/>
      <c r="AB370" s="144">
        <v>0</v>
      </c>
      <c r="AC370" s="8">
        <f t="shared" si="75"/>
        <v>62.658000000000001</v>
      </c>
      <c r="AD370" s="11" t="str">
        <f>LEFT(details!E370,5)</f>
        <v>0.000</v>
      </c>
      <c r="AE370" s="42">
        <f t="shared" si="82"/>
        <v>0</v>
      </c>
      <c r="AF370" s="42">
        <f>VLOOKUP(C370,MC.5!B:P,15,FALSE)/3</f>
        <v>0</v>
      </c>
      <c r="AG370" s="152">
        <f t="shared" si="83"/>
        <v>0</v>
      </c>
      <c r="AH370" s="137" t="str">
        <f>VLOOKUP(F370,REF!B:C,2,FALSE)</f>
        <v>Additives</v>
      </c>
      <c r="AI370" s="3" t="s">
        <v>1374</v>
      </c>
    </row>
    <row r="371" spans="1:35" x14ac:dyDescent="0.3">
      <c r="A371" s="186" t="s">
        <v>1158</v>
      </c>
      <c r="B371" s="24" t="s">
        <v>1158</v>
      </c>
      <c r="C371" s="156">
        <v>556131</v>
      </c>
      <c r="D371" s="24" t="s">
        <v>215</v>
      </c>
      <c r="E371" s="24" t="s">
        <v>68</v>
      </c>
      <c r="F371" s="156">
        <v>60105</v>
      </c>
      <c r="G371" s="24" t="s">
        <v>1377</v>
      </c>
      <c r="H371" s="24" t="s">
        <v>1442</v>
      </c>
      <c r="I371" s="24" t="s">
        <v>1377</v>
      </c>
      <c r="J371" s="186" t="s">
        <v>1376</v>
      </c>
      <c r="K371" s="19">
        <v>23918.037</v>
      </c>
      <c r="L371" s="17">
        <v>214946.86</v>
      </c>
      <c r="M371" s="19">
        <v>0</v>
      </c>
      <c r="N371" s="17">
        <v>0</v>
      </c>
      <c r="O371" s="19">
        <v>96.066999999999993</v>
      </c>
      <c r="P371" s="17">
        <v>863.34</v>
      </c>
      <c r="Q371" s="19">
        <v>0</v>
      </c>
      <c r="R371" s="17">
        <v>0</v>
      </c>
      <c r="S371" s="19">
        <v>0</v>
      </c>
      <c r="T371" s="17">
        <v>0</v>
      </c>
      <c r="U371" s="19">
        <v>0</v>
      </c>
      <c r="V371" s="17">
        <v>0</v>
      </c>
      <c r="W371" s="19">
        <v>24014.103999999999</v>
      </c>
      <c r="X371" s="17">
        <v>215810.2</v>
      </c>
      <c r="Y371" s="17">
        <v>191.87</v>
      </c>
      <c r="Z371" s="17">
        <v>4493.41</v>
      </c>
      <c r="AA371" s="17">
        <v>1497.8033333333301</v>
      </c>
      <c r="AB371" s="144">
        <v>4322.5341110648696</v>
      </c>
      <c r="AC371" s="8">
        <f t="shared" si="75"/>
        <v>24014.103999999999</v>
      </c>
      <c r="AD371" s="11" t="str">
        <f>LEFT(details!E371,5)</f>
        <v>0.000</v>
      </c>
      <c r="AE371" s="42">
        <f t="shared" si="82"/>
        <v>1497.8033333333301</v>
      </c>
      <c r="AF371" s="42">
        <f>VLOOKUP(C371,MC.5!B:P,15,FALSE)/3</f>
        <v>40122.653333333335</v>
      </c>
      <c r="AG371" s="152">
        <f>AE371</f>
        <v>1497.8033333333301</v>
      </c>
      <c r="AH371" s="137" t="str">
        <f>VLOOKUP(F371,REF!B:C,2,FALSE)</f>
        <v>PE</v>
      </c>
      <c r="AI371" s="3" t="str">
        <f>VLOOKUP(G371,REF!E:F,2,FALSE)</f>
        <v>Virgin grade</v>
      </c>
    </row>
    <row r="372" spans="1:35" x14ac:dyDescent="0.3">
      <c r="A372" s="186" t="s">
        <v>1158</v>
      </c>
      <c r="B372" s="24" t="s">
        <v>1158</v>
      </c>
      <c r="C372" s="156">
        <v>556647</v>
      </c>
      <c r="D372" s="24" t="s">
        <v>308</v>
      </c>
      <c r="E372" s="24" t="s">
        <v>68</v>
      </c>
      <c r="F372" s="156">
        <v>60200</v>
      </c>
      <c r="G372" s="24" t="s">
        <v>1442</v>
      </c>
      <c r="H372" s="24" t="s">
        <v>1442</v>
      </c>
      <c r="I372" s="24" t="s">
        <v>1373</v>
      </c>
      <c r="J372" s="186" t="s">
        <v>1374</v>
      </c>
      <c r="K372" s="19">
        <v>502.99200000000002</v>
      </c>
      <c r="L372" s="17">
        <v>18307.96</v>
      </c>
      <c r="M372" s="19">
        <v>0</v>
      </c>
      <c r="N372" s="17">
        <v>0</v>
      </c>
      <c r="O372" s="19">
        <v>0</v>
      </c>
      <c r="P372" s="17">
        <v>0</v>
      </c>
      <c r="Q372" s="19">
        <v>0</v>
      </c>
      <c r="R372" s="17">
        <v>0</v>
      </c>
      <c r="S372" s="19">
        <v>0</v>
      </c>
      <c r="T372" s="17">
        <v>0</v>
      </c>
      <c r="U372" s="19">
        <v>0</v>
      </c>
      <c r="V372" s="17">
        <v>0</v>
      </c>
      <c r="W372" s="19">
        <v>502.99200000000002</v>
      </c>
      <c r="X372" s="17">
        <v>18307.96</v>
      </c>
      <c r="Y372" s="17">
        <v>0</v>
      </c>
      <c r="Z372" s="17"/>
      <c r="AA372" s="17"/>
      <c r="AB372" s="144">
        <v>0</v>
      </c>
      <c r="AC372" s="8">
        <f t="shared" si="75"/>
        <v>502.99200000000002</v>
      </c>
      <c r="AD372" s="11" t="str">
        <f>LEFT(details!E372,5)</f>
        <v>0.000</v>
      </c>
      <c r="AE372" s="42">
        <f t="shared" si="82"/>
        <v>0</v>
      </c>
      <c r="AF372" s="42">
        <f>VLOOKUP(C372,MC.5!B:P,15,FALSE)/3</f>
        <v>3213.76</v>
      </c>
      <c r="AG372" s="152">
        <f t="shared" ref="AG372:AG414" si="84">AF372</f>
        <v>3213.76</v>
      </c>
      <c r="AH372" s="137" t="str">
        <f>VLOOKUP(F372,REF!B:C,2,FALSE)</f>
        <v>Additives</v>
      </c>
      <c r="AI372" s="3" t="s">
        <v>1374</v>
      </c>
    </row>
    <row r="373" spans="1:35" x14ac:dyDescent="0.3">
      <c r="A373" s="186" t="s">
        <v>1158</v>
      </c>
      <c r="B373" s="24" t="s">
        <v>1158</v>
      </c>
      <c r="C373" s="156">
        <v>566328</v>
      </c>
      <c r="D373" s="24" t="s">
        <v>2660</v>
      </c>
      <c r="E373" s="24" t="s">
        <v>113</v>
      </c>
      <c r="F373" s="156">
        <v>60105</v>
      </c>
      <c r="G373" s="24" t="s">
        <v>1377</v>
      </c>
      <c r="H373" s="24" t="s">
        <v>1442</v>
      </c>
      <c r="I373" s="24" t="s">
        <v>1377</v>
      </c>
      <c r="J373" s="186" t="s">
        <v>1376</v>
      </c>
      <c r="K373" s="19">
        <v>0</v>
      </c>
      <c r="L373" s="17">
        <v>0</v>
      </c>
      <c r="M373" s="19">
        <v>0</v>
      </c>
      <c r="N373" s="17">
        <v>0</v>
      </c>
      <c r="O373" s="19">
        <v>0</v>
      </c>
      <c r="P373" s="17">
        <v>0</v>
      </c>
      <c r="Q373" s="19">
        <v>2758.95</v>
      </c>
      <c r="R373" s="17">
        <v>14574.85</v>
      </c>
      <c r="S373" s="19">
        <v>0</v>
      </c>
      <c r="T373" s="17">
        <v>0</v>
      </c>
      <c r="U373" s="19">
        <v>0</v>
      </c>
      <c r="V373" s="17">
        <v>0</v>
      </c>
      <c r="W373" s="19">
        <v>2758.95</v>
      </c>
      <c r="X373" s="17">
        <v>14574.85</v>
      </c>
      <c r="Y373" s="17">
        <v>12146.68</v>
      </c>
      <c r="Z373" s="17"/>
      <c r="AA373" s="17"/>
      <c r="AB373" s="144">
        <v>0</v>
      </c>
      <c r="AC373" s="8">
        <f t="shared" si="75"/>
        <v>2758.95</v>
      </c>
      <c r="AD373" s="11" t="str">
        <f>LEFT(details!E373,5)</f>
        <v>0.000</v>
      </c>
      <c r="AE373" s="42">
        <f t="shared" si="82"/>
        <v>0</v>
      </c>
      <c r="AF373" s="42">
        <f>VLOOKUP(C373,MC.5!B:P,15,FALSE)/3</f>
        <v>40.073333333333331</v>
      </c>
      <c r="AG373" s="152">
        <f t="shared" si="84"/>
        <v>40.073333333333331</v>
      </c>
      <c r="AH373" s="137" t="str">
        <f>VLOOKUP(F373,REF!B:C,2,FALSE)</f>
        <v>PE</v>
      </c>
      <c r="AI373" s="3" t="str">
        <f>VLOOKUP(G373,REF!E:F,2,FALSE)</f>
        <v>Virgin grade</v>
      </c>
    </row>
    <row r="374" spans="1:35" x14ac:dyDescent="0.3">
      <c r="A374" s="186" t="s">
        <v>1158</v>
      </c>
      <c r="B374" s="24" t="s">
        <v>1158</v>
      </c>
      <c r="C374" s="156">
        <v>568498</v>
      </c>
      <c r="D374" s="24" t="s">
        <v>1347</v>
      </c>
      <c r="E374" s="24" t="s">
        <v>68</v>
      </c>
      <c r="F374" s="156">
        <v>60200</v>
      </c>
      <c r="G374" s="24" t="s">
        <v>1442</v>
      </c>
      <c r="H374" s="24" t="s">
        <v>1442</v>
      </c>
      <c r="I374" s="24" t="s">
        <v>1373</v>
      </c>
      <c r="J374" s="186" t="s">
        <v>1374</v>
      </c>
      <c r="K374" s="19">
        <v>295.07100000000003</v>
      </c>
      <c r="L374" s="17">
        <v>8380.24</v>
      </c>
      <c r="M374" s="19">
        <v>0</v>
      </c>
      <c r="N374" s="17">
        <v>0</v>
      </c>
      <c r="O374" s="19">
        <v>0</v>
      </c>
      <c r="P374" s="17">
        <v>0</v>
      </c>
      <c r="Q374" s="19">
        <v>0</v>
      </c>
      <c r="R374" s="17">
        <v>0</v>
      </c>
      <c r="S374" s="19">
        <v>0</v>
      </c>
      <c r="T374" s="17">
        <v>0</v>
      </c>
      <c r="U374" s="19">
        <v>0</v>
      </c>
      <c r="V374" s="17">
        <v>0</v>
      </c>
      <c r="W374" s="19">
        <v>295.07100000000003</v>
      </c>
      <c r="X374" s="17">
        <v>8380.24</v>
      </c>
      <c r="Y374" s="17">
        <v>0</v>
      </c>
      <c r="Z374" s="17"/>
      <c r="AA374" s="17"/>
      <c r="AB374" s="144">
        <v>0</v>
      </c>
      <c r="AC374" s="8">
        <f t="shared" si="75"/>
        <v>295.07100000000003</v>
      </c>
      <c r="AD374" s="11" t="str">
        <f>LEFT(details!E374,5)</f>
        <v>0.000</v>
      </c>
      <c r="AE374" s="42">
        <f t="shared" si="82"/>
        <v>0</v>
      </c>
      <c r="AF374" s="42">
        <f>VLOOKUP(C374,MC.5!B:P,15,FALSE)/3</f>
        <v>7280.72</v>
      </c>
      <c r="AG374" s="152">
        <f t="shared" si="84"/>
        <v>7280.72</v>
      </c>
      <c r="AH374" s="137" t="str">
        <f>VLOOKUP(F374,REF!B:C,2,FALSE)</f>
        <v>Additives</v>
      </c>
      <c r="AI374" s="3" t="s">
        <v>1374</v>
      </c>
    </row>
    <row r="375" spans="1:35" x14ac:dyDescent="0.3">
      <c r="A375" s="186" t="s">
        <v>1158</v>
      </c>
      <c r="B375" s="24" t="s">
        <v>1158</v>
      </c>
      <c r="C375" s="156">
        <v>578773</v>
      </c>
      <c r="D375" s="24" t="s">
        <v>2368</v>
      </c>
      <c r="E375" s="24" t="s">
        <v>68</v>
      </c>
      <c r="F375" s="156">
        <v>60200</v>
      </c>
      <c r="G375" s="24" t="s">
        <v>1442</v>
      </c>
      <c r="H375" s="24" t="s">
        <v>1442</v>
      </c>
      <c r="I375" s="24" t="s">
        <v>1373</v>
      </c>
      <c r="J375" s="186" t="s">
        <v>1374</v>
      </c>
      <c r="K375" s="19">
        <v>0</v>
      </c>
      <c r="L375" s="17">
        <v>0</v>
      </c>
      <c r="M375" s="19">
        <v>50</v>
      </c>
      <c r="N375" s="17">
        <v>740</v>
      </c>
      <c r="O375" s="19">
        <v>0</v>
      </c>
      <c r="P375" s="17">
        <v>0</v>
      </c>
      <c r="Q375" s="19">
        <v>0</v>
      </c>
      <c r="R375" s="17">
        <v>0</v>
      </c>
      <c r="S375" s="19">
        <v>0</v>
      </c>
      <c r="T375" s="17">
        <v>0</v>
      </c>
      <c r="U375" s="19">
        <v>0</v>
      </c>
      <c r="V375" s="17">
        <v>0</v>
      </c>
      <c r="W375" s="19">
        <v>50</v>
      </c>
      <c r="X375" s="17">
        <v>740</v>
      </c>
      <c r="Y375" s="17">
        <v>0</v>
      </c>
      <c r="Z375" s="17"/>
      <c r="AA375" s="17"/>
      <c r="AB375" s="144">
        <v>0</v>
      </c>
      <c r="AC375" s="8">
        <f t="shared" si="75"/>
        <v>50</v>
      </c>
      <c r="AD375" s="11" t="str">
        <f>LEFT(details!E375,5)</f>
        <v>0.000</v>
      </c>
      <c r="AE375" s="42">
        <f t="shared" si="82"/>
        <v>0</v>
      </c>
      <c r="AF375" s="42">
        <f>VLOOKUP(C375,MC.5!B:P,15,FALSE)/3</f>
        <v>0</v>
      </c>
      <c r="AG375" s="152">
        <f t="shared" si="84"/>
        <v>0</v>
      </c>
      <c r="AH375" s="137" t="str">
        <f>VLOOKUP(F375,REF!B:C,2,FALSE)</f>
        <v>Additives</v>
      </c>
      <c r="AI375" s="3" t="s">
        <v>1374</v>
      </c>
    </row>
    <row r="376" spans="1:35" x14ac:dyDescent="0.3">
      <c r="A376" s="186" t="s">
        <v>1158</v>
      </c>
      <c r="B376" s="24" t="s">
        <v>1158</v>
      </c>
      <c r="C376" s="156">
        <v>579114</v>
      </c>
      <c r="D376" s="24" t="s">
        <v>335</v>
      </c>
      <c r="E376" s="24" t="s">
        <v>68</v>
      </c>
      <c r="F376" s="156">
        <v>60104</v>
      </c>
      <c r="G376" s="24" t="s">
        <v>1397</v>
      </c>
      <c r="H376" s="24" t="s">
        <v>1442</v>
      </c>
      <c r="I376" s="24" t="s">
        <v>1397</v>
      </c>
      <c r="J376" s="186" t="s">
        <v>1398</v>
      </c>
      <c r="K376" s="19">
        <v>21000</v>
      </c>
      <c r="L376" s="17">
        <v>120147.51</v>
      </c>
      <c r="M376" s="19">
        <v>12051.599</v>
      </c>
      <c r="N376" s="17">
        <v>68950.929999999993</v>
      </c>
      <c r="O376" s="19">
        <v>0</v>
      </c>
      <c r="P376" s="17">
        <v>0</v>
      </c>
      <c r="Q376" s="19">
        <v>0</v>
      </c>
      <c r="R376" s="17">
        <v>0</v>
      </c>
      <c r="S376" s="19">
        <v>0</v>
      </c>
      <c r="T376" s="17">
        <v>0</v>
      </c>
      <c r="U376" s="19">
        <v>0</v>
      </c>
      <c r="V376" s="17">
        <v>0</v>
      </c>
      <c r="W376" s="19">
        <v>33051.599000000002</v>
      </c>
      <c r="X376" s="17">
        <v>189098.44</v>
      </c>
      <c r="Y376" s="17">
        <v>0</v>
      </c>
      <c r="Z376" s="17"/>
      <c r="AA376" s="17"/>
      <c r="AB376" s="144">
        <v>0</v>
      </c>
      <c r="AC376" s="8">
        <f t="shared" ref="AC376:AC377" si="85">W376</f>
        <v>33051.599000000002</v>
      </c>
      <c r="AD376" s="11" t="str">
        <f>LEFT(details!E376,5)</f>
        <v>0.000</v>
      </c>
      <c r="AE376" s="42">
        <f t="shared" si="82"/>
        <v>0</v>
      </c>
      <c r="AF376" s="42">
        <f>VLOOKUP(C376,MC.5!B:P,15,FALSE)/3</f>
        <v>25894.429999999997</v>
      </c>
      <c r="AG376" s="152">
        <f t="shared" si="84"/>
        <v>25894.429999999997</v>
      </c>
      <c r="AH376" s="137" t="str">
        <f>VLOOKUP(F376,REF!B:C,2,FALSE)</f>
        <v>PET</v>
      </c>
      <c r="AI376" s="3" t="str">
        <f>VLOOKUP(G376,REF!E:F,2,FALSE)</f>
        <v>Recycled</v>
      </c>
    </row>
    <row r="377" spans="1:35" x14ac:dyDescent="0.3">
      <c r="A377" s="186" t="s">
        <v>1158</v>
      </c>
      <c r="B377" s="24" t="s">
        <v>1158</v>
      </c>
      <c r="C377" s="156">
        <v>581433</v>
      </c>
      <c r="D377" s="24" t="s">
        <v>302</v>
      </c>
      <c r="E377" s="24" t="s">
        <v>68</v>
      </c>
      <c r="F377" s="156">
        <v>60200</v>
      </c>
      <c r="G377" s="24" t="s">
        <v>1442</v>
      </c>
      <c r="H377" s="24" t="s">
        <v>1442</v>
      </c>
      <c r="I377" s="24" t="s">
        <v>1373</v>
      </c>
      <c r="J377" s="186" t="s">
        <v>1374</v>
      </c>
      <c r="K377" s="19">
        <v>0</v>
      </c>
      <c r="L377" s="17">
        <v>0</v>
      </c>
      <c r="M377" s="19">
        <v>176.666</v>
      </c>
      <c r="N377" s="17">
        <v>5741.64</v>
      </c>
      <c r="O377" s="19">
        <v>0</v>
      </c>
      <c r="P377" s="17">
        <v>0</v>
      </c>
      <c r="Q377" s="19">
        <v>6.6890000000000001</v>
      </c>
      <c r="R377" s="17">
        <v>217.39</v>
      </c>
      <c r="S377" s="19">
        <v>5.5389999999999997</v>
      </c>
      <c r="T377" s="17">
        <v>180.02</v>
      </c>
      <c r="U377" s="19">
        <v>0</v>
      </c>
      <c r="V377" s="17">
        <v>0</v>
      </c>
      <c r="W377" s="19">
        <v>188.89400000000001</v>
      </c>
      <c r="X377" s="17">
        <v>6139.05</v>
      </c>
      <c r="Y377" s="17">
        <v>324.95999999999998</v>
      </c>
      <c r="Z377" s="17"/>
      <c r="AA377" s="17"/>
      <c r="AB377" s="144">
        <v>0</v>
      </c>
      <c r="AC377" s="8">
        <f t="shared" si="85"/>
        <v>188.89400000000001</v>
      </c>
      <c r="AD377" s="11" t="str">
        <f>LEFT(details!E377,5)</f>
        <v>0.000</v>
      </c>
      <c r="AE377" s="42">
        <f t="shared" si="82"/>
        <v>0</v>
      </c>
      <c r="AF377" s="42">
        <f>VLOOKUP(C377,MC.5!B:P,15,FALSE)/3</f>
        <v>1152.5666666666666</v>
      </c>
      <c r="AG377" s="152">
        <f t="shared" si="84"/>
        <v>1152.5666666666666</v>
      </c>
      <c r="AH377" s="137" t="str">
        <f>VLOOKUP(F377,REF!B:C,2,FALSE)</f>
        <v>Additives</v>
      </c>
      <c r="AI377" s="3" t="s">
        <v>1374</v>
      </c>
    </row>
    <row r="378" spans="1:35" x14ac:dyDescent="0.3">
      <c r="A378" s="186" t="s">
        <v>1158</v>
      </c>
      <c r="B378" s="24" t="s">
        <v>1158</v>
      </c>
      <c r="C378" s="156">
        <v>588637</v>
      </c>
      <c r="D378" s="24" t="s">
        <v>1257</v>
      </c>
      <c r="E378" s="24" t="s">
        <v>1258</v>
      </c>
      <c r="F378" s="156">
        <v>60104</v>
      </c>
      <c r="G378" s="24" t="s">
        <v>1446</v>
      </c>
      <c r="H378" s="24" t="s">
        <v>1399</v>
      </c>
      <c r="I378" s="24" t="s">
        <v>1399</v>
      </c>
      <c r="J378" s="186" t="s">
        <v>1372</v>
      </c>
      <c r="K378" s="16">
        <v>379509</v>
      </c>
      <c r="L378" s="17">
        <v>68311.62</v>
      </c>
      <c r="M378" s="16">
        <v>0</v>
      </c>
      <c r="N378" s="17">
        <v>0</v>
      </c>
      <c r="O378" s="16">
        <v>0</v>
      </c>
      <c r="P378" s="17">
        <v>0</v>
      </c>
      <c r="Q378" s="16">
        <v>0</v>
      </c>
      <c r="R378" s="17">
        <v>0</v>
      </c>
      <c r="S378" s="16">
        <v>0</v>
      </c>
      <c r="T378" s="17">
        <v>0</v>
      </c>
      <c r="U378" s="16">
        <v>0</v>
      </c>
      <c r="V378" s="17">
        <v>0</v>
      </c>
      <c r="W378" s="18">
        <v>379509</v>
      </c>
      <c r="X378" s="17">
        <v>68311.62</v>
      </c>
      <c r="Y378" s="17">
        <v>0</v>
      </c>
      <c r="Z378" s="17"/>
      <c r="AA378" s="17"/>
      <c r="AB378" s="144">
        <v>0</v>
      </c>
      <c r="AC378" s="8">
        <f>(AD378*W378)/1000</f>
        <v>9335.9214000000011</v>
      </c>
      <c r="AD378" s="11" t="str">
        <f>LEFT(details!E378,5)</f>
        <v>24.60</v>
      </c>
      <c r="AE378" s="42">
        <f t="shared" si="82"/>
        <v>0</v>
      </c>
      <c r="AF378" s="42">
        <f>VLOOKUP(C378,MC.5!B:P,15,FALSE)/3</f>
        <v>60804.273333333338</v>
      </c>
      <c r="AG378" s="152">
        <f t="shared" si="84"/>
        <v>60804.273333333338</v>
      </c>
      <c r="AH378" s="137" t="str">
        <f>VLOOKUP(F378,REF!B:C,2,FALSE)</f>
        <v>PET</v>
      </c>
      <c r="AI378" s="3" t="str">
        <f>VLOOKUP(G378,REF!E:F,2,FALSE)</f>
        <v xml:space="preserve">Preform </v>
      </c>
    </row>
    <row r="379" spans="1:35" x14ac:dyDescent="0.3">
      <c r="A379" s="186" t="s">
        <v>1158</v>
      </c>
      <c r="B379" s="24" t="s">
        <v>1158</v>
      </c>
      <c r="C379" s="156">
        <v>592951</v>
      </c>
      <c r="D379" s="24" t="s">
        <v>343</v>
      </c>
      <c r="E379" s="24" t="s">
        <v>68</v>
      </c>
      <c r="F379" s="156">
        <v>60200</v>
      </c>
      <c r="G379" s="24" t="s">
        <v>1442</v>
      </c>
      <c r="H379" s="24" t="s">
        <v>1442</v>
      </c>
      <c r="I379" s="24" t="s">
        <v>1373</v>
      </c>
      <c r="J379" s="186" t="s">
        <v>1374</v>
      </c>
      <c r="K379" s="19">
        <v>100</v>
      </c>
      <c r="L379" s="17">
        <v>4988.58</v>
      </c>
      <c r="M379" s="19">
        <v>79.603999999999999</v>
      </c>
      <c r="N379" s="17">
        <v>3971.11</v>
      </c>
      <c r="O379" s="19">
        <v>0</v>
      </c>
      <c r="P379" s="17">
        <v>0</v>
      </c>
      <c r="Q379" s="19">
        <v>0</v>
      </c>
      <c r="R379" s="17">
        <v>0</v>
      </c>
      <c r="S379" s="19">
        <v>0</v>
      </c>
      <c r="T379" s="17">
        <v>0</v>
      </c>
      <c r="U379" s="19">
        <v>0</v>
      </c>
      <c r="V379" s="17">
        <v>0</v>
      </c>
      <c r="W379" s="19">
        <v>179.60400000000001</v>
      </c>
      <c r="X379" s="17">
        <v>8959.69</v>
      </c>
      <c r="Y379" s="17">
        <v>0</v>
      </c>
      <c r="Z379" s="17"/>
      <c r="AA379" s="17"/>
      <c r="AB379" s="144">
        <v>0</v>
      </c>
      <c r="AC379" s="8">
        <f t="shared" ref="AC365:AC388" si="86">W379</f>
        <v>179.60400000000001</v>
      </c>
      <c r="AD379" s="11" t="str">
        <f>LEFT(details!E379,5)</f>
        <v>0.000</v>
      </c>
      <c r="AE379" s="42">
        <f t="shared" si="82"/>
        <v>0</v>
      </c>
      <c r="AF379" s="42">
        <f>VLOOKUP(C379,MC.5!B:P,15,FALSE)/3</f>
        <v>2643.4566666666665</v>
      </c>
      <c r="AG379" s="152">
        <f t="shared" si="84"/>
        <v>2643.4566666666665</v>
      </c>
      <c r="AH379" s="137" t="str">
        <f>VLOOKUP(F379,REF!B:C,2,FALSE)</f>
        <v>Additives</v>
      </c>
      <c r="AI379" s="3" t="s">
        <v>1374</v>
      </c>
    </row>
    <row r="380" spans="1:35" x14ac:dyDescent="0.3">
      <c r="A380" s="186" t="s">
        <v>1158</v>
      </c>
      <c r="B380" s="24" t="s">
        <v>1158</v>
      </c>
      <c r="C380" s="156">
        <v>604327</v>
      </c>
      <c r="D380" s="24" t="s">
        <v>2622</v>
      </c>
      <c r="E380" s="24" t="s">
        <v>333</v>
      </c>
      <c r="F380" s="156">
        <v>60104</v>
      </c>
      <c r="G380" s="24" t="s">
        <v>1446</v>
      </c>
      <c r="H380" s="24" t="s">
        <v>2623</v>
      </c>
      <c r="I380" s="24" t="s">
        <v>2623</v>
      </c>
      <c r="J380" s="186" t="s">
        <v>1367</v>
      </c>
      <c r="K380" s="16">
        <v>0</v>
      </c>
      <c r="L380" s="17">
        <v>0</v>
      </c>
      <c r="M380" s="16">
        <v>42125</v>
      </c>
      <c r="N380" s="17">
        <v>14743.75</v>
      </c>
      <c r="O380" s="16">
        <v>0</v>
      </c>
      <c r="P380" s="17">
        <v>0</v>
      </c>
      <c r="Q380" s="16">
        <v>0</v>
      </c>
      <c r="R380" s="17">
        <v>0</v>
      </c>
      <c r="S380" s="16">
        <v>0</v>
      </c>
      <c r="T380" s="17">
        <v>0</v>
      </c>
      <c r="U380" s="16">
        <v>0</v>
      </c>
      <c r="V380" s="17">
        <v>0</v>
      </c>
      <c r="W380" s="18">
        <v>42125</v>
      </c>
      <c r="X380" s="17">
        <v>14743.75</v>
      </c>
      <c r="Y380" s="17">
        <v>0</v>
      </c>
      <c r="Z380" s="17"/>
      <c r="AA380" s="17"/>
      <c r="AB380" s="144">
        <v>0</v>
      </c>
      <c r="AC380" s="8">
        <f>(AD380*W380)/1000</f>
        <v>2354.7874999999999</v>
      </c>
      <c r="AD380" s="11" t="str">
        <f>LEFT(details!E380,5)</f>
        <v>55.90</v>
      </c>
      <c r="AE380" s="42">
        <f t="shared" si="82"/>
        <v>0</v>
      </c>
      <c r="AF380" s="42">
        <f>VLOOKUP(C380,MC.5!B:P,15,FALSE)/3</f>
        <v>0</v>
      </c>
      <c r="AG380" s="152">
        <f t="shared" si="84"/>
        <v>0</v>
      </c>
      <c r="AH380" s="137" t="str">
        <f>VLOOKUP(F380,REF!B:C,2,FALSE)</f>
        <v>PET</v>
      </c>
      <c r="AI380" s="3" t="str">
        <f>VLOOKUP(G380,REF!E:F,2,FALSE)</f>
        <v xml:space="preserve">Preform </v>
      </c>
    </row>
    <row r="381" spans="1:35" x14ac:dyDescent="0.3">
      <c r="A381" s="186" t="s">
        <v>1158</v>
      </c>
      <c r="B381" s="24" t="s">
        <v>1158</v>
      </c>
      <c r="C381" s="156">
        <v>604981</v>
      </c>
      <c r="D381" s="24" t="s">
        <v>1192</v>
      </c>
      <c r="E381" s="24" t="s">
        <v>68</v>
      </c>
      <c r="F381" s="156">
        <v>60200</v>
      </c>
      <c r="G381" s="24" t="s">
        <v>1442</v>
      </c>
      <c r="H381" s="24" t="s">
        <v>1442</v>
      </c>
      <c r="I381" s="24" t="s">
        <v>1373</v>
      </c>
      <c r="J381" s="186" t="s">
        <v>1374</v>
      </c>
      <c r="K381" s="19">
        <v>0</v>
      </c>
      <c r="L381" s="17">
        <v>0</v>
      </c>
      <c r="M381" s="19">
        <v>0</v>
      </c>
      <c r="N381" s="17">
        <v>0</v>
      </c>
      <c r="O381" s="19">
        <v>0</v>
      </c>
      <c r="P381" s="17">
        <v>0</v>
      </c>
      <c r="Q381" s="19">
        <v>25</v>
      </c>
      <c r="R381" s="17">
        <v>1246.17</v>
      </c>
      <c r="S381" s="19">
        <v>0</v>
      </c>
      <c r="T381" s="17">
        <v>0</v>
      </c>
      <c r="U381" s="19">
        <v>0</v>
      </c>
      <c r="V381" s="17">
        <v>0</v>
      </c>
      <c r="W381" s="19">
        <v>25</v>
      </c>
      <c r="X381" s="17">
        <v>1246.17</v>
      </c>
      <c r="Y381" s="17">
        <v>1246.17</v>
      </c>
      <c r="Z381" s="17"/>
      <c r="AA381" s="17"/>
      <c r="AB381" s="144">
        <v>0</v>
      </c>
      <c r="AC381" s="8">
        <f t="shared" si="86"/>
        <v>25</v>
      </c>
      <c r="AD381" s="11" t="str">
        <f>LEFT(details!E381,5)</f>
        <v>0.000</v>
      </c>
      <c r="AE381" s="42">
        <f t="shared" si="82"/>
        <v>0</v>
      </c>
      <c r="AF381" s="42">
        <f>VLOOKUP(C381,MC.5!B:P,15,FALSE)/3</f>
        <v>0</v>
      </c>
      <c r="AG381" s="152">
        <f t="shared" si="84"/>
        <v>0</v>
      </c>
      <c r="AH381" s="137" t="str">
        <f>VLOOKUP(F381,REF!B:C,2,FALSE)</f>
        <v>Additives</v>
      </c>
      <c r="AI381" s="3" t="s">
        <v>1374</v>
      </c>
    </row>
    <row r="382" spans="1:35" x14ac:dyDescent="0.3">
      <c r="A382" s="186" t="s">
        <v>1158</v>
      </c>
      <c r="B382" s="24" t="s">
        <v>1158</v>
      </c>
      <c r="C382" s="156">
        <v>605162</v>
      </c>
      <c r="D382" s="24" t="s">
        <v>1597</v>
      </c>
      <c r="E382" s="24" t="s">
        <v>113</v>
      </c>
      <c r="F382" s="156">
        <v>60105</v>
      </c>
      <c r="G382" s="24" t="s">
        <v>1377</v>
      </c>
      <c r="H382" s="24" t="s">
        <v>1442</v>
      </c>
      <c r="I382" s="24" t="s">
        <v>1377</v>
      </c>
      <c r="J382" s="186" t="s">
        <v>1376</v>
      </c>
      <c r="K382" s="19">
        <v>0</v>
      </c>
      <c r="L382" s="17">
        <v>0</v>
      </c>
      <c r="M382" s="19">
        <v>847.09799999999996</v>
      </c>
      <c r="N382" s="17">
        <v>6960.36</v>
      </c>
      <c r="O382" s="19">
        <v>0</v>
      </c>
      <c r="P382" s="17">
        <v>0</v>
      </c>
      <c r="Q382" s="19">
        <v>0</v>
      </c>
      <c r="R382" s="17">
        <v>0</v>
      </c>
      <c r="S382" s="19">
        <v>0</v>
      </c>
      <c r="T382" s="17">
        <v>0</v>
      </c>
      <c r="U382" s="19">
        <v>0</v>
      </c>
      <c r="V382" s="17">
        <v>0</v>
      </c>
      <c r="W382" s="19">
        <v>847.09799999999996</v>
      </c>
      <c r="X382" s="17">
        <v>6960.36</v>
      </c>
      <c r="Y382" s="17">
        <v>0</v>
      </c>
      <c r="Z382" s="17"/>
      <c r="AA382" s="17"/>
      <c r="AB382" s="144">
        <v>0</v>
      </c>
      <c r="AC382" s="8">
        <f t="shared" si="86"/>
        <v>847.09799999999996</v>
      </c>
      <c r="AD382" s="11" t="str">
        <f>LEFT(details!E382,5)</f>
        <v>0.000</v>
      </c>
      <c r="AE382" s="42">
        <f t="shared" si="82"/>
        <v>0</v>
      </c>
      <c r="AF382" s="42">
        <f>VLOOKUP(C382,MC.5!B:P,15,FALSE)/3</f>
        <v>145.44333333333333</v>
      </c>
      <c r="AG382" s="152">
        <f t="shared" si="84"/>
        <v>145.44333333333333</v>
      </c>
      <c r="AH382" s="137" t="str">
        <f>VLOOKUP(F382,REF!B:C,2,FALSE)</f>
        <v>PE</v>
      </c>
      <c r="AI382" s="3" t="str">
        <f>VLOOKUP(G382,REF!E:F,2,FALSE)</f>
        <v>Virgin grade</v>
      </c>
    </row>
    <row r="383" spans="1:35" x14ac:dyDescent="0.3">
      <c r="A383" s="186" t="s">
        <v>1158</v>
      </c>
      <c r="B383" s="24" t="s">
        <v>1158</v>
      </c>
      <c r="C383" s="156">
        <v>606762</v>
      </c>
      <c r="D383" s="24" t="s">
        <v>1259</v>
      </c>
      <c r="E383" s="24" t="s">
        <v>68</v>
      </c>
      <c r="F383" s="156">
        <v>60200</v>
      </c>
      <c r="G383" s="24" t="s">
        <v>1442</v>
      </c>
      <c r="H383" s="24" t="s">
        <v>1442</v>
      </c>
      <c r="I383" s="24" t="s">
        <v>1373</v>
      </c>
      <c r="J383" s="186" t="s">
        <v>1374</v>
      </c>
      <c r="K383" s="19">
        <v>75</v>
      </c>
      <c r="L383" s="17">
        <v>3882.05</v>
      </c>
      <c r="M383" s="19">
        <v>113.252</v>
      </c>
      <c r="N383" s="17">
        <v>5862</v>
      </c>
      <c r="O383" s="19">
        <v>0</v>
      </c>
      <c r="P383" s="17">
        <v>0</v>
      </c>
      <c r="Q383" s="19">
        <v>0</v>
      </c>
      <c r="R383" s="17">
        <v>0</v>
      </c>
      <c r="S383" s="19">
        <v>0</v>
      </c>
      <c r="T383" s="17">
        <v>0</v>
      </c>
      <c r="U383" s="19">
        <v>0</v>
      </c>
      <c r="V383" s="17">
        <v>0</v>
      </c>
      <c r="W383" s="19">
        <v>188.25200000000001</v>
      </c>
      <c r="X383" s="17">
        <v>9744.0499999999993</v>
      </c>
      <c r="Y383" s="17">
        <v>0</v>
      </c>
      <c r="Z383" s="17"/>
      <c r="AA383" s="17"/>
      <c r="AB383" s="144">
        <v>0</v>
      </c>
      <c r="AC383" s="8">
        <f t="shared" si="86"/>
        <v>188.25200000000001</v>
      </c>
      <c r="AD383" s="11" t="str">
        <f>LEFT(details!E383,5)</f>
        <v>0.000</v>
      </c>
      <c r="AE383" s="42">
        <f t="shared" si="82"/>
        <v>0</v>
      </c>
      <c r="AF383" s="42">
        <f>VLOOKUP(C383,MC.5!B:P,15,FALSE)/3</f>
        <v>421.33666666666664</v>
      </c>
      <c r="AG383" s="152">
        <f t="shared" si="84"/>
        <v>421.33666666666664</v>
      </c>
      <c r="AH383" s="137" t="str">
        <f>VLOOKUP(F383,REF!B:C,2,FALSE)</f>
        <v>Additives</v>
      </c>
      <c r="AI383" s="3" t="s">
        <v>1374</v>
      </c>
    </row>
    <row r="384" spans="1:35" x14ac:dyDescent="0.3">
      <c r="A384" s="186" t="s">
        <v>1158</v>
      </c>
      <c r="B384" s="24" t="s">
        <v>1158</v>
      </c>
      <c r="C384" s="156">
        <v>606765</v>
      </c>
      <c r="D384" s="24" t="s">
        <v>1338</v>
      </c>
      <c r="E384" s="24" t="s">
        <v>68</v>
      </c>
      <c r="F384" s="156">
        <v>60200</v>
      </c>
      <c r="G384" s="24" t="s">
        <v>1442</v>
      </c>
      <c r="H384" s="24" t="s">
        <v>1442</v>
      </c>
      <c r="I384" s="24" t="s">
        <v>1373</v>
      </c>
      <c r="J384" s="186" t="s">
        <v>1374</v>
      </c>
      <c r="K384" s="19">
        <v>50</v>
      </c>
      <c r="L384" s="17">
        <v>2565.83</v>
      </c>
      <c r="M384" s="19">
        <v>50</v>
      </c>
      <c r="N384" s="17">
        <v>2565.84</v>
      </c>
      <c r="O384" s="19">
        <v>5.3620000000000001</v>
      </c>
      <c r="P384" s="17">
        <v>275.16000000000003</v>
      </c>
      <c r="Q384" s="19">
        <v>0</v>
      </c>
      <c r="R384" s="17">
        <v>0</v>
      </c>
      <c r="S384" s="19">
        <v>0</v>
      </c>
      <c r="T384" s="17">
        <v>0</v>
      </c>
      <c r="U384" s="19">
        <v>0</v>
      </c>
      <c r="V384" s="17">
        <v>0</v>
      </c>
      <c r="W384" s="19">
        <v>105.36199999999999</v>
      </c>
      <c r="X384" s="17">
        <v>5406.83</v>
      </c>
      <c r="Y384" s="17">
        <v>15.29</v>
      </c>
      <c r="Z384" s="17"/>
      <c r="AA384" s="17"/>
      <c r="AB384" s="144">
        <v>0</v>
      </c>
      <c r="AC384" s="8">
        <f t="shared" si="86"/>
        <v>105.36199999999999</v>
      </c>
      <c r="AD384" s="11" t="str">
        <f>LEFT(details!E384,5)</f>
        <v>0.000</v>
      </c>
      <c r="AE384" s="42">
        <f t="shared" si="82"/>
        <v>0</v>
      </c>
      <c r="AF384" s="42">
        <f>VLOOKUP(C384,MC.5!B:P,15,FALSE)/3</f>
        <v>348.1033333333333</v>
      </c>
      <c r="AG384" s="152">
        <f t="shared" si="84"/>
        <v>348.1033333333333</v>
      </c>
      <c r="AH384" s="137" t="str">
        <f>VLOOKUP(F384,REF!B:C,2,FALSE)</f>
        <v>Additives</v>
      </c>
      <c r="AI384" s="3" t="s">
        <v>1374</v>
      </c>
    </row>
    <row r="385" spans="1:35" x14ac:dyDescent="0.3">
      <c r="A385" s="186" t="s">
        <v>1158</v>
      </c>
      <c r="B385" s="24" t="s">
        <v>1158</v>
      </c>
      <c r="C385" s="156">
        <v>606766</v>
      </c>
      <c r="D385" s="24" t="s">
        <v>1322</v>
      </c>
      <c r="E385" s="24" t="s">
        <v>68</v>
      </c>
      <c r="F385" s="156">
        <v>60200</v>
      </c>
      <c r="G385" s="24" t="s">
        <v>1442</v>
      </c>
      <c r="H385" s="24" t="s">
        <v>1442</v>
      </c>
      <c r="I385" s="24" t="s">
        <v>1373</v>
      </c>
      <c r="J385" s="186" t="s">
        <v>1374</v>
      </c>
      <c r="K385" s="19">
        <v>25</v>
      </c>
      <c r="L385" s="17">
        <v>4124.84</v>
      </c>
      <c r="M385" s="19">
        <v>11.672000000000001</v>
      </c>
      <c r="N385" s="17">
        <v>1925.81</v>
      </c>
      <c r="O385" s="19">
        <v>0</v>
      </c>
      <c r="P385" s="17">
        <v>0</v>
      </c>
      <c r="Q385" s="19">
        <v>0</v>
      </c>
      <c r="R385" s="17">
        <v>0</v>
      </c>
      <c r="S385" s="19">
        <v>0</v>
      </c>
      <c r="T385" s="17">
        <v>0</v>
      </c>
      <c r="U385" s="19">
        <v>0</v>
      </c>
      <c r="V385" s="17">
        <v>0</v>
      </c>
      <c r="W385" s="19">
        <v>36.671999999999997</v>
      </c>
      <c r="X385" s="17">
        <v>6050.65</v>
      </c>
      <c r="Y385" s="17">
        <v>0</v>
      </c>
      <c r="Z385" s="17"/>
      <c r="AA385" s="17"/>
      <c r="AB385" s="144">
        <v>0</v>
      </c>
      <c r="AC385" s="8">
        <f t="shared" si="86"/>
        <v>36.671999999999997</v>
      </c>
      <c r="AD385" s="11" t="str">
        <f>LEFT(details!E385,5)</f>
        <v>0.000</v>
      </c>
      <c r="AE385" s="42">
        <f t="shared" si="82"/>
        <v>0</v>
      </c>
      <c r="AF385" s="42">
        <f>VLOOKUP(C385,MC.5!B:P,15,FALSE)/3</f>
        <v>0</v>
      </c>
      <c r="AG385" s="152">
        <f t="shared" si="84"/>
        <v>0</v>
      </c>
      <c r="AH385" s="137" t="str">
        <f>VLOOKUP(F385,REF!B:C,2,FALSE)</f>
        <v>Additives</v>
      </c>
      <c r="AI385" s="3" t="s">
        <v>1374</v>
      </c>
    </row>
    <row r="386" spans="1:35" x14ac:dyDescent="0.3">
      <c r="A386" s="186" t="s">
        <v>1158</v>
      </c>
      <c r="B386" s="24" t="s">
        <v>1158</v>
      </c>
      <c r="C386" s="156">
        <v>607481</v>
      </c>
      <c r="D386" s="24" t="s">
        <v>2789</v>
      </c>
      <c r="E386" s="24" t="s">
        <v>113</v>
      </c>
      <c r="F386" s="156">
        <v>60105</v>
      </c>
      <c r="G386" s="24" t="s">
        <v>1377</v>
      </c>
      <c r="H386" s="24" t="s">
        <v>1442</v>
      </c>
      <c r="I386" s="24" t="s">
        <v>1377</v>
      </c>
      <c r="J386" s="186" t="s">
        <v>1376</v>
      </c>
      <c r="K386" s="19">
        <v>48199.18</v>
      </c>
      <c r="L386" s="17">
        <v>388637.7</v>
      </c>
      <c r="M386" s="19">
        <v>0</v>
      </c>
      <c r="N386" s="17">
        <v>0</v>
      </c>
      <c r="O386" s="19">
        <v>0</v>
      </c>
      <c r="P386" s="17">
        <v>0</v>
      </c>
      <c r="Q386" s="19">
        <v>0</v>
      </c>
      <c r="R386" s="17">
        <v>0</v>
      </c>
      <c r="S386" s="19">
        <v>0</v>
      </c>
      <c r="T386" s="17">
        <v>0</v>
      </c>
      <c r="U386" s="19">
        <v>0</v>
      </c>
      <c r="V386" s="17">
        <v>0</v>
      </c>
      <c r="W386" s="19">
        <v>48199.18</v>
      </c>
      <c r="X386" s="17">
        <v>388637.7</v>
      </c>
      <c r="Y386" s="17">
        <v>0</v>
      </c>
      <c r="Z386" s="17"/>
      <c r="AA386" s="17"/>
      <c r="AB386" s="144">
        <v>0</v>
      </c>
      <c r="AC386" s="8">
        <f t="shared" si="86"/>
        <v>48199.18</v>
      </c>
      <c r="AD386" s="11" t="str">
        <f>LEFT(details!E386,5)</f>
        <v>0.000</v>
      </c>
      <c r="AE386" s="42">
        <f t="shared" si="82"/>
        <v>0</v>
      </c>
      <c r="AF386" s="42">
        <f>VLOOKUP(C386,MC.5!B:P,15,FALSE)/3</f>
        <v>136317.81</v>
      </c>
      <c r="AG386" s="152">
        <f t="shared" si="84"/>
        <v>136317.81</v>
      </c>
      <c r="AH386" s="137" t="str">
        <f>VLOOKUP(F386,REF!B:C,2,FALSE)</f>
        <v>PE</v>
      </c>
      <c r="AI386" s="3" t="str">
        <f>VLOOKUP(G386,REF!E:F,2,FALSE)</f>
        <v>Virgin grade</v>
      </c>
    </row>
    <row r="387" spans="1:35" x14ac:dyDescent="0.3">
      <c r="A387" s="186" t="s">
        <v>1158</v>
      </c>
      <c r="B387" s="24" t="s">
        <v>1158</v>
      </c>
      <c r="C387" s="156">
        <v>609318</v>
      </c>
      <c r="D387" s="24" t="s">
        <v>2790</v>
      </c>
      <c r="E387" s="24" t="s">
        <v>68</v>
      </c>
      <c r="F387" s="156">
        <v>60105</v>
      </c>
      <c r="G387" s="24" t="s">
        <v>1377</v>
      </c>
      <c r="H387" s="24" t="s">
        <v>1442</v>
      </c>
      <c r="I387" s="24" t="s">
        <v>1377</v>
      </c>
      <c r="J387" s="186" t="s">
        <v>1376</v>
      </c>
      <c r="K387" s="19">
        <v>13750</v>
      </c>
      <c r="L387" s="17">
        <v>115497.8</v>
      </c>
      <c r="M387" s="19">
        <v>0</v>
      </c>
      <c r="N387" s="17">
        <v>0</v>
      </c>
      <c r="O387" s="19">
        <v>0</v>
      </c>
      <c r="P387" s="17">
        <v>0</v>
      </c>
      <c r="Q387" s="19">
        <v>0</v>
      </c>
      <c r="R387" s="17">
        <v>0</v>
      </c>
      <c r="S387" s="19">
        <v>11</v>
      </c>
      <c r="T387" s="17">
        <v>92.4</v>
      </c>
      <c r="U387" s="19">
        <v>0</v>
      </c>
      <c r="V387" s="17">
        <v>0</v>
      </c>
      <c r="W387" s="19">
        <v>13761</v>
      </c>
      <c r="X387" s="17">
        <v>115590.2</v>
      </c>
      <c r="Y387" s="17">
        <v>92.4</v>
      </c>
      <c r="Z387" s="17"/>
      <c r="AA387" s="17"/>
      <c r="AB387" s="144">
        <v>0</v>
      </c>
      <c r="AC387" s="8">
        <f t="shared" si="86"/>
        <v>13761</v>
      </c>
      <c r="AD387" s="11" t="str">
        <f>LEFT(details!E387,5)</f>
        <v>0.000</v>
      </c>
      <c r="AE387" s="42">
        <f t="shared" si="82"/>
        <v>0</v>
      </c>
      <c r="AF387" s="42">
        <f>VLOOKUP(C387,MC.5!B:P,15,FALSE)/3</f>
        <v>0</v>
      </c>
      <c r="AG387" s="152">
        <f t="shared" si="84"/>
        <v>0</v>
      </c>
      <c r="AH387" s="137" t="str">
        <f>VLOOKUP(F387,REF!B:C,2,FALSE)</f>
        <v>PE</v>
      </c>
      <c r="AI387" s="3" t="str">
        <f>VLOOKUP(G387,REF!E:F,2,FALSE)</f>
        <v>Virgin grade</v>
      </c>
    </row>
    <row r="388" spans="1:35" x14ac:dyDescent="0.3">
      <c r="A388" s="186" t="s">
        <v>1158</v>
      </c>
      <c r="B388" s="24" t="s">
        <v>1158</v>
      </c>
      <c r="C388" s="156">
        <v>611862</v>
      </c>
      <c r="D388" s="24" t="s">
        <v>1299</v>
      </c>
      <c r="E388" s="24" t="s">
        <v>113</v>
      </c>
      <c r="F388" s="156">
        <v>60200</v>
      </c>
      <c r="G388" s="24" t="s">
        <v>1442</v>
      </c>
      <c r="H388" s="24" t="s">
        <v>1442</v>
      </c>
      <c r="I388" s="24" t="s">
        <v>1373</v>
      </c>
      <c r="J388" s="186" t="s">
        <v>1374</v>
      </c>
      <c r="K388" s="19">
        <v>100</v>
      </c>
      <c r="L388" s="17">
        <v>2379.15</v>
      </c>
      <c r="M388" s="19">
        <v>100</v>
      </c>
      <c r="N388" s="17">
        <v>2379.16</v>
      </c>
      <c r="O388" s="19">
        <v>73.474000000000004</v>
      </c>
      <c r="P388" s="17">
        <v>1748.06</v>
      </c>
      <c r="Q388" s="19">
        <v>23.701000000000001</v>
      </c>
      <c r="R388" s="17">
        <v>563.89</v>
      </c>
      <c r="S388" s="19">
        <v>0</v>
      </c>
      <c r="T388" s="17">
        <v>0</v>
      </c>
      <c r="U388" s="19">
        <v>0</v>
      </c>
      <c r="V388" s="17">
        <v>0</v>
      </c>
      <c r="W388" s="19">
        <v>297.17500000000001</v>
      </c>
      <c r="X388" s="17">
        <v>7070.26</v>
      </c>
      <c r="Y388" s="17">
        <v>573.34</v>
      </c>
      <c r="Z388" s="17"/>
      <c r="AA388" s="17"/>
      <c r="AB388" s="144">
        <v>0</v>
      </c>
      <c r="AC388" s="8">
        <f t="shared" si="86"/>
        <v>297.17500000000001</v>
      </c>
      <c r="AD388" s="11" t="str">
        <f>LEFT(details!E388,5)</f>
        <v>0.000</v>
      </c>
      <c r="AE388" s="42">
        <f t="shared" si="82"/>
        <v>0</v>
      </c>
      <c r="AF388" s="42">
        <f>VLOOKUP(C388,MC.5!B:P,15,FALSE)/3</f>
        <v>673.02333333333331</v>
      </c>
      <c r="AG388" s="152">
        <f t="shared" si="84"/>
        <v>673.02333333333331</v>
      </c>
      <c r="AH388" s="137" t="str">
        <f>VLOOKUP(F388,REF!B:C,2,FALSE)</f>
        <v>Additives</v>
      </c>
      <c r="AI388" s="3" t="s">
        <v>1374</v>
      </c>
    </row>
    <row r="389" spans="1:35" x14ac:dyDescent="0.3">
      <c r="A389" s="186" t="s">
        <v>1158</v>
      </c>
      <c r="B389" s="24" t="s">
        <v>1158</v>
      </c>
      <c r="C389" s="156">
        <v>612169</v>
      </c>
      <c r="D389" s="24" t="s">
        <v>2467</v>
      </c>
      <c r="E389" s="24" t="s">
        <v>1258</v>
      </c>
      <c r="F389" s="156">
        <v>60104</v>
      </c>
      <c r="G389" s="24" t="s">
        <v>1446</v>
      </c>
      <c r="H389" s="24" t="s">
        <v>1399</v>
      </c>
      <c r="I389" s="24" t="s">
        <v>1399</v>
      </c>
      <c r="J389" s="186" t="s">
        <v>1372</v>
      </c>
      <c r="K389" s="16">
        <v>0</v>
      </c>
      <c r="L389" s="17">
        <v>0</v>
      </c>
      <c r="M389" s="16">
        <v>0</v>
      </c>
      <c r="N389" s="17">
        <v>0</v>
      </c>
      <c r="O389" s="16">
        <v>0</v>
      </c>
      <c r="P389" s="17">
        <v>0</v>
      </c>
      <c r="Q389" s="16">
        <v>6965</v>
      </c>
      <c r="R389" s="17">
        <v>1253.7</v>
      </c>
      <c r="S389" s="16">
        <v>0</v>
      </c>
      <c r="T389" s="17">
        <v>0</v>
      </c>
      <c r="U389" s="16">
        <v>0</v>
      </c>
      <c r="V389" s="17">
        <v>0</v>
      </c>
      <c r="W389" s="18">
        <v>6965</v>
      </c>
      <c r="X389" s="17">
        <v>1253.7</v>
      </c>
      <c r="Y389" s="17">
        <v>766.21</v>
      </c>
      <c r="Z389" s="17"/>
      <c r="AA389" s="17"/>
      <c r="AB389" s="144">
        <v>0</v>
      </c>
      <c r="AC389" s="8">
        <f>(AD389*W389)/1000</f>
        <v>171.339</v>
      </c>
      <c r="AD389" s="11" t="str">
        <f>LEFT(details!E389,5)</f>
        <v>24.60</v>
      </c>
      <c r="AE389" s="42">
        <f t="shared" si="82"/>
        <v>0</v>
      </c>
      <c r="AF389" s="42">
        <f>VLOOKUP(C389,MC.5!B:P,15,FALSE)/3</f>
        <v>0</v>
      </c>
      <c r="AG389" s="152">
        <f t="shared" si="84"/>
        <v>0</v>
      </c>
      <c r="AH389" s="137" t="str">
        <f>VLOOKUP(F389,REF!B:C,2,FALSE)</f>
        <v>PET</v>
      </c>
      <c r="AI389" s="3" t="str">
        <f>VLOOKUP(G389,REF!E:F,2,FALSE)</f>
        <v xml:space="preserve">Preform </v>
      </c>
    </row>
    <row r="390" spans="1:35" x14ac:dyDescent="0.3">
      <c r="A390" s="186" t="s">
        <v>1158</v>
      </c>
      <c r="B390" s="24" t="s">
        <v>1158</v>
      </c>
      <c r="C390" s="156">
        <v>612513</v>
      </c>
      <c r="D390" s="24" t="s">
        <v>1267</v>
      </c>
      <c r="E390" s="24" t="s">
        <v>68</v>
      </c>
      <c r="F390" s="156">
        <v>60200</v>
      </c>
      <c r="G390" s="24" t="s">
        <v>1442</v>
      </c>
      <c r="H390" s="24" t="s">
        <v>1442</v>
      </c>
      <c r="I390" s="24" t="s">
        <v>1373</v>
      </c>
      <c r="J390" s="186" t="s">
        <v>1374</v>
      </c>
      <c r="K390" s="19">
        <v>0</v>
      </c>
      <c r="L390" s="17">
        <v>0</v>
      </c>
      <c r="M390" s="19">
        <v>20.440999999999999</v>
      </c>
      <c r="N390" s="17">
        <v>1528.22</v>
      </c>
      <c r="O390" s="19">
        <v>0</v>
      </c>
      <c r="P390" s="17">
        <v>0</v>
      </c>
      <c r="Q390" s="19">
        <v>0</v>
      </c>
      <c r="R390" s="17">
        <v>0</v>
      </c>
      <c r="S390" s="19">
        <v>0</v>
      </c>
      <c r="T390" s="17">
        <v>0</v>
      </c>
      <c r="U390" s="19">
        <v>0</v>
      </c>
      <c r="V390" s="17">
        <v>0</v>
      </c>
      <c r="W390" s="19">
        <v>20.440999999999999</v>
      </c>
      <c r="X390" s="17">
        <v>1528.22</v>
      </c>
      <c r="Y390" s="17">
        <v>0</v>
      </c>
      <c r="Z390" s="17"/>
      <c r="AA390" s="17"/>
      <c r="AB390" s="144">
        <v>0</v>
      </c>
      <c r="AC390" s="8">
        <f t="shared" ref="AC389:AC421" si="87">W390</f>
        <v>20.440999999999999</v>
      </c>
      <c r="AD390" s="11" t="str">
        <f>LEFT(details!E390,5)</f>
        <v>0.000</v>
      </c>
      <c r="AE390" s="42">
        <f t="shared" si="82"/>
        <v>0</v>
      </c>
      <c r="AF390" s="42">
        <f>VLOOKUP(C390,MC.5!B:P,15,FALSE)/3</f>
        <v>1673.9166666666667</v>
      </c>
      <c r="AG390" s="152">
        <f t="shared" si="84"/>
        <v>1673.9166666666667</v>
      </c>
      <c r="AH390" s="137" t="str">
        <f>VLOOKUP(F390,REF!B:C,2,FALSE)</f>
        <v>Additives</v>
      </c>
      <c r="AI390" s="3" t="s">
        <v>1374</v>
      </c>
    </row>
    <row r="391" spans="1:35" x14ac:dyDescent="0.3">
      <c r="A391" s="186" t="s">
        <v>1158</v>
      </c>
      <c r="B391" s="24" t="s">
        <v>1158</v>
      </c>
      <c r="C391" s="156">
        <v>613955</v>
      </c>
      <c r="D391" s="24" t="s">
        <v>2791</v>
      </c>
      <c r="E391" s="24" t="s">
        <v>113</v>
      </c>
      <c r="F391" s="156">
        <v>60106</v>
      </c>
      <c r="G391" s="24" t="s">
        <v>1375</v>
      </c>
      <c r="H391" s="24" t="s">
        <v>1442</v>
      </c>
      <c r="I391" s="24" t="s">
        <v>1375</v>
      </c>
      <c r="J391" s="186" t="s">
        <v>1376</v>
      </c>
      <c r="K391" s="19">
        <v>31700</v>
      </c>
      <c r="L391" s="17">
        <v>340997.54</v>
      </c>
      <c r="M391" s="19">
        <v>0</v>
      </c>
      <c r="N391" s="17">
        <v>0</v>
      </c>
      <c r="O391" s="19">
        <v>0</v>
      </c>
      <c r="P391" s="17">
        <v>0</v>
      </c>
      <c r="Q391" s="19">
        <v>0</v>
      </c>
      <c r="R391" s="17">
        <v>0</v>
      </c>
      <c r="S391" s="19">
        <v>0</v>
      </c>
      <c r="T391" s="17">
        <v>0</v>
      </c>
      <c r="U391" s="19">
        <v>0</v>
      </c>
      <c r="V391" s="17">
        <v>0</v>
      </c>
      <c r="W391" s="19">
        <v>31700</v>
      </c>
      <c r="X391" s="17">
        <v>340997.54</v>
      </c>
      <c r="Y391" s="17">
        <v>0</v>
      </c>
      <c r="Z391" s="17"/>
      <c r="AA391" s="17"/>
      <c r="AB391" s="144">
        <v>0</v>
      </c>
      <c r="AC391" s="8">
        <f t="shared" si="87"/>
        <v>31700</v>
      </c>
      <c r="AD391" s="11" t="str">
        <f>LEFT(details!E391,5)</f>
        <v>0.000</v>
      </c>
      <c r="AE391" s="42">
        <f t="shared" si="82"/>
        <v>0</v>
      </c>
      <c r="AF391" s="42">
        <f>VLOOKUP(C391,MC.5!B:P,15,FALSE)/3</f>
        <v>2151.4066666666668</v>
      </c>
      <c r="AG391" s="152">
        <f t="shared" si="84"/>
        <v>2151.4066666666668</v>
      </c>
      <c r="AH391" s="137" t="str">
        <f>VLOOKUP(F391,REF!B:C,2,FALSE)</f>
        <v>PP</v>
      </c>
      <c r="AI391" s="3" t="str">
        <f>VLOOKUP(G391,REF!E:F,2,FALSE)</f>
        <v>Virgin grade</v>
      </c>
    </row>
    <row r="392" spans="1:35" x14ac:dyDescent="0.3">
      <c r="A392" s="186" t="s">
        <v>1158</v>
      </c>
      <c r="B392" s="24" t="s">
        <v>1158</v>
      </c>
      <c r="C392" s="156">
        <v>616781</v>
      </c>
      <c r="D392" s="24" t="s">
        <v>2722</v>
      </c>
      <c r="E392" s="24" t="s">
        <v>113</v>
      </c>
      <c r="F392" s="156">
        <v>60106</v>
      </c>
      <c r="G392" s="24" t="s">
        <v>1546</v>
      </c>
      <c r="H392" s="24" t="s">
        <v>1442</v>
      </c>
      <c r="I392" s="24" t="s">
        <v>1546</v>
      </c>
      <c r="J392" s="186" t="s">
        <v>1543</v>
      </c>
      <c r="K392" s="19">
        <v>275</v>
      </c>
      <c r="L392" s="17">
        <v>0</v>
      </c>
      <c r="M392" s="19">
        <v>0</v>
      </c>
      <c r="N392" s="17">
        <v>0</v>
      </c>
      <c r="O392" s="19">
        <v>0</v>
      </c>
      <c r="P392" s="17">
        <v>0</v>
      </c>
      <c r="Q392" s="19">
        <v>0</v>
      </c>
      <c r="R392" s="17">
        <v>0</v>
      </c>
      <c r="S392" s="19">
        <v>0</v>
      </c>
      <c r="T392" s="17">
        <v>0</v>
      </c>
      <c r="U392" s="19">
        <v>0</v>
      </c>
      <c r="V392" s="17">
        <v>0</v>
      </c>
      <c r="W392" s="19">
        <v>275</v>
      </c>
      <c r="X392" s="17">
        <v>0</v>
      </c>
      <c r="Y392" s="17">
        <v>0</v>
      </c>
      <c r="Z392" s="17"/>
      <c r="AA392" s="17"/>
      <c r="AB392" s="144">
        <v>0</v>
      </c>
      <c r="AC392" s="8">
        <f t="shared" si="87"/>
        <v>275</v>
      </c>
      <c r="AD392" s="11" t="str">
        <f>LEFT(details!E392,5)</f>
        <v>0.000</v>
      </c>
      <c r="AE392" s="42">
        <f t="shared" ref="AE392:AE421" si="88">AA392</f>
        <v>0</v>
      </c>
      <c r="AF392" s="42">
        <f>VLOOKUP(C392,MC.5!B:P,15,FALSE)/3</f>
        <v>0</v>
      </c>
      <c r="AG392" s="152">
        <f t="shared" si="84"/>
        <v>0</v>
      </c>
      <c r="AH392" s="137" t="str">
        <f>VLOOKUP(F392,REF!B:C,2,FALSE)</f>
        <v>PP</v>
      </c>
      <c r="AI392" s="3" t="str">
        <f>VLOOKUP(G392,REF!E:F,2,FALSE)</f>
        <v>Internal Regrind</v>
      </c>
    </row>
    <row r="393" spans="1:35" x14ac:dyDescent="0.3">
      <c r="A393" s="186" t="s">
        <v>1158</v>
      </c>
      <c r="B393" s="24" t="s">
        <v>1158</v>
      </c>
      <c r="C393" s="156">
        <v>616782</v>
      </c>
      <c r="D393" s="24" t="s">
        <v>2723</v>
      </c>
      <c r="E393" s="24" t="s">
        <v>68</v>
      </c>
      <c r="F393" s="156">
        <v>60105</v>
      </c>
      <c r="G393" s="24" t="s">
        <v>1544</v>
      </c>
      <c r="H393" s="24" t="s">
        <v>1442</v>
      </c>
      <c r="I393" s="24" t="s">
        <v>1544</v>
      </c>
      <c r="J393" s="186" t="s">
        <v>1543</v>
      </c>
      <c r="K393" s="19">
        <v>679</v>
      </c>
      <c r="L393" s="17">
        <v>0</v>
      </c>
      <c r="M393" s="19">
        <v>0</v>
      </c>
      <c r="N393" s="17">
        <v>0</v>
      </c>
      <c r="O393" s="19">
        <v>0</v>
      </c>
      <c r="P393" s="17">
        <v>0</v>
      </c>
      <c r="Q393" s="19">
        <v>0</v>
      </c>
      <c r="R393" s="17">
        <v>0</v>
      </c>
      <c r="S393" s="19">
        <v>0</v>
      </c>
      <c r="T393" s="17">
        <v>0</v>
      </c>
      <c r="U393" s="19">
        <v>0</v>
      </c>
      <c r="V393" s="17">
        <v>0</v>
      </c>
      <c r="W393" s="19">
        <v>679</v>
      </c>
      <c r="X393" s="17">
        <v>0</v>
      </c>
      <c r="Y393" s="17">
        <v>0</v>
      </c>
      <c r="Z393" s="17"/>
      <c r="AA393" s="17"/>
      <c r="AB393" s="144">
        <v>0</v>
      </c>
      <c r="AC393" s="8">
        <f t="shared" si="87"/>
        <v>679</v>
      </c>
      <c r="AD393" s="11" t="str">
        <f>LEFT(details!E393,5)</f>
        <v>0.000</v>
      </c>
      <c r="AE393" s="42">
        <f t="shared" si="88"/>
        <v>0</v>
      </c>
      <c r="AF393" s="42">
        <f>VLOOKUP(C393,MC.5!B:P,15,FALSE)/3</f>
        <v>0</v>
      </c>
      <c r="AG393" s="152">
        <f t="shared" si="84"/>
        <v>0</v>
      </c>
      <c r="AH393" s="137" t="str">
        <f>VLOOKUP(F393,REF!B:C,2,FALSE)</f>
        <v>PE</v>
      </c>
      <c r="AI393" s="3" t="str">
        <f>VLOOKUP(G393,REF!E:F,2,FALSE)</f>
        <v>Internal Regrind</v>
      </c>
    </row>
    <row r="394" spans="1:35" x14ac:dyDescent="0.3">
      <c r="A394" s="186" t="s">
        <v>1158</v>
      </c>
      <c r="B394" s="24" t="s">
        <v>1158</v>
      </c>
      <c r="C394" s="156">
        <v>617299</v>
      </c>
      <c r="D394" s="24" t="s">
        <v>1326</v>
      </c>
      <c r="E394" s="24" t="s">
        <v>113</v>
      </c>
      <c r="F394" s="156">
        <v>60200</v>
      </c>
      <c r="G394" s="24" t="s">
        <v>1442</v>
      </c>
      <c r="H394" s="24" t="s">
        <v>1442</v>
      </c>
      <c r="I394" s="24" t="s">
        <v>1373</v>
      </c>
      <c r="J394" s="186" t="s">
        <v>1374</v>
      </c>
      <c r="K394" s="19">
        <v>0</v>
      </c>
      <c r="L394" s="17">
        <v>0</v>
      </c>
      <c r="M394" s="19">
        <v>0</v>
      </c>
      <c r="N394" s="17">
        <v>0</v>
      </c>
      <c r="O394" s="19">
        <v>144.50800000000001</v>
      </c>
      <c r="P394" s="17">
        <v>4913.3100000000004</v>
      </c>
      <c r="Q394" s="19">
        <v>0</v>
      </c>
      <c r="R394" s="17">
        <v>0</v>
      </c>
      <c r="S394" s="19">
        <v>0</v>
      </c>
      <c r="T394" s="17">
        <v>0</v>
      </c>
      <c r="U394" s="19">
        <v>0</v>
      </c>
      <c r="V394" s="17">
        <v>0</v>
      </c>
      <c r="W394" s="19">
        <v>144.50800000000001</v>
      </c>
      <c r="X394" s="17">
        <v>4913.3100000000004</v>
      </c>
      <c r="Y394" s="17">
        <v>545.97</v>
      </c>
      <c r="Z394" s="17"/>
      <c r="AA394" s="17"/>
      <c r="AB394" s="144">
        <v>0</v>
      </c>
      <c r="AC394" s="8">
        <f t="shared" si="87"/>
        <v>144.50800000000001</v>
      </c>
      <c r="AD394" s="11" t="str">
        <f>LEFT(details!E394,5)</f>
        <v>0.000</v>
      </c>
      <c r="AE394" s="42">
        <f t="shared" si="88"/>
        <v>0</v>
      </c>
      <c r="AF394" s="42">
        <f>VLOOKUP(C394,MC.5!B:P,15,FALSE)/3</f>
        <v>0</v>
      </c>
      <c r="AG394" s="152">
        <f t="shared" si="84"/>
        <v>0</v>
      </c>
      <c r="AH394" s="137" t="str">
        <f>VLOOKUP(F394,REF!B:C,2,FALSE)</f>
        <v>Additives</v>
      </c>
      <c r="AI394" s="3" t="s">
        <v>1374</v>
      </c>
    </row>
    <row r="395" spans="1:35" x14ac:dyDescent="0.3">
      <c r="A395" s="186" t="s">
        <v>1158</v>
      </c>
      <c r="B395" s="24" t="s">
        <v>1158</v>
      </c>
      <c r="C395" s="156">
        <v>620417</v>
      </c>
      <c r="D395" s="24" t="s">
        <v>1463</v>
      </c>
      <c r="E395" s="24" t="s">
        <v>113</v>
      </c>
      <c r="F395" s="156">
        <v>60106</v>
      </c>
      <c r="G395" s="24" t="s">
        <v>1375</v>
      </c>
      <c r="H395" s="24" t="s">
        <v>1442</v>
      </c>
      <c r="I395" s="24" t="s">
        <v>1375</v>
      </c>
      <c r="J395" s="186" t="s">
        <v>1376</v>
      </c>
      <c r="K395" s="19">
        <v>10000</v>
      </c>
      <c r="L395" s="17">
        <v>67697</v>
      </c>
      <c r="M395" s="19">
        <v>1936.248</v>
      </c>
      <c r="N395" s="17">
        <v>13107.81</v>
      </c>
      <c r="O395" s="19">
        <v>0</v>
      </c>
      <c r="P395" s="17">
        <v>0</v>
      </c>
      <c r="Q395" s="19">
        <v>0</v>
      </c>
      <c r="R395" s="17">
        <v>0</v>
      </c>
      <c r="S395" s="19">
        <v>0</v>
      </c>
      <c r="T395" s="17">
        <v>0</v>
      </c>
      <c r="U395" s="19">
        <v>0</v>
      </c>
      <c r="V395" s="17">
        <v>0</v>
      </c>
      <c r="W395" s="19">
        <v>11936.248</v>
      </c>
      <c r="X395" s="17">
        <v>80804.81</v>
      </c>
      <c r="Y395" s="17">
        <v>0</v>
      </c>
      <c r="Z395" s="17"/>
      <c r="AA395" s="17"/>
      <c r="AB395" s="144">
        <v>0</v>
      </c>
      <c r="AC395" s="8">
        <f t="shared" si="87"/>
        <v>11936.248</v>
      </c>
      <c r="AD395" s="11" t="str">
        <f>LEFT(details!E395,5)</f>
        <v>0.000</v>
      </c>
      <c r="AE395" s="42">
        <f t="shared" si="88"/>
        <v>0</v>
      </c>
      <c r="AF395" s="42">
        <f>VLOOKUP(C395,MC.5!B:P,15,FALSE)/3</f>
        <v>12511.943333333335</v>
      </c>
      <c r="AG395" s="152">
        <f t="shared" si="84"/>
        <v>12511.943333333335</v>
      </c>
      <c r="AH395" s="137" t="str">
        <f>VLOOKUP(F395,REF!B:C,2,FALSE)</f>
        <v>PP</v>
      </c>
      <c r="AI395" s="3" t="str">
        <f>VLOOKUP(G395,REF!E:F,2,FALSE)</f>
        <v>Virgin grade</v>
      </c>
    </row>
    <row r="396" spans="1:35" x14ac:dyDescent="0.3">
      <c r="A396" s="186" t="s">
        <v>1158</v>
      </c>
      <c r="B396" s="24" t="s">
        <v>1158</v>
      </c>
      <c r="C396" s="156">
        <v>624035</v>
      </c>
      <c r="D396" s="24" t="s">
        <v>1569</v>
      </c>
      <c r="E396" s="24" t="s">
        <v>68</v>
      </c>
      <c r="F396" s="156">
        <v>60200</v>
      </c>
      <c r="G396" s="24" t="s">
        <v>1442</v>
      </c>
      <c r="H396" s="24" t="s">
        <v>1442</v>
      </c>
      <c r="I396" s="24" t="s">
        <v>1373</v>
      </c>
      <c r="J396" s="186" t="s">
        <v>1374</v>
      </c>
      <c r="K396" s="19">
        <v>0</v>
      </c>
      <c r="L396" s="17">
        <v>0</v>
      </c>
      <c r="M396" s="19">
        <v>50</v>
      </c>
      <c r="N396" s="17">
        <v>2269.4499999999998</v>
      </c>
      <c r="O396" s="19">
        <v>13.39</v>
      </c>
      <c r="P396" s="17">
        <v>607.76</v>
      </c>
      <c r="Q396" s="19">
        <v>0</v>
      </c>
      <c r="R396" s="17">
        <v>0</v>
      </c>
      <c r="S396" s="19">
        <v>0</v>
      </c>
      <c r="T396" s="17">
        <v>0</v>
      </c>
      <c r="U396" s="19">
        <v>0</v>
      </c>
      <c r="V396" s="17">
        <v>0</v>
      </c>
      <c r="W396" s="19">
        <v>63.39</v>
      </c>
      <c r="X396" s="17">
        <v>2877.21</v>
      </c>
      <c r="Y396" s="17">
        <v>168.84</v>
      </c>
      <c r="Z396" s="17"/>
      <c r="AA396" s="17"/>
      <c r="AB396" s="144">
        <v>0</v>
      </c>
      <c r="AC396" s="8">
        <f t="shared" si="87"/>
        <v>63.39</v>
      </c>
      <c r="AD396" s="11" t="str">
        <f>LEFT(details!E396,5)</f>
        <v>0.000</v>
      </c>
      <c r="AE396" s="42">
        <f t="shared" si="88"/>
        <v>0</v>
      </c>
      <c r="AF396" s="42">
        <f>VLOOKUP(C396,MC.5!B:P,15,FALSE)/3</f>
        <v>941.05333333333328</v>
      </c>
      <c r="AG396" s="152">
        <f t="shared" si="84"/>
        <v>941.05333333333328</v>
      </c>
      <c r="AH396" s="137" t="str">
        <f>VLOOKUP(F396,REF!B:C,2,FALSE)</f>
        <v>Additives</v>
      </c>
      <c r="AI396" s="3" t="s">
        <v>1374</v>
      </c>
    </row>
    <row r="397" spans="1:35" x14ac:dyDescent="0.3">
      <c r="A397" s="186" t="s">
        <v>1158</v>
      </c>
      <c r="B397" s="24" t="s">
        <v>1158</v>
      </c>
      <c r="C397" s="156">
        <v>624794</v>
      </c>
      <c r="D397" s="24" t="s">
        <v>1598</v>
      </c>
      <c r="E397" s="24" t="s">
        <v>113</v>
      </c>
      <c r="F397" s="156">
        <v>60105</v>
      </c>
      <c r="G397" s="24" t="s">
        <v>1377</v>
      </c>
      <c r="H397" s="24" t="s">
        <v>1442</v>
      </c>
      <c r="I397" s="24" t="s">
        <v>1377</v>
      </c>
      <c r="J397" s="186" t="s">
        <v>1376</v>
      </c>
      <c r="K397" s="19">
        <v>0</v>
      </c>
      <c r="L397" s="17">
        <v>0</v>
      </c>
      <c r="M397" s="19">
        <v>0</v>
      </c>
      <c r="N397" s="17">
        <v>0</v>
      </c>
      <c r="O397" s="19">
        <v>1243.5999999999999</v>
      </c>
      <c r="P397" s="17">
        <v>6753.39</v>
      </c>
      <c r="Q397" s="19">
        <v>0</v>
      </c>
      <c r="R397" s="17">
        <v>0</v>
      </c>
      <c r="S397" s="19">
        <v>0</v>
      </c>
      <c r="T397" s="17">
        <v>0</v>
      </c>
      <c r="U397" s="19">
        <v>0</v>
      </c>
      <c r="V397" s="17">
        <v>0</v>
      </c>
      <c r="W397" s="19">
        <v>1243.5999999999999</v>
      </c>
      <c r="X397" s="17">
        <v>6753.39</v>
      </c>
      <c r="Y397" s="17">
        <v>1876.09</v>
      </c>
      <c r="Z397" s="17"/>
      <c r="AA397" s="17"/>
      <c r="AB397" s="144">
        <v>0</v>
      </c>
      <c r="AC397" s="8">
        <f t="shared" si="87"/>
        <v>1243.5999999999999</v>
      </c>
      <c r="AD397" s="11" t="str">
        <f>LEFT(details!E397,5)</f>
        <v>0.000</v>
      </c>
      <c r="AE397" s="42">
        <f t="shared" si="88"/>
        <v>0</v>
      </c>
      <c r="AF397" s="42">
        <f>VLOOKUP(C397,MC.5!B:P,15,FALSE)/3</f>
        <v>0</v>
      </c>
      <c r="AG397" s="152">
        <f t="shared" si="84"/>
        <v>0</v>
      </c>
      <c r="AH397" s="137" t="str">
        <f>VLOOKUP(F397,REF!B:C,2,FALSE)</f>
        <v>PE</v>
      </c>
      <c r="AI397" s="3" t="str">
        <f>VLOOKUP(G397,REF!E:F,2,FALSE)</f>
        <v>Virgin grade</v>
      </c>
    </row>
    <row r="398" spans="1:35" x14ac:dyDescent="0.3">
      <c r="A398" s="186" t="s">
        <v>1158</v>
      </c>
      <c r="B398" s="24" t="s">
        <v>1158</v>
      </c>
      <c r="C398" s="156">
        <v>624962</v>
      </c>
      <c r="D398" s="24" t="s">
        <v>2724</v>
      </c>
      <c r="E398" s="24" t="s">
        <v>68</v>
      </c>
      <c r="F398" s="156">
        <v>60105</v>
      </c>
      <c r="G398" s="24" t="s">
        <v>1544</v>
      </c>
      <c r="H398" s="24" t="s">
        <v>1442</v>
      </c>
      <c r="I398" s="24" t="s">
        <v>1544</v>
      </c>
      <c r="J398" s="186" t="s">
        <v>1543</v>
      </c>
      <c r="K398" s="19">
        <v>591</v>
      </c>
      <c r="L398" s="17">
        <v>0</v>
      </c>
      <c r="M398" s="19">
        <v>0</v>
      </c>
      <c r="N398" s="17">
        <v>0</v>
      </c>
      <c r="O398" s="19">
        <v>0</v>
      </c>
      <c r="P398" s="17">
        <v>0</v>
      </c>
      <c r="Q398" s="19">
        <v>0</v>
      </c>
      <c r="R398" s="17">
        <v>0</v>
      </c>
      <c r="S398" s="19">
        <v>0</v>
      </c>
      <c r="T398" s="17">
        <v>0</v>
      </c>
      <c r="U398" s="19">
        <v>0</v>
      </c>
      <c r="V398" s="17">
        <v>0</v>
      </c>
      <c r="W398" s="19">
        <v>591</v>
      </c>
      <c r="X398" s="17">
        <v>0</v>
      </c>
      <c r="Y398" s="17">
        <v>0</v>
      </c>
      <c r="Z398" s="17"/>
      <c r="AA398" s="17"/>
      <c r="AB398" s="144">
        <v>0</v>
      </c>
      <c r="AC398" s="8">
        <f t="shared" si="87"/>
        <v>591</v>
      </c>
      <c r="AD398" s="11" t="str">
        <f>LEFT(details!E398,5)</f>
        <v>0.000</v>
      </c>
      <c r="AE398" s="42">
        <f t="shared" si="88"/>
        <v>0</v>
      </c>
      <c r="AF398" s="42">
        <f>VLOOKUP(C398,MC.5!B:P,15,FALSE)/3</f>
        <v>0</v>
      </c>
      <c r="AG398" s="152">
        <f t="shared" si="84"/>
        <v>0</v>
      </c>
      <c r="AH398" s="137" t="str">
        <f>VLOOKUP(F398,REF!B:C,2,FALSE)</f>
        <v>PE</v>
      </c>
      <c r="AI398" s="3" t="str">
        <f>VLOOKUP(G398,REF!E:F,2,FALSE)</f>
        <v>Internal Regrind</v>
      </c>
    </row>
    <row r="399" spans="1:35" x14ac:dyDescent="0.3">
      <c r="A399" s="186" t="s">
        <v>1158</v>
      </c>
      <c r="B399" s="24" t="s">
        <v>1158</v>
      </c>
      <c r="C399" s="156">
        <v>624963</v>
      </c>
      <c r="D399" s="24" t="s">
        <v>2725</v>
      </c>
      <c r="E399" s="24" t="s">
        <v>68</v>
      </c>
      <c r="F399" s="156">
        <v>60105</v>
      </c>
      <c r="G399" s="24" t="s">
        <v>1544</v>
      </c>
      <c r="H399" s="24" t="s">
        <v>1442</v>
      </c>
      <c r="I399" s="24" t="s">
        <v>1544</v>
      </c>
      <c r="J399" s="186" t="s">
        <v>1543</v>
      </c>
      <c r="K399" s="19">
        <v>249</v>
      </c>
      <c r="L399" s="17">
        <v>0</v>
      </c>
      <c r="M399" s="19">
        <v>0</v>
      </c>
      <c r="N399" s="17">
        <v>0</v>
      </c>
      <c r="O399" s="19">
        <v>0</v>
      </c>
      <c r="P399" s="17">
        <v>0</v>
      </c>
      <c r="Q399" s="19">
        <v>0</v>
      </c>
      <c r="R399" s="17">
        <v>0</v>
      </c>
      <c r="S399" s="19">
        <v>0</v>
      </c>
      <c r="T399" s="17">
        <v>0</v>
      </c>
      <c r="U399" s="19">
        <v>0</v>
      </c>
      <c r="V399" s="17">
        <v>0</v>
      </c>
      <c r="W399" s="19">
        <v>249</v>
      </c>
      <c r="X399" s="17">
        <v>0</v>
      </c>
      <c r="Y399" s="17">
        <v>0</v>
      </c>
      <c r="Z399" s="17"/>
      <c r="AA399" s="17"/>
      <c r="AB399" s="144">
        <v>0</v>
      </c>
      <c r="AC399" s="8">
        <f t="shared" si="87"/>
        <v>249</v>
      </c>
      <c r="AD399" s="11" t="str">
        <f>LEFT(details!E399,5)</f>
        <v>0.000</v>
      </c>
      <c r="AE399" s="42">
        <f t="shared" si="88"/>
        <v>0</v>
      </c>
      <c r="AF399" s="42">
        <f>VLOOKUP(C399,MC.5!B:P,15,FALSE)/3</f>
        <v>0</v>
      </c>
      <c r="AG399" s="152">
        <f t="shared" si="84"/>
        <v>0</v>
      </c>
      <c r="AH399" s="137" t="str">
        <f>VLOOKUP(F399,REF!B:C,2,FALSE)</f>
        <v>PE</v>
      </c>
      <c r="AI399" s="3" t="str">
        <f>VLOOKUP(G399,REF!E:F,2,FALSE)</f>
        <v>Internal Regrind</v>
      </c>
    </row>
    <row r="400" spans="1:35" x14ac:dyDescent="0.3">
      <c r="A400" s="186" t="s">
        <v>1158</v>
      </c>
      <c r="B400" s="24" t="s">
        <v>1158</v>
      </c>
      <c r="C400" s="156">
        <v>624964</v>
      </c>
      <c r="D400" s="24" t="s">
        <v>2726</v>
      </c>
      <c r="E400" s="24" t="s">
        <v>68</v>
      </c>
      <c r="F400" s="156">
        <v>60105</v>
      </c>
      <c r="G400" s="24" t="s">
        <v>1544</v>
      </c>
      <c r="H400" s="24" t="s">
        <v>1442</v>
      </c>
      <c r="I400" s="24" t="s">
        <v>1544</v>
      </c>
      <c r="J400" s="186" t="s">
        <v>1543</v>
      </c>
      <c r="K400" s="19">
        <v>425</v>
      </c>
      <c r="L400" s="17">
        <v>0</v>
      </c>
      <c r="M400" s="19">
        <v>0</v>
      </c>
      <c r="N400" s="17">
        <v>0</v>
      </c>
      <c r="O400" s="19">
        <v>0</v>
      </c>
      <c r="P400" s="17">
        <v>0</v>
      </c>
      <c r="Q400" s="19">
        <v>0</v>
      </c>
      <c r="R400" s="17">
        <v>0</v>
      </c>
      <c r="S400" s="19">
        <v>0</v>
      </c>
      <c r="T400" s="17">
        <v>0</v>
      </c>
      <c r="U400" s="19">
        <v>0</v>
      </c>
      <c r="V400" s="17">
        <v>0</v>
      </c>
      <c r="W400" s="19">
        <v>425</v>
      </c>
      <c r="X400" s="17">
        <v>0</v>
      </c>
      <c r="Y400" s="17">
        <v>0</v>
      </c>
      <c r="Z400" s="17"/>
      <c r="AA400" s="17"/>
      <c r="AB400" s="144">
        <v>0</v>
      </c>
      <c r="AC400" s="8">
        <f t="shared" si="87"/>
        <v>425</v>
      </c>
      <c r="AD400" s="11" t="str">
        <f>LEFT(details!E400,5)</f>
        <v>0.000</v>
      </c>
      <c r="AE400" s="42">
        <f t="shared" si="88"/>
        <v>0</v>
      </c>
      <c r="AF400" s="42">
        <f>VLOOKUP(C400,MC.5!B:P,15,FALSE)/3</f>
        <v>0</v>
      </c>
      <c r="AG400" s="152">
        <f t="shared" si="84"/>
        <v>0</v>
      </c>
      <c r="AH400" s="137" t="str">
        <f>VLOOKUP(F400,REF!B:C,2,FALSE)</f>
        <v>PE</v>
      </c>
      <c r="AI400" s="3" t="str">
        <f>VLOOKUP(G400,REF!E:F,2,FALSE)</f>
        <v>Internal Regrind</v>
      </c>
    </row>
    <row r="401" spans="1:35" x14ac:dyDescent="0.3">
      <c r="A401" s="186" t="s">
        <v>1158</v>
      </c>
      <c r="B401" s="24" t="s">
        <v>1158</v>
      </c>
      <c r="C401" s="156">
        <v>624965</v>
      </c>
      <c r="D401" s="24" t="s">
        <v>2727</v>
      </c>
      <c r="E401" s="24" t="s">
        <v>68</v>
      </c>
      <c r="F401" s="156">
        <v>60105</v>
      </c>
      <c r="G401" s="24" t="s">
        <v>1544</v>
      </c>
      <c r="H401" s="24" t="s">
        <v>1442</v>
      </c>
      <c r="I401" s="24" t="s">
        <v>1544</v>
      </c>
      <c r="J401" s="186" t="s">
        <v>1543</v>
      </c>
      <c r="K401" s="19">
        <v>357</v>
      </c>
      <c r="L401" s="17">
        <v>0</v>
      </c>
      <c r="M401" s="19">
        <v>0</v>
      </c>
      <c r="N401" s="17">
        <v>0</v>
      </c>
      <c r="O401" s="19">
        <v>0</v>
      </c>
      <c r="P401" s="17">
        <v>0</v>
      </c>
      <c r="Q401" s="19">
        <v>0</v>
      </c>
      <c r="R401" s="17">
        <v>0</v>
      </c>
      <c r="S401" s="19">
        <v>0</v>
      </c>
      <c r="T401" s="17">
        <v>0</v>
      </c>
      <c r="U401" s="19">
        <v>0</v>
      </c>
      <c r="V401" s="17">
        <v>0</v>
      </c>
      <c r="W401" s="19">
        <v>357</v>
      </c>
      <c r="X401" s="17">
        <v>0</v>
      </c>
      <c r="Y401" s="17">
        <v>0</v>
      </c>
      <c r="Z401" s="17"/>
      <c r="AA401" s="17"/>
      <c r="AB401" s="144">
        <v>0</v>
      </c>
      <c r="AC401" s="8">
        <f t="shared" si="87"/>
        <v>357</v>
      </c>
      <c r="AD401" s="11" t="str">
        <f>LEFT(details!E401,5)</f>
        <v>0.000</v>
      </c>
      <c r="AE401" s="42">
        <f t="shared" si="88"/>
        <v>0</v>
      </c>
      <c r="AF401" s="42">
        <f>VLOOKUP(C401,MC.5!B:P,15,FALSE)/3</f>
        <v>0</v>
      </c>
      <c r="AG401" s="152">
        <f t="shared" si="84"/>
        <v>0</v>
      </c>
      <c r="AH401" s="137" t="str">
        <f>VLOOKUP(F401,REF!B:C,2,FALSE)</f>
        <v>PE</v>
      </c>
      <c r="AI401" s="3" t="str">
        <f>VLOOKUP(G401,REF!E:F,2,FALSE)</f>
        <v>Internal Regrind</v>
      </c>
    </row>
    <row r="402" spans="1:35" x14ac:dyDescent="0.3">
      <c r="A402" s="186" t="s">
        <v>1158</v>
      </c>
      <c r="B402" s="24" t="s">
        <v>1158</v>
      </c>
      <c r="C402" s="156">
        <v>624966</v>
      </c>
      <c r="D402" s="24" t="s">
        <v>2728</v>
      </c>
      <c r="E402" s="24" t="s">
        <v>68</v>
      </c>
      <c r="F402" s="156">
        <v>60105</v>
      </c>
      <c r="G402" s="24" t="s">
        <v>1544</v>
      </c>
      <c r="H402" s="24" t="s">
        <v>1442</v>
      </c>
      <c r="I402" s="24" t="s">
        <v>1544</v>
      </c>
      <c r="J402" s="186" t="s">
        <v>1543</v>
      </c>
      <c r="K402" s="19">
        <v>1050</v>
      </c>
      <c r="L402" s="17">
        <v>0</v>
      </c>
      <c r="M402" s="19">
        <v>0</v>
      </c>
      <c r="N402" s="17">
        <v>0</v>
      </c>
      <c r="O402" s="19">
        <v>0</v>
      </c>
      <c r="P402" s="17">
        <v>0</v>
      </c>
      <c r="Q402" s="19">
        <v>0</v>
      </c>
      <c r="R402" s="17">
        <v>0</v>
      </c>
      <c r="S402" s="19">
        <v>0</v>
      </c>
      <c r="T402" s="17">
        <v>0</v>
      </c>
      <c r="U402" s="19">
        <v>0</v>
      </c>
      <c r="V402" s="17">
        <v>0</v>
      </c>
      <c r="W402" s="19">
        <v>1050</v>
      </c>
      <c r="X402" s="17">
        <v>0</v>
      </c>
      <c r="Y402" s="17">
        <v>0</v>
      </c>
      <c r="Z402" s="17"/>
      <c r="AA402" s="17"/>
      <c r="AB402" s="144">
        <v>0</v>
      </c>
      <c r="AC402" s="8">
        <f t="shared" si="87"/>
        <v>1050</v>
      </c>
      <c r="AD402" s="11" t="str">
        <f>LEFT(details!E402,5)</f>
        <v>0.000</v>
      </c>
      <c r="AE402" s="42">
        <f t="shared" si="88"/>
        <v>0</v>
      </c>
      <c r="AF402" s="42">
        <f>VLOOKUP(C402,MC.5!B:P,15,FALSE)/3</f>
        <v>0</v>
      </c>
      <c r="AG402" s="152">
        <f t="shared" si="84"/>
        <v>0</v>
      </c>
      <c r="AH402" s="137" t="str">
        <f>VLOOKUP(F402,REF!B:C,2,FALSE)</f>
        <v>PE</v>
      </c>
      <c r="AI402" s="3" t="str">
        <f>VLOOKUP(G402,REF!E:F,2,FALSE)</f>
        <v>Internal Regrind</v>
      </c>
    </row>
    <row r="403" spans="1:35" x14ac:dyDescent="0.3">
      <c r="A403" s="186" t="s">
        <v>1158</v>
      </c>
      <c r="B403" s="24" t="s">
        <v>1158</v>
      </c>
      <c r="C403" s="156">
        <v>624967</v>
      </c>
      <c r="D403" s="24" t="s">
        <v>2729</v>
      </c>
      <c r="E403" s="24" t="s">
        <v>113</v>
      </c>
      <c r="F403" s="156">
        <v>60106</v>
      </c>
      <c r="G403" s="24" t="s">
        <v>1546</v>
      </c>
      <c r="H403" s="24" t="s">
        <v>1442</v>
      </c>
      <c r="I403" s="24" t="s">
        <v>1546</v>
      </c>
      <c r="J403" s="186" t="s">
        <v>1543</v>
      </c>
      <c r="K403" s="19">
        <v>1487</v>
      </c>
      <c r="L403" s="17">
        <v>0</v>
      </c>
      <c r="M403" s="19">
        <v>0</v>
      </c>
      <c r="N403" s="17">
        <v>0</v>
      </c>
      <c r="O403" s="19">
        <v>0</v>
      </c>
      <c r="P403" s="17">
        <v>0</v>
      </c>
      <c r="Q403" s="19">
        <v>0</v>
      </c>
      <c r="R403" s="17">
        <v>0</v>
      </c>
      <c r="S403" s="19">
        <v>0</v>
      </c>
      <c r="T403" s="17">
        <v>0</v>
      </c>
      <c r="U403" s="19">
        <v>0</v>
      </c>
      <c r="V403" s="17">
        <v>0</v>
      </c>
      <c r="W403" s="19">
        <v>1487</v>
      </c>
      <c r="X403" s="17">
        <v>0</v>
      </c>
      <c r="Y403" s="17">
        <v>0</v>
      </c>
      <c r="Z403" s="17"/>
      <c r="AA403" s="17"/>
      <c r="AB403" s="144">
        <v>0</v>
      </c>
      <c r="AC403" s="8">
        <f t="shared" si="87"/>
        <v>1487</v>
      </c>
      <c r="AD403" s="11" t="str">
        <f>LEFT(details!E403,5)</f>
        <v>0.000</v>
      </c>
      <c r="AE403" s="42">
        <f t="shared" si="88"/>
        <v>0</v>
      </c>
      <c r="AF403" s="42">
        <f>VLOOKUP(C403,MC.5!B:P,15,FALSE)/3</f>
        <v>0</v>
      </c>
      <c r="AG403" s="152">
        <f t="shared" si="84"/>
        <v>0</v>
      </c>
      <c r="AH403" s="137" t="str">
        <f>VLOOKUP(F403,REF!B:C,2,FALSE)</f>
        <v>PP</v>
      </c>
      <c r="AI403" s="3" t="str">
        <f>VLOOKUP(G403,REF!E:F,2,FALSE)</f>
        <v>Internal Regrind</v>
      </c>
    </row>
    <row r="404" spans="1:35" x14ac:dyDescent="0.3">
      <c r="A404" s="186" t="s">
        <v>1158</v>
      </c>
      <c r="B404" s="24" t="s">
        <v>1158</v>
      </c>
      <c r="C404" s="156">
        <v>624968</v>
      </c>
      <c r="D404" s="24" t="s">
        <v>2730</v>
      </c>
      <c r="E404" s="24" t="s">
        <v>113</v>
      </c>
      <c r="F404" s="156">
        <v>60106</v>
      </c>
      <c r="G404" s="24" t="s">
        <v>1546</v>
      </c>
      <c r="H404" s="24" t="s">
        <v>1442</v>
      </c>
      <c r="I404" s="24" t="s">
        <v>1546</v>
      </c>
      <c r="J404" s="186" t="s">
        <v>1543</v>
      </c>
      <c r="K404" s="19">
        <v>67</v>
      </c>
      <c r="L404" s="17">
        <v>0</v>
      </c>
      <c r="M404" s="19">
        <v>0</v>
      </c>
      <c r="N404" s="17">
        <v>0</v>
      </c>
      <c r="O404" s="19">
        <v>0</v>
      </c>
      <c r="P404" s="17">
        <v>0</v>
      </c>
      <c r="Q404" s="19">
        <v>0</v>
      </c>
      <c r="R404" s="17">
        <v>0</v>
      </c>
      <c r="S404" s="19">
        <v>0</v>
      </c>
      <c r="T404" s="17">
        <v>0</v>
      </c>
      <c r="U404" s="19">
        <v>0</v>
      </c>
      <c r="V404" s="17">
        <v>0</v>
      </c>
      <c r="W404" s="19">
        <v>67</v>
      </c>
      <c r="X404" s="17">
        <v>0</v>
      </c>
      <c r="Y404" s="17">
        <v>0</v>
      </c>
      <c r="Z404" s="17"/>
      <c r="AA404" s="17"/>
      <c r="AB404" s="144">
        <v>0</v>
      </c>
      <c r="AC404" s="8">
        <f t="shared" si="87"/>
        <v>67</v>
      </c>
      <c r="AD404" s="11" t="str">
        <f>LEFT(details!E404,5)</f>
        <v>0.000</v>
      </c>
      <c r="AE404" s="42">
        <f t="shared" si="88"/>
        <v>0</v>
      </c>
      <c r="AF404" s="42">
        <f>VLOOKUP(C404,MC.5!B:P,15,FALSE)/3</f>
        <v>0</v>
      </c>
      <c r="AG404" s="152">
        <f t="shared" si="84"/>
        <v>0</v>
      </c>
      <c r="AH404" s="137" t="str">
        <f>VLOOKUP(F404,REF!B:C,2,FALSE)</f>
        <v>PP</v>
      </c>
      <c r="AI404" s="3" t="str">
        <f>VLOOKUP(G404,REF!E:F,2,FALSE)</f>
        <v>Internal Regrind</v>
      </c>
    </row>
    <row r="405" spans="1:35" x14ac:dyDescent="0.3">
      <c r="A405" s="186" t="s">
        <v>1158</v>
      </c>
      <c r="B405" s="24" t="s">
        <v>1158</v>
      </c>
      <c r="C405" s="156">
        <v>626073</v>
      </c>
      <c r="D405" s="24" t="s">
        <v>1987</v>
      </c>
      <c r="E405" s="24" t="s">
        <v>68</v>
      </c>
      <c r="F405" s="156">
        <v>60200</v>
      </c>
      <c r="G405" s="24" t="s">
        <v>1442</v>
      </c>
      <c r="H405" s="24" t="s">
        <v>1442</v>
      </c>
      <c r="I405" s="24" t="s">
        <v>1373</v>
      </c>
      <c r="J405" s="186" t="s">
        <v>1374</v>
      </c>
      <c r="K405" s="19">
        <v>366.07900000000001</v>
      </c>
      <c r="L405" s="17">
        <v>13448.79</v>
      </c>
      <c r="M405" s="19">
        <v>0</v>
      </c>
      <c r="N405" s="17">
        <v>0</v>
      </c>
      <c r="O405" s="19">
        <v>0</v>
      </c>
      <c r="P405" s="17">
        <v>0</v>
      </c>
      <c r="Q405" s="19">
        <v>0</v>
      </c>
      <c r="R405" s="17">
        <v>0</v>
      </c>
      <c r="S405" s="19">
        <v>0</v>
      </c>
      <c r="T405" s="17">
        <v>0</v>
      </c>
      <c r="U405" s="19">
        <v>0</v>
      </c>
      <c r="V405" s="17">
        <v>0</v>
      </c>
      <c r="W405" s="19">
        <v>366.07900000000001</v>
      </c>
      <c r="X405" s="17">
        <v>13448.79</v>
      </c>
      <c r="Y405" s="17">
        <v>0</v>
      </c>
      <c r="Z405" s="17"/>
      <c r="AA405" s="17"/>
      <c r="AB405" s="144">
        <v>0</v>
      </c>
      <c r="AC405" s="8">
        <f t="shared" si="87"/>
        <v>366.07900000000001</v>
      </c>
      <c r="AD405" s="11" t="str">
        <f>LEFT(details!E405,5)</f>
        <v>0.000</v>
      </c>
      <c r="AE405" s="42">
        <f t="shared" si="88"/>
        <v>0</v>
      </c>
      <c r="AF405" s="42">
        <f>VLOOKUP(C405,MC.5!B:P,15,FALSE)/3</f>
        <v>1990.22</v>
      </c>
      <c r="AG405" s="152">
        <f t="shared" si="84"/>
        <v>1990.22</v>
      </c>
      <c r="AH405" s="137" t="str">
        <f>VLOOKUP(F405,REF!B:C,2,FALSE)</f>
        <v>Additives</v>
      </c>
      <c r="AI405" s="3" t="s">
        <v>1374</v>
      </c>
    </row>
    <row r="406" spans="1:35" x14ac:dyDescent="0.3">
      <c r="A406" s="186" t="s">
        <v>1158</v>
      </c>
      <c r="B406" s="24" t="s">
        <v>1158</v>
      </c>
      <c r="C406" s="156">
        <v>626074</v>
      </c>
      <c r="D406" s="24" t="s">
        <v>1988</v>
      </c>
      <c r="E406" s="24" t="s">
        <v>68</v>
      </c>
      <c r="F406" s="156">
        <v>60200</v>
      </c>
      <c r="G406" s="24" t="s">
        <v>1442</v>
      </c>
      <c r="H406" s="24" t="s">
        <v>1442</v>
      </c>
      <c r="I406" s="24" t="s">
        <v>1373</v>
      </c>
      <c r="J406" s="186" t="s">
        <v>1374</v>
      </c>
      <c r="K406" s="19">
        <v>0</v>
      </c>
      <c r="L406" s="17">
        <v>0</v>
      </c>
      <c r="M406" s="19">
        <v>20.152000000000001</v>
      </c>
      <c r="N406" s="17">
        <v>1577.98</v>
      </c>
      <c r="O406" s="19">
        <v>44.328000000000003</v>
      </c>
      <c r="P406" s="17">
        <v>3471.07</v>
      </c>
      <c r="Q406" s="19">
        <v>0</v>
      </c>
      <c r="R406" s="17">
        <v>0</v>
      </c>
      <c r="S406" s="19">
        <v>0</v>
      </c>
      <c r="T406" s="17">
        <v>0</v>
      </c>
      <c r="U406" s="19">
        <v>0</v>
      </c>
      <c r="V406" s="17">
        <v>0</v>
      </c>
      <c r="W406" s="19">
        <v>64.48</v>
      </c>
      <c r="X406" s="17">
        <v>5049.05</v>
      </c>
      <c r="Y406" s="17">
        <v>493.04</v>
      </c>
      <c r="Z406" s="17"/>
      <c r="AA406" s="17"/>
      <c r="AB406" s="144">
        <v>0</v>
      </c>
      <c r="AC406" s="8">
        <f t="shared" si="87"/>
        <v>64.48</v>
      </c>
      <c r="AD406" s="11" t="str">
        <f>LEFT(details!E406,5)</f>
        <v>0.000</v>
      </c>
      <c r="AE406" s="42">
        <f t="shared" si="88"/>
        <v>0</v>
      </c>
      <c r="AF406" s="42">
        <f>VLOOKUP(C406,MC.5!B:P,15,FALSE)/3</f>
        <v>776.38666666666666</v>
      </c>
      <c r="AG406" s="152">
        <f t="shared" si="84"/>
        <v>776.38666666666666</v>
      </c>
      <c r="AH406" s="137" t="str">
        <f>VLOOKUP(F406,REF!B:C,2,FALSE)</f>
        <v>Additives</v>
      </c>
      <c r="AI406" s="3" t="s">
        <v>1374</v>
      </c>
    </row>
    <row r="407" spans="1:35" x14ac:dyDescent="0.3">
      <c r="A407" s="186" t="s">
        <v>1158</v>
      </c>
      <c r="B407" s="24" t="s">
        <v>1158</v>
      </c>
      <c r="C407" s="156">
        <v>645100</v>
      </c>
      <c r="D407" s="24" t="s">
        <v>1968</v>
      </c>
      <c r="E407" s="24" t="s">
        <v>68</v>
      </c>
      <c r="F407" s="156">
        <v>60200</v>
      </c>
      <c r="G407" s="24" t="s">
        <v>1442</v>
      </c>
      <c r="H407" s="24" t="s">
        <v>1442</v>
      </c>
      <c r="I407" s="24" t="s">
        <v>1373</v>
      </c>
      <c r="J407" s="186" t="s">
        <v>1374</v>
      </c>
      <c r="K407" s="19">
        <v>0</v>
      </c>
      <c r="L407" s="17">
        <v>0</v>
      </c>
      <c r="M407" s="19">
        <v>50</v>
      </c>
      <c r="N407" s="17">
        <v>2907.22</v>
      </c>
      <c r="O407" s="19">
        <v>45.796999999999997</v>
      </c>
      <c r="P407" s="17">
        <v>2662.84</v>
      </c>
      <c r="Q407" s="19">
        <v>0</v>
      </c>
      <c r="R407" s="17">
        <v>0</v>
      </c>
      <c r="S407" s="19">
        <v>0</v>
      </c>
      <c r="T407" s="17">
        <v>0</v>
      </c>
      <c r="U407" s="19">
        <v>0</v>
      </c>
      <c r="V407" s="17">
        <v>0</v>
      </c>
      <c r="W407" s="19">
        <v>95.796999999999997</v>
      </c>
      <c r="X407" s="17">
        <v>5570.06</v>
      </c>
      <c r="Y407" s="17">
        <v>887.69</v>
      </c>
      <c r="Z407" s="17"/>
      <c r="AA407" s="17"/>
      <c r="AB407" s="144">
        <v>0</v>
      </c>
      <c r="AC407" s="8">
        <f t="shared" si="87"/>
        <v>95.796999999999997</v>
      </c>
      <c r="AD407" s="11" t="str">
        <f>LEFT(details!E407,5)</f>
        <v>0.000</v>
      </c>
      <c r="AE407" s="42">
        <f t="shared" si="88"/>
        <v>0</v>
      </c>
      <c r="AF407" s="42">
        <f>VLOOKUP(C407,MC.5!B:P,15,FALSE)/3</f>
        <v>486.51</v>
      </c>
      <c r="AG407" s="152">
        <f t="shared" si="84"/>
        <v>486.51</v>
      </c>
      <c r="AH407" s="137" t="str">
        <f>VLOOKUP(F407,REF!B:C,2,FALSE)</f>
        <v>Additives</v>
      </c>
      <c r="AI407" s="3" t="s">
        <v>1374</v>
      </c>
    </row>
    <row r="408" spans="1:35" x14ac:dyDescent="0.3">
      <c r="A408" s="186" t="s">
        <v>1158</v>
      </c>
      <c r="B408" s="24" t="s">
        <v>1158</v>
      </c>
      <c r="C408" s="156">
        <v>645826</v>
      </c>
      <c r="D408" s="24" t="s">
        <v>1989</v>
      </c>
      <c r="E408" s="24" t="s">
        <v>68</v>
      </c>
      <c r="F408" s="156">
        <v>60200</v>
      </c>
      <c r="G408" s="24" t="s">
        <v>1442</v>
      </c>
      <c r="H408" s="24" t="s">
        <v>1442</v>
      </c>
      <c r="I408" s="24" t="s">
        <v>1373</v>
      </c>
      <c r="J408" s="186" t="s">
        <v>1374</v>
      </c>
      <c r="K408" s="19">
        <v>0</v>
      </c>
      <c r="L408" s="17">
        <v>0</v>
      </c>
      <c r="M408" s="19">
        <v>0</v>
      </c>
      <c r="N408" s="17">
        <v>0</v>
      </c>
      <c r="O408" s="19">
        <v>67.507000000000005</v>
      </c>
      <c r="P408" s="17">
        <v>2673.27</v>
      </c>
      <c r="Q408" s="19">
        <v>0</v>
      </c>
      <c r="R408" s="17">
        <v>0</v>
      </c>
      <c r="S408" s="19">
        <v>0</v>
      </c>
      <c r="T408" s="17">
        <v>0</v>
      </c>
      <c r="U408" s="19">
        <v>0</v>
      </c>
      <c r="V408" s="17">
        <v>0</v>
      </c>
      <c r="W408" s="19">
        <v>67.507000000000005</v>
      </c>
      <c r="X408" s="17">
        <v>2673.27</v>
      </c>
      <c r="Y408" s="17">
        <v>891.16</v>
      </c>
      <c r="Z408" s="17"/>
      <c r="AA408" s="17"/>
      <c r="AB408" s="144">
        <v>0</v>
      </c>
      <c r="AC408" s="8">
        <f t="shared" si="87"/>
        <v>67.507000000000005</v>
      </c>
      <c r="AD408" s="11" t="str">
        <f>LEFT(details!E408,5)</f>
        <v>0.000</v>
      </c>
      <c r="AE408" s="42">
        <f t="shared" si="88"/>
        <v>0</v>
      </c>
      <c r="AF408" s="42">
        <f>VLOOKUP(C408,MC.5!B:P,15,FALSE)/3</f>
        <v>0</v>
      </c>
      <c r="AG408" s="152">
        <f t="shared" si="84"/>
        <v>0</v>
      </c>
      <c r="AH408" s="137" t="str">
        <f>VLOOKUP(F408,REF!B:C,2,FALSE)</f>
        <v>Additives</v>
      </c>
      <c r="AI408" s="3" t="s">
        <v>1374</v>
      </c>
    </row>
    <row r="409" spans="1:35" x14ac:dyDescent="0.3">
      <c r="A409" s="186" t="s">
        <v>1158</v>
      </c>
      <c r="B409" s="24" t="s">
        <v>1158</v>
      </c>
      <c r="C409" s="156">
        <v>649201</v>
      </c>
      <c r="D409" s="24" t="s">
        <v>2731</v>
      </c>
      <c r="E409" s="24" t="s">
        <v>68</v>
      </c>
      <c r="F409" s="156">
        <v>60105</v>
      </c>
      <c r="G409" s="24" t="s">
        <v>1544</v>
      </c>
      <c r="H409" s="24" t="s">
        <v>1442</v>
      </c>
      <c r="I409" s="24" t="s">
        <v>1544</v>
      </c>
      <c r="J409" s="186" t="s">
        <v>1543</v>
      </c>
      <c r="K409" s="19">
        <v>6200</v>
      </c>
      <c r="L409" s="17">
        <v>0</v>
      </c>
      <c r="M409" s="19">
        <v>0</v>
      </c>
      <c r="N409" s="17">
        <v>0</v>
      </c>
      <c r="O409" s="19">
        <v>0</v>
      </c>
      <c r="P409" s="17">
        <v>0</v>
      </c>
      <c r="Q409" s="19">
        <v>0</v>
      </c>
      <c r="R409" s="17">
        <v>0</v>
      </c>
      <c r="S409" s="19">
        <v>0</v>
      </c>
      <c r="T409" s="17">
        <v>0</v>
      </c>
      <c r="U409" s="19">
        <v>0</v>
      </c>
      <c r="V409" s="17">
        <v>0</v>
      </c>
      <c r="W409" s="19">
        <v>6200</v>
      </c>
      <c r="X409" s="17">
        <v>0</v>
      </c>
      <c r="Y409" s="17">
        <v>0</v>
      </c>
      <c r="Z409" s="17"/>
      <c r="AA409" s="17"/>
      <c r="AB409" s="144">
        <v>0</v>
      </c>
      <c r="AC409" s="8">
        <f t="shared" si="87"/>
        <v>6200</v>
      </c>
      <c r="AD409" s="11" t="str">
        <f>LEFT(details!E409,5)</f>
        <v>0.000</v>
      </c>
      <c r="AE409" s="42">
        <f t="shared" si="88"/>
        <v>0</v>
      </c>
      <c r="AF409" s="42">
        <f>VLOOKUP(C409,MC.5!B:P,15,FALSE)/3</f>
        <v>0</v>
      </c>
      <c r="AG409" s="152">
        <f t="shared" si="84"/>
        <v>0</v>
      </c>
      <c r="AH409" s="137" t="str">
        <f>VLOOKUP(F409,REF!B:C,2,FALSE)</f>
        <v>PE</v>
      </c>
      <c r="AI409" s="3" t="str">
        <f>VLOOKUP(G409,REF!E:F,2,FALSE)</f>
        <v>Internal Regrind</v>
      </c>
    </row>
    <row r="410" spans="1:35" x14ac:dyDescent="0.3">
      <c r="A410" s="186" t="s">
        <v>1158</v>
      </c>
      <c r="B410" s="24" t="s">
        <v>1158</v>
      </c>
      <c r="C410" s="156">
        <v>649207</v>
      </c>
      <c r="D410" s="24" t="s">
        <v>2732</v>
      </c>
      <c r="E410" s="24" t="s">
        <v>68</v>
      </c>
      <c r="F410" s="156">
        <v>60105</v>
      </c>
      <c r="G410" s="24" t="s">
        <v>1544</v>
      </c>
      <c r="H410" s="24" t="s">
        <v>1442</v>
      </c>
      <c r="I410" s="24" t="s">
        <v>1544</v>
      </c>
      <c r="J410" s="186" t="s">
        <v>1543</v>
      </c>
      <c r="K410" s="19">
        <v>400</v>
      </c>
      <c r="L410" s="17">
        <v>0</v>
      </c>
      <c r="M410" s="19">
        <v>0</v>
      </c>
      <c r="N410" s="17">
        <v>0</v>
      </c>
      <c r="O410" s="19">
        <v>0</v>
      </c>
      <c r="P410" s="17">
        <v>0</v>
      </c>
      <c r="Q410" s="19">
        <v>0</v>
      </c>
      <c r="R410" s="17">
        <v>0</v>
      </c>
      <c r="S410" s="19">
        <v>0</v>
      </c>
      <c r="T410" s="17">
        <v>0</v>
      </c>
      <c r="U410" s="19">
        <v>0</v>
      </c>
      <c r="V410" s="17">
        <v>0</v>
      </c>
      <c r="W410" s="19">
        <v>400</v>
      </c>
      <c r="X410" s="17">
        <v>0</v>
      </c>
      <c r="Y410" s="17">
        <v>0</v>
      </c>
      <c r="Z410" s="17"/>
      <c r="AA410" s="17"/>
      <c r="AB410" s="144">
        <v>0</v>
      </c>
      <c r="AC410" s="8">
        <f t="shared" si="87"/>
        <v>400</v>
      </c>
      <c r="AD410" s="11" t="str">
        <f>LEFT(details!E410,5)</f>
        <v>0.000</v>
      </c>
      <c r="AE410" s="42">
        <f t="shared" si="88"/>
        <v>0</v>
      </c>
      <c r="AF410" s="42">
        <f>VLOOKUP(C410,MC.5!B:P,15,FALSE)/3</f>
        <v>0</v>
      </c>
      <c r="AG410" s="152">
        <f t="shared" si="84"/>
        <v>0</v>
      </c>
      <c r="AH410" s="137" t="str">
        <f>VLOOKUP(F410,REF!B:C,2,FALSE)</f>
        <v>PE</v>
      </c>
      <c r="AI410" s="3" t="str">
        <f>VLOOKUP(G410,REF!E:F,2,FALSE)</f>
        <v>Internal Regrind</v>
      </c>
    </row>
    <row r="411" spans="1:35" x14ac:dyDescent="0.3">
      <c r="A411" s="186" t="s">
        <v>1158</v>
      </c>
      <c r="B411" s="24" t="s">
        <v>1158</v>
      </c>
      <c r="C411" s="156">
        <v>649222</v>
      </c>
      <c r="D411" s="24" t="s">
        <v>2733</v>
      </c>
      <c r="E411" s="24" t="s">
        <v>68</v>
      </c>
      <c r="F411" s="156">
        <v>60105</v>
      </c>
      <c r="G411" s="24" t="s">
        <v>1544</v>
      </c>
      <c r="H411" s="24" t="s">
        <v>1442</v>
      </c>
      <c r="I411" s="24" t="s">
        <v>1544</v>
      </c>
      <c r="J411" s="186" t="s">
        <v>1543</v>
      </c>
      <c r="K411" s="19">
        <v>425</v>
      </c>
      <c r="L411" s="17">
        <v>0</v>
      </c>
      <c r="M411" s="19">
        <v>0</v>
      </c>
      <c r="N411" s="17">
        <v>0</v>
      </c>
      <c r="O411" s="19">
        <v>0</v>
      </c>
      <c r="P411" s="17">
        <v>0</v>
      </c>
      <c r="Q411" s="19">
        <v>0</v>
      </c>
      <c r="R411" s="17">
        <v>0</v>
      </c>
      <c r="S411" s="19">
        <v>0</v>
      </c>
      <c r="T411" s="17">
        <v>0</v>
      </c>
      <c r="U411" s="19">
        <v>0</v>
      </c>
      <c r="V411" s="17">
        <v>0</v>
      </c>
      <c r="W411" s="19">
        <v>425</v>
      </c>
      <c r="X411" s="17">
        <v>0</v>
      </c>
      <c r="Y411" s="17">
        <v>0</v>
      </c>
      <c r="Z411" s="17"/>
      <c r="AA411" s="17"/>
      <c r="AB411" s="144">
        <v>0</v>
      </c>
      <c r="AC411" s="8">
        <f t="shared" si="87"/>
        <v>425</v>
      </c>
      <c r="AD411" s="11" t="str">
        <f>LEFT(details!E411,5)</f>
        <v>0.000</v>
      </c>
      <c r="AE411" s="42">
        <f t="shared" si="88"/>
        <v>0</v>
      </c>
      <c r="AF411" s="42">
        <f>VLOOKUP(C411,MC.5!B:P,15,FALSE)/3</f>
        <v>0</v>
      </c>
      <c r="AG411" s="152">
        <f t="shared" si="84"/>
        <v>0</v>
      </c>
      <c r="AH411" s="137" t="str">
        <f>VLOOKUP(F411,REF!B:C,2,FALSE)</f>
        <v>PE</v>
      </c>
      <c r="AI411" s="3" t="str">
        <f>VLOOKUP(G411,REF!E:F,2,FALSE)</f>
        <v>Internal Regrind</v>
      </c>
    </row>
    <row r="412" spans="1:35" x14ac:dyDescent="0.3">
      <c r="A412" s="186" t="s">
        <v>1158</v>
      </c>
      <c r="B412" s="24" t="s">
        <v>1158</v>
      </c>
      <c r="C412" s="156">
        <v>649771</v>
      </c>
      <c r="D412" s="24" t="s">
        <v>2527</v>
      </c>
      <c r="E412" s="24" t="s">
        <v>68</v>
      </c>
      <c r="F412" s="156">
        <v>60200</v>
      </c>
      <c r="G412" s="24" t="s">
        <v>1442</v>
      </c>
      <c r="H412" s="24" t="s">
        <v>1442</v>
      </c>
      <c r="I412" s="24" t="s">
        <v>1373</v>
      </c>
      <c r="J412" s="186" t="s">
        <v>1374</v>
      </c>
      <c r="K412" s="19">
        <v>0</v>
      </c>
      <c r="L412" s="17">
        <v>0</v>
      </c>
      <c r="M412" s="19">
        <v>20.178000000000001</v>
      </c>
      <c r="N412" s="17">
        <v>1018.99</v>
      </c>
      <c r="O412" s="19">
        <v>0</v>
      </c>
      <c r="P412" s="17">
        <v>0</v>
      </c>
      <c r="Q412" s="19">
        <v>0</v>
      </c>
      <c r="R412" s="17">
        <v>0</v>
      </c>
      <c r="S412" s="19">
        <v>0</v>
      </c>
      <c r="T412" s="17">
        <v>0</v>
      </c>
      <c r="U412" s="19">
        <v>0</v>
      </c>
      <c r="V412" s="17">
        <v>0</v>
      </c>
      <c r="W412" s="19">
        <v>20.178000000000001</v>
      </c>
      <c r="X412" s="17">
        <v>1018.99</v>
      </c>
      <c r="Y412" s="17">
        <v>0</v>
      </c>
      <c r="Z412" s="17"/>
      <c r="AA412" s="17"/>
      <c r="AB412" s="144">
        <v>0</v>
      </c>
      <c r="AC412" s="8">
        <f t="shared" si="87"/>
        <v>20.178000000000001</v>
      </c>
      <c r="AD412" s="11" t="str">
        <f>LEFT(details!E412,5)</f>
        <v>0.000</v>
      </c>
      <c r="AE412" s="42">
        <f t="shared" si="88"/>
        <v>0</v>
      </c>
      <c r="AF412" s="42">
        <f>VLOOKUP(C412,MC.5!B:P,15,FALSE)/3</f>
        <v>81.17</v>
      </c>
      <c r="AG412" s="152">
        <f t="shared" si="84"/>
        <v>81.17</v>
      </c>
      <c r="AH412" s="137" t="str">
        <f>VLOOKUP(F412,REF!B:C,2,FALSE)</f>
        <v>Additives</v>
      </c>
      <c r="AI412" s="3" t="s">
        <v>1374</v>
      </c>
    </row>
    <row r="413" spans="1:35" x14ac:dyDescent="0.3">
      <c r="A413" s="186" t="s">
        <v>1158</v>
      </c>
      <c r="B413" s="24" t="s">
        <v>1158</v>
      </c>
      <c r="C413" s="156">
        <v>650606</v>
      </c>
      <c r="D413" s="24" t="s">
        <v>2734</v>
      </c>
      <c r="E413" s="24" t="s">
        <v>68</v>
      </c>
      <c r="F413" s="156">
        <v>60105</v>
      </c>
      <c r="G413" s="24" t="s">
        <v>1544</v>
      </c>
      <c r="H413" s="24" t="s">
        <v>1442</v>
      </c>
      <c r="I413" s="24" t="s">
        <v>1544</v>
      </c>
      <c r="J413" s="186" t="s">
        <v>1543</v>
      </c>
      <c r="K413" s="19">
        <v>339</v>
      </c>
      <c r="L413" s="17">
        <v>0</v>
      </c>
      <c r="M413" s="19">
        <v>0</v>
      </c>
      <c r="N413" s="17">
        <v>0</v>
      </c>
      <c r="O413" s="19">
        <v>0</v>
      </c>
      <c r="P413" s="17">
        <v>0</v>
      </c>
      <c r="Q413" s="19">
        <v>0</v>
      </c>
      <c r="R413" s="17">
        <v>0</v>
      </c>
      <c r="S413" s="19">
        <v>0</v>
      </c>
      <c r="T413" s="17">
        <v>0</v>
      </c>
      <c r="U413" s="19">
        <v>0</v>
      </c>
      <c r="V413" s="17">
        <v>0</v>
      </c>
      <c r="W413" s="19">
        <v>339</v>
      </c>
      <c r="X413" s="17">
        <v>0</v>
      </c>
      <c r="Y413" s="17">
        <v>0</v>
      </c>
      <c r="Z413" s="17"/>
      <c r="AA413" s="17"/>
      <c r="AB413" s="144">
        <v>0</v>
      </c>
      <c r="AC413" s="8">
        <f t="shared" si="87"/>
        <v>339</v>
      </c>
      <c r="AD413" s="11" t="str">
        <f>LEFT(details!E413,5)</f>
        <v>0.000</v>
      </c>
      <c r="AE413" s="42">
        <f t="shared" si="88"/>
        <v>0</v>
      </c>
      <c r="AF413" s="42">
        <f>VLOOKUP(C413,MC.5!B:P,15,FALSE)/3</f>
        <v>0</v>
      </c>
      <c r="AG413" s="152">
        <f t="shared" si="84"/>
        <v>0</v>
      </c>
      <c r="AH413" s="137" t="str">
        <f>VLOOKUP(F413,REF!B:C,2,FALSE)</f>
        <v>PE</v>
      </c>
      <c r="AI413" s="3" t="str">
        <f>VLOOKUP(G413,REF!E:F,2,FALSE)</f>
        <v>Internal Regrind</v>
      </c>
    </row>
    <row r="414" spans="1:35" x14ac:dyDescent="0.3">
      <c r="A414" s="186" t="s">
        <v>1158</v>
      </c>
      <c r="B414" s="24" t="s">
        <v>1158</v>
      </c>
      <c r="C414" s="156">
        <v>652333</v>
      </c>
      <c r="D414" s="24" t="s">
        <v>2585</v>
      </c>
      <c r="E414" s="24" t="s">
        <v>68</v>
      </c>
      <c r="F414" s="156">
        <v>60107</v>
      </c>
      <c r="G414" s="24" t="s">
        <v>2586</v>
      </c>
      <c r="H414" s="24" t="s">
        <v>1442</v>
      </c>
      <c r="I414" s="24" t="s">
        <v>2586</v>
      </c>
      <c r="J414" s="186" t="s">
        <v>1376</v>
      </c>
      <c r="K414" s="19">
        <v>100</v>
      </c>
      <c r="L414" s="17">
        <v>1450.01</v>
      </c>
      <c r="M414" s="19">
        <v>8.5869999999999997</v>
      </c>
      <c r="N414" s="17">
        <v>124.51</v>
      </c>
      <c r="O414" s="19">
        <v>0</v>
      </c>
      <c r="P414" s="17">
        <v>0</v>
      </c>
      <c r="Q414" s="19">
        <v>0</v>
      </c>
      <c r="R414" s="17">
        <v>0</v>
      </c>
      <c r="S414" s="19">
        <v>0</v>
      </c>
      <c r="T414" s="17">
        <v>0</v>
      </c>
      <c r="U414" s="19">
        <v>0</v>
      </c>
      <c r="V414" s="17">
        <v>0</v>
      </c>
      <c r="W414" s="19">
        <v>108.587</v>
      </c>
      <c r="X414" s="17">
        <v>1574.52</v>
      </c>
      <c r="Y414" s="17">
        <v>0</v>
      </c>
      <c r="Z414" s="17"/>
      <c r="AA414" s="17"/>
      <c r="AB414" s="144">
        <v>0</v>
      </c>
      <c r="AC414" s="8">
        <f t="shared" si="87"/>
        <v>108.587</v>
      </c>
      <c r="AD414" s="11" t="str">
        <f>LEFT(details!E414,5)</f>
        <v>0.000</v>
      </c>
      <c r="AE414" s="42">
        <f t="shared" si="88"/>
        <v>0</v>
      </c>
      <c r="AF414" s="42">
        <f>VLOOKUP(C414,MC.5!B:P,15,FALSE)/3</f>
        <v>6.8233333333333333</v>
      </c>
      <c r="AG414" s="152">
        <f t="shared" si="84"/>
        <v>6.8233333333333333</v>
      </c>
      <c r="AH414" s="137" t="str">
        <f>VLOOKUP(F414,REF!B:C,2,FALSE)</f>
        <v>Nylon</v>
      </c>
      <c r="AI414" s="3" t="str">
        <f>VLOOKUP(G414,REF!E:F,2,FALSE)</f>
        <v>Virgin grade</v>
      </c>
    </row>
    <row r="415" spans="1:35" x14ac:dyDescent="0.3">
      <c r="A415" s="186" t="s">
        <v>1158</v>
      </c>
      <c r="B415" s="24" t="s">
        <v>1158</v>
      </c>
      <c r="C415" s="156">
        <v>655990</v>
      </c>
      <c r="D415" s="24" t="s">
        <v>2605</v>
      </c>
      <c r="E415" s="24" t="s">
        <v>68</v>
      </c>
      <c r="F415" s="156">
        <v>60105</v>
      </c>
      <c r="G415" s="24" t="s">
        <v>1377</v>
      </c>
      <c r="H415" s="24" t="s">
        <v>1442</v>
      </c>
      <c r="I415" s="24" t="s">
        <v>1377</v>
      </c>
      <c r="J415" s="186" t="s">
        <v>1376</v>
      </c>
      <c r="K415" s="19">
        <v>9625</v>
      </c>
      <c r="L415" s="17">
        <v>66153.11</v>
      </c>
      <c r="M415" s="19">
        <v>368.37</v>
      </c>
      <c r="N415" s="17">
        <v>2531.83</v>
      </c>
      <c r="O415" s="19">
        <v>0</v>
      </c>
      <c r="P415" s="17">
        <v>0</v>
      </c>
      <c r="Q415" s="19">
        <v>0</v>
      </c>
      <c r="R415" s="17">
        <v>0</v>
      </c>
      <c r="S415" s="19">
        <v>0</v>
      </c>
      <c r="T415" s="17">
        <v>0</v>
      </c>
      <c r="U415" s="19">
        <v>0</v>
      </c>
      <c r="V415" s="17">
        <v>0</v>
      </c>
      <c r="W415" s="19">
        <v>9993.3700000000008</v>
      </c>
      <c r="X415" s="17">
        <v>68684.94</v>
      </c>
      <c r="Y415" s="17">
        <v>0</v>
      </c>
      <c r="Z415" s="17">
        <v>1318.2</v>
      </c>
      <c r="AA415" s="17">
        <v>439.4</v>
      </c>
      <c r="AB415" s="144">
        <v>4689.4588074647199</v>
      </c>
      <c r="AC415" s="8">
        <f t="shared" si="87"/>
        <v>9993.3700000000008</v>
      </c>
      <c r="AD415" s="11" t="str">
        <f>LEFT(details!E415,5)</f>
        <v>0.000</v>
      </c>
      <c r="AE415" s="42">
        <f t="shared" si="88"/>
        <v>439.4</v>
      </c>
      <c r="AF415" s="42">
        <f>VLOOKUP(C415,MC.5!B:P,15,FALSE)/3</f>
        <v>10148.253333333332</v>
      </c>
      <c r="AG415" s="152">
        <f>AE415</f>
        <v>439.4</v>
      </c>
      <c r="AH415" s="137" t="str">
        <f>VLOOKUP(F415,REF!B:C,2,FALSE)</f>
        <v>PE</v>
      </c>
      <c r="AI415" s="3" t="str">
        <f>VLOOKUP(G415,REF!E:F,2,FALSE)</f>
        <v>Virgin grade</v>
      </c>
    </row>
    <row r="416" spans="1:35" x14ac:dyDescent="0.3">
      <c r="A416" s="186" t="s">
        <v>1158</v>
      </c>
      <c r="B416" s="24" t="s">
        <v>1158</v>
      </c>
      <c r="C416" s="156">
        <v>657130</v>
      </c>
      <c r="D416" s="24" t="s">
        <v>2624</v>
      </c>
      <c r="E416" s="24" t="s">
        <v>222</v>
      </c>
      <c r="F416" s="156">
        <v>60104</v>
      </c>
      <c r="G416" s="24" t="s">
        <v>1381</v>
      </c>
      <c r="H416" s="24" t="s">
        <v>1442</v>
      </c>
      <c r="I416" s="24" t="s">
        <v>1381</v>
      </c>
      <c r="J416" s="186" t="s">
        <v>1376</v>
      </c>
      <c r="K416" s="19">
        <v>0</v>
      </c>
      <c r="L416" s="17">
        <v>0</v>
      </c>
      <c r="M416" s="19">
        <v>2200</v>
      </c>
      <c r="N416" s="17">
        <v>9240</v>
      </c>
      <c r="O416" s="19">
        <v>0</v>
      </c>
      <c r="P416" s="17">
        <v>0</v>
      </c>
      <c r="Q416" s="19">
        <v>0</v>
      </c>
      <c r="R416" s="17">
        <v>0</v>
      </c>
      <c r="S416" s="19">
        <v>0</v>
      </c>
      <c r="T416" s="17">
        <v>0</v>
      </c>
      <c r="U416" s="19">
        <v>0</v>
      </c>
      <c r="V416" s="17">
        <v>0</v>
      </c>
      <c r="W416" s="19">
        <v>2200</v>
      </c>
      <c r="X416" s="17">
        <v>9240</v>
      </c>
      <c r="Y416" s="17">
        <v>0</v>
      </c>
      <c r="Z416" s="17"/>
      <c r="AA416" s="17"/>
      <c r="AB416" s="144">
        <v>0</v>
      </c>
      <c r="AC416" s="8">
        <f t="shared" si="87"/>
        <v>2200</v>
      </c>
      <c r="AD416" s="11" t="str">
        <f>LEFT(details!E416,5)</f>
        <v>0.000</v>
      </c>
      <c r="AE416" s="42">
        <f t="shared" si="88"/>
        <v>0</v>
      </c>
      <c r="AF416" s="42">
        <f>VLOOKUP(C416,MC.5!B:P,15,FALSE)/3</f>
        <v>0</v>
      </c>
      <c r="AG416" s="152">
        <f t="shared" ref="AG416:AG421" si="89">AF416</f>
        <v>0</v>
      </c>
      <c r="AH416" s="137" t="str">
        <f>VLOOKUP(F416,REF!B:C,2,FALSE)</f>
        <v>PET</v>
      </c>
      <c r="AI416" s="3" t="str">
        <f>VLOOKUP(G416,REF!E:F,2,FALSE)</f>
        <v>Virgin grade</v>
      </c>
    </row>
    <row r="417" spans="1:35" x14ac:dyDescent="0.3">
      <c r="A417" s="186" t="s">
        <v>1158</v>
      </c>
      <c r="B417" s="24" t="s">
        <v>1158</v>
      </c>
      <c r="C417" s="156">
        <v>663073</v>
      </c>
      <c r="D417" s="24" t="s">
        <v>2735</v>
      </c>
      <c r="E417" s="24" t="s">
        <v>113</v>
      </c>
      <c r="F417" s="156">
        <v>60105</v>
      </c>
      <c r="G417" s="24" t="s">
        <v>1377</v>
      </c>
      <c r="H417" s="24" t="s">
        <v>1442</v>
      </c>
      <c r="I417" s="24" t="s">
        <v>1377</v>
      </c>
      <c r="J417" s="186" t="s">
        <v>1376</v>
      </c>
      <c r="K417" s="19">
        <v>4375</v>
      </c>
      <c r="L417" s="17">
        <v>32812.5</v>
      </c>
      <c r="M417" s="19">
        <v>0</v>
      </c>
      <c r="N417" s="17">
        <v>0</v>
      </c>
      <c r="O417" s="19">
        <v>0</v>
      </c>
      <c r="P417" s="17">
        <v>0</v>
      </c>
      <c r="Q417" s="19">
        <v>0</v>
      </c>
      <c r="R417" s="17">
        <v>0</v>
      </c>
      <c r="S417" s="19">
        <v>0</v>
      </c>
      <c r="T417" s="17">
        <v>0</v>
      </c>
      <c r="U417" s="19">
        <v>0</v>
      </c>
      <c r="V417" s="17">
        <v>0</v>
      </c>
      <c r="W417" s="19">
        <v>4375</v>
      </c>
      <c r="X417" s="17">
        <v>32812.5</v>
      </c>
      <c r="Y417" s="17">
        <v>0</v>
      </c>
      <c r="Z417" s="17"/>
      <c r="AA417" s="17"/>
      <c r="AB417" s="144">
        <v>0</v>
      </c>
      <c r="AC417" s="8">
        <f t="shared" si="87"/>
        <v>4375</v>
      </c>
      <c r="AD417" s="11" t="str">
        <f>LEFT(details!E417,5)</f>
        <v>0.000</v>
      </c>
      <c r="AE417" s="42">
        <f t="shared" si="88"/>
        <v>0</v>
      </c>
      <c r="AF417" s="42">
        <f>VLOOKUP(C417,MC.5!B:P,15,FALSE)/3</f>
        <v>0</v>
      </c>
      <c r="AG417" s="152">
        <f t="shared" si="89"/>
        <v>0</v>
      </c>
      <c r="AH417" s="137" t="str">
        <f>VLOOKUP(F417,REF!B:C,2,FALSE)</f>
        <v>PE</v>
      </c>
      <c r="AI417" s="3" t="str">
        <f>VLOOKUP(G417,REF!E:F,2,FALSE)</f>
        <v>Virgin grade</v>
      </c>
    </row>
    <row r="418" spans="1:35" x14ac:dyDescent="0.3">
      <c r="A418" s="186" t="s">
        <v>1158</v>
      </c>
      <c r="B418" s="24" t="s">
        <v>1158</v>
      </c>
      <c r="C418" s="156">
        <v>663577</v>
      </c>
      <c r="D418" s="24" t="s">
        <v>2736</v>
      </c>
      <c r="E418" s="24" t="s">
        <v>113</v>
      </c>
      <c r="F418" s="156">
        <v>60105</v>
      </c>
      <c r="G418" s="24" t="s">
        <v>1377</v>
      </c>
      <c r="H418" s="24" t="s">
        <v>1442</v>
      </c>
      <c r="I418" s="24" t="s">
        <v>1377</v>
      </c>
      <c r="J418" s="186" t="s">
        <v>1376</v>
      </c>
      <c r="K418" s="19">
        <v>1300.825</v>
      </c>
      <c r="L418" s="17">
        <v>10991.97</v>
      </c>
      <c r="M418" s="19">
        <v>0</v>
      </c>
      <c r="N418" s="17">
        <v>0</v>
      </c>
      <c r="O418" s="19">
        <v>0</v>
      </c>
      <c r="P418" s="17">
        <v>0</v>
      </c>
      <c r="Q418" s="19">
        <v>0</v>
      </c>
      <c r="R418" s="17">
        <v>0</v>
      </c>
      <c r="S418" s="19">
        <v>0</v>
      </c>
      <c r="T418" s="17">
        <v>0</v>
      </c>
      <c r="U418" s="19">
        <v>0</v>
      </c>
      <c r="V418" s="17">
        <v>0</v>
      </c>
      <c r="W418" s="19">
        <v>1300.825</v>
      </c>
      <c r="X418" s="17">
        <v>10991.97</v>
      </c>
      <c r="Y418" s="17">
        <v>0</v>
      </c>
      <c r="Z418" s="17"/>
      <c r="AA418" s="17"/>
      <c r="AB418" s="144">
        <v>0</v>
      </c>
      <c r="AC418" s="8">
        <f t="shared" si="87"/>
        <v>1300.825</v>
      </c>
      <c r="AD418" s="11" t="str">
        <f>LEFT(details!E418,5)</f>
        <v>0.000</v>
      </c>
      <c r="AE418" s="42">
        <f t="shared" si="88"/>
        <v>0</v>
      </c>
      <c r="AF418" s="42">
        <f>VLOOKUP(C418,MC.5!B:P,15,FALSE)/3</f>
        <v>4081.8433333333337</v>
      </c>
      <c r="AG418" s="152">
        <f t="shared" si="89"/>
        <v>4081.8433333333337</v>
      </c>
      <c r="AH418" s="137" t="str">
        <f>VLOOKUP(F418,REF!B:C,2,FALSE)</f>
        <v>PE</v>
      </c>
      <c r="AI418" s="3" t="str">
        <f>VLOOKUP(G418,REF!E:F,2,FALSE)</f>
        <v>Virgin grade</v>
      </c>
    </row>
    <row r="419" spans="1:35" x14ac:dyDescent="0.3">
      <c r="A419" s="186" t="s">
        <v>1158</v>
      </c>
      <c r="B419" s="24" t="s">
        <v>1158</v>
      </c>
      <c r="C419" s="156">
        <v>664457</v>
      </c>
      <c r="D419" s="24" t="s">
        <v>2792</v>
      </c>
      <c r="E419" s="24" t="s">
        <v>68</v>
      </c>
      <c r="F419" s="156">
        <v>60200</v>
      </c>
      <c r="G419" s="24" t="s">
        <v>1442</v>
      </c>
      <c r="H419" s="24" t="s">
        <v>1442</v>
      </c>
      <c r="I419" s="24" t="s">
        <v>1373</v>
      </c>
      <c r="J419" s="186" t="s">
        <v>1374</v>
      </c>
      <c r="K419" s="19">
        <v>25</v>
      </c>
      <c r="L419" s="17">
        <v>1583.75</v>
      </c>
      <c r="M419" s="19">
        <v>0</v>
      </c>
      <c r="N419" s="17">
        <v>0</v>
      </c>
      <c r="O419" s="19">
        <v>0</v>
      </c>
      <c r="P419" s="17">
        <v>0</v>
      </c>
      <c r="Q419" s="19">
        <v>0</v>
      </c>
      <c r="R419" s="17">
        <v>0</v>
      </c>
      <c r="S419" s="19">
        <v>0</v>
      </c>
      <c r="T419" s="17">
        <v>0</v>
      </c>
      <c r="U419" s="19">
        <v>0</v>
      </c>
      <c r="V419" s="17">
        <v>0</v>
      </c>
      <c r="W419" s="19">
        <v>25</v>
      </c>
      <c r="X419" s="17">
        <v>1583.75</v>
      </c>
      <c r="Y419" s="17">
        <v>0</v>
      </c>
      <c r="Z419" s="17"/>
      <c r="AA419" s="17"/>
      <c r="AB419" s="144">
        <v>0</v>
      </c>
      <c r="AC419" s="8">
        <f t="shared" si="87"/>
        <v>25</v>
      </c>
      <c r="AD419" s="11" t="str">
        <f>LEFT(details!E419,5)</f>
        <v>0.000</v>
      </c>
      <c r="AE419" s="42">
        <f t="shared" si="88"/>
        <v>0</v>
      </c>
      <c r="AF419" s="42">
        <f>VLOOKUP(C419,MC.5!B:P,15,FALSE)/3</f>
        <v>0</v>
      </c>
      <c r="AG419" s="152">
        <f t="shared" si="89"/>
        <v>0</v>
      </c>
      <c r="AH419" s="137" t="str">
        <f>VLOOKUP(F419,REF!B:C,2,FALSE)</f>
        <v>Additives</v>
      </c>
      <c r="AI419" s="3" t="s">
        <v>1374</v>
      </c>
    </row>
    <row r="420" spans="1:35" x14ac:dyDescent="0.3">
      <c r="A420" s="186" t="s">
        <v>1158</v>
      </c>
      <c r="B420" s="24" t="s">
        <v>1158</v>
      </c>
      <c r="C420" s="156">
        <v>664458</v>
      </c>
      <c r="D420" s="24" t="s">
        <v>2793</v>
      </c>
      <c r="E420" s="24" t="s">
        <v>68</v>
      </c>
      <c r="F420" s="156">
        <v>60200</v>
      </c>
      <c r="G420" s="24" t="s">
        <v>1442</v>
      </c>
      <c r="H420" s="24" t="s">
        <v>1442</v>
      </c>
      <c r="I420" s="24" t="s">
        <v>1373</v>
      </c>
      <c r="J420" s="186" t="s">
        <v>1374</v>
      </c>
      <c r="K420" s="19">
        <v>25</v>
      </c>
      <c r="L420" s="17">
        <v>1355</v>
      </c>
      <c r="M420" s="19">
        <v>0</v>
      </c>
      <c r="N420" s="17">
        <v>0</v>
      </c>
      <c r="O420" s="19">
        <v>0</v>
      </c>
      <c r="P420" s="17">
        <v>0</v>
      </c>
      <c r="Q420" s="19">
        <v>0</v>
      </c>
      <c r="R420" s="17">
        <v>0</v>
      </c>
      <c r="S420" s="19">
        <v>0</v>
      </c>
      <c r="T420" s="17">
        <v>0</v>
      </c>
      <c r="U420" s="19">
        <v>0</v>
      </c>
      <c r="V420" s="17">
        <v>0</v>
      </c>
      <c r="W420" s="19">
        <v>25</v>
      </c>
      <c r="X420" s="17">
        <v>1355</v>
      </c>
      <c r="Y420" s="17">
        <v>0</v>
      </c>
      <c r="Z420" s="17"/>
      <c r="AA420" s="17"/>
      <c r="AB420" s="144">
        <v>0</v>
      </c>
      <c r="AC420" s="8">
        <f t="shared" si="87"/>
        <v>25</v>
      </c>
      <c r="AD420" s="11" t="str">
        <f>LEFT(details!E420,5)</f>
        <v>0.000</v>
      </c>
      <c r="AE420" s="42">
        <f t="shared" si="88"/>
        <v>0</v>
      </c>
      <c r="AF420" s="42">
        <f>VLOOKUP(C420,MC.5!B:P,15,FALSE)/3</f>
        <v>0</v>
      </c>
      <c r="AG420" s="152">
        <f t="shared" si="89"/>
        <v>0</v>
      </c>
      <c r="AH420" s="137" t="str">
        <f>VLOOKUP(F420,REF!B:C,2,FALSE)</f>
        <v>Additives</v>
      </c>
      <c r="AI420" s="3" t="s">
        <v>1374</v>
      </c>
    </row>
    <row r="421" spans="1:35" x14ac:dyDescent="0.3">
      <c r="A421" s="186" t="s">
        <v>1158</v>
      </c>
      <c r="B421" s="24" t="s">
        <v>1158</v>
      </c>
      <c r="C421" s="156">
        <v>664786</v>
      </c>
      <c r="D421" s="24" t="s">
        <v>2794</v>
      </c>
      <c r="E421" s="24" t="s">
        <v>113</v>
      </c>
      <c r="F421" s="156">
        <v>60105</v>
      </c>
      <c r="G421" s="24" t="s">
        <v>1377</v>
      </c>
      <c r="H421" s="24" t="s">
        <v>1442</v>
      </c>
      <c r="I421" s="24" t="s">
        <v>1377</v>
      </c>
      <c r="J421" s="186" t="s">
        <v>1376</v>
      </c>
      <c r="K421" s="19">
        <v>1925</v>
      </c>
      <c r="L421" s="17">
        <v>11550</v>
      </c>
      <c r="M421" s="19">
        <v>0</v>
      </c>
      <c r="N421" s="17">
        <v>0</v>
      </c>
      <c r="O421" s="19">
        <v>0</v>
      </c>
      <c r="P421" s="17">
        <v>0</v>
      </c>
      <c r="Q421" s="19">
        <v>0</v>
      </c>
      <c r="R421" s="17">
        <v>0</v>
      </c>
      <c r="S421" s="19">
        <v>0</v>
      </c>
      <c r="T421" s="17">
        <v>0</v>
      </c>
      <c r="U421" s="19">
        <v>0</v>
      </c>
      <c r="V421" s="17">
        <v>0</v>
      </c>
      <c r="W421" s="19">
        <v>1925</v>
      </c>
      <c r="X421" s="17">
        <v>11550</v>
      </c>
      <c r="Y421" s="17">
        <v>0</v>
      </c>
      <c r="Z421" s="17"/>
      <c r="AA421" s="17"/>
      <c r="AB421" s="144">
        <v>0</v>
      </c>
      <c r="AC421" s="8">
        <f t="shared" si="87"/>
        <v>1925</v>
      </c>
      <c r="AD421" s="11" t="str">
        <f>LEFT(details!E421,5)</f>
        <v>0.000</v>
      </c>
      <c r="AE421" s="42">
        <f t="shared" si="88"/>
        <v>0</v>
      </c>
      <c r="AF421" s="42">
        <f>VLOOKUP(C421,MC.5!B:P,15,FALSE)/3</f>
        <v>0</v>
      </c>
      <c r="AG421" s="152">
        <f t="shared" si="89"/>
        <v>0</v>
      </c>
      <c r="AH421" s="137" t="str">
        <f>VLOOKUP(F421,REF!B:C,2,FALSE)</f>
        <v>PE</v>
      </c>
      <c r="AI421" s="3" t="str">
        <f>VLOOKUP(G421,REF!E:F,2,FALSE)</f>
        <v>Virgin grade</v>
      </c>
    </row>
    <row r="422" spans="1:35" x14ac:dyDescent="0.3">
      <c r="A422" s="33" t="s">
        <v>330</v>
      </c>
      <c r="B422" s="29"/>
      <c r="C422" s="29"/>
      <c r="D422" s="29"/>
      <c r="E422" s="29"/>
      <c r="F422" s="29"/>
      <c r="G422" s="29"/>
      <c r="H422" s="29"/>
      <c r="I422" s="29"/>
      <c r="J422" s="32"/>
      <c r="K422" s="30" t="s">
        <v>331</v>
      </c>
      <c r="L422" s="31">
        <v>4690767.57</v>
      </c>
      <c r="M422" s="30" t="s">
        <v>331</v>
      </c>
      <c r="N422" s="31">
        <v>393184.77</v>
      </c>
      <c r="O422" s="30" t="s">
        <v>331</v>
      </c>
      <c r="P422" s="31">
        <v>166768.44</v>
      </c>
      <c r="Q422" s="30" t="s">
        <v>331</v>
      </c>
      <c r="R422" s="31">
        <v>140959.66</v>
      </c>
      <c r="S422" s="30" t="s">
        <v>331</v>
      </c>
      <c r="T422" s="31">
        <v>8800.8799999999992</v>
      </c>
      <c r="U422" s="30" t="s">
        <v>331</v>
      </c>
      <c r="V422" s="31">
        <v>1201663.01</v>
      </c>
      <c r="W422" s="30" t="s">
        <v>331</v>
      </c>
      <c r="X422" s="31">
        <v>6602144.3299999991</v>
      </c>
      <c r="Y422" s="31">
        <v>126220.69999999997</v>
      </c>
      <c r="Z422" s="31">
        <v>5508602.7699999996</v>
      </c>
      <c r="AA422" s="31">
        <v>1836200.9233333301</v>
      </c>
      <c r="AB422" s="145">
        <v>107.866370930936</v>
      </c>
    </row>
    <row r="423" spans="1:35" x14ac:dyDescent="0.3">
      <c r="X423" s="8"/>
      <c r="Y423" s="8"/>
      <c r="Z423"/>
      <c r="AA423"/>
      <c r="AB423"/>
    </row>
    <row r="428" spans="1:35" x14ac:dyDescent="0.3">
      <c r="W428" s="3" t="s">
        <v>207</v>
      </c>
      <c r="X428" s="8">
        <v>6602147.0800000001</v>
      </c>
    </row>
    <row r="429" spans="1:35" x14ac:dyDescent="0.3">
      <c r="W429" s="3" t="s">
        <v>2737</v>
      </c>
      <c r="X429" s="8">
        <f>X422-X428</f>
        <v>-2.7500000009313226</v>
      </c>
    </row>
  </sheetData>
  <autoFilter ref="A5:AI422" xr:uid="{00000000-0001-0000-0600-000000000000}"/>
  <sortState xmlns:xlrd2="http://schemas.microsoft.com/office/spreadsheetml/2017/richdata2" ref="A8:AA397">
    <sortCondition ref="T8:T397"/>
  </sortState>
  <pageMargins left="0.7" right="0.7" top="0.75" bottom="0.75" header="0.3" footer="0.3"/>
  <pageSetup paperSize="9" orientation="portrait" r:id="rId1"/>
  <customProperties>
    <customPr name="_pios_id" r:id="rId2"/>
    <customPr name="CofWorksheetType" r:id="rId3"/>
  </customPropertie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848"/>
  <sheetViews>
    <sheetView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Q4" sqref="Q4"/>
    </sheetView>
  </sheetViews>
  <sheetFormatPr defaultRowHeight="13" x14ac:dyDescent="0.3"/>
  <cols>
    <col min="1" max="1" width="18.19921875" bestFit="1" customWidth="1"/>
    <col min="2" max="2" width="55" bestFit="1" customWidth="1"/>
    <col min="3" max="3" width="25.09765625" bestFit="1" customWidth="1"/>
    <col min="4" max="4" width="22.09765625" bestFit="1" customWidth="1"/>
    <col min="5" max="5" width="11.3984375" bestFit="1" customWidth="1"/>
    <col min="6" max="6" width="9.3984375" bestFit="1" customWidth="1"/>
    <col min="7" max="7" width="11.3984375" bestFit="1" customWidth="1"/>
    <col min="9" max="10" width="10.59765625" bestFit="1" customWidth="1"/>
    <col min="11" max="11" width="11.3984375" bestFit="1" customWidth="1"/>
    <col min="12" max="12" width="8.09765625" bestFit="1" customWidth="1"/>
    <col min="13" max="13" width="11.3984375" bestFit="1" customWidth="1"/>
    <col min="14" max="14" width="8.69921875" bestFit="1" customWidth="1"/>
    <col min="15" max="15" width="10.19921875" bestFit="1" customWidth="1"/>
    <col min="16" max="16" width="9.69921875" bestFit="1" customWidth="1"/>
    <col min="17" max="17" width="11.3984375" bestFit="1" customWidth="1"/>
    <col min="18" max="18" width="9" bestFit="1" customWidth="1"/>
  </cols>
  <sheetData>
    <row r="1" spans="1:18" x14ac:dyDescent="0.3">
      <c r="A1" s="35" t="s">
        <v>361</v>
      </c>
      <c r="B1" s="35" t="s">
        <v>8</v>
      </c>
      <c r="C1" s="35" t="s">
        <v>1196</v>
      </c>
      <c r="D1" s="35" t="s">
        <v>362</v>
      </c>
      <c r="E1" s="36" t="s">
        <v>363</v>
      </c>
      <c r="F1" s="36" t="s">
        <v>363</v>
      </c>
      <c r="G1" s="36" t="s">
        <v>364</v>
      </c>
      <c r="H1" s="36" t="s">
        <v>364</v>
      </c>
      <c r="I1" s="36" t="s">
        <v>365</v>
      </c>
      <c r="J1" s="36" t="s">
        <v>366</v>
      </c>
      <c r="K1" s="36" t="s">
        <v>367</v>
      </c>
      <c r="L1" s="36" t="s">
        <v>367</v>
      </c>
      <c r="M1" s="36" t="s">
        <v>368</v>
      </c>
      <c r="N1" s="36" t="s">
        <v>368</v>
      </c>
      <c r="O1" s="36" t="s">
        <v>369</v>
      </c>
      <c r="P1" s="36" t="s">
        <v>370</v>
      </c>
      <c r="Q1" s="36" t="s">
        <v>371</v>
      </c>
      <c r="R1" s="36" t="s">
        <v>371</v>
      </c>
    </row>
    <row r="2" spans="1:18" x14ac:dyDescent="0.3">
      <c r="A2" s="37" t="s">
        <v>378</v>
      </c>
      <c r="B2" s="37" t="s">
        <v>379</v>
      </c>
      <c r="C2" s="37" t="s">
        <v>372</v>
      </c>
      <c r="D2" s="37" t="s">
        <v>375</v>
      </c>
      <c r="E2" s="38">
        <v>0</v>
      </c>
      <c r="F2" s="39" t="s">
        <v>237</v>
      </c>
      <c r="G2" s="38">
        <v>0</v>
      </c>
      <c r="H2" s="39" t="s">
        <v>380</v>
      </c>
      <c r="I2" s="40">
        <v>44536</v>
      </c>
      <c r="J2" s="40">
        <v>44558</v>
      </c>
      <c r="K2" s="38">
        <v>0</v>
      </c>
      <c r="L2" s="39" t="s">
        <v>380</v>
      </c>
      <c r="M2" s="38">
        <v>0</v>
      </c>
      <c r="N2" s="39" t="s">
        <v>380</v>
      </c>
      <c r="O2" s="41">
        <v>0</v>
      </c>
      <c r="P2" s="38">
        <v>0</v>
      </c>
      <c r="Q2" s="38">
        <v>0</v>
      </c>
      <c r="R2" s="39" t="s">
        <v>237</v>
      </c>
    </row>
    <row r="3" spans="1:18" x14ac:dyDescent="0.3">
      <c r="A3" s="37" t="s">
        <v>378</v>
      </c>
      <c r="B3" s="37" t="s">
        <v>381</v>
      </c>
      <c r="C3" s="37" t="s">
        <v>372</v>
      </c>
      <c r="D3" s="37" t="s">
        <v>375</v>
      </c>
      <c r="E3" s="38">
        <v>0</v>
      </c>
      <c r="F3" s="39" t="s">
        <v>237</v>
      </c>
      <c r="G3" s="38">
        <v>0</v>
      </c>
      <c r="H3" s="39" t="s">
        <v>380</v>
      </c>
      <c r="I3" s="40">
        <v>45141</v>
      </c>
      <c r="J3" s="40">
        <v>45146</v>
      </c>
      <c r="K3" s="38">
        <v>0</v>
      </c>
      <c r="L3" s="39" t="s">
        <v>380</v>
      </c>
      <c r="M3" s="38">
        <v>0</v>
      </c>
      <c r="N3" s="39" t="s">
        <v>380</v>
      </c>
      <c r="O3" s="41">
        <v>0</v>
      </c>
      <c r="P3" s="38">
        <v>0</v>
      </c>
      <c r="Q3" s="38">
        <v>0</v>
      </c>
      <c r="R3" s="39" t="s">
        <v>237</v>
      </c>
    </row>
    <row r="4" spans="1:18" x14ac:dyDescent="0.3">
      <c r="A4" s="37" t="s">
        <v>378</v>
      </c>
      <c r="B4" s="37" t="s">
        <v>382</v>
      </c>
      <c r="C4" s="37" t="s">
        <v>372</v>
      </c>
      <c r="D4" s="37" t="s">
        <v>375</v>
      </c>
      <c r="E4" s="38">
        <v>5775</v>
      </c>
      <c r="F4" s="39" t="s">
        <v>237</v>
      </c>
      <c r="G4" s="38">
        <v>38500</v>
      </c>
      <c r="H4" s="39" t="s">
        <v>380</v>
      </c>
      <c r="I4" s="40">
        <v>45517</v>
      </c>
      <c r="J4" s="40"/>
      <c r="K4" s="38">
        <v>68200</v>
      </c>
      <c r="L4" s="39" t="s">
        <v>380</v>
      </c>
      <c r="M4" s="38">
        <v>52800</v>
      </c>
      <c r="N4" s="39" t="s">
        <v>380</v>
      </c>
      <c r="O4" s="41">
        <v>53</v>
      </c>
      <c r="P4" s="38">
        <v>2.12</v>
      </c>
      <c r="Q4" s="38">
        <v>9955</v>
      </c>
      <c r="R4" s="39" t="s">
        <v>237</v>
      </c>
    </row>
    <row r="5" spans="1:18" x14ac:dyDescent="0.3">
      <c r="A5" s="37" t="s">
        <v>378</v>
      </c>
      <c r="B5" s="37" t="s">
        <v>383</v>
      </c>
      <c r="C5" s="37" t="s">
        <v>372</v>
      </c>
      <c r="D5" s="37" t="s">
        <v>375</v>
      </c>
      <c r="E5" s="38">
        <v>0</v>
      </c>
      <c r="F5" s="39" t="s">
        <v>237</v>
      </c>
      <c r="G5" s="38">
        <v>0</v>
      </c>
      <c r="H5" s="39" t="s">
        <v>380</v>
      </c>
      <c r="I5" s="40">
        <v>45141</v>
      </c>
      <c r="J5" s="40">
        <v>45141</v>
      </c>
      <c r="K5" s="38">
        <v>0</v>
      </c>
      <c r="L5" s="39" t="s">
        <v>380</v>
      </c>
      <c r="M5" s="38">
        <v>0</v>
      </c>
      <c r="N5" s="39" t="s">
        <v>380</v>
      </c>
      <c r="O5" s="41">
        <v>0</v>
      </c>
      <c r="P5" s="38">
        <v>0</v>
      </c>
      <c r="Q5" s="38">
        <v>0</v>
      </c>
      <c r="R5" s="39" t="s">
        <v>237</v>
      </c>
    </row>
    <row r="6" spans="1:18" x14ac:dyDescent="0.3">
      <c r="A6" s="37" t="s">
        <v>378</v>
      </c>
      <c r="B6" s="37" t="s">
        <v>384</v>
      </c>
      <c r="C6" s="37" t="s">
        <v>372</v>
      </c>
      <c r="D6" s="37" t="s">
        <v>375</v>
      </c>
      <c r="E6" s="38">
        <v>5241.6000000000004</v>
      </c>
      <c r="F6" s="39" t="s">
        <v>237</v>
      </c>
      <c r="G6" s="38">
        <v>32760</v>
      </c>
      <c r="H6" s="39" t="s">
        <v>380</v>
      </c>
      <c r="I6" s="40">
        <v>45512</v>
      </c>
      <c r="J6" s="40"/>
      <c r="K6" s="38">
        <v>93600</v>
      </c>
      <c r="L6" s="39" t="s">
        <v>380</v>
      </c>
      <c r="M6" s="38">
        <v>56160</v>
      </c>
      <c r="N6" s="39" t="s">
        <v>380</v>
      </c>
      <c r="O6" s="41">
        <v>33</v>
      </c>
      <c r="P6" s="38">
        <v>3.02</v>
      </c>
      <c r="Q6" s="38">
        <v>14469</v>
      </c>
      <c r="R6" s="39" t="s">
        <v>237</v>
      </c>
    </row>
    <row r="7" spans="1:18" x14ac:dyDescent="0.3">
      <c r="A7" s="37" t="s">
        <v>378</v>
      </c>
      <c r="B7" s="37" t="s">
        <v>385</v>
      </c>
      <c r="C7" s="37" t="s">
        <v>372</v>
      </c>
      <c r="D7" s="37" t="s">
        <v>375</v>
      </c>
      <c r="E7" s="38">
        <v>0</v>
      </c>
      <c r="F7" s="39" t="s">
        <v>237</v>
      </c>
      <c r="G7" s="38">
        <v>0</v>
      </c>
      <c r="H7" s="39" t="s">
        <v>380</v>
      </c>
      <c r="I7" s="40">
        <v>45048</v>
      </c>
      <c r="J7" s="40">
        <v>45050</v>
      </c>
      <c r="K7" s="38">
        <v>0</v>
      </c>
      <c r="L7" s="39" t="s">
        <v>380</v>
      </c>
      <c r="M7" s="38">
        <v>0</v>
      </c>
      <c r="N7" s="39" t="s">
        <v>380</v>
      </c>
      <c r="O7" s="41">
        <v>0</v>
      </c>
      <c r="P7" s="38">
        <v>0</v>
      </c>
      <c r="Q7" s="38">
        <v>0</v>
      </c>
      <c r="R7" s="39" t="s">
        <v>237</v>
      </c>
    </row>
    <row r="8" spans="1:18" x14ac:dyDescent="0.3">
      <c r="A8" s="37" t="s">
        <v>378</v>
      </c>
      <c r="B8" s="37" t="s">
        <v>386</v>
      </c>
      <c r="C8" s="37" t="s">
        <v>372</v>
      </c>
      <c r="D8" s="37" t="s">
        <v>375</v>
      </c>
      <c r="E8" s="38">
        <v>0</v>
      </c>
      <c r="F8" s="39" t="s">
        <v>237</v>
      </c>
      <c r="G8" s="38">
        <v>0</v>
      </c>
      <c r="H8" s="39" t="s">
        <v>380</v>
      </c>
      <c r="I8" s="40">
        <v>45498</v>
      </c>
      <c r="J8" s="40">
        <v>45498</v>
      </c>
      <c r="K8" s="38">
        <v>20160</v>
      </c>
      <c r="L8" s="39" t="s">
        <v>380</v>
      </c>
      <c r="M8" s="38">
        <v>20160</v>
      </c>
      <c r="N8" s="39" t="s">
        <v>380</v>
      </c>
      <c r="O8" s="41">
        <v>0</v>
      </c>
      <c r="P8" s="38">
        <v>99999</v>
      </c>
      <c r="Q8" s="38">
        <v>4233.6000000000004</v>
      </c>
      <c r="R8" s="39" t="s">
        <v>237</v>
      </c>
    </row>
    <row r="9" spans="1:18" x14ac:dyDescent="0.3">
      <c r="A9" s="37" t="s">
        <v>378</v>
      </c>
      <c r="B9" s="37" t="s">
        <v>387</v>
      </c>
      <c r="C9" s="37" t="s">
        <v>372</v>
      </c>
      <c r="D9" s="37" t="s">
        <v>375</v>
      </c>
      <c r="E9" s="38">
        <v>0</v>
      </c>
      <c r="F9" s="39" t="s">
        <v>237</v>
      </c>
      <c r="G9" s="38">
        <v>0</v>
      </c>
      <c r="H9" s="39" t="s">
        <v>380</v>
      </c>
      <c r="I9" s="40">
        <v>45272</v>
      </c>
      <c r="J9" s="40">
        <v>45281</v>
      </c>
      <c r="K9" s="38">
        <v>0</v>
      </c>
      <c r="L9" s="39" t="s">
        <v>380</v>
      </c>
      <c r="M9" s="38">
        <v>0</v>
      </c>
      <c r="N9" s="39" t="s">
        <v>380</v>
      </c>
      <c r="O9" s="41">
        <v>0</v>
      </c>
      <c r="P9" s="38">
        <v>0</v>
      </c>
      <c r="Q9" s="38">
        <v>0</v>
      </c>
      <c r="R9" s="39" t="s">
        <v>237</v>
      </c>
    </row>
    <row r="10" spans="1:18" x14ac:dyDescent="0.3">
      <c r="A10" s="37" t="s">
        <v>378</v>
      </c>
      <c r="B10" s="37" t="s">
        <v>388</v>
      </c>
      <c r="C10" s="37" t="s">
        <v>372</v>
      </c>
      <c r="D10" s="37" t="s">
        <v>375</v>
      </c>
      <c r="E10" s="38">
        <v>1294.8</v>
      </c>
      <c r="F10" s="39" t="s">
        <v>237</v>
      </c>
      <c r="G10" s="38">
        <v>6474</v>
      </c>
      <c r="H10" s="39" t="s">
        <v>380</v>
      </c>
      <c r="I10" s="40">
        <v>45491</v>
      </c>
      <c r="J10" s="40">
        <v>45534</v>
      </c>
      <c r="K10" s="38">
        <v>5760</v>
      </c>
      <c r="L10" s="39" t="s">
        <v>380</v>
      </c>
      <c r="M10" s="38">
        <v>11520</v>
      </c>
      <c r="N10" s="39" t="s">
        <v>380</v>
      </c>
      <c r="O10" s="41">
        <v>103</v>
      </c>
      <c r="P10" s="38">
        <v>1.41</v>
      </c>
      <c r="Q10" s="38">
        <v>1152</v>
      </c>
      <c r="R10" s="39" t="s">
        <v>237</v>
      </c>
    </row>
    <row r="11" spans="1:18" x14ac:dyDescent="0.3">
      <c r="A11" s="37" t="s">
        <v>378</v>
      </c>
      <c r="B11" s="37" t="s">
        <v>389</v>
      </c>
      <c r="C11" s="37" t="s">
        <v>372</v>
      </c>
      <c r="D11" s="37" t="s">
        <v>375</v>
      </c>
      <c r="E11" s="38">
        <v>0</v>
      </c>
      <c r="F11" s="39" t="s">
        <v>237</v>
      </c>
      <c r="G11" s="38">
        <v>0</v>
      </c>
      <c r="H11" s="39" t="s">
        <v>380</v>
      </c>
      <c r="I11" s="40">
        <v>44566</v>
      </c>
      <c r="J11" s="40">
        <v>44581</v>
      </c>
      <c r="K11" s="38">
        <v>0</v>
      </c>
      <c r="L11" s="39" t="s">
        <v>380</v>
      </c>
      <c r="M11" s="38">
        <v>0</v>
      </c>
      <c r="N11" s="39" t="s">
        <v>380</v>
      </c>
      <c r="O11" s="41">
        <v>0</v>
      </c>
      <c r="P11" s="38">
        <v>0</v>
      </c>
      <c r="Q11" s="38">
        <v>0</v>
      </c>
      <c r="R11" s="39" t="s">
        <v>237</v>
      </c>
    </row>
    <row r="12" spans="1:18" x14ac:dyDescent="0.3">
      <c r="A12" s="37" t="s">
        <v>378</v>
      </c>
      <c r="B12" s="37" t="s">
        <v>390</v>
      </c>
      <c r="C12" s="37" t="s">
        <v>372</v>
      </c>
      <c r="D12" s="37" t="s">
        <v>375</v>
      </c>
      <c r="E12" s="38">
        <v>0</v>
      </c>
      <c r="F12" s="39" t="s">
        <v>237</v>
      </c>
      <c r="G12" s="38">
        <v>0</v>
      </c>
      <c r="H12" s="39" t="s">
        <v>380</v>
      </c>
      <c r="I12" s="40">
        <v>44589</v>
      </c>
      <c r="J12" s="40">
        <v>44603</v>
      </c>
      <c r="K12" s="38">
        <v>0</v>
      </c>
      <c r="L12" s="39" t="s">
        <v>380</v>
      </c>
      <c r="M12" s="38">
        <v>0</v>
      </c>
      <c r="N12" s="39" t="s">
        <v>380</v>
      </c>
      <c r="O12" s="41">
        <v>0</v>
      </c>
      <c r="P12" s="38">
        <v>0</v>
      </c>
      <c r="Q12" s="38">
        <v>0</v>
      </c>
      <c r="R12" s="39" t="s">
        <v>237</v>
      </c>
    </row>
    <row r="13" spans="1:18" x14ac:dyDescent="0.3">
      <c r="A13" s="37" t="s">
        <v>378</v>
      </c>
      <c r="B13" s="37" t="s">
        <v>391</v>
      </c>
      <c r="C13" s="37" t="s">
        <v>372</v>
      </c>
      <c r="D13" s="37" t="s">
        <v>375</v>
      </c>
      <c r="E13" s="38">
        <v>6800.64</v>
      </c>
      <c r="F13" s="39" t="s">
        <v>237</v>
      </c>
      <c r="G13" s="38">
        <v>32384</v>
      </c>
      <c r="H13" s="39" t="s">
        <v>380</v>
      </c>
      <c r="I13" s="40">
        <v>45488</v>
      </c>
      <c r="J13" s="40">
        <v>45503</v>
      </c>
      <c r="K13" s="38">
        <v>123153</v>
      </c>
      <c r="L13" s="39" t="s">
        <v>380</v>
      </c>
      <c r="M13" s="38">
        <v>140382</v>
      </c>
      <c r="N13" s="39" t="s">
        <v>380</v>
      </c>
      <c r="O13" s="41">
        <v>49</v>
      </c>
      <c r="P13" s="38">
        <v>2.1</v>
      </c>
      <c r="Q13" s="38">
        <v>12862.709999999901</v>
      </c>
      <c r="R13" s="39" t="s">
        <v>237</v>
      </c>
    </row>
    <row r="14" spans="1:18" x14ac:dyDescent="0.3">
      <c r="A14" s="37" t="s">
        <v>378</v>
      </c>
      <c r="B14" s="37" t="s">
        <v>392</v>
      </c>
      <c r="C14" s="37" t="s">
        <v>372</v>
      </c>
      <c r="D14" s="37" t="s">
        <v>375</v>
      </c>
      <c r="E14" s="38">
        <v>2268</v>
      </c>
      <c r="F14" s="39" t="s">
        <v>237</v>
      </c>
      <c r="G14" s="38">
        <v>10800</v>
      </c>
      <c r="H14" s="39" t="s">
        <v>380</v>
      </c>
      <c r="I14" s="40">
        <v>45397</v>
      </c>
      <c r="J14" s="40">
        <v>45527</v>
      </c>
      <c r="K14" s="38">
        <v>16200</v>
      </c>
      <c r="L14" s="39" t="s">
        <v>380</v>
      </c>
      <c r="M14" s="38">
        <v>0</v>
      </c>
      <c r="N14" s="39" t="s">
        <v>380</v>
      </c>
      <c r="O14" s="41">
        <v>61</v>
      </c>
      <c r="P14" s="38">
        <v>0.78</v>
      </c>
      <c r="Q14" s="38">
        <v>3402</v>
      </c>
      <c r="R14" s="39" t="s">
        <v>237</v>
      </c>
    </row>
    <row r="15" spans="1:18" x14ac:dyDescent="0.3">
      <c r="A15" s="37" t="s">
        <v>378</v>
      </c>
      <c r="B15" s="37" t="s">
        <v>393</v>
      </c>
      <c r="C15" s="37" t="s">
        <v>372</v>
      </c>
      <c r="D15" s="37" t="s">
        <v>375</v>
      </c>
      <c r="E15" s="38">
        <v>5968.1999999999898</v>
      </c>
      <c r="F15" s="39" t="s">
        <v>237</v>
      </c>
      <c r="G15" s="38">
        <v>28420</v>
      </c>
      <c r="H15" s="39" t="s">
        <v>380</v>
      </c>
      <c r="I15" s="40">
        <v>45505</v>
      </c>
      <c r="J15" s="40">
        <v>45356</v>
      </c>
      <c r="K15" s="38">
        <v>72065</v>
      </c>
      <c r="L15" s="39" t="s">
        <v>380</v>
      </c>
      <c r="M15" s="38">
        <v>60900</v>
      </c>
      <c r="N15" s="39" t="s">
        <v>380</v>
      </c>
      <c r="O15" s="41">
        <v>36</v>
      </c>
      <c r="P15" s="38">
        <v>2.2200000000000002</v>
      </c>
      <c r="Q15" s="38">
        <v>15133.65</v>
      </c>
      <c r="R15" s="39" t="s">
        <v>237</v>
      </c>
    </row>
    <row r="16" spans="1:18" x14ac:dyDescent="0.3">
      <c r="A16" s="37" t="s">
        <v>378</v>
      </c>
      <c r="B16" s="37" t="s">
        <v>394</v>
      </c>
      <c r="C16" s="37" t="s">
        <v>372</v>
      </c>
      <c r="D16" s="37" t="s">
        <v>375</v>
      </c>
      <c r="E16" s="38">
        <v>1461.39</v>
      </c>
      <c r="F16" s="39" t="s">
        <v>237</v>
      </c>
      <c r="G16" s="38">
        <v>6959</v>
      </c>
      <c r="H16" s="39" t="s">
        <v>380</v>
      </c>
      <c r="I16" s="40">
        <v>45531</v>
      </c>
      <c r="J16" s="40">
        <v>45532</v>
      </c>
      <c r="K16" s="38">
        <v>22741</v>
      </c>
      <c r="L16" s="39" t="s">
        <v>380</v>
      </c>
      <c r="M16" s="38">
        <v>18900</v>
      </c>
      <c r="N16" s="39" t="s">
        <v>380</v>
      </c>
      <c r="O16" s="41">
        <v>50</v>
      </c>
      <c r="P16" s="38">
        <v>1.41</v>
      </c>
      <c r="Q16" s="38">
        <v>2669.61</v>
      </c>
      <c r="R16" s="39" t="s">
        <v>237</v>
      </c>
    </row>
    <row r="17" spans="1:18" x14ac:dyDescent="0.3">
      <c r="A17" s="37" t="s">
        <v>378</v>
      </c>
      <c r="B17" s="37" t="s">
        <v>395</v>
      </c>
      <c r="C17" s="37" t="s">
        <v>372</v>
      </c>
      <c r="D17" s="37" t="s">
        <v>375</v>
      </c>
      <c r="E17" s="38">
        <v>1738.8</v>
      </c>
      <c r="F17" s="39" t="s">
        <v>237</v>
      </c>
      <c r="G17" s="38">
        <v>7560</v>
      </c>
      <c r="H17" s="39" t="s">
        <v>380</v>
      </c>
      <c r="I17" s="40">
        <v>45464</v>
      </c>
      <c r="J17" s="40">
        <v>45524</v>
      </c>
      <c r="K17" s="38">
        <v>14364</v>
      </c>
      <c r="L17" s="39" t="s">
        <v>380</v>
      </c>
      <c r="M17" s="38">
        <v>18144</v>
      </c>
      <c r="N17" s="39" t="s">
        <v>380</v>
      </c>
      <c r="O17" s="41">
        <v>49</v>
      </c>
      <c r="P17" s="38">
        <v>1.38</v>
      </c>
      <c r="Q17" s="38">
        <v>3250.8</v>
      </c>
      <c r="R17" s="39" t="s">
        <v>237</v>
      </c>
    </row>
    <row r="18" spans="1:18" x14ac:dyDescent="0.3">
      <c r="A18" s="37" t="s">
        <v>378</v>
      </c>
      <c r="B18" s="37" t="s">
        <v>396</v>
      </c>
      <c r="C18" s="37" t="s">
        <v>372</v>
      </c>
      <c r="D18" s="37" t="s">
        <v>375</v>
      </c>
      <c r="E18" s="38">
        <v>0</v>
      </c>
      <c r="F18" s="39" t="s">
        <v>237</v>
      </c>
      <c r="G18" s="38">
        <v>0</v>
      </c>
      <c r="H18" s="39" t="s">
        <v>380</v>
      </c>
      <c r="I18" s="40">
        <v>45420</v>
      </c>
      <c r="J18" s="40">
        <v>45422</v>
      </c>
      <c r="K18" s="38">
        <v>0</v>
      </c>
      <c r="L18" s="39" t="s">
        <v>380</v>
      </c>
      <c r="M18" s="38">
        <v>0</v>
      </c>
      <c r="N18" s="39" t="s">
        <v>380</v>
      </c>
      <c r="O18" s="41">
        <v>0</v>
      </c>
      <c r="P18" s="38">
        <v>0</v>
      </c>
      <c r="Q18" s="38">
        <v>0</v>
      </c>
      <c r="R18" s="39" t="s">
        <v>237</v>
      </c>
    </row>
    <row r="19" spans="1:18" x14ac:dyDescent="0.3">
      <c r="A19" s="37" t="s">
        <v>378</v>
      </c>
      <c r="B19" s="37" t="s">
        <v>397</v>
      </c>
      <c r="C19" s="37" t="s">
        <v>372</v>
      </c>
      <c r="D19" s="37" t="s">
        <v>375</v>
      </c>
      <c r="E19" s="38">
        <v>0</v>
      </c>
      <c r="F19" s="39" t="s">
        <v>237</v>
      </c>
      <c r="G19" s="38">
        <v>0</v>
      </c>
      <c r="H19" s="39" t="s">
        <v>380</v>
      </c>
      <c r="I19" s="40">
        <v>45488</v>
      </c>
      <c r="J19" s="40">
        <v>45488</v>
      </c>
      <c r="K19" s="38">
        <v>9900</v>
      </c>
      <c r="L19" s="39" t="s">
        <v>380</v>
      </c>
      <c r="M19" s="38">
        <v>9900</v>
      </c>
      <c r="N19" s="39" t="s">
        <v>380</v>
      </c>
      <c r="O19" s="41">
        <v>0</v>
      </c>
      <c r="P19" s="38">
        <v>99999</v>
      </c>
      <c r="Q19" s="38">
        <v>2673</v>
      </c>
      <c r="R19" s="39" t="s">
        <v>237</v>
      </c>
    </row>
    <row r="20" spans="1:18" x14ac:dyDescent="0.3">
      <c r="A20" s="37" t="s">
        <v>378</v>
      </c>
      <c r="B20" s="37" t="s">
        <v>398</v>
      </c>
      <c r="C20" s="37" t="s">
        <v>372</v>
      </c>
      <c r="D20" s="37" t="s">
        <v>375</v>
      </c>
      <c r="E20" s="38">
        <v>0</v>
      </c>
      <c r="F20" s="39" t="s">
        <v>237</v>
      </c>
      <c r="G20" s="38">
        <v>0</v>
      </c>
      <c r="H20" s="39" t="s">
        <v>380</v>
      </c>
      <c r="I20" s="40">
        <v>45490</v>
      </c>
      <c r="J20" s="40">
        <v>45503</v>
      </c>
      <c r="K20" s="38">
        <v>14400</v>
      </c>
      <c r="L20" s="39" t="s">
        <v>380</v>
      </c>
      <c r="M20" s="38">
        <v>14400</v>
      </c>
      <c r="N20" s="39" t="s">
        <v>380</v>
      </c>
      <c r="O20" s="41">
        <v>0</v>
      </c>
      <c r="P20" s="38">
        <v>99999</v>
      </c>
      <c r="Q20" s="38">
        <v>3600</v>
      </c>
      <c r="R20" s="39" t="s">
        <v>237</v>
      </c>
    </row>
    <row r="21" spans="1:18" x14ac:dyDescent="0.3">
      <c r="A21" s="37" t="s">
        <v>378</v>
      </c>
      <c r="B21" s="37" t="s">
        <v>399</v>
      </c>
      <c r="C21" s="37" t="s">
        <v>372</v>
      </c>
      <c r="D21" s="37" t="s">
        <v>375</v>
      </c>
      <c r="E21" s="38">
        <v>0</v>
      </c>
      <c r="F21" s="39" t="s">
        <v>237</v>
      </c>
      <c r="G21" s="38">
        <v>0</v>
      </c>
      <c r="H21" s="39" t="s">
        <v>380</v>
      </c>
      <c r="I21" s="40">
        <v>44841</v>
      </c>
      <c r="J21" s="40">
        <v>44859</v>
      </c>
      <c r="K21" s="38">
        <v>0</v>
      </c>
      <c r="L21" s="39" t="s">
        <v>380</v>
      </c>
      <c r="M21" s="38">
        <v>0</v>
      </c>
      <c r="N21" s="39" t="s">
        <v>380</v>
      </c>
      <c r="O21" s="41">
        <v>0</v>
      </c>
      <c r="P21" s="38">
        <v>0</v>
      </c>
      <c r="Q21" s="38">
        <v>0</v>
      </c>
      <c r="R21" s="39" t="s">
        <v>237</v>
      </c>
    </row>
    <row r="22" spans="1:18" x14ac:dyDescent="0.3">
      <c r="A22" s="37" t="s">
        <v>378</v>
      </c>
      <c r="B22" s="37" t="s">
        <v>400</v>
      </c>
      <c r="C22" s="37" t="s">
        <v>372</v>
      </c>
      <c r="D22" s="37" t="s">
        <v>375</v>
      </c>
      <c r="E22" s="38">
        <v>7308</v>
      </c>
      <c r="F22" s="39" t="s">
        <v>237</v>
      </c>
      <c r="G22" s="38">
        <v>36540</v>
      </c>
      <c r="H22" s="39" t="s">
        <v>380</v>
      </c>
      <c r="I22" s="40">
        <v>45520</v>
      </c>
      <c r="J22" s="40"/>
      <c r="K22" s="38">
        <v>22680</v>
      </c>
      <c r="L22" s="39" t="s">
        <v>380</v>
      </c>
      <c r="M22" s="38">
        <v>30240</v>
      </c>
      <c r="N22" s="39" t="s">
        <v>380</v>
      </c>
      <c r="O22" s="41">
        <v>151</v>
      </c>
      <c r="P22" s="38">
        <v>0.91</v>
      </c>
      <c r="Q22" s="38">
        <v>4460.3999999999896</v>
      </c>
      <c r="R22" s="39" t="s">
        <v>237</v>
      </c>
    </row>
    <row r="23" spans="1:18" x14ac:dyDescent="0.3">
      <c r="A23" s="37" t="s">
        <v>378</v>
      </c>
      <c r="B23" s="37" t="s">
        <v>401</v>
      </c>
      <c r="C23" s="37" t="s">
        <v>372</v>
      </c>
      <c r="D23" s="37" t="s">
        <v>375</v>
      </c>
      <c r="E23" s="38">
        <v>4872</v>
      </c>
      <c r="F23" s="39" t="s">
        <v>237</v>
      </c>
      <c r="G23" s="38">
        <v>24360</v>
      </c>
      <c r="H23" s="39" t="s">
        <v>380</v>
      </c>
      <c r="I23" s="40">
        <v>45506</v>
      </c>
      <c r="J23" s="40">
        <v>45531</v>
      </c>
      <c r="K23" s="38">
        <v>31465</v>
      </c>
      <c r="L23" s="39" t="s">
        <v>380</v>
      </c>
      <c r="M23" s="38">
        <v>48720</v>
      </c>
      <c r="N23" s="39" t="s">
        <v>380</v>
      </c>
      <c r="O23" s="41">
        <v>72</v>
      </c>
      <c r="P23" s="38">
        <v>1.91</v>
      </c>
      <c r="Q23" s="38">
        <v>6211.8</v>
      </c>
      <c r="R23" s="39" t="s">
        <v>237</v>
      </c>
    </row>
    <row r="24" spans="1:18" x14ac:dyDescent="0.3">
      <c r="A24" s="37" t="s">
        <v>378</v>
      </c>
      <c r="B24" s="37" t="s">
        <v>402</v>
      </c>
      <c r="C24" s="37" t="s">
        <v>372</v>
      </c>
      <c r="D24" s="37" t="s">
        <v>375</v>
      </c>
      <c r="E24" s="38">
        <v>1372.8</v>
      </c>
      <c r="F24" s="39" t="s">
        <v>237</v>
      </c>
      <c r="G24" s="38">
        <v>6240</v>
      </c>
      <c r="H24" s="39" t="s">
        <v>380</v>
      </c>
      <c r="I24" s="40">
        <v>45509</v>
      </c>
      <c r="J24" s="40">
        <v>45517</v>
      </c>
      <c r="K24" s="38">
        <v>7800</v>
      </c>
      <c r="L24" s="39" t="s">
        <v>380</v>
      </c>
      <c r="M24" s="38">
        <v>10920</v>
      </c>
      <c r="N24" s="39" t="s">
        <v>380</v>
      </c>
      <c r="O24" s="41">
        <v>94</v>
      </c>
      <c r="P24" s="38">
        <v>2.67</v>
      </c>
      <c r="Q24" s="38">
        <v>1341.5999999999899</v>
      </c>
      <c r="R24" s="39" t="s">
        <v>237</v>
      </c>
    </row>
    <row r="25" spans="1:18" x14ac:dyDescent="0.3">
      <c r="A25" s="37" t="s">
        <v>378</v>
      </c>
      <c r="B25" s="37" t="s">
        <v>403</v>
      </c>
      <c r="C25" s="37" t="s">
        <v>372</v>
      </c>
      <c r="D25" s="37" t="s">
        <v>375</v>
      </c>
      <c r="E25" s="38">
        <v>0</v>
      </c>
      <c r="F25" s="39" t="s">
        <v>237</v>
      </c>
      <c r="G25" s="38">
        <v>0</v>
      </c>
      <c r="H25" s="39" t="s">
        <v>380</v>
      </c>
      <c r="I25" s="40">
        <v>45345</v>
      </c>
      <c r="J25" s="40">
        <v>45350</v>
      </c>
      <c r="K25" s="38">
        <v>0</v>
      </c>
      <c r="L25" s="39" t="s">
        <v>380</v>
      </c>
      <c r="M25" s="38">
        <v>0</v>
      </c>
      <c r="N25" s="39" t="s">
        <v>380</v>
      </c>
      <c r="O25" s="41">
        <v>0</v>
      </c>
      <c r="P25" s="38">
        <v>0</v>
      </c>
      <c r="Q25" s="38">
        <v>0</v>
      </c>
      <c r="R25" s="39" t="s">
        <v>237</v>
      </c>
    </row>
    <row r="26" spans="1:18" x14ac:dyDescent="0.3">
      <c r="A26" s="37" t="s">
        <v>378</v>
      </c>
      <c r="B26" s="37" t="s">
        <v>404</v>
      </c>
      <c r="C26" s="37" t="s">
        <v>372</v>
      </c>
      <c r="D26" s="37" t="s">
        <v>375</v>
      </c>
      <c r="E26" s="38">
        <v>0</v>
      </c>
      <c r="F26" s="39" t="s">
        <v>237</v>
      </c>
      <c r="G26" s="38">
        <v>0</v>
      </c>
      <c r="H26" s="39" t="s">
        <v>380</v>
      </c>
      <c r="I26" s="40">
        <v>45426</v>
      </c>
      <c r="J26" s="40">
        <v>45453</v>
      </c>
      <c r="K26" s="38">
        <v>16380</v>
      </c>
      <c r="L26" s="39" t="s">
        <v>380</v>
      </c>
      <c r="M26" s="38">
        <v>0</v>
      </c>
      <c r="N26" s="39" t="s">
        <v>380</v>
      </c>
      <c r="O26" s="41">
        <v>0</v>
      </c>
      <c r="P26" s="38">
        <v>4</v>
      </c>
      <c r="Q26" s="38">
        <v>4422.6000000000004</v>
      </c>
      <c r="R26" s="39" t="s">
        <v>237</v>
      </c>
    </row>
    <row r="27" spans="1:18" x14ac:dyDescent="0.3">
      <c r="A27" s="37" t="s">
        <v>378</v>
      </c>
      <c r="B27" s="37" t="s">
        <v>405</v>
      </c>
      <c r="C27" s="37" t="s">
        <v>372</v>
      </c>
      <c r="D27" s="37" t="s">
        <v>375</v>
      </c>
      <c r="E27" s="38">
        <v>4750.1999999999898</v>
      </c>
      <c r="F27" s="39" t="s">
        <v>237</v>
      </c>
      <c r="G27" s="38">
        <v>18270</v>
      </c>
      <c r="H27" s="39" t="s">
        <v>380</v>
      </c>
      <c r="I27" s="40">
        <v>45422</v>
      </c>
      <c r="J27" s="40"/>
      <c r="K27" s="38">
        <v>20300</v>
      </c>
      <c r="L27" s="39" t="s">
        <v>380</v>
      </c>
      <c r="M27" s="38">
        <v>0</v>
      </c>
      <c r="N27" s="39" t="s">
        <v>380</v>
      </c>
      <c r="O27" s="41">
        <v>84</v>
      </c>
      <c r="P27" s="38">
        <v>0.76</v>
      </c>
      <c r="Q27" s="38">
        <v>5196.8</v>
      </c>
      <c r="R27" s="39" t="s">
        <v>237</v>
      </c>
    </row>
    <row r="28" spans="1:18" x14ac:dyDescent="0.3">
      <c r="A28" s="37" t="s">
        <v>378</v>
      </c>
      <c r="B28" s="37" t="s">
        <v>406</v>
      </c>
      <c r="C28" s="37" t="s">
        <v>372</v>
      </c>
      <c r="D28" s="37" t="s">
        <v>375</v>
      </c>
      <c r="E28" s="38">
        <v>12833.48</v>
      </c>
      <c r="F28" s="39" t="s">
        <v>237</v>
      </c>
      <c r="G28" s="38">
        <v>58334</v>
      </c>
      <c r="H28" s="39" t="s">
        <v>380</v>
      </c>
      <c r="I28" s="40">
        <v>45518</v>
      </c>
      <c r="J28" s="40">
        <v>45520</v>
      </c>
      <c r="K28" s="38">
        <v>30738</v>
      </c>
      <c r="L28" s="39" t="s">
        <v>380</v>
      </c>
      <c r="M28" s="38">
        <v>54104</v>
      </c>
      <c r="N28" s="39" t="s">
        <v>380</v>
      </c>
      <c r="O28" s="41">
        <v>175</v>
      </c>
      <c r="P28" s="38">
        <v>0.94</v>
      </c>
      <c r="Q28" s="38">
        <v>6762.3599999999897</v>
      </c>
      <c r="R28" s="39" t="s">
        <v>237</v>
      </c>
    </row>
    <row r="29" spans="1:18" x14ac:dyDescent="0.3">
      <c r="A29" s="37" t="s">
        <v>378</v>
      </c>
      <c r="B29" s="37" t="s">
        <v>407</v>
      </c>
      <c r="C29" s="37" t="s">
        <v>372</v>
      </c>
      <c r="D29" s="37" t="s">
        <v>375</v>
      </c>
      <c r="E29" s="38">
        <v>5272.8</v>
      </c>
      <c r="F29" s="39" t="s">
        <v>237</v>
      </c>
      <c r="G29" s="38">
        <v>20280</v>
      </c>
      <c r="H29" s="39" t="s">
        <v>380</v>
      </c>
      <c r="I29" s="40">
        <v>45380</v>
      </c>
      <c r="J29" s="40">
        <v>45517</v>
      </c>
      <c r="K29" s="38">
        <v>5460</v>
      </c>
      <c r="L29" s="39" t="s">
        <v>380</v>
      </c>
      <c r="M29" s="38">
        <v>0</v>
      </c>
      <c r="N29" s="39" t="s">
        <v>380</v>
      </c>
      <c r="O29" s="41">
        <v>342</v>
      </c>
      <c r="P29" s="38">
        <v>0.23</v>
      </c>
      <c r="Q29" s="38">
        <v>1419.5999999999899</v>
      </c>
      <c r="R29" s="39" t="s">
        <v>237</v>
      </c>
    </row>
    <row r="30" spans="1:18" x14ac:dyDescent="0.3">
      <c r="A30" s="37" t="s">
        <v>378</v>
      </c>
      <c r="B30" s="37" t="s">
        <v>408</v>
      </c>
      <c r="C30" s="37" t="s">
        <v>372</v>
      </c>
      <c r="D30" s="37" t="s">
        <v>375</v>
      </c>
      <c r="E30" s="38">
        <v>2381.4</v>
      </c>
      <c r="F30" s="39" t="s">
        <v>237</v>
      </c>
      <c r="G30" s="38">
        <v>8820</v>
      </c>
      <c r="H30" s="39" t="s">
        <v>380</v>
      </c>
      <c r="I30" s="40">
        <v>45411</v>
      </c>
      <c r="J30" s="40">
        <v>45415</v>
      </c>
      <c r="K30" s="38">
        <v>0</v>
      </c>
      <c r="L30" s="39" t="s">
        <v>380</v>
      </c>
      <c r="M30" s="38">
        <v>0</v>
      </c>
      <c r="N30" s="39" t="s">
        <v>380</v>
      </c>
      <c r="O30" s="41">
        <v>99999</v>
      </c>
      <c r="P30" s="38">
        <v>0</v>
      </c>
      <c r="Q30" s="38">
        <v>0</v>
      </c>
      <c r="R30" s="39" t="s">
        <v>237</v>
      </c>
    </row>
    <row r="31" spans="1:18" x14ac:dyDescent="0.3">
      <c r="A31" s="37" t="s">
        <v>378</v>
      </c>
      <c r="B31" s="37" t="s">
        <v>409</v>
      </c>
      <c r="C31" s="37" t="s">
        <v>372</v>
      </c>
      <c r="D31" s="37" t="s">
        <v>375</v>
      </c>
      <c r="E31" s="38">
        <v>49851.72</v>
      </c>
      <c r="F31" s="39" t="s">
        <v>237</v>
      </c>
      <c r="G31" s="38">
        <v>184636</v>
      </c>
      <c r="H31" s="39" t="s">
        <v>380</v>
      </c>
      <c r="I31" s="40">
        <v>45488</v>
      </c>
      <c r="J31" s="40"/>
      <c r="K31" s="38">
        <v>312580.071999999</v>
      </c>
      <c r="L31" s="39" t="s">
        <v>380</v>
      </c>
      <c r="M31" s="38">
        <v>402136.071999999</v>
      </c>
      <c r="N31" s="39" t="s">
        <v>380</v>
      </c>
      <c r="O31" s="41">
        <v>54</v>
      </c>
      <c r="P31" s="38">
        <v>3.35</v>
      </c>
      <c r="Q31" s="38">
        <v>84396.6</v>
      </c>
      <c r="R31" s="39" t="s">
        <v>237</v>
      </c>
    </row>
    <row r="32" spans="1:18" x14ac:dyDescent="0.3">
      <c r="A32" s="37" t="s">
        <v>378</v>
      </c>
      <c r="B32" s="37" t="s">
        <v>410</v>
      </c>
      <c r="C32" s="37" t="s">
        <v>372</v>
      </c>
      <c r="D32" s="37" t="s">
        <v>375</v>
      </c>
      <c r="E32" s="38">
        <v>0</v>
      </c>
      <c r="F32" s="39" t="s">
        <v>237</v>
      </c>
      <c r="G32" s="38">
        <v>0</v>
      </c>
      <c r="H32" s="39" t="s">
        <v>380</v>
      </c>
      <c r="I32" s="40">
        <v>44980</v>
      </c>
      <c r="J32" s="40">
        <v>44980</v>
      </c>
      <c r="K32" s="38">
        <v>0</v>
      </c>
      <c r="L32" s="39" t="s">
        <v>380</v>
      </c>
      <c r="M32" s="38">
        <v>0</v>
      </c>
      <c r="N32" s="39" t="s">
        <v>380</v>
      </c>
      <c r="O32" s="41">
        <v>0</v>
      </c>
      <c r="P32" s="38">
        <v>0</v>
      </c>
      <c r="Q32" s="38">
        <v>0</v>
      </c>
      <c r="R32" s="39" t="s">
        <v>237</v>
      </c>
    </row>
    <row r="33" spans="1:18" x14ac:dyDescent="0.3">
      <c r="A33" s="37" t="s">
        <v>378</v>
      </c>
      <c r="B33" s="37" t="s">
        <v>411</v>
      </c>
      <c r="C33" s="37" t="s">
        <v>372</v>
      </c>
      <c r="D33" s="37" t="s">
        <v>375</v>
      </c>
      <c r="E33" s="38">
        <v>30383.0999999999</v>
      </c>
      <c r="F33" s="39" t="s">
        <v>237</v>
      </c>
      <c r="G33" s="38">
        <v>98010</v>
      </c>
      <c r="H33" s="39" t="s">
        <v>380</v>
      </c>
      <c r="I33" s="40">
        <v>45527</v>
      </c>
      <c r="J33" s="40">
        <v>44364</v>
      </c>
      <c r="K33" s="38">
        <v>233280</v>
      </c>
      <c r="L33" s="39" t="s">
        <v>380</v>
      </c>
      <c r="M33" s="38">
        <v>291600</v>
      </c>
      <c r="N33" s="39" t="s">
        <v>380</v>
      </c>
      <c r="O33" s="41">
        <v>39</v>
      </c>
      <c r="P33" s="38">
        <v>4.3</v>
      </c>
      <c r="Q33" s="38">
        <v>72316.800000000003</v>
      </c>
      <c r="R33" s="39" t="s">
        <v>237</v>
      </c>
    </row>
    <row r="34" spans="1:18" x14ac:dyDescent="0.3">
      <c r="A34" s="37" t="s">
        <v>378</v>
      </c>
      <c r="B34" s="37" t="s">
        <v>412</v>
      </c>
      <c r="C34" s="37" t="s">
        <v>372</v>
      </c>
      <c r="D34" s="37" t="s">
        <v>375</v>
      </c>
      <c r="E34" s="38">
        <v>6562.0799999999899</v>
      </c>
      <c r="F34" s="39" t="s">
        <v>237</v>
      </c>
      <c r="G34" s="38">
        <v>15624</v>
      </c>
      <c r="H34" s="39" t="s">
        <v>380</v>
      </c>
      <c r="I34" s="40">
        <v>45518</v>
      </c>
      <c r="J34" s="40">
        <v>45519</v>
      </c>
      <c r="K34" s="38">
        <v>18072</v>
      </c>
      <c r="L34" s="39" t="s">
        <v>380</v>
      </c>
      <c r="M34" s="38">
        <v>9504</v>
      </c>
      <c r="N34" s="39" t="s">
        <v>380</v>
      </c>
      <c r="O34" s="41">
        <v>81</v>
      </c>
      <c r="P34" s="38">
        <v>1.1100000000000001</v>
      </c>
      <c r="Q34" s="38">
        <v>7489.4399999999896</v>
      </c>
      <c r="R34" s="39" t="s">
        <v>237</v>
      </c>
    </row>
    <row r="35" spans="1:18" x14ac:dyDescent="0.3">
      <c r="A35" s="37" t="s">
        <v>378</v>
      </c>
      <c r="B35" s="37" t="s">
        <v>413</v>
      </c>
      <c r="C35" s="37" t="s">
        <v>372</v>
      </c>
      <c r="D35" s="37" t="s">
        <v>375</v>
      </c>
      <c r="E35" s="38">
        <v>9871.1599999999908</v>
      </c>
      <c r="F35" s="39" t="s">
        <v>237</v>
      </c>
      <c r="G35" s="38">
        <v>37966</v>
      </c>
      <c r="H35" s="39" t="s">
        <v>380</v>
      </c>
      <c r="I35" s="40">
        <v>45526</v>
      </c>
      <c r="J35" s="40">
        <v>45405</v>
      </c>
      <c r="K35" s="38">
        <v>26208</v>
      </c>
      <c r="L35" s="39" t="s">
        <v>380</v>
      </c>
      <c r="M35" s="38">
        <v>37440</v>
      </c>
      <c r="N35" s="39" t="s">
        <v>380</v>
      </c>
      <c r="O35" s="41">
        <v>136</v>
      </c>
      <c r="P35" s="38">
        <v>1.24</v>
      </c>
      <c r="Q35" s="38">
        <v>6689.2799999999897</v>
      </c>
      <c r="R35" s="39" t="s">
        <v>237</v>
      </c>
    </row>
    <row r="36" spans="1:18" x14ac:dyDescent="0.3">
      <c r="A36" s="37" t="s">
        <v>378</v>
      </c>
      <c r="B36" s="37" t="s">
        <v>414</v>
      </c>
      <c r="C36" s="37" t="s">
        <v>372</v>
      </c>
      <c r="D36" s="37" t="s">
        <v>375</v>
      </c>
      <c r="E36" s="38">
        <v>0</v>
      </c>
      <c r="F36" s="39" t="s">
        <v>237</v>
      </c>
      <c r="G36" s="38">
        <v>0</v>
      </c>
      <c r="H36" s="39" t="s">
        <v>380</v>
      </c>
      <c r="I36" s="40">
        <v>44847</v>
      </c>
      <c r="J36" s="40">
        <v>44859</v>
      </c>
      <c r="K36" s="38">
        <v>0</v>
      </c>
      <c r="L36" s="39" t="s">
        <v>380</v>
      </c>
      <c r="M36" s="38">
        <v>0</v>
      </c>
      <c r="N36" s="39" t="s">
        <v>380</v>
      </c>
      <c r="O36" s="41">
        <v>0</v>
      </c>
      <c r="P36" s="38">
        <v>0</v>
      </c>
      <c r="Q36" s="38">
        <v>0</v>
      </c>
      <c r="R36" s="39" t="s">
        <v>237</v>
      </c>
    </row>
    <row r="37" spans="1:18" x14ac:dyDescent="0.3">
      <c r="A37" s="37" t="s">
        <v>378</v>
      </c>
      <c r="B37" s="37" t="s">
        <v>415</v>
      </c>
      <c r="C37" s="37" t="s">
        <v>372</v>
      </c>
      <c r="D37" s="37" t="s">
        <v>375</v>
      </c>
      <c r="E37" s="38">
        <v>0</v>
      </c>
      <c r="F37" s="39" t="s">
        <v>237</v>
      </c>
      <c r="G37" s="38">
        <v>0</v>
      </c>
      <c r="H37" s="39" t="s">
        <v>380</v>
      </c>
      <c r="I37" s="40">
        <v>45426</v>
      </c>
      <c r="J37" s="40">
        <v>45426</v>
      </c>
      <c r="K37" s="38">
        <v>0</v>
      </c>
      <c r="L37" s="39" t="s">
        <v>380</v>
      </c>
      <c r="M37" s="38">
        <v>0</v>
      </c>
      <c r="N37" s="39" t="s">
        <v>380</v>
      </c>
      <c r="O37" s="41">
        <v>0</v>
      </c>
      <c r="P37" s="38">
        <v>0</v>
      </c>
      <c r="Q37" s="38">
        <v>0</v>
      </c>
      <c r="R37" s="39" t="s">
        <v>237</v>
      </c>
    </row>
    <row r="38" spans="1:18" x14ac:dyDescent="0.3">
      <c r="A38" s="37" t="s">
        <v>378</v>
      </c>
      <c r="B38" s="37" t="s">
        <v>416</v>
      </c>
      <c r="C38" s="37" t="s">
        <v>372</v>
      </c>
      <c r="D38" s="37" t="s">
        <v>375</v>
      </c>
      <c r="E38" s="38">
        <v>0</v>
      </c>
      <c r="F38" s="39" t="s">
        <v>237</v>
      </c>
      <c r="G38" s="38">
        <v>0</v>
      </c>
      <c r="H38" s="39" t="s">
        <v>380</v>
      </c>
      <c r="I38" s="40">
        <v>45449</v>
      </c>
      <c r="J38" s="40">
        <v>45453</v>
      </c>
      <c r="K38" s="38">
        <v>10000</v>
      </c>
      <c r="L38" s="39" t="s">
        <v>380</v>
      </c>
      <c r="M38" s="38">
        <v>10000</v>
      </c>
      <c r="N38" s="39" t="s">
        <v>380</v>
      </c>
      <c r="O38" s="41">
        <v>0</v>
      </c>
      <c r="P38" s="38">
        <v>99999</v>
      </c>
      <c r="Q38" s="38">
        <v>3000</v>
      </c>
      <c r="R38" s="39" t="s">
        <v>237</v>
      </c>
    </row>
    <row r="39" spans="1:18" x14ac:dyDescent="0.3">
      <c r="A39" s="37" t="s">
        <v>378</v>
      </c>
      <c r="B39" s="37" t="s">
        <v>417</v>
      </c>
      <c r="C39" s="37" t="s">
        <v>372</v>
      </c>
      <c r="D39" s="37" t="s">
        <v>375</v>
      </c>
      <c r="E39" s="38">
        <v>0</v>
      </c>
      <c r="F39" s="39" t="s">
        <v>237</v>
      </c>
      <c r="G39" s="38">
        <v>0</v>
      </c>
      <c r="H39" s="39" t="s">
        <v>380</v>
      </c>
      <c r="I39" s="40">
        <v>44538</v>
      </c>
      <c r="J39" s="40">
        <v>44544</v>
      </c>
      <c r="K39" s="38">
        <v>0</v>
      </c>
      <c r="L39" s="39" t="s">
        <v>380</v>
      </c>
      <c r="M39" s="38">
        <v>0</v>
      </c>
      <c r="N39" s="39" t="s">
        <v>380</v>
      </c>
      <c r="O39" s="41">
        <v>0</v>
      </c>
      <c r="P39" s="38">
        <v>0</v>
      </c>
      <c r="Q39" s="38">
        <v>0</v>
      </c>
      <c r="R39" s="39" t="s">
        <v>237</v>
      </c>
    </row>
    <row r="40" spans="1:18" x14ac:dyDescent="0.3">
      <c r="A40" s="37" t="s">
        <v>378</v>
      </c>
      <c r="B40" s="37" t="s">
        <v>418</v>
      </c>
      <c r="C40" s="37" t="s">
        <v>372</v>
      </c>
      <c r="D40" s="37" t="s">
        <v>375</v>
      </c>
      <c r="E40" s="38">
        <v>7761.6</v>
      </c>
      <c r="F40" s="39" t="s">
        <v>237</v>
      </c>
      <c r="G40" s="38">
        <v>27720</v>
      </c>
      <c r="H40" s="39" t="s">
        <v>380</v>
      </c>
      <c r="I40" s="40">
        <v>45530</v>
      </c>
      <c r="J40" s="40">
        <v>45533</v>
      </c>
      <c r="K40" s="38">
        <v>29568</v>
      </c>
      <c r="L40" s="39" t="s">
        <v>380</v>
      </c>
      <c r="M40" s="38">
        <v>33264</v>
      </c>
      <c r="N40" s="39" t="s">
        <v>380</v>
      </c>
      <c r="O40" s="41">
        <v>87</v>
      </c>
      <c r="P40" s="38">
        <v>1.52</v>
      </c>
      <c r="Q40" s="38">
        <v>8181.04</v>
      </c>
      <c r="R40" s="39" t="s">
        <v>237</v>
      </c>
    </row>
    <row r="41" spans="1:18" x14ac:dyDescent="0.3">
      <c r="A41" s="37" t="s">
        <v>378</v>
      </c>
      <c r="B41" s="37" t="s">
        <v>419</v>
      </c>
      <c r="C41" s="37" t="s">
        <v>372</v>
      </c>
      <c r="D41" s="37" t="s">
        <v>375</v>
      </c>
      <c r="E41" s="38">
        <v>3088.8</v>
      </c>
      <c r="F41" s="39" t="s">
        <v>237</v>
      </c>
      <c r="G41" s="38">
        <v>8580</v>
      </c>
      <c r="H41" s="39" t="s">
        <v>380</v>
      </c>
      <c r="I41" s="40">
        <v>45520</v>
      </c>
      <c r="J41" s="40">
        <v>45425</v>
      </c>
      <c r="K41" s="38">
        <v>12540</v>
      </c>
      <c r="L41" s="39" t="s">
        <v>380</v>
      </c>
      <c r="M41" s="38">
        <v>11880</v>
      </c>
      <c r="N41" s="39" t="s">
        <v>380</v>
      </c>
      <c r="O41" s="41">
        <v>63</v>
      </c>
      <c r="P41" s="38">
        <v>1.55</v>
      </c>
      <c r="Q41" s="38">
        <v>4514.3999999999896</v>
      </c>
      <c r="R41" s="39" t="s">
        <v>237</v>
      </c>
    </row>
    <row r="42" spans="1:18" x14ac:dyDescent="0.3">
      <c r="A42" s="37" t="s">
        <v>378</v>
      </c>
      <c r="B42" s="37" t="s">
        <v>420</v>
      </c>
      <c r="C42" s="37" t="s">
        <v>372</v>
      </c>
      <c r="D42" s="37" t="s">
        <v>375</v>
      </c>
      <c r="E42" s="38">
        <v>24294.9</v>
      </c>
      <c r="F42" s="39" t="s">
        <v>237</v>
      </c>
      <c r="G42" s="38">
        <v>69414</v>
      </c>
      <c r="H42" s="39" t="s">
        <v>380</v>
      </c>
      <c r="I42" s="40">
        <v>45526</v>
      </c>
      <c r="J42" s="40">
        <v>45436</v>
      </c>
      <c r="K42" s="38">
        <v>19968</v>
      </c>
      <c r="L42" s="39" t="s">
        <v>380</v>
      </c>
      <c r="M42" s="38">
        <v>59400</v>
      </c>
      <c r="N42" s="39" t="s">
        <v>380</v>
      </c>
      <c r="O42" s="41">
        <v>324</v>
      </c>
      <c r="P42" s="38">
        <v>0.6</v>
      </c>
      <c r="Q42" s="38">
        <v>6901.4399999999896</v>
      </c>
      <c r="R42" s="39" t="s">
        <v>237</v>
      </c>
    </row>
    <row r="43" spans="1:18" x14ac:dyDescent="0.3">
      <c r="A43" s="37" t="s">
        <v>378</v>
      </c>
      <c r="B43" s="37" t="s">
        <v>421</v>
      </c>
      <c r="C43" s="37" t="s">
        <v>372</v>
      </c>
      <c r="D43" s="37" t="s">
        <v>375</v>
      </c>
      <c r="E43" s="38">
        <v>0</v>
      </c>
      <c r="F43" s="39" t="s">
        <v>237</v>
      </c>
      <c r="G43" s="38">
        <v>0</v>
      </c>
      <c r="H43" s="39" t="s">
        <v>380</v>
      </c>
      <c r="I43" s="40">
        <v>44644</v>
      </c>
      <c r="J43" s="40">
        <v>44650</v>
      </c>
      <c r="K43" s="38">
        <v>0</v>
      </c>
      <c r="L43" s="39" t="s">
        <v>380</v>
      </c>
      <c r="M43" s="38">
        <v>0</v>
      </c>
      <c r="N43" s="39" t="s">
        <v>380</v>
      </c>
      <c r="O43" s="41">
        <v>0</v>
      </c>
      <c r="P43" s="38">
        <v>0</v>
      </c>
      <c r="Q43" s="38">
        <v>0</v>
      </c>
      <c r="R43" s="39" t="s">
        <v>237</v>
      </c>
    </row>
    <row r="44" spans="1:18" x14ac:dyDescent="0.3">
      <c r="A44" s="37" t="s">
        <v>378</v>
      </c>
      <c r="B44" s="37" t="s">
        <v>1248</v>
      </c>
      <c r="C44" s="37" t="s">
        <v>372</v>
      </c>
      <c r="D44" s="37" t="s">
        <v>375</v>
      </c>
      <c r="E44" s="38">
        <v>0</v>
      </c>
      <c r="F44" s="39" t="s">
        <v>237</v>
      </c>
      <c r="G44" s="38">
        <v>0</v>
      </c>
      <c r="H44" s="39" t="s">
        <v>380</v>
      </c>
      <c r="I44" s="40">
        <v>45314</v>
      </c>
      <c r="J44" s="40">
        <v>45321</v>
      </c>
      <c r="K44" s="38">
        <v>0</v>
      </c>
      <c r="L44" s="39" t="s">
        <v>380</v>
      </c>
      <c r="M44" s="38">
        <v>0</v>
      </c>
      <c r="N44" s="39" t="s">
        <v>380</v>
      </c>
      <c r="O44" s="41">
        <v>0</v>
      </c>
      <c r="P44" s="38">
        <v>0</v>
      </c>
      <c r="Q44" s="38">
        <v>0</v>
      </c>
      <c r="R44" s="39" t="s">
        <v>237</v>
      </c>
    </row>
    <row r="45" spans="1:18" x14ac:dyDescent="0.3">
      <c r="A45" s="37" t="s">
        <v>378</v>
      </c>
      <c r="B45" s="37" t="s">
        <v>422</v>
      </c>
      <c r="C45" s="37" t="s">
        <v>372</v>
      </c>
      <c r="D45" s="37" t="s">
        <v>375</v>
      </c>
      <c r="E45" s="38">
        <v>3927</v>
      </c>
      <c r="F45" s="39" t="s">
        <v>237</v>
      </c>
      <c r="G45" s="38">
        <v>17850</v>
      </c>
      <c r="H45" s="39" t="s">
        <v>380</v>
      </c>
      <c r="I45" s="40">
        <v>45048</v>
      </c>
      <c r="J45" s="40">
        <v>45069</v>
      </c>
      <c r="K45" s="38">
        <v>0</v>
      </c>
      <c r="L45" s="39" t="s">
        <v>380</v>
      </c>
      <c r="M45" s="38">
        <v>0</v>
      </c>
      <c r="N45" s="39" t="s">
        <v>380</v>
      </c>
      <c r="O45" s="41">
        <v>99999</v>
      </c>
      <c r="P45" s="38">
        <v>0</v>
      </c>
      <c r="Q45" s="38">
        <v>0</v>
      </c>
      <c r="R45" s="39" t="s">
        <v>237</v>
      </c>
    </row>
    <row r="46" spans="1:18" x14ac:dyDescent="0.3">
      <c r="A46" s="37" t="s">
        <v>378</v>
      </c>
      <c r="B46" s="37" t="s">
        <v>423</v>
      </c>
      <c r="C46" s="37" t="s">
        <v>372</v>
      </c>
      <c r="D46" s="37" t="s">
        <v>375</v>
      </c>
      <c r="E46" s="38">
        <v>0</v>
      </c>
      <c r="F46" s="39" t="s">
        <v>237</v>
      </c>
      <c r="G46" s="38">
        <v>0</v>
      </c>
      <c r="H46" s="39" t="s">
        <v>380</v>
      </c>
      <c r="I46" s="40">
        <v>45443</v>
      </c>
      <c r="J46" s="40">
        <v>45477</v>
      </c>
      <c r="K46" s="38">
        <v>36862</v>
      </c>
      <c r="L46" s="39" t="s">
        <v>380</v>
      </c>
      <c r="M46" s="38">
        <v>16856</v>
      </c>
      <c r="N46" s="39" t="s">
        <v>380</v>
      </c>
      <c r="O46" s="41">
        <v>0</v>
      </c>
      <c r="P46" s="38">
        <v>4</v>
      </c>
      <c r="Q46" s="38">
        <v>7170.6599999999899</v>
      </c>
      <c r="R46" s="39" t="s">
        <v>237</v>
      </c>
    </row>
    <row r="47" spans="1:18" x14ac:dyDescent="0.3">
      <c r="A47" s="37" t="s">
        <v>378</v>
      </c>
      <c r="B47" s="37" t="s">
        <v>424</v>
      </c>
      <c r="C47" s="37" t="s">
        <v>372</v>
      </c>
      <c r="D47" s="37" t="s">
        <v>375</v>
      </c>
      <c r="E47" s="38">
        <v>776.15999999999894</v>
      </c>
      <c r="F47" s="39" t="s">
        <v>237</v>
      </c>
      <c r="G47" s="38">
        <v>2772</v>
      </c>
      <c r="H47" s="39" t="s">
        <v>380</v>
      </c>
      <c r="I47" s="40">
        <v>45433</v>
      </c>
      <c r="J47" s="40">
        <v>45533</v>
      </c>
      <c r="K47" s="38">
        <v>18480</v>
      </c>
      <c r="L47" s="39" t="s">
        <v>380</v>
      </c>
      <c r="M47" s="38">
        <v>0</v>
      </c>
      <c r="N47" s="39" t="s">
        <v>380</v>
      </c>
      <c r="O47" s="41">
        <v>14</v>
      </c>
      <c r="P47" s="38">
        <v>1.23</v>
      </c>
      <c r="Q47" s="38">
        <v>5155.92</v>
      </c>
      <c r="R47" s="39" t="s">
        <v>237</v>
      </c>
    </row>
    <row r="48" spans="1:18" x14ac:dyDescent="0.3">
      <c r="A48" s="37" t="s">
        <v>378</v>
      </c>
      <c r="B48" s="37" t="s">
        <v>425</v>
      </c>
      <c r="C48" s="37" t="s">
        <v>372</v>
      </c>
      <c r="D48" s="37" t="s">
        <v>375</v>
      </c>
      <c r="E48" s="38">
        <v>10832.639999999899</v>
      </c>
      <c r="F48" s="39" t="s">
        <v>237</v>
      </c>
      <c r="G48" s="38">
        <v>38688</v>
      </c>
      <c r="H48" s="39" t="s">
        <v>380</v>
      </c>
      <c r="I48" s="40">
        <v>45524</v>
      </c>
      <c r="J48" s="40"/>
      <c r="K48" s="38">
        <v>134784</v>
      </c>
      <c r="L48" s="39" t="s">
        <v>380</v>
      </c>
      <c r="M48" s="38">
        <v>136032</v>
      </c>
      <c r="N48" s="39" t="s">
        <v>380</v>
      </c>
      <c r="O48" s="41">
        <v>27</v>
      </c>
      <c r="P48" s="38">
        <v>2.96</v>
      </c>
      <c r="Q48" s="38">
        <v>37362.599999999897</v>
      </c>
      <c r="R48" s="39" t="s">
        <v>237</v>
      </c>
    </row>
    <row r="49" spans="1:18" x14ac:dyDescent="0.3">
      <c r="A49" s="37" t="s">
        <v>378</v>
      </c>
      <c r="B49" s="37" t="s">
        <v>426</v>
      </c>
      <c r="C49" s="37" t="s">
        <v>372</v>
      </c>
      <c r="D49" s="37" t="s">
        <v>375</v>
      </c>
      <c r="E49" s="38">
        <v>6409</v>
      </c>
      <c r="F49" s="39" t="s">
        <v>237</v>
      </c>
      <c r="G49" s="38">
        <v>18850</v>
      </c>
      <c r="H49" s="39" t="s">
        <v>380</v>
      </c>
      <c r="I49" s="40">
        <v>45520</v>
      </c>
      <c r="J49" s="40"/>
      <c r="K49" s="38">
        <v>35750</v>
      </c>
      <c r="L49" s="39" t="s">
        <v>380</v>
      </c>
      <c r="M49" s="38">
        <v>26000</v>
      </c>
      <c r="N49" s="39" t="s">
        <v>380</v>
      </c>
      <c r="O49" s="41">
        <v>49</v>
      </c>
      <c r="P49" s="38">
        <v>1.9</v>
      </c>
      <c r="Q49" s="38">
        <v>12155</v>
      </c>
      <c r="R49" s="39" t="s">
        <v>237</v>
      </c>
    </row>
    <row r="50" spans="1:18" x14ac:dyDescent="0.3">
      <c r="A50" s="37" t="s">
        <v>378</v>
      </c>
      <c r="B50" s="37" t="s">
        <v>427</v>
      </c>
      <c r="C50" s="37" t="s">
        <v>372</v>
      </c>
      <c r="D50" s="37" t="s">
        <v>375</v>
      </c>
      <c r="E50" s="38">
        <v>0</v>
      </c>
      <c r="F50" s="39" t="s">
        <v>237</v>
      </c>
      <c r="G50" s="38">
        <v>0</v>
      </c>
      <c r="H50" s="39" t="s">
        <v>380</v>
      </c>
      <c r="I50" s="40">
        <v>44621</v>
      </c>
      <c r="J50" s="40">
        <v>44649</v>
      </c>
      <c r="K50" s="38">
        <v>0</v>
      </c>
      <c r="L50" s="39" t="s">
        <v>380</v>
      </c>
      <c r="M50" s="38">
        <v>0</v>
      </c>
      <c r="N50" s="39" t="s">
        <v>380</v>
      </c>
      <c r="O50" s="41">
        <v>0</v>
      </c>
      <c r="P50" s="38">
        <v>0</v>
      </c>
      <c r="Q50" s="38">
        <v>0</v>
      </c>
      <c r="R50" s="39" t="s">
        <v>237</v>
      </c>
    </row>
    <row r="51" spans="1:18" x14ac:dyDescent="0.3">
      <c r="A51" s="37" t="s">
        <v>378</v>
      </c>
      <c r="B51" s="37" t="s">
        <v>428</v>
      </c>
      <c r="C51" s="37" t="s">
        <v>372</v>
      </c>
      <c r="D51" s="37" t="s">
        <v>375</v>
      </c>
      <c r="E51" s="38">
        <v>0</v>
      </c>
      <c r="F51" s="39" t="s">
        <v>237</v>
      </c>
      <c r="G51" s="38">
        <v>0</v>
      </c>
      <c r="H51" s="39" t="s">
        <v>380</v>
      </c>
      <c r="I51" s="40">
        <v>45217</v>
      </c>
      <c r="J51" s="40">
        <v>45217</v>
      </c>
      <c r="K51" s="38">
        <v>0</v>
      </c>
      <c r="L51" s="39" t="s">
        <v>380</v>
      </c>
      <c r="M51" s="38">
        <v>0</v>
      </c>
      <c r="N51" s="39" t="s">
        <v>380</v>
      </c>
      <c r="O51" s="41">
        <v>0</v>
      </c>
      <c r="P51" s="38">
        <v>0</v>
      </c>
      <c r="Q51" s="38">
        <v>0</v>
      </c>
      <c r="R51" s="39" t="s">
        <v>237</v>
      </c>
    </row>
    <row r="52" spans="1:18" x14ac:dyDescent="0.3">
      <c r="A52" s="37" t="s">
        <v>378</v>
      </c>
      <c r="B52" s="37" t="s">
        <v>429</v>
      </c>
      <c r="C52" s="37" t="s">
        <v>372</v>
      </c>
      <c r="D52" s="37" t="s">
        <v>375</v>
      </c>
      <c r="E52" s="38">
        <v>6674.8</v>
      </c>
      <c r="F52" s="39" t="s">
        <v>237</v>
      </c>
      <c r="G52" s="38">
        <v>18040</v>
      </c>
      <c r="H52" s="39" t="s">
        <v>380</v>
      </c>
      <c r="I52" s="40">
        <v>45518</v>
      </c>
      <c r="J52" s="40">
        <v>44691</v>
      </c>
      <c r="K52" s="38">
        <v>12320</v>
      </c>
      <c r="L52" s="39" t="s">
        <v>380</v>
      </c>
      <c r="M52" s="38">
        <v>18480</v>
      </c>
      <c r="N52" s="39" t="s">
        <v>380</v>
      </c>
      <c r="O52" s="41">
        <v>136</v>
      </c>
      <c r="P52" s="38">
        <v>1.24</v>
      </c>
      <c r="Q52" s="38">
        <v>4505.9099999999899</v>
      </c>
      <c r="R52" s="39" t="s">
        <v>237</v>
      </c>
    </row>
    <row r="53" spans="1:18" x14ac:dyDescent="0.3">
      <c r="A53" s="37" t="s">
        <v>378</v>
      </c>
      <c r="B53" s="37" t="s">
        <v>430</v>
      </c>
      <c r="C53" s="37" t="s">
        <v>372</v>
      </c>
      <c r="D53" s="37" t="s">
        <v>375</v>
      </c>
      <c r="E53" s="38">
        <v>0</v>
      </c>
      <c r="F53" s="39" t="s">
        <v>237</v>
      </c>
      <c r="G53" s="38">
        <v>0</v>
      </c>
      <c r="H53" s="39" t="s">
        <v>380</v>
      </c>
      <c r="I53" s="40">
        <v>44519</v>
      </c>
      <c r="J53" s="40">
        <v>44522</v>
      </c>
      <c r="K53" s="38">
        <v>0</v>
      </c>
      <c r="L53" s="39" t="s">
        <v>380</v>
      </c>
      <c r="M53" s="38">
        <v>0</v>
      </c>
      <c r="N53" s="39" t="s">
        <v>380</v>
      </c>
      <c r="O53" s="41">
        <v>0</v>
      </c>
      <c r="P53" s="38">
        <v>0</v>
      </c>
      <c r="Q53" s="38">
        <v>0</v>
      </c>
      <c r="R53" s="39" t="s">
        <v>237</v>
      </c>
    </row>
    <row r="54" spans="1:18" x14ac:dyDescent="0.3">
      <c r="A54" s="37" t="s">
        <v>378</v>
      </c>
      <c r="B54" s="37" t="s">
        <v>431</v>
      </c>
      <c r="C54" s="37" t="s">
        <v>372</v>
      </c>
      <c r="D54" s="37" t="s">
        <v>375</v>
      </c>
      <c r="E54" s="38">
        <v>2105.7800000000002</v>
      </c>
      <c r="F54" s="39" t="s">
        <v>237</v>
      </c>
      <c r="G54" s="38">
        <v>17525</v>
      </c>
      <c r="H54" s="39" t="s">
        <v>380</v>
      </c>
      <c r="I54" s="40">
        <v>45519</v>
      </c>
      <c r="J54" s="40">
        <v>45520</v>
      </c>
      <c r="K54" s="38">
        <v>27352</v>
      </c>
      <c r="L54" s="39" t="s">
        <v>380</v>
      </c>
      <c r="M54" s="38">
        <v>13676</v>
      </c>
      <c r="N54" s="39" t="s">
        <v>380</v>
      </c>
      <c r="O54" s="41">
        <v>118</v>
      </c>
      <c r="P54" s="38">
        <v>0.56000000000000005</v>
      </c>
      <c r="Q54" s="38">
        <v>1643.3099999999899</v>
      </c>
      <c r="R54" s="39" t="s">
        <v>237</v>
      </c>
    </row>
    <row r="55" spans="1:18" x14ac:dyDescent="0.3">
      <c r="A55" s="37" t="s">
        <v>378</v>
      </c>
      <c r="B55" s="37" t="s">
        <v>432</v>
      </c>
      <c r="C55" s="37" t="s">
        <v>372</v>
      </c>
      <c r="D55" s="37" t="s">
        <v>375</v>
      </c>
      <c r="E55" s="38">
        <v>4417.17</v>
      </c>
      <c r="F55" s="39" t="s">
        <v>237</v>
      </c>
      <c r="G55" s="38">
        <v>37203</v>
      </c>
      <c r="H55" s="39" t="s">
        <v>380</v>
      </c>
      <c r="I55" s="40">
        <v>45504</v>
      </c>
      <c r="J55" s="40"/>
      <c r="K55" s="38">
        <v>924962</v>
      </c>
      <c r="L55" s="39" t="s">
        <v>380</v>
      </c>
      <c r="M55" s="38">
        <v>902381</v>
      </c>
      <c r="N55" s="39" t="s">
        <v>380</v>
      </c>
      <c r="O55" s="41">
        <v>8</v>
      </c>
      <c r="P55" s="38">
        <v>3.65</v>
      </c>
      <c r="Q55" s="38">
        <v>52959.43</v>
      </c>
      <c r="R55" s="39" t="s">
        <v>237</v>
      </c>
    </row>
    <row r="56" spans="1:18" x14ac:dyDescent="0.3">
      <c r="A56" s="37" t="s">
        <v>378</v>
      </c>
      <c r="B56" s="37" t="s">
        <v>433</v>
      </c>
      <c r="C56" s="37" t="s">
        <v>372</v>
      </c>
      <c r="D56" s="37" t="s">
        <v>375</v>
      </c>
      <c r="E56" s="38">
        <v>4117.2399999999898</v>
      </c>
      <c r="F56" s="39" t="s">
        <v>237</v>
      </c>
      <c r="G56" s="38">
        <v>33770</v>
      </c>
      <c r="H56" s="39" t="s">
        <v>380</v>
      </c>
      <c r="I56" s="40">
        <v>45488</v>
      </c>
      <c r="J56" s="40"/>
      <c r="K56" s="38">
        <v>96354</v>
      </c>
      <c r="L56" s="39" t="s">
        <v>380</v>
      </c>
      <c r="M56" s="38">
        <v>84177</v>
      </c>
      <c r="N56" s="39" t="s">
        <v>380</v>
      </c>
      <c r="O56" s="41">
        <v>65</v>
      </c>
      <c r="P56" s="38">
        <v>1.29</v>
      </c>
      <c r="Q56" s="38">
        <v>5788.0699999999897</v>
      </c>
      <c r="R56" s="39" t="s">
        <v>237</v>
      </c>
    </row>
    <row r="57" spans="1:18" x14ac:dyDescent="0.3">
      <c r="A57" s="37" t="s">
        <v>378</v>
      </c>
      <c r="B57" s="37" t="s">
        <v>434</v>
      </c>
      <c r="C57" s="37" t="s">
        <v>372</v>
      </c>
      <c r="D57" s="37" t="s">
        <v>375</v>
      </c>
      <c r="E57" s="38">
        <v>1370.88</v>
      </c>
      <c r="F57" s="39" t="s">
        <v>237</v>
      </c>
      <c r="G57" s="38">
        <v>2016</v>
      </c>
      <c r="H57" s="39" t="s">
        <v>380</v>
      </c>
      <c r="I57" s="40">
        <v>45386</v>
      </c>
      <c r="J57" s="40">
        <v>45517</v>
      </c>
      <c r="K57" s="38">
        <v>2592</v>
      </c>
      <c r="L57" s="39" t="s">
        <v>380</v>
      </c>
      <c r="M57" s="38">
        <v>0</v>
      </c>
      <c r="N57" s="39" t="s">
        <v>380</v>
      </c>
      <c r="O57" s="41">
        <v>72</v>
      </c>
      <c r="P57" s="38">
        <v>0.78</v>
      </c>
      <c r="Q57" s="38">
        <v>1745.28</v>
      </c>
      <c r="R57" s="39" t="s">
        <v>237</v>
      </c>
    </row>
    <row r="58" spans="1:18" x14ac:dyDescent="0.3">
      <c r="A58" s="37" t="s">
        <v>378</v>
      </c>
      <c r="B58" s="37" t="s">
        <v>435</v>
      </c>
      <c r="C58" s="37" t="s">
        <v>372</v>
      </c>
      <c r="D58" s="37" t="s">
        <v>375</v>
      </c>
      <c r="E58" s="38">
        <v>2962.73</v>
      </c>
      <c r="F58" s="39" t="s">
        <v>237</v>
      </c>
      <c r="G58" s="38">
        <v>45000</v>
      </c>
      <c r="H58" s="39" t="s">
        <v>380</v>
      </c>
      <c r="I58" s="40">
        <v>45516</v>
      </c>
      <c r="J58" s="40"/>
      <c r="K58" s="38">
        <v>75000</v>
      </c>
      <c r="L58" s="39" t="s">
        <v>380</v>
      </c>
      <c r="M58" s="38">
        <v>108000</v>
      </c>
      <c r="N58" s="39" t="s">
        <v>380</v>
      </c>
      <c r="O58" s="41">
        <v>55</v>
      </c>
      <c r="P58" s="38">
        <v>2.15</v>
      </c>
      <c r="Q58" s="38">
        <v>4949.38</v>
      </c>
      <c r="R58" s="39" t="s">
        <v>237</v>
      </c>
    </row>
    <row r="59" spans="1:18" x14ac:dyDescent="0.3">
      <c r="A59" s="37" t="s">
        <v>378</v>
      </c>
      <c r="B59" s="37" t="s">
        <v>436</v>
      </c>
      <c r="C59" s="37" t="s">
        <v>372</v>
      </c>
      <c r="D59" s="37" t="s">
        <v>375</v>
      </c>
      <c r="E59" s="38">
        <v>1099.29</v>
      </c>
      <c r="F59" s="39" t="s">
        <v>237</v>
      </c>
      <c r="G59" s="38">
        <v>10500</v>
      </c>
      <c r="H59" s="39" t="s">
        <v>380</v>
      </c>
      <c r="I59" s="40">
        <v>45479</v>
      </c>
      <c r="J59" s="40">
        <v>45530</v>
      </c>
      <c r="K59" s="38">
        <v>51500</v>
      </c>
      <c r="L59" s="39" t="s">
        <v>380</v>
      </c>
      <c r="M59" s="38">
        <v>49500</v>
      </c>
      <c r="N59" s="39" t="s">
        <v>380</v>
      </c>
      <c r="O59" s="41">
        <v>19</v>
      </c>
      <c r="P59" s="38">
        <v>2.5299999999999998</v>
      </c>
      <c r="Q59" s="38">
        <v>5230.8299999999899</v>
      </c>
      <c r="R59" s="39" t="s">
        <v>237</v>
      </c>
    </row>
    <row r="60" spans="1:18" x14ac:dyDescent="0.3">
      <c r="A60" s="37" t="s">
        <v>378</v>
      </c>
      <c r="B60" s="37" t="s">
        <v>437</v>
      </c>
      <c r="C60" s="37" t="s">
        <v>372</v>
      </c>
      <c r="D60" s="37" t="s">
        <v>375</v>
      </c>
      <c r="E60" s="38">
        <v>0</v>
      </c>
      <c r="F60" s="39" t="s">
        <v>237</v>
      </c>
      <c r="G60" s="38">
        <v>0</v>
      </c>
      <c r="H60" s="39" t="s">
        <v>380</v>
      </c>
      <c r="I60" s="40">
        <v>45257</v>
      </c>
      <c r="J60" s="40">
        <v>45279</v>
      </c>
      <c r="K60" s="38">
        <v>0</v>
      </c>
      <c r="L60" s="39" t="s">
        <v>380</v>
      </c>
      <c r="M60" s="38">
        <v>0</v>
      </c>
      <c r="N60" s="39" t="s">
        <v>380</v>
      </c>
      <c r="O60" s="41">
        <v>0</v>
      </c>
      <c r="P60" s="38">
        <v>0</v>
      </c>
      <c r="Q60" s="38">
        <v>0</v>
      </c>
      <c r="R60" s="39" t="s">
        <v>237</v>
      </c>
    </row>
    <row r="61" spans="1:18" x14ac:dyDescent="0.3">
      <c r="A61" s="37" t="s">
        <v>378</v>
      </c>
      <c r="B61" s="37" t="s">
        <v>438</v>
      </c>
      <c r="C61" s="37" t="s">
        <v>372</v>
      </c>
      <c r="D61" s="37" t="s">
        <v>375</v>
      </c>
      <c r="E61" s="38">
        <v>0</v>
      </c>
      <c r="F61" s="39" t="s">
        <v>237</v>
      </c>
      <c r="G61" s="38">
        <v>0</v>
      </c>
      <c r="H61" s="39" t="s">
        <v>380</v>
      </c>
      <c r="I61" s="40"/>
      <c r="J61" s="40">
        <v>45313</v>
      </c>
      <c r="K61" s="38">
        <v>0</v>
      </c>
      <c r="L61" s="39" t="s">
        <v>380</v>
      </c>
      <c r="M61" s="38">
        <v>0</v>
      </c>
      <c r="N61" s="39" t="s">
        <v>380</v>
      </c>
      <c r="O61" s="41">
        <v>0</v>
      </c>
      <c r="P61" s="38">
        <v>0</v>
      </c>
      <c r="Q61" s="38">
        <v>0</v>
      </c>
      <c r="R61" s="39" t="s">
        <v>237</v>
      </c>
    </row>
    <row r="62" spans="1:18" x14ac:dyDescent="0.3">
      <c r="A62" s="37" t="s">
        <v>378</v>
      </c>
      <c r="B62" s="37" t="s">
        <v>439</v>
      </c>
      <c r="C62" s="37" t="s">
        <v>372</v>
      </c>
      <c r="D62" s="37" t="s">
        <v>375</v>
      </c>
      <c r="E62" s="38">
        <v>17840.5999999999</v>
      </c>
      <c r="F62" s="39" t="s">
        <v>237</v>
      </c>
      <c r="G62" s="38">
        <v>270600</v>
      </c>
      <c r="H62" s="39" t="s">
        <v>380</v>
      </c>
      <c r="I62" s="40">
        <v>45533</v>
      </c>
      <c r="J62" s="40"/>
      <c r="K62" s="38">
        <v>310200</v>
      </c>
      <c r="L62" s="39" t="s">
        <v>380</v>
      </c>
      <c r="M62" s="38">
        <v>528000</v>
      </c>
      <c r="N62" s="39" t="s">
        <v>380</v>
      </c>
      <c r="O62" s="41">
        <v>80</v>
      </c>
      <c r="P62" s="38">
        <v>2.16</v>
      </c>
      <c r="Q62" s="38">
        <v>20595.22</v>
      </c>
      <c r="R62" s="39" t="s">
        <v>237</v>
      </c>
    </row>
    <row r="63" spans="1:18" x14ac:dyDescent="0.3">
      <c r="A63" s="37" t="s">
        <v>378</v>
      </c>
      <c r="B63" s="37" t="s">
        <v>440</v>
      </c>
      <c r="C63" s="37" t="s">
        <v>372</v>
      </c>
      <c r="D63" s="37" t="s">
        <v>375</v>
      </c>
      <c r="E63" s="38">
        <v>0</v>
      </c>
      <c r="F63" s="39" t="s">
        <v>237</v>
      </c>
      <c r="G63" s="38">
        <v>0</v>
      </c>
      <c r="H63" s="39" t="s">
        <v>380</v>
      </c>
      <c r="I63" s="40">
        <v>45063</v>
      </c>
      <c r="J63" s="40">
        <v>45064</v>
      </c>
      <c r="K63" s="38">
        <v>0</v>
      </c>
      <c r="L63" s="39" t="s">
        <v>380</v>
      </c>
      <c r="M63" s="38">
        <v>0</v>
      </c>
      <c r="N63" s="39" t="s">
        <v>380</v>
      </c>
      <c r="O63" s="41">
        <v>0</v>
      </c>
      <c r="P63" s="38">
        <v>0</v>
      </c>
      <c r="Q63" s="38">
        <v>0</v>
      </c>
      <c r="R63" s="39" t="s">
        <v>237</v>
      </c>
    </row>
    <row r="64" spans="1:18" x14ac:dyDescent="0.3">
      <c r="A64" s="37" t="s">
        <v>378</v>
      </c>
      <c r="B64" s="37" t="s">
        <v>441</v>
      </c>
      <c r="C64" s="37" t="s">
        <v>372</v>
      </c>
      <c r="D64" s="37" t="s">
        <v>375</v>
      </c>
      <c r="E64" s="38">
        <v>0</v>
      </c>
      <c r="F64" s="39" t="s">
        <v>237</v>
      </c>
      <c r="G64" s="38">
        <v>0</v>
      </c>
      <c r="H64" s="39" t="s">
        <v>380</v>
      </c>
      <c r="I64" s="40">
        <v>44197</v>
      </c>
      <c r="J64" s="40">
        <v>44496</v>
      </c>
      <c r="K64" s="38">
        <v>0</v>
      </c>
      <c r="L64" s="39" t="s">
        <v>380</v>
      </c>
      <c r="M64" s="38">
        <v>0</v>
      </c>
      <c r="N64" s="39" t="s">
        <v>380</v>
      </c>
      <c r="O64" s="41">
        <v>0</v>
      </c>
      <c r="P64" s="38">
        <v>0</v>
      </c>
      <c r="Q64" s="38">
        <v>0</v>
      </c>
      <c r="R64" s="39" t="s">
        <v>237</v>
      </c>
    </row>
    <row r="65" spans="1:18" x14ac:dyDescent="0.3">
      <c r="A65" s="37" t="s">
        <v>378</v>
      </c>
      <c r="B65" s="37" t="s">
        <v>442</v>
      </c>
      <c r="C65" s="37" t="s">
        <v>372</v>
      </c>
      <c r="D65" s="37" t="s">
        <v>375</v>
      </c>
      <c r="E65" s="38">
        <v>2400.61</v>
      </c>
      <c r="F65" s="39" t="s">
        <v>237</v>
      </c>
      <c r="G65" s="38">
        <v>37500</v>
      </c>
      <c r="H65" s="39" t="s">
        <v>380</v>
      </c>
      <c r="I65" s="40">
        <v>45520</v>
      </c>
      <c r="J65" s="40">
        <v>45533</v>
      </c>
      <c r="K65" s="38">
        <v>48000</v>
      </c>
      <c r="L65" s="39" t="s">
        <v>380</v>
      </c>
      <c r="M65" s="38">
        <v>72000</v>
      </c>
      <c r="N65" s="39" t="s">
        <v>380</v>
      </c>
      <c r="O65" s="41">
        <v>72</v>
      </c>
      <c r="P65" s="38">
        <v>3.05</v>
      </c>
      <c r="Q65" s="38">
        <v>3068</v>
      </c>
      <c r="R65" s="39" t="s">
        <v>237</v>
      </c>
    </row>
    <row r="66" spans="1:18" x14ac:dyDescent="0.3">
      <c r="A66" s="37" t="s">
        <v>378</v>
      </c>
      <c r="B66" s="37" t="s">
        <v>443</v>
      </c>
      <c r="C66" s="37" t="s">
        <v>372</v>
      </c>
      <c r="D66" s="37" t="s">
        <v>375</v>
      </c>
      <c r="E66" s="38">
        <v>4661.75</v>
      </c>
      <c r="F66" s="39" t="s">
        <v>237</v>
      </c>
      <c r="G66" s="38">
        <v>47000</v>
      </c>
      <c r="H66" s="39" t="s">
        <v>380</v>
      </c>
      <c r="I66" s="40"/>
      <c r="J66" s="40"/>
      <c r="K66" s="38">
        <v>104500</v>
      </c>
      <c r="L66" s="39" t="s">
        <v>380</v>
      </c>
      <c r="M66" s="38">
        <v>44500</v>
      </c>
      <c r="N66" s="39" t="s">
        <v>380</v>
      </c>
      <c r="O66" s="41">
        <v>33</v>
      </c>
      <c r="P66" s="38">
        <v>1.86</v>
      </c>
      <c r="Q66" s="38">
        <v>12885.04</v>
      </c>
      <c r="R66" s="39" t="s">
        <v>237</v>
      </c>
    </row>
    <row r="67" spans="1:18" x14ac:dyDescent="0.3">
      <c r="A67" s="37" t="s">
        <v>378</v>
      </c>
      <c r="B67" s="37" t="s">
        <v>444</v>
      </c>
      <c r="C67" s="37" t="s">
        <v>372</v>
      </c>
      <c r="D67" s="37" t="s">
        <v>375</v>
      </c>
      <c r="E67" s="38">
        <v>0</v>
      </c>
      <c r="F67" s="39" t="s">
        <v>237</v>
      </c>
      <c r="G67" s="38">
        <v>0</v>
      </c>
      <c r="H67" s="39" t="s">
        <v>380</v>
      </c>
      <c r="I67" s="40">
        <v>44351</v>
      </c>
      <c r="J67" s="40">
        <v>44364</v>
      </c>
      <c r="K67" s="38">
        <v>0</v>
      </c>
      <c r="L67" s="39" t="s">
        <v>380</v>
      </c>
      <c r="M67" s="38">
        <v>0</v>
      </c>
      <c r="N67" s="39" t="s">
        <v>380</v>
      </c>
      <c r="O67" s="41">
        <v>0</v>
      </c>
      <c r="P67" s="38">
        <v>0</v>
      </c>
      <c r="Q67" s="38">
        <v>0</v>
      </c>
      <c r="R67" s="39" t="s">
        <v>237</v>
      </c>
    </row>
    <row r="68" spans="1:18" x14ac:dyDescent="0.3">
      <c r="A68" s="37" t="s">
        <v>378</v>
      </c>
      <c r="B68" s="37" t="s">
        <v>445</v>
      </c>
      <c r="C68" s="37" t="s">
        <v>372</v>
      </c>
      <c r="D68" s="37" t="s">
        <v>375</v>
      </c>
      <c r="E68" s="38">
        <v>0</v>
      </c>
      <c r="F68" s="39" t="s">
        <v>237</v>
      </c>
      <c r="G68" s="38">
        <v>0</v>
      </c>
      <c r="H68" s="39" t="s">
        <v>380</v>
      </c>
      <c r="I68" s="40">
        <v>45315</v>
      </c>
      <c r="J68" s="40">
        <v>45317</v>
      </c>
      <c r="K68" s="38">
        <v>0</v>
      </c>
      <c r="L68" s="39" t="s">
        <v>380</v>
      </c>
      <c r="M68" s="38">
        <v>0</v>
      </c>
      <c r="N68" s="39" t="s">
        <v>380</v>
      </c>
      <c r="O68" s="41">
        <v>0</v>
      </c>
      <c r="P68" s="38">
        <v>0</v>
      </c>
      <c r="Q68" s="38">
        <v>0</v>
      </c>
      <c r="R68" s="39" t="s">
        <v>237</v>
      </c>
    </row>
    <row r="69" spans="1:18" x14ac:dyDescent="0.3">
      <c r="A69" s="37" t="s">
        <v>378</v>
      </c>
      <c r="B69" s="37" t="s">
        <v>446</v>
      </c>
      <c r="C69" s="37" t="s">
        <v>372</v>
      </c>
      <c r="D69" s="37" t="s">
        <v>375</v>
      </c>
      <c r="E69" s="38">
        <v>2597.04</v>
      </c>
      <c r="F69" s="39" t="s">
        <v>237</v>
      </c>
      <c r="G69" s="38">
        <v>40700</v>
      </c>
      <c r="H69" s="39" t="s">
        <v>380</v>
      </c>
      <c r="I69" s="40">
        <v>45520</v>
      </c>
      <c r="J69" s="40">
        <v>45534</v>
      </c>
      <c r="K69" s="38">
        <v>20900</v>
      </c>
      <c r="L69" s="39" t="s">
        <v>380</v>
      </c>
      <c r="M69" s="38">
        <v>45100</v>
      </c>
      <c r="N69" s="39" t="s">
        <v>380</v>
      </c>
      <c r="O69" s="41">
        <v>236</v>
      </c>
      <c r="P69" s="38">
        <v>0.79</v>
      </c>
      <c r="Q69" s="38">
        <v>1012.75</v>
      </c>
      <c r="R69" s="39" t="s">
        <v>237</v>
      </c>
    </row>
    <row r="70" spans="1:18" x14ac:dyDescent="0.3">
      <c r="A70" s="37" t="s">
        <v>378</v>
      </c>
      <c r="B70" s="37" t="s">
        <v>447</v>
      </c>
      <c r="C70" s="37" t="s">
        <v>372</v>
      </c>
      <c r="D70" s="37" t="s">
        <v>375</v>
      </c>
      <c r="E70" s="38">
        <v>21117.209999999901</v>
      </c>
      <c r="F70" s="39" t="s">
        <v>237</v>
      </c>
      <c r="G70" s="38">
        <v>370700</v>
      </c>
      <c r="H70" s="39" t="s">
        <v>380</v>
      </c>
      <c r="I70" s="40">
        <v>45528</v>
      </c>
      <c r="J70" s="40"/>
      <c r="K70" s="38">
        <v>831600</v>
      </c>
      <c r="L70" s="39" t="s">
        <v>380</v>
      </c>
      <c r="M70" s="38">
        <v>1161600</v>
      </c>
      <c r="N70" s="39" t="s">
        <v>380</v>
      </c>
      <c r="O70" s="41">
        <v>40</v>
      </c>
      <c r="P70" s="38">
        <v>4.04</v>
      </c>
      <c r="Q70" s="38">
        <v>48013.54</v>
      </c>
      <c r="R70" s="39" t="s">
        <v>237</v>
      </c>
    </row>
    <row r="71" spans="1:18" x14ac:dyDescent="0.3">
      <c r="A71" s="37" t="s">
        <v>378</v>
      </c>
      <c r="B71" s="37" t="s">
        <v>1328</v>
      </c>
      <c r="C71" s="37" t="s">
        <v>372</v>
      </c>
      <c r="D71" s="37" t="s">
        <v>375</v>
      </c>
      <c r="E71" s="38">
        <v>0</v>
      </c>
      <c r="F71" s="39" t="s">
        <v>237</v>
      </c>
      <c r="G71" s="38">
        <v>0</v>
      </c>
      <c r="H71" s="39" t="s">
        <v>380</v>
      </c>
      <c r="I71" s="40">
        <v>45435</v>
      </c>
      <c r="J71" s="40">
        <v>45448</v>
      </c>
      <c r="K71" s="38">
        <v>22500</v>
      </c>
      <c r="L71" s="39" t="s">
        <v>380</v>
      </c>
      <c r="M71" s="38">
        <v>0</v>
      </c>
      <c r="N71" s="39" t="s">
        <v>380</v>
      </c>
      <c r="O71" s="41">
        <v>0</v>
      </c>
      <c r="P71" s="38">
        <v>4</v>
      </c>
      <c r="Q71" s="38">
        <v>1396.43</v>
      </c>
      <c r="R71" s="39" t="s">
        <v>237</v>
      </c>
    </row>
    <row r="72" spans="1:18" x14ac:dyDescent="0.3">
      <c r="A72" s="37" t="s">
        <v>378</v>
      </c>
      <c r="B72" s="37" t="s">
        <v>448</v>
      </c>
      <c r="C72" s="37" t="s">
        <v>372</v>
      </c>
      <c r="D72" s="37" t="s">
        <v>375</v>
      </c>
      <c r="E72" s="38">
        <v>3184.61</v>
      </c>
      <c r="F72" s="39" t="s">
        <v>237</v>
      </c>
      <c r="G72" s="38">
        <v>48000</v>
      </c>
      <c r="H72" s="39" t="s">
        <v>380</v>
      </c>
      <c r="I72" s="40">
        <v>45520</v>
      </c>
      <c r="J72" s="40">
        <v>45533</v>
      </c>
      <c r="K72" s="38">
        <v>6000</v>
      </c>
      <c r="L72" s="39" t="s">
        <v>380</v>
      </c>
      <c r="M72" s="38">
        <v>36000</v>
      </c>
      <c r="N72" s="39" t="s">
        <v>380</v>
      </c>
      <c r="O72" s="41">
        <v>757</v>
      </c>
      <c r="P72" s="38">
        <v>0.24</v>
      </c>
      <c r="Q72" s="38">
        <v>386.89999999999901</v>
      </c>
      <c r="R72" s="39" t="s">
        <v>237</v>
      </c>
    </row>
    <row r="73" spans="1:18" x14ac:dyDescent="0.3">
      <c r="A73" s="37" t="s">
        <v>378</v>
      </c>
      <c r="B73" s="37" t="s">
        <v>449</v>
      </c>
      <c r="C73" s="37" t="s">
        <v>372</v>
      </c>
      <c r="D73" s="37" t="s">
        <v>375</v>
      </c>
      <c r="E73" s="38">
        <v>1308.94</v>
      </c>
      <c r="F73" s="39" t="s">
        <v>237</v>
      </c>
      <c r="G73" s="38">
        <v>12000</v>
      </c>
      <c r="H73" s="39" t="s">
        <v>380</v>
      </c>
      <c r="I73" s="40">
        <v>45467</v>
      </c>
      <c r="J73" s="40"/>
      <c r="K73" s="38">
        <v>41500</v>
      </c>
      <c r="L73" s="39" t="s">
        <v>380</v>
      </c>
      <c r="M73" s="38">
        <v>0</v>
      </c>
      <c r="N73" s="39" t="s">
        <v>380</v>
      </c>
      <c r="O73" s="41">
        <v>27</v>
      </c>
      <c r="P73" s="38">
        <v>1.28</v>
      </c>
      <c r="Q73" s="38">
        <v>4526.79</v>
      </c>
      <c r="R73" s="39" t="s">
        <v>237</v>
      </c>
    </row>
    <row r="74" spans="1:18" x14ac:dyDescent="0.3">
      <c r="A74" s="37" t="s">
        <v>378</v>
      </c>
      <c r="B74" s="37" t="s">
        <v>450</v>
      </c>
      <c r="C74" s="37" t="s">
        <v>372</v>
      </c>
      <c r="D74" s="37" t="s">
        <v>375</v>
      </c>
      <c r="E74" s="38">
        <v>3149.44</v>
      </c>
      <c r="F74" s="39" t="s">
        <v>237</v>
      </c>
      <c r="G74" s="38">
        <v>46200</v>
      </c>
      <c r="H74" s="39" t="s">
        <v>380</v>
      </c>
      <c r="I74" s="40">
        <v>45524</v>
      </c>
      <c r="J74" s="40"/>
      <c r="K74" s="38">
        <v>25300</v>
      </c>
      <c r="L74" s="39" t="s">
        <v>380</v>
      </c>
      <c r="M74" s="38">
        <v>45100</v>
      </c>
      <c r="N74" s="39" t="s">
        <v>380</v>
      </c>
      <c r="O74" s="41">
        <v>216</v>
      </c>
      <c r="P74" s="38">
        <v>0.79</v>
      </c>
      <c r="Q74" s="38">
        <v>1340.49</v>
      </c>
      <c r="R74" s="39" t="s">
        <v>237</v>
      </c>
    </row>
    <row r="75" spans="1:18" x14ac:dyDescent="0.3">
      <c r="A75" s="37" t="s">
        <v>378</v>
      </c>
      <c r="B75" s="37" t="s">
        <v>451</v>
      </c>
      <c r="C75" s="37" t="s">
        <v>372</v>
      </c>
      <c r="D75" s="37" t="s">
        <v>375</v>
      </c>
      <c r="E75" s="38">
        <v>0</v>
      </c>
      <c r="F75" s="39" t="s">
        <v>237</v>
      </c>
      <c r="G75" s="38">
        <v>0</v>
      </c>
      <c r="H75" s="39" t="s">
        <v>380</v>
      </c>
      <c r="I75" s="40">
        <v>45493</v>
      </c>
      <c r="J75" s="40">
        <v>45509</v>
      </c>
      <c r="K75" s="38">
        <v>22500</v>
      </c>
      <c r="L75" s="39" t="s">
        <v>380</v>
      </c>
      <c r="M75" s="38">
        <v>22500</v>
      </c>
      <c r="N75" s="39" t="s">
        <v>380</v>
      </c>
      <c r="O75" s="41">
        <v>0</v>
      </c>
      <c r="P75" s="38">
        <v>4</v>
      </c>
      <c r="Q75" s="38">
        <v>1465.41</v>
      </c>
      <c r="R75" s="39" t="s">
        <v>237</v>
      </c>
    </row>
    <row r="76" spans="1:18" x14ac:dyDescent="0.3">
      <c r="A76" s="37" t="s">
        <v>378</v>
      </c>
      <c r="B76" s="37" t="s">
        <v>452</v>
      </c>
      <c r="C76" s="37" t="s">
        <v>372</v>
      </c>
      <c r="D76" s="37" t="s">
        <v>375</v>
      </c>
      <c r="E76" s="38">
        <v>424</v>
      </c>
      <c r="F76" s="39" t="s">
        <v>237</v>
      </c>
      <c r="G76" s="38">
        <v>42400</v>
      </c>
      <c r="H76" s="39" t="s">
        <v>380</v>
      </c>
      <c r="I76" s="40">
        <v>45264</v>
      </c>
      <c r="J76" s="40">
        <v>45510</v>
      </c>
      <c r="K76" s="38">
        <v>5300</v>
      </c>
      <c r="L76" s="39" t="s">
        <v>380</v>
      </c>
      <c r="M76" s="38">
        <v>0</v>
      </c>
      <c r="N76" s="39" t="s">
        <v>380</v>
      </c>
      <c r="O76" s="41">
        <v>736</v>
      </c>
      <c r="P76" s="38">
        <v>0.11</v>
      </c>
      <c r="Q76" s="38">
        <v>53</v>
      </c>
      <c r="R76" s="39" t="s">
        <v>237</v>
      </c>
    </row>
    <row r="77" spans="1:18" x14ac:dyDescent="0.3">
      <c r="A77" s="37" t="s">
        <v>378</v>
      </c>
      <c r="B77" s="37" t="s">
        <v>453</v>
      </c>
      <c r="C77" s="37" t="s">
        <v>372</v>
      </c>
      <c r="D77" s="37" t="s">
        <v>375</v>
      </c>
      <c r="E77" s="38">
        <v>3955.21</v>
      </c>
      <c r="F77" s="39" t="s">
        <v>237</v>
      </c>
      <c r="G77" s="38">
        <v>49000</v>
      </c>
      <c r="H77" s="39" t="s">
        <v>380</v>
      </c>
      <c r="I77" s="40">
        <v>45531</v>
      </c>
      <c r="J77" s="40">
        <v>45489</v>
      </c>
      <c r="K77" s="38">
        <v>103600</v>
      </c>
      <c r="L77" s="39" t="s">
        <v>380</v>
      </c>
      <c r="M77" s="38">
        <v>123200</v>
      </c>
      <c r="N77" s="39" t="s">
        <v>380</v>
      </c>
      <c r="O77" s="41">
        <v>43</v>
      </c>
      <c r="P77" s="38">
        <v>3.61</v>
      </c>
      <c r="Q77" s="38">
        <v>8371.9099999999908</v>
      </c>
      <c r="R77" s="39" t="s">
        <v>237</v>
      </c>
    </row>
    <row r="78" spans="1:18" x14ac:dyDescent="0.3">
      <c r="A78" s="37" t="s">
        <v>378</v>
      </c>
      <c r="B78" s="37" t="s">
        <v>454</v>
      </c>
      <c r="C78" s="37" t="s">
        <v>372</v>
      </c>
      <c r="D78" s="37" t="s">
        <v>375</v>
      </c>
      <c r="E78" s="38">
        <v>935.19</v>
      </c>
      <c r="F78" s="39" t="s">
        <v>237</v>
      </c>
      <c r="G78" s="38">
        <v>11200</v>
      </c>
      <c r="H78" s="39" t="s">
        <v>380</v>
      </c>
      <c r="I78" s="40">
        <v>44966</v>
      </c>
      <c r="J78" s="40">
        <v>45489</v>
      </c>
      <c r="K78" s="38">
        <v>1400</v>
      </c>
      <c r="L78" s="39" t="s">
        <v>380</v>
      </c>
      <c r="M78" s="38">
        <v>0</v>
      </c>
      <c r="N78" s="39" t="s">
        <v>380</v>
      </c>
      <c r="O78" s="41">
        <v>736</v>
      </c>
      <c r="P78" s="38">
        <v>0.12</v>
      </c>
      <c r="Q78" s="38">
        <v>116.9</v>
      </c>
      <c r="R78" s="39" t="s">
        <v>237</v>
      </c>
    </row>
    <row r="79" spans="1:18" x14ac:dyDescent="0.3">
      <c r="A79" s="37" t="s">
        <v>378</v>
      </c>
      <c r="B79" s="37" t="s">
        <v>455</v>
      </c>
      <c r="C79" s="37" t="s">
        <v>372</v>
      </c>
      <c r="D79" s="37" t="s">
        <v>375</v>
      </c>
      <c r="E79" s="38">
        <v>0</v>
      </c>
      <c r="F79" s="39" t="s">
        <v>237</v>
      </c>
      <c r="G79" s="38">
        <v>0</v>
      </c>
      <c r="H79" s="39" t="s">
        <v>380</v>
      </c>
      <c r="I79" s="40">
        <v>44197</v>
      </c>
      <c r="J79" s="40">
        <v>44755</v>
      </c>
      <c r="K79" s="38">
        <v>0</v>
      </c>
      <c r="L79" s="39" t="s">
        <v>380</v>
      </c>
      <c r="M79" s="38">
        <v>0</v>
      </c>
      <c r="N79" s="39" t="s">
        <v>380</v>
      </c>
      <c r="O79" s="41">
        <v>0</v>
      </c>
      <c r="P79" s="38">
        <v>0</v>
      </c>
      <c r="Q79" s="38">
        <v>0</v>
      </c>
      <c r="R79" s="39" t="s">
        <v>237</v>
      </c>
    </row>
    <row r="80" spans="1:18" x14ac:dyDescent="0.3">
      <c r="A80" s="37" t="s">
        <v>378</v>
      </c>
      <c r="B80" s="37" t="s">
        <v>456</v>
      </c>
      <c r="C80" s="37" t="s">
        <v>372</v>
      </c>
      <c r="D80" s="37" t="s">
        <v>375</v>
      </c>
      <c r="E80" s="38">
        <v>0</v>
      </c>
      <c r="F80" s="39" t="s">
        <v>237</v>
      </c>
      <c r="G80" s="38">
        <v>0</v>
      </c>
      <c r="H80" s="39" t="s">
        <v>380</v>
      </c>
      <c r="I80" s="40">
        <v>44778</v>
      </c>
      <c r="J80" s="40">
        <v>44791</v>
      </c>
      <c r="K80" s="38">
        <v>0</v>
      </c>
      <c r="L80" s="39" t="s">
        <v>380</v>
      </c>
      <c r="M80" s="38">
        <v>0</v>
      </c>
      <c r="N80" s="39" t="s">
        <v>380</v>
      </c>
      <c r="O80" s="41">
        <v>0</v>
      </c>
      <c r="P80" s="38">
        <v>0</v>
      </c>
      <c r="Q80" s="38">
        <v>0</v>
      </c>
      <c r="R80" s="39" t="s">
        <v>237</v>
      </c>
    </row>
    <row r="81" spans="1:18" x14ac:dyDescent="0.3">
      <c r="A81" s="37" t="s">
        <v>378</v>
      </c>
      <c r="B81" s="37" t="s">
        <v>457</v>
      </c>
      <c r="C81" s="37" t="s">
        <v>372</v>
      </c>
      <c r="D81" s="37" t="s">
        <v>375</v>
      </c>
      <c r="E81" s="38">
        <v>2532.3899999999899</v>
      </c>
      <c r="F81" s="39" t="s">
        <v>237</v>
      </c>
      <c r="G81" s="38">
        <v>32200</v>
      </c>
      <c r="H81" s="39" t="s">
        <v>380</v>
      </c>
      <c r="I81" s="40">
        <v>45532</v>
      </c>
      <c r="J81" s="40"/>
      <c r="K81" s="38">
        <v>50400</v>
      </c>
      <c r="L81" s="39" t="s">
        <v>380</v>
      </c>
      <c r="M81" s="38">
        <v>42000</v>
      </c>
      <c r="N81" s="39" t="s">
        <v>380</v>
      </c>
      <c r="O81" s="41">
        <v>59</v>
      </c>
      <c r="P81" s="38">
        <v>1.41</v>
      </c>
      <c r="Q81" s="38">
        <v>3930.69</v>
      </c>
      <c r="R81" s="39" t="s">
        <v>237</v>
      </c>
    </row>
    <row r="82" spans="1:18" x14ac:dyDescent="0.3">
      <c r="A82" s="37" t="s">
        <v>378</v>
      </c>
      <c r="B82" s="37" t="s">
        <v>458</v>
      </c>
      <c r="C82" s="37" t="s">
        <v>372</v>
      </c>
      <c r="D82" s="37" t="s">
        <v>375</v>
      </c>
      <c r="E82" s="38">
        <v>0</v>
      </c>
      <c r="F82" s="39" t="s">
        <v>237</v>
      </c>
      <c r="G82" s="38">
        <v>0</v>
      </c>
      <c r="H82" s="39" t="s">
        <v>380</v>
      </c>
      <c r="I82" s="40">
        <v>44915</v>
      </c>
      <c r="J82" s="40">
        <v>44922</v>
      </c>
      <c r="K82" s="38">
        <v>0</v>
      </c>
      <c r="L82" s="39" t="s">
        <v>380</v>
      </c>
      <c r="M82" s="38">
        <v>0</v>
      </c>
      <c r="N82" s="39" t="s">
        <v>380</v>
      </c>
      <c r="O82" s="41">
        <v>0</v>
      </c>
      <c r="P82" s="38">
        <v>0</v>
      </c>
      <c r="Q82" s="38">
        <v>0</v>
      </c>
      <c r="R82" s="39" t="s">
        <v>237</v>
      </c>
    </row>
    <row r="83" spans="1:18" x14ac:dyDescent="0.3">
      <c r="A83" s="37" t="s">
        <v>378</v>
      </c>
      <c r="B83" s="37" t="s">
        <v>459</v>
      </c>
      <c r="C83" s="37" t="s">
        <v>372</v>
      </c>
      <c r="D83" s="37" t="s">
        <v>375</v>
      </c>
      <c r="E83" s="38">
        <v>0</v>
      </c>
      <c r="F83" s="39" t="s">
        <v>237</v>
      </c>
      <c r="G83" s="38">
        <v>0</v>
      </c>
      <c r="H83" s="39" t="s">
        <v>380</v>
      </c>
      <c r="I83" s="40">
        <v>44866</v>
      </c>
      <c r="J83" s="40">
        <v>44881</v>
      </c>
      <c r="K83" s="38">
        <v>0</v>
      </c>
      <c r="L83" s="39" t="s">
        <v>380</v>
      </c>
      <c r="M83" s="38">
        <v>0</v>
      </c>
      <c r="N83" s="39" t="s">
        <v>380</v>
      </c>
      <c r="O83" s="41">
        <v>0</v>
      </c>
      <c r="P83" s="38">
        <v>0</v>
      </c>
      <c r="Q83" s="38">
        <v>0</v>
      </c>
      <c r="R83" s="39" t="s">
        <v>237</v>
      </c>
    </row>
    <row r="84" spans="1:18" x14ac:dyDescent="0.3">
      <c r="A84" s="37" t="s">
        <v>378</v>
      </c>
      <c r="B84" s="37" t="s">
        <v>460</v>
      </c>
      <c r="C84" s="37" t="s">
        <v>372</v>
      </c>
      <c r="D84" s="37" t="s">
        <v>375</v>
      </c>
      <c r="E84" s="38">
        <v>2914.42</v>
      </c>
      <c r="F84" s="39" t="s">
        <v>237</v>
      </c>
      <c r="G84" s="38">
        <v>45000</v>
      </c>
      <c r="H84" s="39" t="s">
        <v>380</v>
      </c>
      <c r="I84" s="40">
        <v>45493</v>
      </c>
      <c r="J84" s="40">
        <v>45531</v>
      </c>
      <c r="K84" s="38">
        <v>66000</v>
      </c>
      <c r="L84" s="39" t="s">
        <v>380</v>
      </c>
      <c r="M84" s="38">
        <v>54000</v>
      </c>
      <c r="N84" s="39" t="s">
        <v>380</v>
      </c>
      <c r="O84" s="41">
        <v>62</v>
      </c>
      <c r="P84" s="38">
        <v>1.49</v>
      </c>
      <c r="Q84" s="38">
        <v>4290.8299999999899</v>
      </c>
      <c r="R84" s="39" t="s">
        <v>237</v>
      </c>
    </row>
    <row r="85" spans="1:18" x14ac:dyDescent="0.3">
      <c r="A85" s="37" t="s">
        <v>378</v>
      </c>
      <c r="B85" s="37" t="s">
        <v>461</v>
      </c>
      <c r="C85" s="37" t="s">
        <v>372</v>
      </c>
      <c r="D85" s="37" t="s">
        <v>375</v>
      </c>
      <c r="E85" s="38">
        <v>0</v>
      </c>
      <c r="F85" s="39" t="s">
        <v>237</v>
      </c>
      <c r="G85" s="38">
        <v>0</v>
      </c>
      <c r="H85" s="39" t="s">
        <v>380</v>
      </c>
      <c r="I85" s="40">
        <v>45353</v>
      </c>
      <c r="J85" s="40">
        <v>45362</v>
      </c>
      <c r="K85" s="38">
        <v>0</v>
      </c>
      <c r="L85" s="39" t="s">
        <v>380</v>
      </c>
      <c r="M85" s="38">
        <v>0</v>
      </c>
      <c r="N85" s="39" t="s">
        <v>380</v>
      </c>
      <c r="O85" s="41">
        <v>0</v>
      </c>
      <c r="P85" s="38">
        <v>0</v>
      </c>
      <c r="Q85" s="38">
        <v>0</v>
      </c>
      <c r="R85" s="39" t="s">
        <v>237</v>
      </c>
    </row>
    <row r="86" spans="1:18" x14ac:dyDescent="0.3">
      <c r="A86" s="37" t="s">
        <v>378</v>
      </c>
      <c r="B86" s="37" t="s">
        <v>462</v>
      </c>
      <c r="C86" s="37" t="s">
        <v>372</v>
      </c>
      <c r="D86" s="37" t="s">
        <v>375</v>
      </c>
      <c r="E86" s="38">
        <v>3469.67</v>
      </c>
      <c r="F86" s="39" t="s">
        <v>237</v>
      </c>
      <c r="G86" s="38">
        <v>33000</v>
      </c>
      <c r="H86" s="39" t="s">
        <v>380</v>
      </c>
      <c r="I86" s="40">
        <v>45533</v>
      </c>
      <c r="J86" s="40"/>
      <c r="K86" s="38">
        <v>103000</v>
      </c>
      <c r="L86" s="39" t="s">
        <v>380</v>
      </c>
      <c r="M86" s="38">
        <v>67000</v>
      </c>
      <c r="N86" s="39" t="s">
        <v>380</v>
      </c>
      <c r="O86" s="41">
        <v>29</v>
      </c>
      <c r="P86" s="38">
        <v>2.5499999999999998</v>
      </c>
      <c r="Q86" s="38">
        <v>10976.389999999899</v>
      </c>
      <c r="R86" s="39" t="s">
        <v>237</v>
      </c>
    </row>
    <row r="87" spans="1:18" x14ac:dyDescent="0.3">
      <c r="A87" s="37" t="s">
        <v>378</v>
      </c>
      <c r="B87" s="37" t="s">
        <v>463</v>
      </c>
      <c r="C87" s="37" t="s">
        <v>372</v>
      </c>
      <c r="D87" s="37" t="s">
        <v>375</v>
      </c>
      <c r="E87" s="38">
        <v>1494.25</v>
      </c>
      <c r="F87" s="39" t="s">
        <v>237</v>
      </c>
      <c r="G87" s="38">
        <v>22000</v>
      </c>
      <c r="H87" s="39" t="s">
        <v>380</v>
      </c>
      <c r="I87" s="40">
        <v>45404</v>
      </c>
      <c r="J87" s="40"/>
      <c r="K87" s="38">
        <v>14300</v>
      </c>
      <c r="L87" s="39" t="s">
        <v>380</v>
      </c>
      <c r="M87" s="38">
        <v>0</v>
      </c>
      <c r="N87" s="39" t="s">
        <v>380</v>
      </c>
      <c r="O87" s="41">
        <v>142</v>
      </c>
      <c r="P87" s="38">
        <v>0.49</v>
      </c>
      <c r="Q87" s="38">
        <v>971.25</v>
      </c>
      <c r="R87" s="39" t="s">
        <v>237</v>
      </c>
    </row>
    <row r="88" spans="1:18" x14ac:dyDescent="0.3">
      <c r="A88" s="37" t="s">
        <v>378</v>
      </c>
      <c r="B88" s="37" t="s">
        <v>464</v>
      </c>
      <c r="C88" s="37" t="s">
        <v>372</v>
      </c>
      <c r="D88" s="37" t="s">
        <v>375</v>
      </c>
      <c r="E88" s="38">
        <v>0</v>
      </c>
      <c r="F88" s="39" t="s">
        <v>237</v>
      </c>
      <c r="G88" s="38">
        <v>0</v>
      </c>
      <c r="H88" s="39" t="s">
        <v>380</v>
      </c>
      <c r="I88" s="40">
        <v>45477</v>
      </c>
      <c r="J88" s="40">
        <v>45482</v>
      </c>
      <c r="K88" s="38">
        <v>1280</v>
      </c>
      <c r="L88" s="39" t="s">
        <v>380</v>
      </c>
      <c r="M88" s="38">
        <v>1280</v>
      </c>
      <c r="N88" s="39" t="s">
        <v>380</v>
      </c>
      <c r="O88" s="41">
        <v>0</v>
      </c>
      <c r="P88" s="38">
        <v>99999</v>
      </c>
      <c r="Q88" s="38">
        <v>622.11</v>
      </c>
      <c r="R88" s="39" t="s">
        <v>237</v>
      </c>
    </row>
    <row r="89" spans="1:18" x14ac:dyDescent="0.3">
      <c r="A89" s="37" t="s">
        <v>378</v>
      </c>
      <c r="B89" s="37" t="s">
        <v>465</v>
      </c>
      <c r="C89" s="37" t="s">
        <v>372</v>
      </c>
      <c r="D89" s="37" t="s">
        <v>375</v>
      </c>
      <c r="E89" s="38">
        <v>5019.8599999999897</v>
      </c>
      <c r="F89" s="39" t="s">
        <v>237</v>
      </c>
      <c r="G89" s="38">
        <v>46000</v>
      </c>
      <c r="H89" s="39" t="s">
        <v>380</v>
      </c>
      <c r="I89" s="40">
        <v>45502</v>
      </c>
      <c r="J89" s="40"/>
      <c r="K89" s="38">
        <v>186000</v>
      </c>
      <c r="L89" s="39" t="s">
        <v>380</v>
      </c>
      <c r="M89" s="38">
        <v>192000</v>
      </c>
      <c r="N89" s="39" t="s">
        <v>380</v>
      </c>
      <c r="O89" s="41">
        <v>23</v>
      </c>
      <c r="P89" s="38">
        <v>2.79</v>
      </c>
      <c r="Q89" s="38">
        <v>20303.709999999901</v>
      </c>
      <c r="R89" s="39" t="s">
        <v>237</v>
      </c>
    </row>
    <row r="90" spans="1:18" x14ac:dyDescent="0.3">
      <c r="A90" s="37" t="s">
        <v>378</v>
      </c>
      <c r="B90" s="37" t="s">
        <v>466</v>
      </c>
      <c r="C90" s="37" t="s">
        <v>372</v>
      </c>
      <c r="D90" s="37" t="s">
        <v>375</v>
      </c>
      <c r="E90" s="38">
        <v>766.41999999999905</v>
      </c>
      <c r="F90" s="39" t="s">
        <v>237</v>
      </c>
      <c r="G90" s="38">
        <v>7500</v>
      </c>
      <c r="H90" s="39" t="s">
        <v>380</v>
      </c>
      <c r="I90" s="40">
        <v>45411</v>
      </c>
      <c r="J90" s="40">
        <v>45518</v>
      </c>
      <c r="K90" s="38">
        <v>6000</v>
      </c>
      <c r="L90" s="39" t="s">
        <v>380</v>
      </c>
      <c r="M90" s="38">
        <v>0</v>
      </c>
      <c r="N90" s="39" t="s">
        <v>380</v>
      </c>
      <c r="O90" s="41">
        <v>115</v>
      </c>
      <c r="P90" s="38">
        <v>0.53</v>
      </c>
      <c r="Q90" s="38">
        <v>613.12</v>
      </c>
      <c r="R90" s="39" t="s">
        <v>237</v>
      </c>
    </row>
    <row r="91" spans="1:18" x14ac:dyDescent="0.3">
      <c r="A91" s="37" t="s">
        <v>378</v>
      </c>
      <c r="B91" s="37" t="s">
        <v>467</v>
      </c>
      <c r="C91" s="37" t="s">
        <v>372</v>
      </c>
      <c r="D91" s="37" t="s">
        <v>375</v>
      </c>
      <c r="E91" s="38">
        <v>2247.75</v>
      </c>
      <c r="F91" s="39" t="s">
        <v>237</v>
      </c>
      <c r="G91" s="38">
        <v>34500</v>
      </c>
      <c r="H91" s="39" t="s">
        <v>380</v>
      </c>
      <c r="I91" s="40">
        <v>45404</v>
      </c>
      <c r="J91" s="40"/>
      <c r="K91" s="38">
        <v>36000</v>
      </c>
      <c r="L91" s="39" t="s">
        <v>380</v>
      </c>
      <c r="M91" s="38">
        <v>0</v>
      </c>
      <c r="N91" s="39" t="s">
        <v>380</v>
      </c>
      <c r="O91" s="41">
        <v>88</v>
      </c>
      <c r="P91" s="38">
        <v>0.72</v>
      </c>
      <c r="Q91" s="38">
        <v>2345.4699999999898</v>
      </c>
      <c r="R91" s="39" t="s">
        <v>237</v>
      </c>
    </row>
    <row r="92" spans="1:18" x14ac:dyDescent="0.3">
      <c r="A92" s="37" t="s">
        <v>378</v>
      </c>
      <c r="B92" s="37" t="s">
        <v>468</v>
      </c>
      <c r="C92" s="37" t="s">
        <v>372</v>
      </c>
      <c r="D92" s="37" t="s">
        <v>375</v>
      </c>
      <c r="E92" s="38">
        <v>1227.71</v>
      </c>
      <c r="F92" s="39" t="s">
        <v>237</v>
      </c>
      <c r="G92" s="38">
        <v>12000</v>
      </c>
      <c r="H92" s="39" t="s">
        <v>380</v>
      </c>
      <c r="I92" s="40">
        <v>45504</v>
      </c>
      <c r="J92" s="40"/>
      <c r="K92" s="38">
        <v>39000</v>
      </c>
      <c r="L92" s="39" t="s">
        <v>380</v>
      </c>
      <c r="M92" s="38">
        <v>24000</v>
      </c>
      <c r="N92" s="39" t="s">
        <v>380</v>
      </c>
      <c r="O92" s="41">
        <v>28</v>
      </c>
      <c r="P92" s="38">
        <v>1.64</v>
      </c>
      <c r="Q92" s="38">
        <v>3983.77</v>
      </c>
      <c r="R92" s="39" t="s">
        <v>237</v>
      </c>
    </row>
    <row r="93" spans="1:18" x14ac:dyDescent="0.3">
      <c r="A93" s="37" t="s">
        <v>378</v>
      </c>
      <c r="B93" s="37" t="s">
        <v>469</v>
      </c>
      <c r="C93" s="37" t="s">
        <v>372</v>
      </c>
      <c r="D93" s="37" t="s">
        <v>375</v>
      </c>
      <c r="E93" s="38">
        <v>18673.63</v>
      </c>
      <c r="F93" s="39" t="s">
        <v>237</v>
      </c>
      <c r="G93" s="38">
        <v>286000</v>
      </c>
      <c r="H93" s="39" t="s">
        <v>380</v>
      </c>
      <c r="I93" s="40">
        <v>45532</v>
      </c>
      <c r="J93" s="40">
        <v>45533</v>
      </c>
      <c r="K93" s="38">
        <v>435600</v>
      </c>
      <c r="L93" s="39" t="s">
        <v>380</v>
      </c>
      <c r="M93" s="38">
        <v>583000</v>
      </c>
      <c r="N93" s="39" t="s">
        <v>380</v>
      </c>
      <c r="O93" s="41">
        <v>61</v>
      </c>
      <c r="P93" s="38">
        <v>2.61</v>
      </c>
      <c r="Q93" s="38">
        <v>28087.4</v>
      </c>
      <c r="R93" s="39" t="s">
        <v>237</v>
      </c>
    </row>
    <row r="94" spans="1:18" x14ac:dyDescent="0.3">
      <c r="A94" s="37" t="s">
        <v>378</v>
      </c>
      <c r="B94" s="37" t="s">
        <v>470</v>
      </c>
      <c r="C94" s="37" t="s">
        <v>372</v>
      </c>
      <c r="D94" s="37" t="s">
        <v>375</v>
      </c>
      <c r="E94" s="38">
        <v>0</v>
      </c>
      <c r="F94" s="39" t="s">
        <v>237</v>
      </c>
      <c r="G94" s="38">
        <v>0</v>
      </c>
      <c r="H94" s="39" t="s">
        <v>380</v>
      </c>
      <c r="I94" s="40">
        <v>45359</v>
      </c>
      <c r="J94" s="40">
        <v>45365</v>
      </c>
      <c r="K94" s="38">
        <v>0</v>
      </c>
      <c r="L94" s="39" t="s">
        <v>380</v>
      </c>
      <c r="M94" s="38">
        <v>0</v>
      </c>
      <c r="N94" s="39" t="s">
        <v>380</v>
      </c>
      <c r="O94" s="41">
        <v>0</v>
      </c>
      <c r="P94" s="38">
        <v>0</v>
      </c>
      <c r="Q94" s="38">
        <v>0</v>
      </c>
      <c r="R94" s="39" t="s">
        <v>237</v>
      </c>
    </row>
    <row r="95" spans="1:18" x14ac:dyDescent="0.3">
      <c r="A95" s="37" t="s">
        <v>378</v>
      </c>
      <c r="B95" s="37" t="s">
        <v>471</v>
      </c>
      <c r="C95" s="37" t="s">
        <v>372</v>
      </c>
      <c r="D95" s="37" t="s">
        <v>375</v>
      </c>
      <c r="E95" s="38">
        <v>3461.3899999999899</v>
      </c>
      <c r="F95" s="39" t="s">
        <v>237</v>
      </c>
      <c r="G95" s="38">
        <v>15000</v>
      </c>
      <c r="H95" s="39" t="s">
        <v>380</v>
      </c>
      <c r="I95" s="40">
        <v>45516</v>
      </c>
      <c r="J95" s="40">
        <v>45509</v>
      </c>
      <c r="K95" s="38">
        <v>9300</v>
      </c>
      <c r="L95" s="39" t="s">
        <v>380</v>
      </c>
      <c r="M95" s="38">
        <v>14400</v>
      </c>
      <c r="N95" s="39" t="s">
        <v>380</v>
      </c>
      <c r="O95" s="41">
        <v>152</v>
      </c>
      <c r="P95" s="38">
        <v>0.83</v>
      </c>
      <c r="Q95" s="38">
        <v>2099.7199999999898</v>
      </c>
      <c r="R95" s="39" t="s">
        <v>237</v>
      </c>
    </row>
    <row r="96" spans="1:18" x14ac:dyDescent="0.3">
      <c r="A96" s="37" t="s">
        <v>378</v>
      </c>
      <c r="B96" s="37" t="s">
        <v>472</v>
      </c>
      <c r="C96" s="37" t="s">
        <v>372</v>
      </c>
      <c r="D96" s="37" t="s">
        <v>375</v>
      </c>
      <c r="E96" s="38">
        <v>13462.79</v>
      </c>
      <c r="F96" s="39" t="s">
        <v>237</v>
      </c>
      <c r="G96" s="38">
        <v>60000</v>
      </c>
      <c r="H96" s="39" t="s">
        <v>380</v>
      </c>
      <c r="I96" s="40">
        <v>45532</v>
      </c>
      <c r="J96" s="40"/>
      <c r="K96" s="38">
        <v>14400</v>
      </c>
      <c r="L96" s="39" t="s">
        <v>380</v>
      </c>
      <c r="M96" s="38">
        <v>57600</v>
      </c>
      <c r="N96" s="39" t="s">
        <v>380</v>
      </c>
      <c r="O96" s="41">
        <v>390</v>
      </c>
      <c r="P96" s="38">
        <v>0.56999999999999995</v>
      </c>
      <c r="Q96" s="38">
        <v>3179.5999999999899</v>
      </c>
      <c r="R96" s="39" t="s">
        <v>237</v>
      </c>
    </row>
    <row r="97" spans="1:18" x14ac:dyDescent="0.3">
      <c r="A97" s="37" t="s">
        <v>378</v>
      </c>
      <c r="B97" s="37" t="s">
        <v>473</v>
      </c>
      <c r="C97" s="37" t="s">
        <v>372</v>
      </c>
      <c r="D97" s="37" t="s">
        <v>375</v>
      </c>
      <c r="E97" s="38">
        <v>0</v>
      </c>
      <c r="F97" s="39" t="s">
        <v>237</v>
      </c>
      <c r="G97" s="38">
        <v>0</v>
      </c>
      <c r="H97" s="39" t="s">
        <v>380</v>
      </c>
      <c r="I97" s="40">
        <v>44253</v>
      </c>
      <c r="J97" s="40">
        <v>44263</v>
      </c>
      <c r="K97" s="38">
        <v>0</v>
      </c>
      <c r="L97" s="39" t="s">
        <v>380</v>
      </c>
      <c r="M97" s="38">
        <v>0</v>
      </c>
      <c r="N97" s="39" t="s">
        <v>380</v>
      </c>
      <c r="O97" s="41">
        <v>0</v>
      </c>
      <c r="P97" s="38">
        <v>0</v>
      </c>
      <c r="Q97" s="38">
        <v>0</v>
      </c>
      <c r="R97" s="39" t="s">
        <v>237</v>
      </c>
    </row>
    <row r="98" spans="1:18" x14ac:dyDescent="0.3">
      <c r="A98" s="37" t="s">
        <v>378</v>
      </c>
      <c r="B98" s="37" t="s">
        <v>474</v>
      </c>
      <c r="C98" s="37" t="s">
        <v>372</v>
      </c>
      <c r="D98" s="37" t="s">
        <v>375</v>
      </c>
      <c r="E98" s="38">
        <v>0</v>
      </c>
      <c r="F98" s="39" t="s">
        <v>237</v>
      </c>
      <c r="G98" s="38">
        <v>0</v>
      </c>
      <c r="H98" s="39" t="s">
        <v>380</v>
      </c>
      <c r="I98" s="40">
        <v>45418</v>
      </c>
      <c r="J98" s="40">
        <v>45418</v>
      </c>
      <c r="K98" s="38">
        <v>0</v>
      </c>
      <c r="L98" s="39" t="s">
        <v>380</v>
      </c>
      <c r="M98" s="38">
        <v>0</v>
      </c>
      <c r="N98" s="39" t="s">
        <v>380</v>
      </c>
      <c r="O98" s="41">
        <v>0</v>
      </c>
      <c r="P98" s="38">
        <v>0</v>
      </c>
      <c r="Q98" s="38">
        <v>0</v>
      </c>
      <c r="R98" s="39" t="s">
        <v>237</v>
      </c>
    </row>
    <row r="99" spans="1:18" x14ac:dyDescent="0.3">
      <c r="A99" s="37" t="s">
        <v>378</v>
      </c>
      <c r="B99" s="37" t="s">
        <v>475</v>
      </c>
      <c r="C99" s="37" t="s">
        <v>372</v>
      </c>
      <c r="D99" s="37" t="s">
        <v>375</v>
      </c>
      <c r="E99" s="38">
        <v>0</v>
      </c>
      <c r="F99" s="39" t="s">
        <v>237</v>
      </c>
      <c r="G99" s="38">
        <v>0</v>
      </c>
      <c r="H99" s="39" t="s">
        <v>380</v>
      </c>
      <c r="I99" s="40">
        <v>45407</v>
      </c>
      <c r="J99" s="40">
        <v>45415</v>
      </c>
      <c r="K99" s="38">
        <v>0</v>
      </c>
      <c r="L99" s="39" t="s">
        <v>380</v>
      </c>
      <c r="M99" s="38">
        <v>0</v>
      </c>
      <c r="N99" s="39" t="s">
        <v>380</v>
      </c>
      <c r="O99" s="41">
        <v>0</v>
      </c>
      <c r="P99" s="38">
        <v>0</v>
      </c>
      <c r="Q99" s="38">
        <v>0</v>
      </c>
      <c r="R99" s="39" t="s">
        <v>237</v>
      </c>
    </row>
    <row r="100" spans="1:18" x14ac:dyDescent="0.3">
      <c r="A100" s="37" t="s">
        <v>378</v>
      </c>
      <c r="B100" s="37" t="s">
        <v>476</v>
      </c>
      <c r="C100" s="37" t="s">
        <v>372</v>
      </c>
      <c r="D100" s="37" t="s">
        <v>375</v>
      </c>
      <c r="E100" s="38">
        <v>0</v>
      </c>
      <c r="F100" s="39" t="s">
        <v>237</v>
      </c>
      <c r="G100" s="38">
        <v>0</v>
      </c>
      <c r="H100" s="39" t="s">
        <v>380</v>
      </c>
      <c r="I100" s="40">
        <v>44894</v>
      </c>
      <c r="J100" s="40">
        <v>45373</v>
      </c>
      <c r="K100" s="38">
        <v>0</v>
      </c>
      <c r="L100" s="39" t="s">
        <v>380</v>
      </c>
      <c r="M100" s="38">
        <v>0</v>
      </c>
      <c r="N100" s="39" t="s">
        <v>380</v>
      </c>
      <c r="O100" s="41">
        <v>0</v>
      </c>
      <c r="P100" s="38">
        <v>0</v>
      </c>
      <c r="Q100" s="38">
        <v>0</v>
      </c>
      <c r="R100" s="39" t="s">
        <v>237</v>
      </c>
    </row>
    <row r="101" spans="1:18" x14ac:dyDescent="0.3">
      <c r="A101" s="37" t="s">
        <v>378</v>
      </c>
      <c r="B101" s="37" t="s">
        <v>477</v>
      </c>
      <c r="C101" s="37" t="s">
        <v>372</v>
      </c>
      <c r="D101" s="37" t="s">
        <v>375</v>
      </c>
      <c r="E101" s="38">
        <v>7113.3</v>
      </c>
      <c r="F101" s="39" t="s">
        <v>237</v>
      </c>
      <c r="G101" s="38">
        <v>114000</v>
      </c>
      <c r="H101" s="39" t="s">
        <v>380</v>
      </c>
      <c r="I101" s="40">
        <v>45512</v>
      </c>
      <c r="J101" s="40"/>
      <c r="K101" s="38">
        <v>174000</v>
      </c>
      <c r="L101" s="39" t="s">
        <v>380</v>
      </c>
      <c r="M101" s="38">
        <v>144000</v>
      </c>
      <c r="N101" s="39" t="s">
        <v>380</v>
      </c>
      <c r="O101" s="41">
        <v>60</v>
      </c>
      <c r="P101" s="38">
        <v>1.76</v>
      </c>
      <c r="Q101" s="38">
        <v>10938.059999999899</v>
      </c>
      <c r="R101" s="39" t="s">
        <v>237</v>
      </c>
    </row>
    <row r="102" spans="1:18" x14ac:dyDescent="0.3">
      <c r="A102" s="37" t="s">
        <v>378</v>
      </c>
      <c r="B102" s="37" t="s">
        <v>478</v>
      </c>
      <c r="C102" s="37" t="s">
        <v>372</v>
      </c>
      <c r="D102" s="37" t="s">
        <v>375</v>
      </c>
      <c r="E102" s="38">
        <v>4589.3599999999897</v>
      </c>
      <c r="F102" s="39" t="s">
        <v>237</v>
      </c>
      <c r="G102" s="38">
        <v>46500</v>
      </c>
      <c r="H102" s="39" t="s">
        <v>380</v>
      </c>
      <c r="I102" s="40">
        <v>45479</v>
      </c>
      <c r="J102" s="40"/>
      <c r="K102" s="38">
        <v>95500</v>
      </c>
      <c r="L102" s="39" t="s">
        <v>380</v>
      </c>
      <c r="M102" s="38">
        <v>72000</v>
      </c>
      <c r="N102" s="39" t="s">
        <v>380</v>
      </c>
      <c r="O102" s="41">
        <v>45</v>
      </c>
      <c r="P102" s="38">
        <v>1.82</v>
      </c>
      <c r="Q102" s="38">
        <v>9426.67</v>
      </c>
      <c r="R102" s="39" t="s">
        <v>237</v>
      </c>
    </row>
    <row r="103" spans="1:18" x14ac:dyDescent="0.3">
      <c r="A103" s="37" t="s">
        <v>378</v>
      </c>
      <c r="B103" s="37" t="s">
        <v>479</v>
      </c>
      <c r="C103" s="37" t="s">
        <v>372</v>
      </c>
      <c r="D103" s="37" t="s">
        <v>375</v>
      </c>
      <c r="E103" s="38">
        <v>0</v>
      </c>
      <c r="F103" s="39" t="s">
        <v>237</v>
      </c>
      <c r="G103" s="38">
        <v>0</v>
      </c>
      <c r="H103" s="39" t="s">
        <v>380</v>
      </c>
      <c r="I103" s="40">
        <v>44287</v>
      </c>
      <c r="J103" s="40">
        <v>44288</v>
      </c>
      <c r="K103" s="38">
        <v>0</v>
      </c>
      <c r="L103" s="39" t="s">
        <v>380</v>
      </c>
      <c r="M103" s="38">
        <v>0</v>
      </c>
      <c r="N103" s="39" t="s">
        <v>380</v>
      </c>
      <c r="O103" s="41">
        <v>0</v>
      </c>
      <c r="P103" s="38">
        <v>0</v>
      </c>
      <c r="Q103" s="38">
        <v>0</v>
      </c>
      <c r="R103" s="39" t="s">
        <v>237</v>
      </c>
    </row>
    <row r="104" spans="1:18" x14ac:dyDescent="0.3">
      <c r="A104" s="37" t="s">
        <v>378</v>
      </c>
      <c r="B104" s="37" t="s">
        <v>480</v>
      </c>
      <c r="C104" s="37" t="s">
        <v>372</v>
      </c>
      <c r="D104" s="37" t="s">
        <v>375</v>
      </c>
      <c r="E104" s="38">
        <v>0</v>
      </c>
      <c r="F104" s="39" t="s">
        <v>237</v>
      </c>
      <c r="G104" s="38">
        <v>0</v>
      </c>
      <c r="H104" s="39" t="s">
        <v>380</v>
      </c>
      <c r="I104" s="40">
        <v>45147</v>
      </c>
      <c r="J104" s="40">
        <v>45153</v>
      </c>
      <c r="K104" s="38">
        <v>0</v>
      </c>
      <c r="L104" s="39" t="s">
        <v>380</v>
      </c>
      <c r="M104" s="38">
        <v>0</v>
      </c>
      <c r="N104" s="39" t="s">
        <v>380</v>
      </c>
      <c r="O104" s="41">
        <v>0</v>
      </c>
      <c r="P104" s="38">
        <v>0</v>
      </c>
      <c r="Q104" s="38">
        <v>0</v>
      </c>
      <c r="R104" s="39" t="s">
        <v>237</v>
      </c>
    </row>
    <row r="105" spans="1:18" x14ac:dyDescent="0.3">
      <c r="A105" s="37" t="s">
        <v>378</v>
      </c>
      <c r="B105" s="37" t="s">
        <v>481</v>
      </c>
      <c r="C105" s="37" t="s">
        <v>372</v>
      </c>
      <c r="D105" s="37" t="s">
        <v>375</v>
      </c>
      <c r="E105" s="38">
        <v>6303.27</v>
      </c>
      <c r="F105" s="39" t="s">
        <v>237</v>
      </c>
      <c r="G105" s="38">
        <v>100100</v>
      </c>
      <c r="H105" s="39" t="s">
        <v>380</v>
      </c>
      <c r="I105" s="40">
        <v>45516</v>
      </c>
      <c r="J105" s="40"/>
      <c r="K105" s="38">
        <v>80300</v>
      </c>
      <c r="L105" s="39" t="s">
        <v>380</v>
      </c>
      <c r="M105" s="38">
        <v>158400</v>
      </c>
      <c r="N105" s="39" t="s">
        <v>380</v>
      </c>
      <c r="O105" s="41">
        <v>114</v>
      </c>
      <c r="P105" s="38">
        <v>1.86</v>
      </c>
      <c r="Q105" s="38">
        <v>5094.1599999999899</v>
      </c>
      <c r="R105" s="39" t="s">
        <v>237</v>
      </c>
    </row>
    <row r="106" spans="1:18" x14ac:dyDescent="0.3">
      <c r="A106" s="37" t="s">
        <v>378</v>
      </c>
      <c r="B106" s="37" t="s">
        <v>482</v>
      </c>
      <c r="C106" s="37" t="s">
        <v>372</v>
      </c>
      <c r="D106" s="37" t="s">
        <v>375</v>
      </c>
      <c r="E106" s="38">
        <v>1448.38</v>
      </c>
      <c r="F106" s="39" t="s">
        <v>237</v>
      </c>
      <c r="G106" s="38">
        <v>14000</v>
      </c>
      <c r="H106" s="39" t="s">
        <v>380</v>
      </c>
      <c r="I106" s="40">
        <v>45453</v>
      </c>
      <c r="J106" s="40">
        <v>45530</v>
      </c>
      <c r="K106" s="38">
        <v>33000</v>
      </c>
      <c r="L106" s="39" t="s">
        <v>380</v>
      </c>
      <c r="M106" s="38">
        <v>24000</v>
      </c>
      <c r="N106" s="39" t="s">
        <v>380</v>
      </c>
      <c r="O106" s="41">
        <v>39</v>
      </c>
      <c r="P106" s="38">
        <v>1.47</v>
      </c>
      <c r="Q106" s="38">
        <v>3413.79</v>
      </c>
      <c r="R106" s="39" t="s">
        <v>237</v>
      </c>
    </row>
    <row r="107" spans="1:18" x14ac:dyDescent="0.3">
      <c r="A107" s="37" t="s">
        <v>378</v>
      </c>
      <c r="B107" s="37" t="s">
        <v>483</v>
      </c>
      <c r="C107" s="37" t="s">
        <v>372</v>
      </c>
      <c r="D107" s="37" t="s">
        <v>375</v>
      </c>
      <c r="E107" s="38">
        <v>39656.980000000003</v>
      </c>
      <c r="F107" s="39" t="s">
        <v>237</v>
      </c>
      <c r="G107" s="38">
        <v>245000</v>
      </c>
      <c r="H107" s="39" t="s">
        <v>380</v>
      </c>
      <c r="I107" s="40">
        <v>45520</v>
      </c>
      <c r="J107" s="40">
        <v>45533</v>
      </c>
      <c r="K107" s="38">
        <v>277000</v>
      </c>
      <c r="L107" s="39" t="s">
        <v>380</v>
      </c>
      <c r="M107" s="38">
        <v>384000</v>
      </c>
      <c r="N107" s="39" t="s">
        <v>380</v>
      </c>
      <c r="O107" s="41">
        <v>81</v>
      </c>
      <c r="P107" s="38">
        <v>1.82</v>
      </c>
      <c r="Q107" s="38">
        <v>44947.629999999903</v>
      </c>
      <c r="R107" s="39" t="s">
        <v>237</v>
      </c>
    </row>
    <row r="108" spans="1:18" x14ac:dyDescent="0.3">
      <c r="A108" s="37" t="s">
        <v>378</v>
      </c>
      <c r="B108" s="37" t="s">
        <v>484</v>
      </c>
      <c r="C108" s="37" t="s">
        <v>372</v>
      </c>
      <c r="D108" s="37" t="s">
        <v>375</v>
      </c>
      <c r="E108" s="38">
        <v>0</v>
      </c>
      <c r="F108" s="39" t="s">
        <v>237</v>
      </c>
      <c r="G108" s="38">
        <v>0</v>
      </c>
      <c r="H108" s="39" t="s">
        <v>380</v>
      </c>
      <c r="I108" s="40">
        <v>44197</v>
      </c>
      <c r="J108" s="40">
        <v>44446</v>
      </c>
      <c r="K108" s="38">
        <v>0</v>
      </c>
      <c r="L108" s="39" t="s">
        <v>380</v>
      </c>
      <c r="M108" s="38">
        <v>0</v>
      </c>
      <c r="N108" s="39" t="s">
        <v>380</v>
      </c>
      <c r="O108" s="41">
        <v>0</v>
      </c>
      <c r="P108" s="38">
        <v>0</v>
      </c>
      <c r="Q108" s="38">
        <v>0</v>
      </c>
      <c r="R108" s="39" t="s">
        <v>237</v>
      </c>
    </row>
    <row r="109" spans="1:18" x14ac:dyDescent="0.3">
      <c r="A109" s="37" t="s">
        <v>378</v>
      </c>
      <c r="B109" s="37" t="s">
        <v>485</v>
      </c>
      <c r="C109" s="37" t="s">
        <v>372</v>
      </c>
      <c r="D109" s="37" t="s">
        <v>375</v>
      </c>
      <c r="E109" s="38">
        <v>8320.93</v>
      </c>
      <c r="F109" s="39" t="s">
        <v>237</v>
      </c>
      <c r="G109" s="38">
        <v>176400</v>
      </c>
      <c r="H109" s="39" t="s">
        <v>380</v>
      </c>
      <c r="I109" s="40">
        <v>45520</v>
      </c>
      <c r="J109" s="40"/>
      <c r="K109" s="38">
        <v>247800</v>
      </c>
      <c r="L109" s="39" t="s">
        <v>380</v>
      </c>
      <c r="M109" s="38">
        <v>203000</v>
      </c>
      <c r="N109" s="39" t="s">
        <v>380</v>
      </c>
      <c r="O109" s="41">
        <v>66</v>
      </c>
      <c r="P109" s="38">
        <v>1.61</v>
      </c>
      <c r="Q109" s="38">
        <v>11555.73</v>
      </c>
      <c r="R109" s="39" t="s">
        <v>237</v>
      </c>
    </row>
    <row r="110" spans="1:18" x14ac:dyDescent="0.3">
      <c r="A110" s="37" t="s">
        <v>378</v>
      </c>
      <c r="B110" s="37" t="s">
        <v>486</v>
      </c>
      <c r="C110" s="37" t="s">
        <v>372</v>
      </c>
      <c r="D110" s="37" t="s">
        <v>375</v>
      </c>
      <c r="E110" s="38">
        <v>1700.6199999999899</v>
      </c>
      <c r="F110" s="39" t="s">
        <v>237</v>
      </c>
      <c r="G110" s="38">
        <v>35000</v>
      </c>
      <c r="H110" s="39" t="s">
        <v>380</v>
      </c>
      <c r="I110" s="40">
        <v>45317</v>
      </c>
      <c r="J110" s="40">
        <v>45449</v>
      </c>
      <c r="K110" s="38">
        <v>2800</v>
      </c>
      <c r="L110" s="39" t="s">
        <v>380</v>
      </c>
      <c r="M110" s="38">
        <v>0</v>
      </c>
      <c r="N110" s="39" t="s">
        <v>380</v>
      </c>
      <c r="O110" s="41">
        <v>1150</v>
      </c>
      <c r="P110" s="38">
        <v>0.08</v>
      </c>
      <c r="Q110" s="38">
        <v>136.05000000000001</v>
      </c>
      <c r="R110" s="39" t="s">
        <v>237</v>
      </c>
    </row>
    <row r="111" spans="1:18" x14ac:dyDescent="0.3">
      <c r="A111" s="37" t="s">
        <v>378</v>
      </c>
      <c r="B111" s="37" t="s">
        <v>487</v>
      </c>
      <c r="C111" s="37" t="s">
        <v>372</v>
      </c>
      <c r="D111" s="37" t="s">
        <v>375</v>
      </c>
      <c r="E111" s="38">
        <v>851.50999999999897</v>
      </c>
      <c r="F111" s="39" t="s">
        <v>237</v>
      </c>
      <c r="G111" s="38">
        <v>16800</v>
      </c>
      <c r="H111" s="39" t="s">
        <v>380</v>
      </c>
      <c r="I111" s="40">
        <v>45422</v>
      </c>
      <c r="J111" s="40">
        <v>45482</v>
      </c>
      <c r="K111" s="38">
        <v>22400</v>
      </c>
      <c r="L111" s="39" t="s">
        <v>380</v>
      </c>
      <c r="M111" s="38">
        <v>0</v>
      </c>
      <c r="N111" s="39" t="s">
        <v>380</v>
      </c>
      <c r="O111" s="41">
        <v>69</v>
      </c>
      <c r="P111" s="38">
        <v>0.86</v>
      </c>
      <c r="Q111" s="38">
        <v>1135.3399999999899</v>
      </c>
      <c r="R111" s="39" t="s">
        <v>237</v>
      </c>
    </row>
    <row r="112" spans="1:18" x14ac:dyDescent="0.3">
      <c r="A112" s="37" t="s">
        <v>378</v>
      </c>
      <c r="B112" s="37" t="s">
        <v>488</v>
      </c>
      <c r="C112" s="37" t="s">
        <v>372</v>
      </c>
      <c r="D112" s="37" t="s">
        <v>375</v>
      </c>
      <c r="E112" s="38">
        <v>0</v>
      </c>
      <c r="F112" s="39" t="s">
        <v>237</v>
      </c>
      <c r="G112" s="38">
        <v>0</v>
      </c>
      <c r="H112" s="39" t="s">
        <v>380</v>
      </c>
      <c r="I112" s="40">
        <v>45196</v>
      </c>
      <c r="J112" s="40">
        <v>45264</v>
      </c>
      <c r="K112" s="38">
        <v>0</v>
      </c>
      <c r="L112" s="39" t="s">
        <v>380</v>
      </c>
      <c r="M112" s="38">
        <v>0</v>
      </c>
      <c r="N112" s="39" t="s">
        <v>380</v>
      </c>
      <c r="O112" s="41">
        <v>0</v>
      </c>
      <c r="P112" s="38">
        <v>0</v>
      </c>
      <c r="Q112" s="38">
        <v>0</v>
      </c>
      <c r="R112" s="39" t="s">
        <v>237</v>
      </c>
    </row>
    <row r="113" spans="1:18" x14ac:dyDescent="0.3">
      <c r="A113" s="37" t="s">
        <v>378</v>
      </c>
      <c r="B113" s="37" t="s">
        <v>489</v>
      </c>
      <c r="C113" s="37" t="s">
        <v>372</v>
      </c>
      <c r="D113" s="37" t="s">
        <v>377</v>
      </c>
      <c r="E113" s="38">
        <v>3348.05</v>
      </c>
      <c r="F113" s="39" t="s">
        <v>237</v>
      </c>
      <c r="G113" s="38">
        <v>55.618000000000002</v>
      </c>
      <c r="H113" s="39" t="s">
        <v>374</v>
      </c>
      <c r="I113" s="40">
        <v>45534</v>
      </c>
      <c r="J113" s="40">
        <v>45534</v>
      </c>
      <c r="K113" s="38">
        <v>93.343000000000004</v>
      </c>
      <c r="L113" s="39" t="s">
        <v>374</v>
      </c>
      <c r="M113" s="38">
        <v>110.074</v>
      </c>
      <c r="N113" s="39" t="s">
        <v>374</v>
      </c>
      <c r="O113" s="41">
        <v>159</v>
      </c>
      <c r="P113" s="38">
        <v>0.76</v>
      </c>
      <c r="Q113" s="38">
        <v>1941.53</v>
      </c>
      <c r="R113" s="39" t="s">
        <v>237</v>
      </c>
    </row>
    <row r="114" spans="1:18" x14ac:dyDescent="0.3">
      <c r="A114" s="37" t="s">
        <v>378</v>
      </c>
      <c r="B114" s="37" t="s">
        <v>490</v>
      </c>
      <c r="C114" s="37" t="s">
        <v>372</v>
      </c>
      <c r="D114" s="37" t="s">
        <v>377</v>
      </c>
      <c r="E114" s="38">
        <v>0</v>
      </c>
      <c r="F114" s="39" t="s">
        <v>237</v>
      </c>
      <c r="G114" s="38">
        <v>0</v>
      </c>
      <c r="H114" s="39" t="s">
        <v>374</v>
      </c>
      <c r="I114" s="40">
        <v>44519</v>
      </c>
      <c r="J114" s="40">
        <v>44522</v>
      </c>
      <c r="K114" s="38">
        <v>0</v>
      </c>
      <c r="L114" s="39" t="s">
        <v>374</v>
      </c>
      <c r="M114" s="38">
        <v>0</v>
      </c>
      <c r="N114" s="39" t="s">
        <v>374</v>
      </c>
      <c r="O114" s="41">
        <v>0</v>
      </c>
      <c r="P114" s="38">
        <v>0</v>
      </c>
      <c r="Q114" s="38">
        <v>0</v>
      </c>
      <c r="R114" s="39" t="s">
        <v>237</v>
      </c>
    </row>
    <row r="115" spans="1:18" x14ac:dyDescent="0.3">
      <c r="A115" s="37" t="s">
        <v>378</v>
      </c>
      <c r="B115" s="37" t="s">
        <v>491</v>
      </c>
      <c r="C115" s="37" t="s">
        <v>372</v>
      </c>
      <c r="D115" s="37" t="s">
        <v>377</v>
      </c>
      <c r="E115" s="38">
        <v>0.02</v>
      </c>
      <c r="F115" s="39" t="s">
        <v>237</v>
      </c>
      <c r="G115" s="38">
        <v>1.946</v>
      </c>
      <c r="H115" s="39" t="s">
        <v>374</v>
      </c>
      <c r="I115" s="40">
        <v>45352</v>
      </c>
      <c r="J115" s="40">
        <v>45352</v>
      </c>
      <c r="K115" s="38">
        <v>0</v>
      </c>
      <c r="L115" s="39" t="s">
        <v>374</v>
      </c>
      <c r="M115" s="38">
        <v>0</v>
      </c>
      <c r="N115" s="39" t="s">
        <v>374</v>
      </c>
      <c r="O115" s="41">
        <v>99999</v>
      </c>
      <c r="P115" s="38">
        <v>0</v>
      </c>
      <c r="Q115" s="38">
        <v>0</v>
      </c>
      <c r="R115" s="39" t="s">
        <v>237</v>
      </c>
    </row>
    <row r="116" spans="1:18" x14ac:dyDescent="0.3">
      <c r="A116" s="37" t="s">
        <v>378</v>
      </c>
      <c r="B116" s="37" t="s">
        <v>492</v>
      </c>
      <c r="C116" s="37" t="s">
        <v>372</v>
      </c>
      <c r="D116" s="37" t="s">
        <v>377</v>
      </c>
      <c r="E116" s="38">
        <v>4017.29</v>
      </c>
      <c r="F116" s="39" t="s">
        <v>237</v>
      </c>
      <c r="G116" s="38">
        <v>65.290000000000006</v>
      </c>
      <c r="H116" s="39" t="s">
        <v>374</v>
      </c>
      <c r="I116" s="40">
        <v>45502</v>
      </c>
      <c r="J116" s="40">
        <v>45528</v>
      </c>
      <c r="K116" s="38">
        <v>184.035</v>
      </c>
      <c r="L116" s="39" t="s">
        <v>374</v>
      </c>
      <c r="M116" s="38">
        <v>145.569999999999</v>
      </c>
      <c r="N116" s="39" t="s">
        <v>374</v>
      </c>
      <c r="O116" s="41">
        <v>54</v>
      </c>
      <c r="P116" s="38">
        <v>1.33</v>
      </c>
      <c r="Q116" s="38">
        <v>6902.7399999999898</v>
      </c>
      <c r="R116" s="39" t="s">
        <v>237</v>
      </c>
    </row>
    <row r="117" spans="1:18" x14ac:dyDescent="0.3">
      <c r="A117" s="37" t="s">
        <v>378</v>
      </c>
      <c r="B117" s="37" t="s">
        <v>493</v>
      </c>
      <c r="C117" s="37" t="s">
        <v>372</v>
      </c>
      <c r="D117" s="37" t="s">
        <v>377</v>
      </c>
      <c r="E117" s="38">
        <v>1349.0899999999899</v>
      </c>
      <c r="F117" s="39" t="s">
        <v>237</v>
      </c>
      <c r="G117" s="38">
        <v>24.529</v>
      </c>
      <c r="H117" s="39" t="s">
        <v>374</v>
      </c>
      <c r="I117" s="40">
        <v>44894</v>
      </c>
      <c r="J117" s="40">
        <v>45400</v>
      </c>
      <c r="K117" s="38">
        <v>0</v>
      </c>
      <c r="L117" s="39" t="s">
        <v>374</v>
      </c>
      <c r="M117" s="38">
        <v>0</v>
      </c>
      <c r="N117" s="39" t="s">
        <v>374</v>
      </c>
      <c r="O117" s="41">
        <v>99999</v>
      </c>
      <c r="P117" s="38">
        <v>0</v>
      </c>
      <c r="Q117" s="38">
        <v>0</v>
      </c>
      <c r="R117" s="39" t="s">
        <v>237</v>
      </c>
    </row>
    <row r="118" spans="1:18" x14ac:dyDescent="0.3">
      <c r="A118" s="37" t="s">
        <v>378</v>
      </c>
      <c r="B118" s="37" t="s">
        <v>494</v>
      </c>
      <c r="C118" s="37" t="s">
        <v>372</v>
      </c>
      <c r="D118" s="37" t="s">
        <v>377</v>
      </c>
      <c r="E118" s="38">
        <v>10340.26</v>
      </c>
      <c r="F118" s="39" t="s">
        <v>237</v>
      </c>
      <c r="G118" s="38">
        <v>393.13</v>
      </c>
      <c r="H118" s="39" t="s">
        <v>374</v>
      </c>
      <c r="I118" s="40">
        <v>45534</v>
      </c>
      <c r="J118" s="40">
        <v>45534</v>
      </c>
      <c r="K118" s="38">
        <v>221.268</v>
      </c>
      <c r="L118" s="39" t="s">
        <v>374</v>
      </c>
      <c r="M118" s="38">
        <v>462.27199999999903</v>
      </c>
      <c r="N118" s="39" t="s">
        <v>374</v>
      </c>
      <c r="O118" s="41">
        <v>332</v>
      </c>
      <c r="P118" s="38">
        <v>0.41</v>
      </c>
      <c r="Q118" s="38">
        <v>2867.1399999999899</v>
      </c>
      <c r="R118" s="39" t="s">
        <v>237</v>
      </c>
    </row>
    <row r="119" spans="1:18" x14ac:dyDescent="0.3">
      <c r="A119" s="37" t="s">
        <v>378</v>
      </c>
      <c r="B119" s="37" t="s">
        <v>495</v>
      </c>
      <c r="C119" s="37" t="s">
        <v>372</v>
      </c>
      <c r="D119" s="37" t="s">
        <v>377</v>
      </c>
      <c r="E119" s="38">
        <v>2565.2399999999898</v>
      </c>
      <c r="F119" s="39" t="s">
        <v>237</v>
      </c>
      <c r="G119" s="38">
        <v>86.126000000000005</v>
      </c>
      <c r="H119" s="39" t="s">
        <v>374</v>
      </c>
      <c r="I119" s="40">
        <v>45534</v>
      </c>
      <c r="J119" s="40">
        <v>45534</v>
      </c>
      <c r="K119" s="38">
        <v>113.992999999999</v>
      </c>
      <c r="L119" s="39" t="s">
        <v>374</v>
      </c>
      <c r="M119" s="38">
        <v>110.78100000000001</v>
      </c>
      <c r="N119" s="39" t="s">
        <v>374</v>
      </c>
      <c r="O119" s="41">
        <v>150</v>
      </c>
      <c r="P119" s="38">
        <v>0.56999999999999995</v>
      </c>
      <c r="Q119" s="38">
        <v>1576.0799999999899</v>
      </c>
      <c r="R119" s="39" t="s">
        <v>237</v>
      </c>
    </row>
    <row r="120" spans="1:18" x14ac:dyDescent="0.3">
      <c r="A120" s="37" t="s">
        <v>378</v>
      </c>
      <c r="B120" s="37" t="s">
        <v>496</v>
      </c>
      <c r="C120" s="37" t="s">
        <v>372</v>
      </c>
      <c r="D120" s="37" t="s">
        <v>377</v>
      </c>
      <c r="E120" s="38">
        <v>7105.9499999999898</v>
      </c>
      <c r="F120" s="39" t="s">
        <v>237</v>
      </c>
      <c r="G120" s="38">
        <v>188.31200000000001</v>
      </c>
      <c r="H120" s="39" t="s">
        <v>374</v>
      </c>
      <c r="I120" s="40">
        <v>45525</v>
      </c>
      <c r="J120" s="40"/>
      <c r="K120" s="38">
        <v>182.99700000000001</v>
      </c>
      <c r="L120" s="39" t="s">
        <v>374</v>
      </c>
      <c r="M120" s="38">
        <v>201.19999999999899</v>
      </c>
      <c r="N120" s="39" t="s">
        <v>374</v>
      </c>
      <c r="O120" s="41">
        <v>210</v>
      </c>
      <c r="P120" s="38">
        <v>0.49</v>
      </c>
      <c r="Q120" s="38">
        <v>3105.88</v>
      </c>
      <c r="R120" s="39" t="s">
        <v>237</v>
      </c>
    </row>
    <row r="121" spans="1:18" x14ac:dyDescent="0.3">
      <c r="A121" s="37" t="s">
        <v>378</v>
      </c>
      <c r="B121" s="37" t="s">
        <v>497</v>
      </c>
      <c r="C121" s="37" t="s">
        <v>372</v>
      </c>
      <c r="D121" s="37" t="s">
        <v>377</v>
      </c>
      <c r="E121" s="38">
        <v>0.11</v>
      </c>
      <c r="F121" s="39" t="s">
        <v>237</v>
      </c>
      <c r="G121" s="38">
        <v>3.0000000000000001E-3</v>
      </c>
      <c r="H121" s="39" t="s">
        <v>374</v>
      </c>
      <c r="I121" s="40">
        <v>44882</v>
      </c>
      <c r="J121" s="40">
        <v>44882</v>
      </c>
      <c r="K121" s="38">
        <v>0</v>
      </c>
      <c r="L121" s="39" t="s">
        <v>374</v>
      </c>
      <c r="M121" s="38">
        <v>0</v>
      </c>
      <c r="N121" s="39" t="s">
        <v>374</v>
      </c>
      <c r="O121" s="41">
        <v>99999</v>
      </c>
      <c r="P121" s="38">
        <v>0</v>
      </c>
      <c r="Q121" s="38">
        <v>0</v>
      </c>
      <c r="R121" s="39" t="s">
        <v>237</v>
      </c>
    </row>
    <row r="122" spans="1:18" x14ac:dyDescent="0.3">
      <c r="A122" s="37" t="s">
        <v>378</v>
      </c>
      <c r="B122" s="37" t="s">
        <v>498</v>
      </c>
      <c r="C122" s="37" t="s">
        <v>372</v>
      </c>
      <c r="D122" s="37" t="s">
        <v>377</v>
      </c>
      <c r="E122" s="38">
        <v>52570.769999999902</v>
      </c>
      <c r="F122" s="39" t="s">
        <v>237</v>
      </c>
      <c r="G122" s="38">
        <v>8796.25</v>
      </c>
      <c r="H122" s="39" t="s">
        <v>374</v>
      </c>
      <c r="I122" s="40">
        <v>45512</v>
      </c>
      <c r="J122" s="40">
        <v>45532</v>
      </c>
      <c r="K122" s="38">
        <v>15008.022999999899</v>
      </c>
      <c r="L122" s="39" t="s">
        <v>374</v>
      </c>
      <c r="M122" s="38">
        <v>22241.842000000001</v>
      </c>
      <c r="N122" s="39" t="s">
        <v>374</v>
      </c>
      <c r="O122" s="41">
        <v>105</v>
      </c>
      <c r="P122" s="38">
        <v>1.23</v>
      </c>
      <c r="Q122" s="38">
        <v>46078.97</v>
      </c>
      <c r="R122" s="39" t="s">
        <v>237</v>
      </c>
    </row>
    <row r="123" spans="1:18" x14ac:dyDescent="0.3">
      <c r="A123" s="37" t="s">
        <v>378</v>
      </c>
      <c r="B123" s="37" t="s">
        <v>499</v>
      </c>
      <c r="C123" s="37" t="s">
        <v>372</v>
      </c>
      <c r="D123" s="37" t="s">
        <v>377</v>
      </c>
      <c r="E123" s="38">
        <v>85156.289999999906</v>
      </c>
      <c r="F123" s="39" t="s">
        <v>237</v>
      </c>
      <c r="G123" s="38">
        <v>11149.903</v>
      </c>
      <c r="H123" s="39" t="s">
        <v>374</v>
      </c>
      <c r="I123" s="40">
        <v>45531</v>
      </c>
      <c r="J123" s="40">
        <v>45531</v>
      </c>
      <c r="K123" s="38">
        <v>7770.4840000000004</v>
      </c>
      <c r="L123" s="39" t="s">
        <v>374</v>
      </c>
      <c r="M123" s="38">
        <v>4619.4260000000004</v>
      </c>
      <c r="N123" s="39" t="s">
        <v>374</v>
      </c>
      <c r="O123" s="41">
        <v>326</v>
      </c>
      <c r="P123" s="38">
        <v>0.24</v>
      </c>
      <c r="Q123" s="38">
        <v>24065.91</v>
      </c>
      <c r="R123" s="39" t="s">
        <v>237</v>
      </c>
    </row>
    <row r="124" spans="1:18" x14ac:dyDescent="0.3">
      <c r="A124" s="37" t="s">
        <v>378</v>
      </c>
      <c r="B124" s="37" t="s">
        <v>500</v>
      </c>
      <c r="C124" s="37" t="s">
        <v>372</v>
      </c>
      <c r="D124" s="37" t="s">
        <v>377</v>
      </c>
      <c r="E124" s="38">
        <v>59782.32</v>
      </c>
      <c r="F124" s="39" t="s">
        <v>237</v>
      </c>
      <c r="G124" s="38">
        <v>9918.5220000000008</v>
      </c>
      <c r="H124" s="39" t="s">
        <v>374</v>
      </c>
      <c r="I124" s="40">
        <v>45531</v>
      </c>
      <c r="J124" s="40">
        <v>45532</v>
      </c>
      <c r="K124" s="38">
        <v>25103.455000000002</v>
      </c>
      <c r="L124" s="39" t="s">
        <v>374</v>
      </c>
      <c r="M124" s="38">
        <v>28822.61</v>
      </c>
      <c r="N124" s="39" t="s">
        <v>374</v>
      </c>
      <c r="O124" s="41">
        <v>80</v>
      </c>
      <c r="P124" s="38">
        <v>1.43</v>
      </c>
      <c r="Q124" s="38">
        <v>69079.61</v>
      </c>
      <c r="R124" s="39" t="s">
        <v>237</v>
      </c>
    </row>
    <row r="125" spans="1:18" x14ac:dyDescent="0.3">
      <c r="A125" s="37" t="s">
        <v>378</v>
      </c>
      <c r="B125" s="37" t="s">
        <v>501</v>
      </c>
      <c r="C125" s="37" t="s">
        <v>372</v>
      </c>
      <c r="D125" s="37" t="s">
        <v>375</v>
      </c>
      <c r="E125" s="38">
        <v>304.19999999999902</v>
      </c>
      <c r="F125" s="39" t="s">
        <v>237</v>
      </c>
      <c r="G125" s="38">
        <v>11700</v>
      </c>
      <c r="H125" s="39" t="s">
        <v>380</v>
      </c>
      <c r="I125" s="40">
        <v>45089</v>
      </c>
      <c r="J125" s="40">
        <v>45365</v>
      </c>
      <c r="K125" s="38">
        <v>0</v>
      </c>
      <c r="L125" s="39" t="s">
        <v>380</v>
      </c>
      <c r="M125" s="38">
        <v>0</v>
      </c>
      <c r="N125" s="39" t="s">
        <v>380</v>
      </c>
      <c r="O125" s="41">
        <v>99999</v>
      </c>
      <c r="P125" s="38">
        <v>0</v>
      </c>
      <c r="Q125" s="38">
        <v>0</v>
      </c>
      <c r="R125" s="39" t="s">
        <v>237</v>
      </c>
    </row>
    <row r="126" spans="1:18" x14ac:dyDescent="0.3">
      <c r="A126" s="37" t="s">
        <v>378</v>
      </c>
      <c r="B126" s="37" t="s">
        <v>502</v>
      </c>
      <c r="C126" s="37" t="s">
        <v>372</v>
      </c>
      <c r="D126" s="37" t="s">
        <v>375</v>
      </c>
      <c r="E126" s="38">
        <v>638.83000000000004</v>
      </c>
      <c r="F126" s="39" t="s">
        <v>237</v>
      </c>
      <c r="G126" s="38">
        <v>17800</v>
      </c>
      <c r="H126" s="39" t="s">
        <v>380</v>
      </c>
      <c r="I126" s="40">
        <v>45524</v>
      </c>
      <c r="J126" s="40">
        <v>45524</v>
      </c>
      <c r="K126" s="38">
        <v>4000</v>
      </c>
      <c r="L126" s="39" t="s">
        <v>380</v>
      </c>
      <c r="M126" s="38">
        <v>4000</v>
      </c>
      <c r="N126" s="39" t="s">
        <v>380</v>
      </c>
      <c r="O126" s="41">
        <v>99999</v>
      </c>
      <c r="P126" s="38">
        <v>0</v>
      </c>
      <c r="Q126" s="38">
        <v>0</v>
      </c>
      <c r="R126" s="39" t="s">
        <v>237</v>
      </c>
    </row>
    <row r="127" spans="1:18" x14ac:dyDescent="0.3">
      <c r="A127" s="37" t="s">
        <v>378</v>
      </c>
      <c r="B127" s="37" t="s">
        <v>503</v>
      </c>
      <c r="C127" s="37" t="s">
        <v>372</v>
      </c>
      <c r="D127" s="37" t="s">
        <v>375</v>
      </c>
      <c r="E127" s="38">
        <v>2051.5999999999899</v>
      </c>
      <c r="F127" s="39" t="s">
        <v>237</v>
      </c>
      <c r="G127" s="38">
        <v>44600</v>
      </c>
      <c r="H127" s="39" t="s">
        <v>380</v>
      </c>
      <c r="I127" s="40">
        <v>45533</v>
      </c>
      <c r="J127" s="40"/>
      <c r="K127" s="38">
        <v>22000</v>
      </c>
      <c r="L127" s="39" t="s">
        <v>380</v>
      </c>
      <c r="M127" s="38">
        <v>40000</v>
      </c>
      <c r="N127" s="39" t="s">
        <v>380</v>
      </c>
      <c r="O127" s="41">
        <v>187</v>
      </c>
      <c r="P127" s="38">
        <v>0.71</v>
      </c>
      <c r="Q127" s="38">
        <v>1012</v>
      </c>
      <c r="R127" s="39" t="s">
        <v>237</v>
      </c>
    </row>
    <row r="128" spans="1:18" x14ac:dyDescent="0.3">
      <c r="A128" s="37" t="s">
        <v>378</v>
      </c>
      <c r="B128" s="37" t="s">
        <v>504</v>
      </c>
      <c r="C128" s="37" t="s">
        <v>372</v>
      </c>
      <c r="D128" s="37" t="s">
        <v>375</v>
      </c>
      <c r="E128" s="38">
        <v>115.92</v>
      </c>
      <c r="F128" s="39" t="s">
        <v>237</v>
      </c>
      <c r="G128" s="38">
        <v>6900</v>
      </c>
      <c r="H128" s="39" t="s">
        <v>380</v>
      </c>
      <c r="I128" s="40">
        <v>45428</v>
      </c>
      <c r="J128" s="40">
        <v>45468</v>
      </c>
      <c r="K128" s="38">
        <v>1000</v>
      </c>
      <c r="L128" s="39" t="s">
        <v>380</v>
      </c>
      <c r="M128" s="38">
        <v>0</v>
      </c>
      <c r="N128" s="39" t="s">
        <v>380</v>
      </c>
      <c r="O128" s="41">
        <v>635</v>
      </c>
      <c r="P128" s="38">
        <v>0.14000000000000001</v>
      </c>
      <c r="Q128" s="38">
        <v>16.8</v>
      </c>
      <c r="R128" s="39" t="s">
        <v>237</v>
      </c>
    </row>
    <row r="129" spans="1:18" x14ac:dyDescent="0.3">
      <c r="A129" s="37" t="s">
        <v>378</v>
      </c>
      <c r="B129" s="37" t="s">
        <v>505</v>
      </c>
      <c r="C129" s="37" t="s">
        <v>372</v>
      </c>
      <c r="D129" s="37" t="s">
        <v>375</v>
      </c>
      <c r="E129" s="38">
        <v>207</v>
      </c>
      <c r="F129" s="39" t="s">
        <v>237</v>
      </c>
      <c r="G129" s="38">
        <v>11500</v>
      </c>
      <c r="H129" s="39" t="s">
        <v>380</v>
      </c>
      <c r="I129" s="40">
        <v>45524</v>
      </c>
      <c r="J129" s="40">
        <v>45532</v>
      </c>
      <c r="K129" s="38">
        <v>12000</v>
      </c>
      <c r="L129" s="39" t="s">
        <v>380</v>
      </c>
      <c r="M129" s="38">
        <v>6000</v>
      </c>
      <c r="N129" s="39" t="s">
        <v>380</v>
      </c>
      <c r="O129" s="41">
        <v>176</v>
      </c>
      <c r="P129" s="38">
        <v>0.38</v>
      </c>
      <c r="Q129" s="38">
        <v>108</v>
      </c>
      <c r="R129" s="39" t="s">
        <v>237</v>
      </c>
    </row>
    <row r="130" spans="1:18" x14ac:dyDescent="0.3">
      <c r="A130" s="37" t="s">
        <v>378</v>
      </c>
      <c r="B130" s="37" t="s">
        <v>506</v>
      </c>
      <c r="C130" s="37" t="s">
        <v>372</v>
      </c>
      <c r="D130" s="37" t="s">
        <v>375</v>
      </c>
      <c r="E130" s="38">
        <v>0</v>
      </c>
      <c r="F130" s="39" t="s">
        <v>237</v>
      </c>
      <c r="G130" s="38">
        <v>0</v>
      </c>
      <c r="H130" s="39" t="s">
        <v>380</v>
      </c>
      <c r="I130" s="40">
        <v>44197</v>
      </c>
      <c r="J130" s="40">
        <v>44468</v>
      </c>
      <c r="K130" s="38">
        <v>0</v>
      </c>
      <c r="L130" s="39" t="s">
        <v>380</v>
      </c>
      <c r="M130" s="38">
        <v>0</v>
      </c>
      <c r="N130" s="39" t="s">
        <v>380</v>
      </c>
      <c r="O130" s="41">
        <v>0</v>
      </c>
      <c r="P130" s="38">
        <v>0</v>
      </c>
      <c r="Q130" s="38">
        <v>0</v>
      </c>
      <c r="R130" s="39" t="s">
        <v>237</v>
      </c>
    </row>
    <row r="131" spans="1:18" x14ac:dyDescent="0.3">
      <c r="A131" s="37" t="s">
        <v>378</v>
      </c>
      <c r="B131" s="37" t="s">
        <v>507</v>
      </c>
      <c r="C131" s="37" t="s">
        <v>372</v>
      </c>
      <c r="D131" s="37" t="s">
        <v>375</v>
      </c>
      <c r="E131" s="38">
        <v>15467.92</v>
      </c>
      <c r="F131" s="39" t="s">
        <v>237</v>
      </c>
      <c r="G131" s="38">
        <v>96700</v>
      </c>
      <c r="H131" s="39" t="s">
        <v>380</v>
      </c>
      <c r="I131" s="40">
        <v>45534</v>
      </c>
      <c r="J131" s="40">
        <v>45534</v>
      </c>
      <c r="K131" s="38">
        <v>269800</v>
      </c>
      <c r="L131" s="39" t="s">
        <v>380</v>
      </c>
      <c r="M131" s="38">
        <v>252400</v>
      </c>
      <c r="N131" s="39" t="s">
        <v>380</v>
      </c>
      <c r="O131" s="41">
        <v>76</v>
      </c>
      <c r="P131" s="38">
        <v>0.92</v>
      </c>
      <c r="Q131" s="38">
        <v>18778.29</v>
      </c>
      <c r="R131" s="39" t="s">
        <v>237</v>
      </c>
    </row>
    <row r="132" spans="1:18" x14ac:dyDescent="0.3">
      <c r="A132" s="37" t="s">
        <v>378</v>
      </c>
      <c r="B132" s="37" t="s">
        <v>508</v>
      </c>
      <c r="C132" s="37" t="s">
        <v>372</v>
      </c>
      <c r="D132" s="37" t="s">
        <v>375</v>
      </c>
      <c r="E132" s="38">
        <v>2370</v>
      </c>
      <c r="F132" s="39" t="s">
        <v>237</v>
      </c>
      <c r="G132" s="38">
        <v>15800</v>
      </c>
      <c r="H132" s="39" t="s">
        <v>380</v>
      </c>
      <c r="I132" s="40">
        <v>45418</v>
      </c>
      <c r="J132" s="40">
        <v>45405</v>
      </c>
      <c r="K132" s="38">
        <v>0</v>
      </c>
      <c r="L132" s="39" t="s">
        <v>380</v>
      </c>
      <c r="M132" s="38">
        <v>0</v>
      </c>
      <c r="N132" s="39" t="s">
        <v>380</v>
      </c>
      <c r="O132" s="41">
        <v>99999</v>
      </c>
      <c r="P132" s="38">
        <v>0</v>
      </c>
      <c r="Q132" s="38">
        <v>0</v>
      </c>
      <c r="R132" s="39" t="s">
        <v>237</v>
      </c>
    </row>
    <row r="133" spans="1:18" x14ac:dyDescent="0.3">
      <c r="A133" s="37" t="s">
        <v>378</v>
      </c>
      <c r="B133" s="37" t="s">
        <v>509</v>
      </c>
      <c r="C133" s="37" t="s">
        <v>372</v>
      </c>
      <c r="D133" s="37" t="s">
        <v>375</v>
      </c>
      <c r="E133" s="38">
        <v>5544.5</v>
      </c>
      <c r="F133" s="39" t="s">
        <v>237</v>
      </c>
      <c r="G133" s="38">
        <v>85300</v>
      </c>
      <c r="H133" s="39" t="s">
        <v>380</v>
      </c>
      <c r="I133" s="40">
        <v>45534</v>
      </c>
      <c r="J133" s="40">
        <v>45477</v>
      </c>
      <c r="K133" s="38">
        <v>81800</v>
      </c>
      <c r="L133" s="39" t="s">
        <v>380</v>
      </c>
      <c r="M133" s="38">
        <v>87500</v>
      </c>
      <c r="N133" s="39" t="s">
        <v>380</v>
      </c>
      <c r="O133" s="41">
        <v>177</v>
      </c>
      <c r="P133" s="38">
        <v>0.56000000000000005</v>
      </c>
      <c r="Q133" s="38">
        <v>2879.5</v>
      </c>
      <c r="R133" s="39" t="s">
        <v>237</v>
      </c>
    </row>
    <row r="134" spans="1:18" x14ac:dyDescent="0.3">
      <c r="A134" s="37" t="s">
        <v>378</v>
      </c>
      <c r="B134" s="37" t="s">
        <v>510</v>
      </c>
      <c r="C134" s="37" t="s">
        <v>372</v>
      </c>
      <c r="D134" s="37" t="s">
        <v>375</v>
      </c>
      <c r="E134" s="38">
        <v>0</v>
      </c>
      <c r="F134" s="39" t="s">
        <v>237</v>
      </c>
      <c r="G134" s="38">
        <v>0</v>
      </c>
      <c r="H134" s="39" t="s">
        <v>380</v>
      </c>
      <c r="I134" s="40">
        <v>44502</v>
      </c>
      <c r="J134" s="40">
        <v>44915</v>
      </c>
      <c r="K134" s="38">
        <v>0</v>
      </c>
      <c r="L134" s="39" t="s">
        <v>380</v>
      </c>
      <c r="M134" s="38">
        <v>0</v>
      </c>
      <c r="N134" s="39" t="s">
        <v>380</v>
      </c>
      <c r="O134" s="41">
        <v>0</v>
      </c>
      <c r="P134" s="38">
        <v>0</v>
      </c>
      <c r="Q134" s="38">
        <v>0</v>
      </c>
      <c r="R134" s="39" t="s">
        <v>237</v>
      </c>
    </row>
    <row r="135" spans="1:18" x14ac:dyDescent="0.3">
      <c r="A135" s="37" t="s">
        <v>378</v>
      </c>
      <c r="B135" s="37" t="s">
        <v>511</v>
      </c>
      <c r="C135" s="37" t="s">
        <v>372</v>
      </c>
      <c r="D135" s="37" t="s">
        <v>375</v>
      </c>
      <c r="E135" s="38">
        <v>346.5</v>
      </c>
      <c r="F135" s="39" t="s">
        <v>237</v>
      </c>
      <c r="G135" s="38">
        <v>24750</v>
      </c>
      <c r="H135" s="39" t="s">
        <v>380</v>
      </c>
      <c r="I135" s="40">
        <v>45407</v>
      </c>
      <c r="J135" s="40">
        <v>45471</v>
      </c>
      <c r="K135" s="38">
        <v>15000</v>
      </c>
      <c r="L135" s="39" t="s">
        <v>380</v>
      </c>
      <c r="M135" s="38">
        <v>0</v>
      </c>
      <c r="N135" s="39" t="s">
        <v>380</v>
      </c>
      <c r="O135" s="41">
        <v>152</v>
      </c>
      <c r="P135" s="38">
        <v>0.53</v>
      </c>
      <c r="Q135" s="38">
        <v>210</v>
      </c>
      <c r="R135" s="39" t="s">
        <v>237</v>
      </c>
    </row>
    <row r="136" spans="1:18" x14ac:dyDescent="0.3">
      <c r="A136" s="37" t="s">
        <v>378</v>
      </c>
      <c r="B136" s="37" t="s">
        <v>512</v>
      </c>
      <c r="C136" s="37" t="s">
        <v>372</v>
      </c>
      <c r="D136" s="37" t="s">
        <v>375</v>
      </c>
      <c r="E136" s="38">
        <v>690</v>
      </c>
      <c r="F136" s="39" t="s">
        <v>237</v>
      </c>
      <c r="G136" s="38">
        <v>23000</v>
      </c>
      <c r="H136" s="39" t="s">
        <v>380</v>
      </c>
      <c r="I136" s="40">
        <v>45408</v>
      </c>
      <c r="J136" s="40">
        <v>45384</v>
      </c>
      <c r="K136" s="38">
        <v>0</v>
      </c>
      <c r="L136" s="39" t="s">
        <v>380</v>
      </c>
      <c r="M136" s="38">
        <v>0</v>
      </c>
      <c r="N136" s="39" t="s">
        <v>380</v>
      </c>
      <c r="O136" s="41">
        <v>99999</v>
      </c>
      <c r="P136" s="38">
        <v>0</v>
      </c>
      <c r="Q136" s="38">
        <v>0</v>
      </c>
      <c r="R136" s="39" t="s">
        <v>237</v>
      </c>
    </row>
    <row r="137" spans="1:18" x14ac:dyDescent="0.3">
      <c r="A137" s="37" t="s">
        <v>378</v>
      </c>
      <c r="B137" s="37" t="s">
        <v>513</v>
      </c>
      <c r="C137" s="37" t="s">
        <v>372</v>
      </c>
      <c r="D137" s="37" t="s">
        <v>375</v>
      </c>
      <c r="E137" s="38">
        <v>0</v>
      </c>
      <c r="F137" s="39" t="s">
        <v>237</v>
      </c>
      <c r="G137" s="38">
        <v>0</v>
      </c>
      <c r="H137" s="39" t="s">
        <v>380</v>
      </c>
      <c r="I137" s="40">
        <v>45447</v>
      </c>
      <c r="J137" s="40">
        <v>45518</v>
      </c>
      <c r="K137" s="38">
        <v>40344</v>
      </c>
      <c r="L137" s="39" t="s">
        <v>380</v>
      </c>
      <c r="M137" s="38">
        <v>40344</v>
      </c>
      <c r="N137" s="39" t="s">
        <v>380</v>
      </c>
      <c r="O137" s="41">
        <v>0</v>
      </c>
      <c r="P137" s="38">
        <v>2.09</v>
      </c>
      <c r="Q137" s="38">
        <v>6858.4799999999896</v>
      </c>
      <c r="R137" s="39" t="s">
        <v>237</v>
      </c>
    </row>
    <row r="138" spans="1:18" x14ac:dyDescent="0.3">
      <c r="A138" s="37" t="s">
        <v>378</v>
      </c>
      <c r="B138" s="37" t="s">
        <v>514</v>
      </c>
      <c r="C138" s="37" t="s">
        <v>372</v>
      </c>
      <c r="D138" s="37" t="s">
        <v>375</v>
      </c>
      <c r="E138" s="38">
        <v>0</v>
      </c>
      <c r="F138" s="39" t="s">
        <v>237</v>
      </c>
      <c r="G138" s="38">
        <v>0</v>
      </c>
      <c r="H138" s="39" t="s">
        <v>380</v>
      </c>
      <c r="I138" s="40">
        <v>45498</v>
      </c>
      <c r="J138" s="40">
        <v>45504</v>
      </c>
      <c r="K138" s="38">
        <v>1783</v>
      </c>
      <c r="L138" s="39" t="s">
        <v>380</v>
      </c>
      <c r="M138" s="38">
        <v>1783</v>
      </c>
      <c r="N138" s="39" t="s">
        <v>380</v>
      </c>
      <c r="O138" s="41">
        <v>0</v>
      </c>
      <c r="P138" s="38">
        <v>99999</v>
      </c>
      <c r="Q138" s="38">
        <v>944.99</v>
      </c>
      <c r="R138" s="39" t="s">
        <v>237</v>
      </c>
    </row>
    <row r="139" spans="1:18" x14ac:dyDescent="0.3">
      <c r="A139" s="37" t="s">
        <v>378</v>
      </c>
      <c r="B139" s="37" t="s">
        <v>515</v>
      </c>
      <c r="C139" s="37" t="s">
        <v>372</v>
      </c>
      <c r="D139" s="37" t="s">
        <v>375</v>
      </c>
      <c r="E139" s="38">
        <v>216.3</v>
      </c>
      <c r="F139" s="39" t="s">
        <v>237</v>
      </c>
      <c r="G139" s="38">
        <v>721</v>
      </c>
      <c r="H139" s="39" t="s">
        <v>380</v>
      </c>
      <c r="I139" s="40">
        <v>44995</v>
      </c>
      <c r="J139" s="40">
        <v>45000</v>
      </c>
      <c r="K139" s="38">
        <v>0</v>
      </c>
      <c r="L139" s="39" t="s">
        <v>380</v>
      </c>
      <c r="M139" s="38">
        <v>0</v>
      </c>
      <c r="N139" s="39" t="s">
        <v>380</v>
      </c>
      <c r="O139" s="41">
        <v>99999</v>
      </c>
      <c r="P139" s="38">
        <v>0</v>
      </c>
      <c r="Q139" s="38">
        <v>0</v>
      </c>
      <c r="R139" s="39" t="s">
        <v>237</v>
      </c>
    </row>
    <row r="140" spans="1:18" x14ac:dyDescent="0.3">
      <c r="A140" s="37" t="s">
        <v>378</v>
      </c>
      <c r="B140" s="37" t="s">
        <v>516</v>
      </c>
      <c r="C140" s="37" t="s">
        <v>372</v>
      </c>
      <c r="D140" s="37" t="s">
        <v>375</v>
      </c>
      <c r="E140" s="38">
        <v>0</v>
      </c>
      <c r="F140" s="39" t="s">
        <v>237</v>
      </c>
      <c r="G140" s="38">
        <v>0</v>
      </c>
      <c r="H140" s="39" t="s">
        <v>380</v>
      </c>
      <c r="I140" s="40">
        <v>44524</v>
      </c>
      <c r="J140" s="40">
        <v>44524</v>
      </c>
      <c r="K140" s="38">
        <v>0</v>
      </c>
      <c r="L140" s="39" t="s">
        <v>380</v>
      </c>
      <c r="M140" s="38">
        <v>0</v>
      </c>
      <c r="N140" s="39" t="s">
        <v>380</v>
      </c>
      <c r="O140" s="41">
        <v>0</v>
      </c>
      <c r="P140" s="38">
        <v>0</v>
      </c>
      <c r="Q140" s="38">
        <v>0</v>
      </c>
      <c r="R140" s="39" t="s">
        <v>237</v>
      </c>
    </row>
    <row r="141" spans="1:18" x14ac:dyDescent="0.3">
      <c r="A141" s="37" t="s">
        <v>378</v>
      </c>
      <c r="B141" s="37" t="s">
        <v>517</v>
      </c>
      <c r="C141" s="37" t="s">
        <v>372</v>
      </c>
      <c r="D141" s="37" t="s">
        <v>375</v>
      </c>
      <c r="E141" s="38">
        <v>4673.1999999999898</v>
      </c>
      <c r="F141" s="39" t="s">
        <v>237</v>
      </c>
      <c r="G141" s="38">
        <v>16690</v>
      </c>
      <c r="H141" s="39" t="s">
        <v>380</v>
      </c>
      <c r="I141" s="40">
        <v>45362</v>
      </c>
      <c r="J141" s="40">
        <v>45495</v>
      </c>
      <c r="K141" s="38">
        <v>23903</v>
      </c>
      <c r="L141" s="39" t="s">
        <v>380</v>
      </c>
      <c r="M141" s="38">
        <v>12642</v>
      </c>
      <c r="N141" s="39" t="s">
        <v>380</v>
      </c>
      <c r="O141" s="41">
        <v>136</v>
      </c>
      <c r="P141" s="38">
        <v>0.5</v>
      </c>
      <c r="Q141" s="38">
        <v>3153.0799999999899</v>
      </c>
      <c r="R141" s="39" t="s">
        <v>237</v>
      </c>
    </row>
    <row r="142" spans="1:18" x14ac:dyDescent="0.3">
      <c r="A142" s="37" t="s">
        <v>378</v>
      </c>
      <c r="B142" s="37" t="s">
        <v>518</v>
      </c>
      <c r="C142" s="37" t="s">
        <v>372</v>
      </c>
      <c r="D142" s="37" t="s">
        <v>375</v>
      </c>
      <c r="E142" s="38">
        <v>0</v>
      </c>
      <c r="F142" s="39" t="s">
        <v>237</v>
      </c>
      <c r="G142" s="38">
        <v>0</v>
      </c>
      <c r="H142" s="39" t="s">
        <v>380</v>
      </c>
      <c r="I142" s="40">
        <v>44525</v>
      </c>
      <c r="J142" s="40">
        <v>44529</v>
      </c>
      <c r="K142" s="38">
        <v>0</v>
      </c>
      <c r="L142" s="39" t="s">
        <v>380</v>
      </c>
      <c r="M142" s="38">
        <v>0</v>
      </c>
      <c r="N142" s="39" t="s">
        <v>380</v>
      </c>
      <c r="O142" s="41">
        <v>0</v>
      </c>
      <c r="P142" s="38">
        <v>0</v>
      </c>
      <c r="Q142" s="38">
        <v>0</v>
      </c>
      <c r="R142" s="39" t="s">
        <v>237</v>
      </c>
    </row>
    <row r="143" spans="1:18" x14ac:dyDescent="0.3">
      <c r="A143" s="37" t="s">
        <v>378</v>
      </c>
      <c r="B143" s="37" t="s">
        <v>519</v>
      </c>
      <c r="C143" s="37" t="s">
        <v>372</v>
      </c>
      <c r="D143" s="37" t="s">
        <v>375</v>
      </c>
      <c r="E143" s="38">
        <v>6552</v>
      </c>
      <c r="F143" s="39" t="s">
        <v>237</v>
      </c>
      <c r="G143" s="38">
        <v>12600</v>
      </c>
      <c r="H143" s="39" t="s">
        <v>380</v>
      </c>
      <c r="I143" s="40">
        <v>45532</v>
      </c>
      <c r="J143" s="40">
        <v>45533</v>
      </c>
      <c r="K143" s="38">
        <v>25200</v>
      </c>
      <c r="L143" s="39" t="s">
        <v>380</v>
      </c>
      <c r="M143" s="38">
        <v>25200</v>
      </c>
      <c r="N143" s="39" t="s">
        <v>380</v>
      </c>
      <c r="O143" s="41">
        <v>48</v>
      </c>
      <c r="P143" s="38">
        <v>2.63</v>
      </c>
      <c r="Q143" s="38">
        <v>12687.66</v>
      </c>
      <c r="R143" s="39" t="s">
        <v>237</v>
      </c>
    </row>
    <row r="144" spans="1:18" x14ac:dyDescent="0.3">
      <c r="A144" s="37" t="s">
        <v>378</v>
      </c>
      <c r="B144" s="37" t="s">
        <v>520</v>
      </c>
      <c r="C144" s="37" t="s">
        <v>372</v>
      </c>
      <c r="D144" s="37" t="s">
        <v>375</v>
      </c>
      <c r="E144" s="38">
        <v>0</v>
      </c>
      <c r="F144" s="39" t="s">
        <v>237</v>
      </c>
      <c r="G144" s="38">
        <v>0</v>
      </c>
      <c r="H144" s="39" t="s">
        <v>380</v>
      </c>
      <c r="I144" s="40">
        <v>45532</v>
      </c>
      <c r="J144" s="40">
        <v>45533</v>
      </c>
      <c r="K144" s="38">
        <v>100800</v>
      </c>
      <c r="L144" s="39" t="s">
        <v>380</v>
      </c>
      <c r="M144" s="38">
        <v>70350</v>
      </c>
      <c r="N144" s="39" t="s">
        <v>380</v>
      </c>
      <c r="O144" s="41">
        <v>0</v>
      </c>
      <c r="P144" s="38">
        <v>7.17</v>
      </c>
      <c r="Q144" s="38">
        <v>48130.58</v>
      </c>
      <c r="R144" s="39" t="s">
        <v>237</v>
      </c>
    </row>
    <row r="145" spans="1:18" x14ac:dyDescent="0.3">
      <c r="A145" s="37" t="s">
        <v>378</v>
      </c>
      <c r="B145" s="37" t="s">
        <v>521</v>
      </c>
      <c r="C145" s="37" t="s">
        <v>372</v>
      </c>
      <c r="D145" s="37" t="s">
        <v>375</v>
      </c>
      <c r="E145" s="38">
        <v>5427.1999999999898</v>
      </c>
      <c r="F145" s="39" t="s">
        <v>237</v>
      </c>
      <c r="G145" s="38">
        <v>10240</v>
      </c>
      <c r="H145" s="39" t="s">
        <v>380</v>
      </c>
      <c r="I145" s="40"/>
      <c r="J145" s="40">
        <v>45533</v>
      </c>
      <c r="K145" s="38">
        <v>184320</v>
      </c>
      <c r="L145" s="39" t="s">
        <v>380</v>
      </c>
      <c r="M145" s="38">
        <v>171520</v>
      </c>
      <c r="N145" s="39" t="s">
        <v>380</v>
      </c>
      <c r="O145" s="41">
        <v>5</v>
      </c>
      <c r="P145" s="38">
        <v>21.04</v>
      </c>
      <c r="Q145" s="38">
        <v>96857</v>
      </c>
      <c r="R145" s="39" t="s">
        <v>237</v>
      </c>
    </row>
    <row r="146" spans="1:18" x14ac:dyDescent="0.3">
      <c r="A146" s="37" t="s">
        <v>378</v>
      </c>
      <c r="B146" s="37" t="s">
        <v>522</v>
      </c>
      <c r="C146" s="37" t="s">
        <v>372</v>
      </c>
      <c r="D146" s="37" t="s">
        <v>375</v>
      </c>
      <c r="E146" s="38">
        <v>0</v>
      </c>
      <c r="F146" s="39" t="s">
        <v>237</v>
      </c>
      <c r="G146" s="38">
        <v>0</v>
      </c>
      <c r="H146" s="39" t="s">
        <v>380</v>
      </c>
      <c r="I146" s="40">
        <v>45502</v>
      </c>
      <c r="J146" s="40">
        <v>45524</v>
      </c>
      <c r="K146" s="38">
        <v>13440</v>
      </c>
      <c r="L146" s="39" t="s">
        <v>380</v>
      </c>
      <c r="M146" s="38">
        <v>13440</v>
      </c>
      <c r="N146" s="39" t="s">
        <v>380</v>
      </c>
      <c r="O146" s="41">
        <v>0</v>
      </c>
      <c r="P146" s="38">
        <v>4</v>
      </c>
      <c r="Q146" s="38">
        <v>11020.799999999899</v>
      </c>
      <c r="R146" s="39" t="s">
        <v>237</v>
      </c>
    </row>
    <row r="147" spans="1:18" x14ac:dyDescent="0.3">
      <c r="A147" s="37" t="s">
        <v>378</v>
      </c>
      <c r="B147" s="37" t="s">
        <v>523</v>
      </c>
      <c r="C147" s="37" t="s">
        <v>372</v>
      </c>
      <c r="D147" s="37" t="s">
        <v>375</v>
      </c>
      <c r="E147" s="38">
        <v>0</v>
      </c>
      <c r="F147" s="39" t="s">
        <v>237</v>
      </c>
      <c r="G147" s="38">
        <v>0</v>
      </c>
      <c r="H147" s="39" t="s">
        <v>380</v>
      </c>
      <c r="I147" s="40">
        <v>45299</v>
      </c>
      <c r="J147" s="40">
        <v>45301</v>
      </c>
      <c r="K147" s="38">
        <v>0</v>
      </c>
      <c r="L147" s="39" t="s">
        <v>380</v>
      </c>
      <c r="M147" s="38">
        <v>0</v>
      </c>
      <c r="N147" s="39" t="s">
        <v>380</v>
      </c>
      <c r="O147" s="41">
        <v>0</v>
      </c>
      <c r="P147" s="38">
        <v>0</v>
      </c>
      <c r="Q147" s="38">
        <v>0</v>
      </c>
      <c r="R147" s="39" t="s">
        <v>237</v>
      </c>
    </row>
    <row r="148" spans="1:18" x14ac:dyDescent="0.3">
      <c r="A148" s="37" t="s">
        <v>378</v>
      </c>
      <c r="B148" s="37" t="s">
        <v>524</v>
      </c>
      <c r="C148" s="37" t="s">
        <v>372</v>
      </c>
      <c r="D148" s="37" t="s">
        <v>375</v>
      </c>
      <c r="E148" s="38">
        <v>0</v>
      </c>
      <c r="F148" s="39" t="s">
        <v>237</v>
      </c>
      <c r="G148" s="38">
        <v>0</v>
      </c>
      <c r="H148" s="39" t="s">
        <v>380</v>
      </c>
      <c r="I148" s="40">
        <v>45523</v>
      </c>
      <c r="J148" s="40">
        <v>45523</v>
      </c>
      <c r="K148" s="38">
        <v>2760</v>
      </c>
      <c r="L148" s="39" t="s">
        <v>380</v>
      </c>
      <c r="M148" s="38">
        <v>2760</v>
      </c>
      <c r="N148" s="39" t="s">
        <v>380</v>
      </c>
      <c r="O148" s="41">
        <v>0</v>
      </c>
      <c r="P148" s="38">
        <v>99999</v>
      </c>
      <c r="Q148" s="38">
        <v>2290.8000000000002</v>
      </c>
      <c r="R148" s="39" t="s">
        <v>237</v>
      </c>
    </row>
    <row r="149" spans="1:18" x14ac:dyDescent="0.3">
      <c r="A149" s="37" t="s">
        <v>378</v>
      </c>
      <c r="B149" s="37" t="s">
        <v>525</v>
      </c>
      <c r="C149" s="37" t="s">
        <v>372</v>
      </c>
      <c r="D149" s="37" t="s">
        <v>375</v>
      </c>
      <c r="E149" s="38">
        <v>18017.279999999901</v>
      </c>
      <c r="F149" s="39" t="s">
        <v>237</v>
      </c>
      <c r="G149" s="38">
        <v>26496</v>
      </c>
      <c r="H149" s="39" t="s">
        <v>380</v>
      </c>
      <c r="I149" s="40">
        <v>45533</v>
      </c>
      <c r="J149" s="40">
        <v>45533</v>
      </c>
      <c r="K149" s="38">
        <v>52992</v>
      </c>
      <c r="L149" s="39" t="s">
        <v>380</v>
      </c>
      <c r="M149" s="38">
        <v>66240</v>
      </c>
      <c r="N149" s="39" t="s">
        <v>380</v>
      </c>
      <c r="O149" s="41">
        <v>47</v>
      </c>
      <c r="P149" s="38">
        <v>3.98</v>
      </c>
      <c r="Q149" s="38">
        <v>35471.269999999902</v>
      </c>
      <c r="R149" s="39" t="s">
        <v>237</v>
      </c>
    </row>
    <row r="150" spans="1:18" x14ac:dyDescent="0.3">
      <c r="A150" s="37" t="s">
        <v>378</v>
      </c>
      <c r="B150" s="37" t="s">
        <v>526</v>
      </c>
      <c r="C150" s="37" t="s">
        <v>372</v>
      </c>
      <c r="D150" s="37" t="s">
        <v>375</v>
      </c>
      <c r="E150" s="38">
        <v>0</v>
      </c>
      <c r="F150" s="39" t="s">
        <v>237</v>
      </c>
      <c r="G150" s="38">
        <v>0</v>
      </c>
      <c r="H150" s="39" t="s">
        <v>380</v>
      </c>
      <c r="I150" s="40">
        <v>45482</v>
      </c>
      <c r="J150" s="40">
        <v>45489</v>
      </c>
      <c r="K150" s="38">
        <v>30800</v>
      </c>
      <c r="L150" s="39" t="s">
        <v>380</v>
      </c>
      <c r="M150" s="38">
        <v>30800</v>
      </c>
      <c r="N150" s="39" t="s">
        <v>380</v>
      </c>
      <c r="O150" s="41">
        <v>0</v>
      </c>
      <c r="P150" s="38">
        <v>99999</v>
      </c>
      <c r="Q150" s="38">
        <v>2515.3699999999899</v>
      </c>
      <c r="R150" s="39" t="s">
        <v>237</v>
      </c>
    </row>
    <row r="151" spans="1:18" x14ac:dyDescent="0.3">
      <c r="A151" s="37" t="s">
        <v>378</v>
      </c>
      <c r="B151" s="37" t="s">
        <v>527</v>
      </c>
      <c r="C151" s="37" t="s">
        <v>372</v>
      </c>
      <c r="D151" s="37" t="s">
        <v>375</v>
      </c>
      <c r="E151" s="38">
        <v>0</v>
      </c>
      <c r="F151" s="39" t="s">
        <v>237</v>
      </c>
      <c r="G151" s="38">
        <v>0</v>
      </c>
      <c r="H151" s="39" t="s">
        <v>380</v>
      </c>
      <c r="I151" s="40">
        <v>44252</v>
      </c>
      <c r="J151" s="40">
        <v>44252</v>
      </c>
      <c r="K151" s="38">
        <v>0</v>
      </c>
      <c r="L151" s="39" t="s">
        <v>380</v>
      </c>
      <c r="M151" s="38">
        <v>0</v>
      </c>
      <c r="N151" s="39" t="s">
        <v>380</v>
      </c>
      <c r="O151" s="41">
        <v>0</v>
      </c>
      <c r="P151" s="38">
        <v>0</v>
      </c>
      <c r="Q151" s="38">
        <v>0</v>
      </c>
      <c r="R151" s="39" t="s">
        <v>237</v>
      </c>
    </row>
    <row r="152" spans="1:18" x14ac:dyDescent="0.3">
      <c r="A152" s="37" t="s">
        <v>378</v>
      </c>
      <c r="B152" s="37" t="s">
        <v>528</v>
      </c>
      <c r="C152" s="37" t="s">
        <v>372</v>
      </c>
      <c r="D152" s="37" t="s">
        <v>375</v>
      </c>
      <c r="E152" s="38">
        <v>0</v>
      </c>
      <c r="F152" s="39" t="s">
        <v>237</v>
      </c>
      <c r="G152" s="38">
        <v>0</v>
      </c>
      <c r="H152" s="39" t="s">
        <v>380</v>
      </c>
      <c r="I152" s="40">
        <v>44529</v>
      </c>
      <c r="J152" s="40">
        <v>45027</v>
      </c>
      <c r="K152" s="38">
        <v>0</v>
      </c>
      <c r="L152" s="39" t="s">
        <v>380</v>
      </c>
      <c r="M152" s="38">
        <v>0</v>
      </c>
      <c r="N152" s="39" t="s">
        <v>380</v>
      </c>
      <c r="O152" s="41">
        <v>0</v>
      </c>
      <c r="P152" s="38">
        <v>0</v>
      </c>
      <c r="Q152" s="38">
        <v>0</v>
      </c>
      <c r="R152" s="39" t="s">
        <v>237</v>
      </c>
    </row>
    <row r="153" spans="1:18" x14ac:dyDescent="0.3">
      <c r="A153" s="37" t="s">
        <v>378</v>
      </c>
      <c r="B153" s="37" t="s">
        <v>529</v>
      </c>
      <c r="C153" s="37" t="s">
        <v>372</v>
      </c>
      <c r="D153" s="37" t="s">
        <v>375</v>
      </c>
      <c r="E153" s="38">
        <v>0</v>
      </c>
      <c r="F153" s="39" t="s">
        <v>237</v>
      </c>
      <c r="G153" s="38">
        <v>0</v>
      </c>
      <c r="H153" s="39" t="s">
        <v>380</v>
      </c>
      <c r="I153" s="40">
        <v>44833</v>
      </c>
      <c r="J153" s="40">
        <v>44859</v>
      </c>
      <c r="K153" s="38">
        <v>0</v>
      </c>
      <c r="L153" s="39" t="s">
        <v>380</v>
      </c>
      <c r="M153" s="38">
        <v>0</v>
      </c>
      <c r="N153" s="39" t="s">
        <v>380</v>
      </c>
      <c r="O153" s="41">
        <v>0</v>
      </c>
      <c r="P153" s="38">
        <v>0</v>
      </c>
      <c r="Q153" s="38">
        <v>0</v>
      </c>
      <c r="R153" s="39" t="s">
        <v>237</v>
      </c>
    </row>
    <row r="154" spans="1:18" x14ac:dyDescent="0.3">
      <c r="A154" s="37" t="s">
        <v>378</v>
      </c>
      <c r="B154" s="37" t="s">
        <v>530</v>
      </c>
      <c r="C154" s="37" t="s">
        <v>372</v>
      </c>
      <c r="D154" s="37" t="s">
        <v>375</v>
      </c>
      <c r="E154" s="38">
        <v>0</v>
      </c>
      <c r="F154" s="39" t="s">
        <v>237</v>
      </c>
      <c r="G154" s="38">
        <v>0</v>
      </c>
      <c r="H154" s="39" t="s">
        <v>380</v>
      </c>
      <c r="I154" s="40">
        <v>45274</v>
      </c>
      <c r="J154" s="40">
        <v>45278</v>
      </c>
      <c r="K154" s="38">
        <v>0</v>
      </c>
      <c r="L154" s="39" t="s">
        <v>380</v>
      </c>
      <c r="M154" s="38">
        <v>0</v>
      </c>
      <c r="N154" s="39" t="s">
        <v>380</v>
      </c>
      <c r="O154" s="41">
        <v>0</v>
      </c>
      <c r="P154" s="38">
        <v>0</v>
      </c>
      <c r="Q154" s="38">
        <v>0</v>
      </c>
      <c r="R154" s="39" t="s">
        <v>237</v>
      </c>
    </row>
    <row r="155" spans="1:18" x14ac:dyDescent="0.3">
      <c r="A155" s="37" t="s">
        <v>378</v>
      </c>
      <c r="B155" s="37" t="s">
        <v>531</v>
      </c>
      <c r="C155" s="37" t="s">
        <v>372</v>
      </c>
      <c r="D155" s="37" t="s">
        <v>375</v>
      </c>
      <c r="E155" s="38">
        <v>2027.8299999999899</v>
      </c>
      <c r="F155" s="39" t="s">
        <v>237</v>
      </c>
      <c r="G155" s="38">
        <v>19500</v>
      </c>
      <c r="H155" s="39" t="s">
        <v>380</v>
      </c>
      <c r="I155" s="40">
        <v>45492</v>
      </c>
      <c r="J155" s="40">
        <v>45517</v>
      </c>
      <c r="K155" s="38">
        <v>34500</v>
      </c>
      <c r="L155" s="39" t="s">
        <v>380</v>
      </c>
      <c r="M155" s="38">
        <v>24000</v>
      </c>
      <c r="N155" s="39" t="s">
        <v>380</v>
      </c>
      <c r="O155" s="41">
        <v>52</v>
      </c>
      <c r="P155" s="38">
        <v>1.35</v>
      </c>
      <c r="Q155" s="38">
        <v>3587.34</v>
      </c>
      <c r="R155" s="39" t="s">
        <v>237</v>
      </c>
    </row>
    <row r="156" spans="1:18" x14ac:dyDescent="0.3">
      <c r="A156" s="37" t="s">
        <v>378</v>
      </c>
      <c r="B156" s="37" t="s">
        <v>532</v>
      </c>
      <c r="C156" s="37" t="s">
        <v>372</v>
      </c>
      <c r="D156" s="37" t="s">
        <v>375</v>
      </c>
      <c r="E156" s="38">
        <v>13830.299999999899</v>
      </c>
      <c r="F156" s="39" t="s">
        <v>237</v>
      </c>
      <c r="G156" s="38">
        <v>62865</v>
      </c>
      <c r="H156" s="39" t="s">
        <v>380</v>
      </c>
      <c r="I156" s="40">
        <v>45516</v>
      </c>
      <c r="J156" s="40">
        <v>45533</v>
      </c>
      <c r="K156" s="38">
        <v>76200</v>
      </c>
      <c r="L156" s="39" t="s">
        <v>380</v>
      </c>
      <c r="M156" s="38">
        <v>73152</v>
      </c>
      <c r="N156" s="39" t="s">
        <v>380</v>
      </c>
      <c r="O156" s="41">
        <v>76</v>
      </c>
      <c r="P156" s="38">
        <v>1.67</v>
      </c>
      <c r="Q156" s="38">
        <v>16764</v>
      </c>
      <c r="R156" s="39" t="s">
        <v>237</v>
      </c>
    </row>
    <row r="157" spans="1:18" x14ac:dyDescent="0.3">
      <c r="A157" s="37" t="s">
        <v>378</v>
      </c>
      <c r="B157" s="37" t="s">
        <v>533</v>
      </c>
      <c r="C157" s="37" t="s">
        <v>372</v>
      </c>
      <c r="D157" s="37" t="s">
        <v>375</v>
      </c>
      <c r="E157" s="38">
        <v>0</v>
      </c>
      <c r="F157" s="39" t="s">
        <v>237</v>
      </c>
      <c r="G157" s="38">
        <v>0</v>
      </c>
      <c r="H157" s="39" t="s">
        <v>380</v>
      </c>
      <c r="I157" s="40">
        <v>45467</v>
      </c>
      <c r="J157" s="40">
        <v>45474</v>
      </c>
      <c r="K157" s="38">
        <v>115968</v>
      </c>
      <c r="L157" s="39" t="s">
        <v>380</v>
      </c>
      <c r="M157" s="38">
        <v>115968</v>
      </c>
      <c r="N157" s="39" t="s">
        <v>380</v>
      </c>
      <c r="O157" s="41">
        <v>0</v>
      </c>
      <c r="P157" s="38">
        <v>4</v>
      </c>
      <c r="Q157" s="38">
        <v>35950.080000000002</v>
      </c>
      <c r="R157" s="39" t="s">
        <v>237</v>
      </c>
    </row>
    <row r="158" spans="1:18" x14ac:dyDescent="0.3">
      <c r="A158" s="37" t="s">
        <v>378</v>
      </c>
      <c r="B158" s="37" t="s">
        <v>534</v>
      </c>
      <c r="C158" s="37" t="s">
        <v>372</v>
      </c>
      <c r="D158" s="37" t="s">
        <v>375</v>
      </c>
      <c r="E158" s="38">
        <v>2023.68</v>
      </c>
      <c r="F158" s="39" t="s">
        <v>237</v>
      </c>
      <c r="G158" s="38">
        <v>5952</v>
      </c>
      <c r="H158" s="39" t="s">
        <v>380</v>
      </c>
      <c r="I158" s="40">
        <v>44483</v>
      </c>
      <c r="J158" s="40">
        <v>45246</v>
      </c>
      <c r="K158" s="38">
        <v>0</v>
      </c>
      <c r="L158" s="39" t="s">
        <v>380</v>
      </c>
      <c r="M158" s="38">
        <v>0</v>
      </c>
      <c r="N158" s="39" t="s">
        <v>380</v>
      </c>
      <c r="O158" s="41">
        <v>99999</v>
      </c>
      <c r="P158" s="38">
        <v>0</v>
      </c>
      <c r="Q158" s="38">
        <v>0</v>
      </c>
      <c r="R158" s="39" t="s">
        <v>237</v>
      </c>
    </row>
    <row r="159" spans="1:18" x14ac:dyDescent="0.3">
      <c r="A159" s="37" t="s">
        <v>378</v>
      </c>
      <c r="B159" s="37" t="s">
        <v>535</v>
      </c>
      <c r="C159" s="37" t="s">
        <v>372</v>
      </c>
      <c r="D159" s="37" t="s">
        <v>375</v>
      </c>
      <c r="E159" s="38">
        <v>0</v>
      </c>
      <c r="F159" s="39" t="s">
        <v>237</v>
      </c>
      <c r="G159" s="38">
        <v>0</v>
      </c>
      <c r="H159" s="39" t="s">
        <v>380</v>
      </c>
      <c r="I159" s="40">
        <v>45516</v>
      </c>
      <c r="J159" s="40">
        <v>45533</v>
      </c>
      <c r="K159" s="38">
        <v>0</v>
      </c>
      <c r="L159" s="39" t="s">
        <v>380</v>
      </c>
      <c r="M159" s="38">
        <v>0</v>
      </c>
      <c r="N159" s="39" t="s">
        <v>380</v>
      </c>
      <c r="O159" s="41">
        <v>0</v>
      </c>
      <c r="P159" s="38">
        <v>0</v>
      </c>
      <c r="Q159" s="38">
        <v>-50.18</v>
      </c>
      <c r="R159" s="39" t="s">
        <v>237</v>
      </c>
    </row>
    <row r="160" spans="1:18" x14ac:dyDescent="0.3">
      <c r="A160" s="37" t="s">
        <v>378</v>
      </c>
      <c r="B160" s="37" t="s">
        <v>536</v>
      </c>
      <c r="C160" s="37" t="s">
        <v>372</v>
      </c>
      <c r="D160" s="37" t="s">
        <v>375</v>
      </c>
      <c r="E160" s="38">
        <v>3402</v>
      </c>
      <c r="F160" s="39" t="s">
        <v>237</v>
      </c>
      <c r="G160" s="38">
        <v>12600</v>
      </c>
      <c r="H160" s="39" t="s">
        <v>380</v>
      </c>
      <c r="I160" s="40">
        <v>45505</v>
      </c>
      <c r="J160" s="40">
        <v>45531</v>
      </c>
      <c r="K160" s="38">
        <v>30450</v>
      </c>
      <c r="L160" s="39" t="s">
        <v>380</v>
      </c>
      <c r="M160" s="38">
        <v>25200</v>
      </c>
      <c r="N160" s="39" t="s">
        <v>380</v>
      </c>
      <c r="O160" s="41">
        <v>38</v>
      </c>
      <c r="P160" s="38">
        <v>2.27</v>
      </c>
      <c r="Q160" s="38">
        <v>8148</v>
      </c>
      <c r="R160" s="39" t="s">
        <v>237</v>
      </c>
    </row>
    <row r="161" spans="1:18" x14ac:dyDescent="0.3">
      <c r="A161" s="37" t="s">
        <v>378</v>
      </c>
      <c r="B161" s="37" t="s">
        <v>537</v>
      </c>
      <c r="C161" s="37" t="s">
        <v>372</v>
      </c>
      <c r="D161" s="37" t="s">
        <v>375</v>
      </c>
      <c r="E161" s="38">
        <v>213.15</v>
      </c>
      <c r="F161" s="39" t="s">
        <v>237</v>
      </c>
      <c r="G161" s="38">
        <v>1015</v>
      </c>
      <c r="H161" s="39" t="s">
        <v>380</v>
      </c>
      <c r="I161" s="40">
        <v>44496</v>
      </c>
      <c r="J161" s="40">
        <v>45532</v>
      </c>
      <c r="K161" s="38">
        <v>40600</v>
      </c>
      <c r="L161" s="39" t="s">
        <v>380</v>
      </c>
      <c r="M161" s="38">
        <v>0</v>
      </c>
      <c r="N161" s="39" t="s">
        <v>380</v>
      </c>
      <c r="O161" s="41">
        <v>2</v>
      </c>
      <c r="P161" s="38">
        <v>1.9</v>
      </c>
      <c r="Q161" s="38">
        <v>8526</v>
      </c>
      <c r="R161" s="39" t="s">
        <v>237</v>
      </c>
    </row>
    <row r="162" spans="1:18" x14ac:dyDescent="0.3">
      <c r="A162" s="37" t="s">
        <v>378</v>
      </c>
      <c r="B162" s="37" t="s">
        <v>538</v>
      </c>
      <c r="C162" s="37" t="s">
        <v>372</v>
      </c>
      <c r="D162" s="37" t="s">
        <v>375</v>
      </c>
      <c r="E162" s="38">
        <v>0</v>
      </c>
      <c r="F162" s="39" t="s">
        <v>237</v>
      </c>
      <c r="G162" s="38">
        <v>0</v>
      </c>
      <c r="H162" s="39" t="s">
        <v>380</v>
      </c>
      <c r="I162" s="40">
        <v>44644</v>
      </c>
      <c r="J162" s="40">
        <v>44650</v>
      </c>
      <c r="K162" s="38">
        <v>0</v>
      </c>
      <c r="L162" s="39" t="s">
        <v>380</v>
      </c>
      <c r="M162" s="38">
        <v>0</v>
      </c>
      <c r="N162" s="39" t="s">
        <v>380</v>
      </c>
      <c r="O162" s="41">
        <v>0</v>
      </c>
      <c r="P162" s="38">
        <v>0</v>
      </c>
      <c r="Q162" s="38">
        <v>0</v>
      </c>
      <c r="R162" s="39" t="s">
        <v>237</v>
      </c>
    </row>
    <row r="163" spans="1:18" x14ac:dyDescent="0.3">
      <c r="A163" s="37" t="s">
        <v>378</v>
      </c>
      <c r="B163" s="37" t="s">
        <v>539</v>
      </c>
      <c r="C163" s="37" t="s">
        <v>372</v>
      </c>
      <c r="D163" s="37" t="s">
        <v>375</v>
      </c>
      <c r="E163" s="38">
        <v>0</v>
      </c>
      <c r="F163" s="39" t="s">
        <v>237</v>
      </c>
      <c r="G163" s="38">
        <v>0</v>
      </c>
      <c r="H163" s="39" t="s">
        <v>380</v>
      </c>
      <c r="I163" s="40">
        <v>44449</v>
      </c>
      <c r="J163" s="40">
        <v>44454</v>
      </c>
      <c r="K163" s="38">
        <v>0</v>
      </c>
      <c r="L163" s="39" t="s">
        <v>380</v>
      </c>
      <c r="M163" s="38">
        <v>0</v>
      </c>
      <c r="N163" s="39" t="s">
        <v>380</v>
      </c>
      <c r="O163" s="41">
        <v>0</v>
      </c>
      <c r="P163" s="38">
        <v>0</v>
      </c>
      <c r="Q163" s="38">
        <v>0</v>
      </c>
      <c r="R163" s="39" t="s">
        <v>237</v>
      </c>
    </row>
    <row r="164" spans="1:18" x14ac:dyDescent="0.3">
      <c r="A164" s="37" t="s">
        <v>378</v>
      </c>
      <c r="B164" s="37" t="s">
        <v>540</v>
      </c>
      <c r="C164" s="37" t="s">
        <v>372</v>
      </c>
      <c r="D164" s="37" t="s">
        <v>375</v>
      </c>
      <c r="E164" s="38">
        <v>1895.4</v>
      </c>
      <c r="F164" s="39" t="s">
        <v>237</v>
      </c>
      <c r="G164" s="38">
        <v>7020</v>
      </c>
      <c r="H164" s="39" t="s">
        <v>380</v>
      </c>
      <c r="I164" s="40">
        <v>45524</v>
      </c>
      <c r="J164" s="40">
        <v>44670</v>
      </c>
      <c r="K164" s="38">
        <v>55380</v>
      </c>
      <c r="L164" s="39" t="s">
        <v>380</v>
      </c>
      <c r="M164" s="38">
        <v>37440</v>
      </c>
      <c r="N164" s="39" t="s">
        <v>380</v>
      </c>
      <c r="O164" s="41">
        <v>12</v>
      </c>
      <c r="P164" s="38">
        <v>3.79</v>
      </c>
      <c r="Q164" s="38">
        <v>14952.6</v>
      </c>
      <c r="R164" s="39" t="s">
        <v>237</v>
      </c>
    </row>
    <row r="165" spans="1:18" x14ac:dyDescent="0.3">
      <c r="A165" s="37" t="s">
        <v>378</v>
      </c>
      <c r="B165" s="37" t="s">
        <v>541</v>
      </c>
      <c r="C165" s="37" t="s">
        <v>372</v>
      </c>
      <c r="D165" s="37" t="s">
        <v>375</v>
      </c>
      <c r="E165" s="38">
        <v>0</v>
      </c>
      <c r="F165" s="39" t="s">
        <v>237</v>
      </c>
      <c r="G165" s="38">
        <v>0</v>
      </c>
      <c r="H165" s="39" t="s">
        <v>380</v>
      </c>
      <c r="I165" s="40">
        <v>45124</v>
      </c>
      <c r="J165" s="40">
        <v>45125</v>
      </c>
      <c r="K165" s="38">
        <v>0</v>
      </c>
      <c r="L165" s="39" t="s">
        <v>380</v>
      </c>
      <c r="M165" s="38">
        <v>0</v>
      </c>
      <c r="N165" s="39" t="s">
        <v>380</v>
      </c>
      <c r="O165" s="41">
        <v>0</v>
      </c>
      <c r="P165" s="38">
        <v>0</v>
      </c>
      <c r="Q165" s="38">
        <v>0</v>
      </c>
      <c r="R165" s="39" t="s">
        <v>237</v>
      </c>
    </row>
    <row r="166" spans="1:18" x14ac:dyDescent="0.3">
      <c r="A166" s="37" t="s">
        <v>378</v>
      </c>
      <c r="B166" s="37" t="s">
        <v>542</v>
      </c>
      <c r="C166" s="37" t="s">
        <v>372</v>
      </c>
      <c r="D166" s="37" t="s">
        <v>375</v>
      </c>
      <c r="E166" s="38">
        <v>0</v>
      </c>
      <c r="F166" s="39" t="s">
        <v>237</v>
      </c>
      <c r="G166" s="38">
        <v>0</v>
      </c>
      <c r="H166" s="39" t="s">
        <v>380</v>
      </c>
      <c r="I166" s="40">
        <v>45449</v>
      </c>
      <c r="J166" s="40">
        <v>45456</v>
      </c>
      <c r="K166" s="38">
        <v>6750</v>
      </c>
      <c r="L166" s="39" t="s">
        <v>380</v>
      </c>
      <c r="M166" s="38">
        <v>6750</v>
      </c>
      <c r="N166" s="39" t="s">
        <v>380</v>
      </c>
      <c r="O166" s="41">
        <v>0</v>
      </c>
      <c r="P166" s="38">
        <v>99999</v>
      </c>
      <c r="Q166" s="38">
        <v>2362.5</v>
      </c>
      <c r="R166" s="39" t="s">
        <v>237</v>
      </c>
    </row>
    <row r="167" spans="1:18" x14ac:dyDescent="0.3">
      <c r="A167" s="37" t="s">
        <v>378</v>
      </c>
      <c r="B167" s="37" t="s">
        <v>543</v>
      </c>
      <c r="C167" s="37" t="s">
        <v>372</v>
      </c>
      <c r="D167" s="37" t="s">
        <v>375</v>
      </c>
      <c r="E167" s="38">
        <v>0</v>
      </c>
      <c r="F167" s="39" t="s">
        <v>237</v>
      </c>
      <c r="G167" s="38">
        <v>0</v>
      </c>
      <c r="H167" s="39" t="s">
        <v>380</v>
      </c>
      <c r="I167" s="40">
        <v>44959</v>
      </c>
      <c r="J167" s="40">
        <v>44960</v>
      </c>
      <c r="K167" s="38">
        <v>0</v>
      </c>
      <c r="L167" s="39" t="s">
        <v>380</v>
      </c>
      <c r="M167" s="38">
        <v>0</v>
      </c>
      <c r="N167" s="39" t="s">
        <v>380</v>
      </c>
      <c r="O167" s="41">
        <v>0</v>
      </c>
      <c r="P167" s="38">
        <v>0</v>
      </c>
      <c r="Q167" s="38">
        <v>0</v>
      </c>
      <c r="R167" s="39" t="s">
        <v>237</v>
      </c>
    </row>
    <row r="168" spans="1:18" x14ac:dyDescent="0.3">
      <c r="A168" s="37" t="s">
        <v>378</v>
      </c>
      <c r="B168" s="37" t="s">
        <v>544</v>
      </c>
      <c r="C168" s="37" t="s">
        <v>372</v>
      </c>
      <c r="D168" s="37" t="s">
        <v>375</v>
      </c>
      <c r="E168" s="38">
        <v>6703.1999999999898</v>
      </c>
      <c r="F168" s="39" t="s">
        <v>237</v>
      </c>
      <c r="G168" s="38">
        <v>35280</v>
      </c>
      <c r="H168" s="39" t="s">
        <v>380</v>
      </c>
      <c r="I168" s="40">
        <v>45496</v>
      </c>
      <c r="J168" s="40"/>
      <c r="K168" s="38">
        <v>23760</v>
      </c>
      <c r="L168" s="39" t="s">
        <v>380</v>
      </c>
      <c r="M168" s="38">
        <v>43200</v>
      </c>
      <c r="N168" s="39" t="s">
        <v>380</v>
      </c>
      <c r="O168" s="41">
        <v>137</v>
      </c>
      <c r="P168" s="38">
        <v>0.94</v>
      </c>
      <c r="Q168" s="38">
        <v>4514.3999999999896</v>
      </c>
      <c r="R168" s="39" t="s">
        <v>237</v>
      </c>
    </row>
    <row r="169" spans="1:18" x14ac:dyDescent="0.3">
      <c r="A169" s="37" t="s">
        <v>378</v>
      </c>
      <c r="B169" s="37" t="s">
        <v>545</v>
      </c>
      <c r="C169" s="37" t="s">
        <v>372</v>
      </c>
      <c r="D169" s="37" t="s">
        <v>375</v>
      </c>
      <c r="E169" s="38">
        <v>744</v>
      </c>
      <c r="F169" s="39" t="s">
        <v>237</v>
      </c>
      <c r="G169" s="38">
        <v>2480</v>
      </c>
      <c r="H169" s="39" t="s">
        <v>380</v>
      </c>
      <c r="I169" s="40">
        <v>45407</v>
      </c>
      <c r="J169" s="40">
        <v>45532</v>
      </c>
      <c r="K169" s="38">
        <v>2480</v>
      </c>
      <c r="L169" s="39" t="s">
        <v>380</v>
      </c>
      <c r="M169" s="38">
        <v>0</v>
      </c>
      <c r="N169" s="39" t="s">
        <v>380</v>
      </c>
      <c r="O169" s="41">
        <v>92</v>
      </c>
      <c r="P169" s="38">
        <v>0.62</v>
      </c>
      <c r="Q169" s="38">
        <v>744</v>
      </c>
      <c r="R169" s="39" t="s">
        <v>237</v>
      </c>
    </row>
    <row r="170" spans="1:18" x14ac:dyDescent="0.3">
      <c r="A170" s="37" t="s">
        <v>378</v>
      </c>
      <c r="B170" s="37" t="s">
        <v>546</v>
      </c>
      <c r="C170" s="37" t="s">
        <v>372</v>
      </c>
      <c r="D170" s="37" t="s">
        <v>375</v>
      </c>
      <c r="E170" s="38">
        <v>2957.5</v>
      </c>
      <c r="F170" s="39" t="s">
        <v>237</v>
      </c>
      <c r="G170" s="38">
        <v>8450</v>
      </c>
      <c r="H170" s="39" t="s">
        <v>380</v>
      </c>
      <c r="I170" s="40">
        <v>45516</v>
      </c>
      <c r="J170" s="40">
        <v>45533</v>
      </c>
      <c r="K170" s="38">
        <v>22100</v>
      </c>
      <c r="L170" s="39" t="s">
        <v>380</v>
      </c>
      <c r="M170" s="38">
        <v>25350</v>
      </c>
      <c r="N170" s="39" t="s">
        <v>380</v>
      </c>
      <c r="O170" s="41">
        <v>35</v>
      </c>
      <c r="P170" s="38">
        <v>1.97</v>
      </c>
      <c r="Q170" s="38">
        <v>7733.25</v>
      </c>
      <c r="R170" s="39" t="s">
        <v>237</v>
      </c>
    </row>
    <row r="171" spans="1:18" x14ac:dyDescent="0.3">
      <c r="A171" s="37" t="s">
        <v>378</v>
      </c>
      <c r="B171" s="37" t="s">
        <v>547</v>
      </c>
      <c r="C171" s="37" t="s">
        <v>372</v>
      </c>
      <c r="D171" s="37" t="s">
        <v>375</v>
      </c>
      <c r="E171" s="38">
        <v>0</v>
      </c>
      <c r="F171" s="39" t="s">
        <v>237</v>
      </c>
      <c r="G171" s="38">
        <v>0</v>
      </c>
      <c r="H171" s="39" t="s">
        <v>380</v>
      </c>
      <c r="I171" s="40">
        <v>44937</v>
      </c>
      <c r="J171" s="40">
        <v>44938</v>
      </c>
      <c r="K171" s="38">
        <v>0</v>
      </c>
      <c r="L171" s="39" t="s">
        <v>380</v>
      </c>
      <c r="M171" s="38">
        <v>0</v>
      </c>
      <c r="N171" s="39" t="s">
        <v>380</v>
      </c>
      <c r="O171" s="41">
        <v>0</v>
      </c>
      <c r="P171" s="38">
        <v>0</v>
      </c>
      <c r="Q171" s="38">
        <v>0</v>
      </c>
      <c r="R171" s="39" t="s">
        <v>237</v>
      </c>
    </row>
    <row r="172" spans="1:18" x14ac:dyDescent="0.3">
      <c r="A172" s="37" t="s">
        <v>378</v>
      </c>
      <c r="B172" s="37" t="s">
        <v>548</v>
      </c>
      <c r="C172" s="37" t="s">
        <v>372</v>
      </c>
      <c r="D172" s="37" t="s">
        <v>375</v>
      </c>
      <c r="E172" s="38">
        <v>0</v>
      </c>
      <c r="F172" s="39" t="s">
        <v>237</v>
      </c>
      <c r="G172" s="38">
        <v>0</v>
      </c>
      <c r="H172" s="39" t="s">
        <v>380</v>
      </c>
      <c r="I172" s="40">
        <v>44225</v>
      </c>
      <c r="J172" s="40">
        <v>45523</v>
      </c>
      <c r="K172" s="38">
        <v>10240</v>
      </c>
      <c r="L172" s="39" t="s">
        <v>380</v>
      </c>
      <c r="M172" s="38">
        <v>10240</v>
      </c>
      <c r="N172" s="39" t="s">
        <v>380</v>
      </c>
      <c r="O172" s="41">
        <v>0</v>
      </c>
      <c r="P172" s="38">
        <v>99999</v>
      </c>
      <c r="Q172" s="38">
        <v>1740.8</v>
      </c>
      <c r="R172" s="39" t="s">
        <v>237</v>
      </c>
    </row>
    <row r="173" spans="1:18" x14ac:dyDescent="0.3">
      <c r="A173" s="37" t="s">
        <v>378</v>
      </c>
      <c r="B173" s="37" t="s">
        <v>549</v>
      </c>
      <c r="C173" s="37" t="s">
        <v>372</v>
      </c>
      <c r="D173" s="37" t="s">
        <v>375</v>
      </c>
      <c r="E173" s="38">
        <v>0</v>
      </c>
      <c r="F173" s="39" t="s">
        <v>237</v>
      </c>
      <c r="G173" s="38">
        <v>0</v>
      </c>
      <c r="H173" s="39" t="s">
        <v>380</v>
      </c>
      <c r="I173" s="40">
        <v>44840</v>
      </c>
      <c r="J173" s="40">
        <v>44859</v>
      </c>
      <c r="K173" s="38">
        <v>0</v>
      </c>
      <c r="L173" s="39" t="s">
        <v>380</v>
      </c>
      <c r="M173" s="38">
        <v>0</v>
      </c>
      <c r="N173" s="39" t="s">
        <v>380</v>
      </c>
      <c r="O173" s="41">
        <v>0</v>
      </c>
      <c r="P173" s="38">
        <v>0</v>
      </c>
      <c r="Q173" s="38">
        <v>0</v>
      </c>
      <c r="R173" s="39" t="s">
        <v>237</v>
      </c>
    </row>
    <row r="174" spans="1:18" x14ac:dyDescent="0.3">
      <c r="A174" s="37" t="s">
        <v>378</v>
      </c>
      <c r="B174" s="37" t="s">
        <v>550</v>
      </c>
      <c r="C174" s="37" t="s">
        <v>372</v>
      </c>
      <c r="D174" s="37" t="s">
        <v>375</v>
      </c>
      <c r="E174" s="38">
        <v>0</v>
      </c>
      <c r="F174" s="39" t="s">
        <v>237</v>
      </c>
      <c r="G174" s="38">
        <v>0</v>
      </c>
      <c r="H174" s="39" t="s">
        <v>380</v>
      </c>
      <c r="I174" s="40">
        <v>45478</v>
      </c>
      <c r="J174" s="40">
        <v>45482</v>
      </c>
      <c r="K174" s="38">
        <v>1512</v>
      </c>
      <c r="L174" s="39" t="s">
        <v>380</v>
      </c>
      <c r="M174" s="38">
        <v>1512</v>
      </c>
      <c r="N174" s="39" t="s">
        <v>380</v>
      </c>
      <c r="O174" s="41">
        <v>0</v>
      </c>
      <c r="P174" s="38">
        <v>99999</v>
      </c>
      <c r="Q174" s="38">
        <v>2283.1199999999899</v>
      </c>
      <c r="R174" s="39" t="s">
        <v>237</v>
      </c>
    </row>
    <row r="175" spans="1:18" x14ac:dyDescent="0.3">
      <c r="A175" s="37" t="s">
        <v>378</v>
      </c>
      <c r="B175" s="37" t="s">
        <v>551</v>
      </c>
      <c r="C175" s="37" t="s">
        <v>372</v>
      </c>
      <c r="D175" s="37" t="s">
        <v>375</v>
      </c>
      <c r="E175" s="38">
        <v>0</v>
      </c>
      <c r="F175" s="39" t="s">
        <v>237</v>
      </c>
      <c r="G175" s="38">
        <v>0</v>
      </c>
      <c r="H175" s="39" t="s">
        <v>380</v>
      </c>
      <c r="I175" s="40">
        <v>44671</v>
      </c>
      <c r="J175" s="40">
        <v>44894</v>
      </c>
      <c r="K175" s="38">
        <v>0</v>
      </c>
      <c r="L175" s="39" t="s">
        <v>380</v>
      </c>
      <c r="M175" s="38">
        <v>0</v>
      </c>
      <c r="N175" s="39" t="s">
        <v>380</v>
      </c>
      <c r="O175" s="41">
        <v>0</v>
      </c>
      <c r="P175" s="38">
        <v>0</v>
      </c>
      <c r="Q175" s="38">
        <v>0</v>
      </c>
      <c r="R175" s="39" t="s">
        <v>237</v>
      </c>
    </row>
    <row r="176" spans="1:18" x14ac:dyDescent="0.3">
      <c r="A176" s="37" t="s">
        <v>378</v>
      </c>
      <c r="B176" s="37" t="s">
        <v>1222</v>
      </c>
      <c r="C176" s="37" t="s">
        <v>372</v>
      </c>
      <c r="D176" s="37" t="s">
        <v>375</v>
      </c>
      <c r="E176" s="38">
        <v>0</v>
      </c>
      <c r="F176" s="39" t="s">
        <v>237</v>
      </c>
      <c r="G176" s="38">
        <v>0</v>
      </c>
      <c r="H176" s="39" t="s">
        <v>380</v>
      </c>
      <c r="I176" s="40">
        <v>45238</v>
      </c>
      <c r="J176" s="40">
        <v>45246</v>
      </c>
      <c r="K176" s="38">
        <v>0</v>
      </c>
      <c r="L176" s="39" t="s">
        <v>380</v>
      </c>
      <c r="M176" s="38">
        <v>0</v>
      </c>
      <c r="N176" s="39" t="s">
        <v>380</v>
      </c>
      <c r="O176" s="41">
        <v>0</v>
      </c>
      <c r="P176" s="38">
        <v>0</v>
      </c>
      <c r="Q176" s="38">
        <v>0</v>
      </c>
      <c r="R176" s="39" t="s">
        <v>237</v>
      </c>
    </row>
    <row r="177" spans="1:18" x14ac:dyDescent="0.3">
      <c r="A177" s="37" t="s">
        <v>378</v>
      </c>
      <c r="B177" s="37" t="s">
        <v>552</v>
      </c>
      <c r="C177" s="37" t="s">
        <v>372</v>
      </c>
      <c r="D177" s="37" t="s">
        <v>375</v>
      </c>
      <c r="E177" s="38">
        <v>0</v>
      </c>
      <c r="F177" s="39" t="s">
        <v>237</v>
      </c>
      <c r="G177" s="38">
        <v>0</v>
      </c>
      <c r="H177" s="39" t="s">
        <v>380</v>
      </c>
      <c r="I177" s="40">
        <v>45477</v>
      </c>
      <c r="J177" s="40">
        <v>45478</v>
      </c>
      <c r="K177" s="38">
        <v>30300</v>
      </c>
      <c r="L177" s="39" t="s">
        <v>380</v>
      </c>
      <c r="M177" s="38">
        <v>30300</v>
      </c>
      <c r="N177" s="39" t="s">
        <v>380</v>
      </c>
      <c r="O177" s="41">
        <v>0</v>
      </c>
      <c r="P177" s="38">
        <v>99999</v>
      </c>
      <c r="Q177" s="38">
        <v>8680.0799999999908</v>
      </c>
      <c r="R177" s="39" t="s">
        <v>237</v>
      </c>
    </row>
    <row r="178" spans="1:18" x14ac:dyDescent="0.3">
      <c r="A178" s="37" t="s">
        <v>378</v>
      </c>
      <c r="B178" s="37" t="s">
        <v>553</v>
      </c>
      <c r="C178" s="37" t="s">
        <v>372</v>
      </c>
      <c r="D178" s="37" t="s">
        <v>377</v>
      </c>
      <c r="E178" s="38">
        <v>1476.65</v>
      </c>
      <c r="F178" s="39" t="s">
        <v>237</v>
      </c>
      <c r="G178" s="38">
        <v>43.866999999999898</v>
      </c>
      <c r="H178" s="39" t="s">
        <v>374</v>
      </c>
      <c r="I178" s="40">
        <v>45513</v>
      </c>
      <c r="J178" s="40">
        <v>45513</v>
      </c>
      <c r="K178" s="38">
        <v>16.241</v>
      </c>
      <c r="L178" s="39" t="s">
        <v>374</v>
      </c>
      <c r="M178" s="38">
        <v>35.826999999999899</v>
      </c>
      <c r="N178" s="39" t="s">
        <v>374</v>
      </c>
      <c r="O178" s="41">
        <v>745</v>
      </c>
      <c r="P178" s="38">
        <v>0.14000000000000001</v>
      </c>
      <c r="Q178" s="38">
        <v>182.25</v>
      </c>
      <c r="R178" s="39" t="s">
        <v>237</v>
      </c>
    </row>
    <row r="179" spans="1:18" x14ac:dyDescent="0.3">
      <c r="A179" s="37" t="s">
        <v>378</v>
      </c>
      <c r="B179" s="37" t="s">
        <v>554</v>
      </c>
      <c r="C179" s="37" t="s">
        <v>372</v>
      </c>
      <c r="D179" s="37" t="s">
        <v>375</v>
      </c>
      <c r="E179" s="38">
        <v>0</v>
      </c>
      <c r="F179" s="39" t="s">
        <v>237</v>
      </c>
      <c r="G179" s="38">
        <v>0</v>
      </c>
      <c r="H179" s="39" t="s">
        <v>555</v>
      </c>
      <c r="I179" s="40"/>
      <c r="J179" s="40"/>
      <c r="K179" s="38">
        <v>0</v>
      </c>
      <c r="L179" s="39" t="s">
        <v>555</v>
      </c>
      <c r="M179" s="38">
        <v>0</v>
      </c>
      <c r="N179" s="39" t="s">
        <v>555</v>
      </c>
      <c r="O179" s="41">
        <v>0</v>
      </c>
      <c r="P179" s="38">
        <v>99999</v>
      </c>
      <c r="Q179" s="38">
        <v>344162.26</v>
      </c>
      <c r="R179" s="39" t="s">
        <v>237</v>
      </c>
    </row>
    <row r="180" spans="1:18" x14ac:dyDescent="0.3">
      <c r="A180" s="37" t="s">
        <v>378</v>
      </c>
      <c r="B180" s="37" t="s">
        <v>556</v>
      </c>
      <c r="C180" s="37" t="s">
        <v>372</v>
      </c>
      <c r="D180" s="37" t="s">
        <v>375</v>
      </c>
      <c r="E180" s="38">
        <v>17752.32</v>
      </c>
      <c r="F180" s="39" t="s">
        <v>237</v>
      </c>
      <c r="G180" s="38">
        <v>26496</v>
      </c>
      <c r="H180" s="39" t="s">
        <v>380</v>
      </c>
      <c r="I180" s="40">
        <v>45532</v>
      </c>
      <c r="J180" s="40"/>
      <c r="K180" s="38">
        <v>90528</v>
      </c>
      <c r="L180" s="39" t="s">
        <v>380</v>
      </c>
      <c r="M180" s="38">
        <v>110400</v>
      </c>
      <c r="N180" s="39" t="s">
        <v>380</v>
      </c>
      <c r="O180" s="41">
        <v>27</v>
      </c>
      <c r="P180" s="38">
        <v>7.33</v>
      </c>
      <c r="Q180" s="38">
        <v>59646.26</v>
      </c>
      <c r="R180" s="39" t="s">
        <v>237</v>
      </c>
    </row>
    <row r="181" spans="1:18" x14ac:dyDescent="0.3">
      <c r="A181" s="37" t="s">
        <v>378</v>
      </c>
      <c r="B181" s="37" t="s">
        <v>557</v>
      </c>
      <c r="C181" s="37" t="s">
        <v>372</v>
      </c>
      <c r="D181" s="37" t="s">
        <v>375</v>
      </c>
      <c r="E181" s="38">
        <v>3437.28</v>
      </c>
      <c r="F181" s="39" t="s">
        <v>237</v>
      </c>
      <c r="G181" s="38">
        <v>11088</v>
      </c>
      <c r="H181" s="39" t="s">
        <v>380</v>
      </c>
      <c r="I181" s="40">
        <v>45476</v>
      </c>
      <c r="J181" s="40">
        <v>45483</v>
      </c>
      <c r="K181" s="38">
        <v>11088</v>
      </c>
      <c r="L181" s="39" t="s">
        <v>380</v>
      </c>
      <c r="M181" s="38">
        <v>22176</v>
      </c>
      <c r="N181" s="39" t="s">
        <v>380</v>
      </c>
      <c r="O181" s="41">
        <v>92</v>
      </c>
      <c r="P181" s="38">
        <v>2</v>
      </c>
      <c r="Q181" s="38">
        <v>3437.28</v>
      </c>
      <c r="R181" s="39" t="s">
        <v>237</v>
      </c>
    </row>
    <row r="182" spans="1:18" x14ac:dyDescent="0.3">
      <c r="A182" s="37" t="s">
        <v>378</v>
      </c>
      <c r="B182" s="37" t="s">
        <v>558</v>
      </c>
      <c r="C182" s="37" t="s">
        <v>372</v>
      </c>
      <c r="D182" s="37" t="s">
        <v>375</v>
      </c>
      <c r="E182" s="38">
        <v>0</v>
      </c>
      <c r="F182" s="39" t="s">
        <v>237</v>
      </c>
      <c r="G182" s="38">
        <v>0</v>
      </c>
      <c r="H182" s="39" t="s">
        <v>555</v>
      </c>
      <c r="I182" s="40"/>
      <c r="J182" s="40"/>
      <c r="K182" s="38">
        <v>0</v>
      </c>
      <c r="L182" s="39" t="s">
        <v>555</v>
      </c>
      <c r="M182" s="38">
        <v>0</v>
      </c>
      <c r="N182" s="39" t="s">
        <v>555</v>
      </c>
      <c r="O182" s="41">
        <v>0</v>
      </c>
      <c r="P182" s="38">
        <v>99999</v>
      </c>
      <c r="Q182" s="38">
        <v>146.849999999999</v>
      </c>
      <c r="R182" s="39" t="s">
        <v>237</v>
      </c>
    </row>
    <row r="183" spans="1:18" x14ac:dyDescent="0.3">
      <c r="A183" s="37" t="s">
        <v>378</v>
      </c>
      <c r="B183" s="37" t="s">
        <v>1429</v>
      </c>
      <c r="C183" s="37" t="s">
        <v>372</v>
      </c>
      <c r="D183" s="37" t="s">
        <v>375</v>
      </c>
      <c r="E183" s="38">
        <v>2970</v>
      </c>
      <c r="F183" s="39" t="s">
        <v>237</v>
      </c>
      <c r="G183" s="38">
        <v>16500</v>
      </c>
      <c r="H183" s="39" t="s">
        <v>380</v>
      </c>
      <c r="I183" s="40">
        <v>45453</v>
      </c>
      <c r="J183" s="40">
        <v>45453</v>
      </c>
      <c r="K183" s="38">
        <v>5500</v>
      </c>
      <c r="L183" s="39" t="s">
        <v>380</v>
      </c>
      <c r="M183" s="38">
        <v>22000</v>
      </c>
      <c r="N183" s="39" t="s">
        <v>380</v>
      </c>
      <c r="O183" s="41">
        <v>276</v>
      </c>
      <c r="P183" s="38">
        <v>0.44</v>
      </c>
      <c r="Q183" s="38">
        <v>990</v>
      </c>
      <c r="R183" s="39" t="s">
        <v>237</v>
      </c>
    </row>
    <row r="184" spans="1:18" x14ac:dyDescent="0.3">
      <c r="A184" s="37" t="s">
        <v>378</v>
      </c>
      <c r="B184" s="37" t="s">
        <v>559</v>
      </c>
      <c r="C184" s="37" t="s">
        <v>372</v>
      </c>
      <c r="D184" s="37" t="s">
        <v>375</v>
      </c>
      <c r="E184" s="38">
        <v>0</v>
      </c>
      <c r="F184" s="39" t="s">
        <v>237</v>
      </c>
      <c r="G184" s="38">
        <v>0</v>
      </c>
      <c r="H184" s="39" t="s">
        <v>380</v>
      </c>
      <c r="I184" s="40">
        <v>45341</v>
      </c>
      <c r="J184" s="40">
        <v>45390</v>
      </c>
      <c r="K184" s="38">
        <v>0</v>
      </c>
      <c r="L184" s="39" t="s">
        <v>380</v>
      </c>
      <c r="M184" s="38">
        <v>0</v>
      </c>
      <c r="N184" s="39" t="s">
        <v>380</v>
      </c>
      <c r="O184" s="41">
        <v>0</v>
      </c>
      <c r="P184" s="38">
        <v>0</v>
      </c>
      <c r="Q184" s="38">
        <v>0</v>
      </c>
      <c r="R184" s="39" t="s">
        <v>237</v>
      </c>
    </row>
    <row r="185" spans="1:18" x14ac:dyDescent="0.3">
      <c r="A185" s="37" t="s">
        <v>378</v>
      </c>
      <c r="B185" s="37" t="s">
        <v>560</v>
      </c>
      <c r="C185" s="37" t="s">
        <v>372</v>
      </c>
      <c r="D185" s="37" t="s">
        <v>375</v>
      </c>
      <c r="E185" s="38">
        <v>0</v>
      </c>
      <c r="F185" s="39" t="s">
        <v>237</v>
      </c>
      <c r="G185" s="38">
        <v>0</v>
      </c>
      <c r="H185" s="39" t="s">
        <v>380</v>
      </c>
      <c r="I185" s="40">
        <v>44446</v>
      </c>
      <c r="J185" s="40">
        <v>44460</v>
      </c>
      <c r="K185" s="38">
        <v>0</v>
      </c>
      <c r="L185" s="39" t="s">
        <v>380</v>
      </c>
      <c r="M185" s="38">
        <v>0</v>
      </c>
      <c r="N185" s="39" t="s">
        <v>380</v>
      </c>
      <c r="O185" s="41">
        <v>0</v>
      </c>
      <c r="P185" s="38">
        <v>0</v>
      </c>
      <c r="Q185" s="38">
        <v>0</v>
      </c>
      <c r="R185" s="39" t="s">
        <v>237</v>
      </c>
    </row>
    <row r="186" spans="1:18" x14ac:dyDescent="0.3">
      <c r="A186" s="37" t="s">
        <v>378</v>
      </c>
      <c r="B186" s="37" t="s">
        <v>561</v>
      </c>
      <c r="C186" s="37" t="s">
        <v>372</v>
      </c>
      <c r="D186" s="37" t="s">
        <v>375</v>
      </c>
      <c r="E186" s="38">
        <v>0</v>
      </c>
      <c r="F186" s="39" t="s">
        <v>237</v>
      </c>
      <c r="G186" s="38">
        <v>0</v>
      </c>
      <c r="H186" s="39" t="s">
        <v>380</v>
      </c>
      <c r="I186" s="40">
        <v>45369</v>
      </c>
      <c r="J186" s="40">
        <v>45390</v>
      </c>
      <c r="K186" s="38">
        <v>0</v>
      </c>
      <c r="L186" s="39" t="s">
        <v>380</v>
      </c>
      <c r="M186" s="38">
        <v>0</v>
      </c>
      <c r="N186" s="39" t="s">
        <v>380</v>
      </c>
      <c r="O186" s="41">
        <v>0</v>
      </c>
      <c r="P186" s="38">
        <v>0</v>
      </c>
      <c r="Q186" s="38">
        <v>0</v>
      </c>
      <c r="R186" s="39" t="s">
        <v>237</v>
      </c>
    </row>
    <row r="187" spans="1:18" x14ac:dyDescent="0.3">
      <c r="A187" s="37" t="s">
        <v>378</v>
      </c>
      <c r="B187" s="37" t="s">
        <v>562</v>
      </c>
      <c r="C187" s="37" t="s">
        <v>372</v>
      </c>
      <c r="D187" s="37" t="s">
        <v>375</v>
      </c>
      <c r="E187" s="38">
        <v>0</v>
      </c>
      <c r="F187" s="39" t="s">
        <v>237</v>
      </c>
      <c r="G187" s="38">
        <v>0</v>
      </c>
      <c r="H187" s="39" t="s">
        <v>380</v>
      </c>
      <c r="I187" s="40">
        <v>45422</v>
      </c>
      <c r="J187" s="40">
        <v>45425</v>
      </c>
      <c r="K187" s="38">
        <v>0</v>
      </c>
      <c r="L187" s="39" t="s">
        <v>380</v>
      </c>
      <c r="M187" s="38">
        <v>0</v>
      </c>
      <c r="N187" s="39" t="s">
        <v>380</v>
      </c>
      <c r="O187" s="41">
        <v>0</v>
      </c>
      <c r="P187" s="38">
        <v>0</v>
      </c>
      <c r="Q187" s="38">
        <v>0</v>
      </c>
      <c r="R187" s="39" t="s">
        <v>237</v>
      </c>
    </row>
    <row r="188" spans="1:18" x14ac:dyDescent="0.3">
      <c r="A188" s="37" t="s">
        <v>378</v>
      </c>
      <c r="B188" s="37" t="s">
        <v>563</v>
      </c>
      <c r="C188" s="37" t="s">
        <v>372</v>
      </c>
      <c r="D188" s="37" t="s">
        <v>375</v>
      </c>
      <c r="E188" s="38">
        <v>0</v>
      </c>
      <c r="F188" s="39" t="s">
        <v>237</v>
      </c>
      <c r="G188" s="38">
        <v>0</v>
      </c>
      <c r="H188" s="39" t="s">
        <v>380</v>
      </c>
      <c r="I188" s="40">
        <v>45224</v>
      </c>
      <c r="J188" s="40">
        <v>45231</v>
      </c>
      <c r="K188" s="38">
        <v>0</v>
      </c>
      <c r="L188" s="39" t="s">
        <v>380</v>
      </c>
      <c r="M188" s="38">
        <v>0</v>
      </c>
      <c r="N188" s="39" t="s">
        <v>380</v>
      </c>
      <c r="O188" s="41">
        <v>0</v>
      </c>
      <c r="P188" s="38">
        <v>0</v>
      </c>
      <c r="Q188" s="38">
        <v>0</v>
      </c>
      <c r="R188" s="39" t="s">
        <v>237</v>
      </c>
    </row>
    <row r="189" spans="1:18" x14ac:dyDescent="0.3">
      <c r="A189" s="37" t="s">
        <v>378</v>
      </c>
      <c r="B189" s="37" t="s">
        <v>564</v>
      </c>
      <c r="C189" s="37" t="s">
        <v>372</v>
      </c>
      <c r="D189" s="37" t="s">
        <v>377</v>
      </c>
      <c r="E189" s="38">
        <v>8627.42</v>
      </c>
      <c r="F189" s="39" t="s">
        <v>237</v>
      </c>
      <c r="G189" s="38">
        <v>233.173</v>
      </c>
      <c r="H189" s="39" t="s">
        <v>374</v>
      </c>
      <c r="I189" s="40">
        <v>45484</v>
      </c>
      <c r="J189" s="40">
        <v>45472</v>
      </c>
      <c r="K189" s="38">
        <v>333.47899999999902</v>
      </c>
      <c r="L189" s="39" t="s">
        <v>374</v>
      </c>
      <c r="M189" s="38">
        <v>295.60000000000002</v>
      </c>
      <c r="N189" s="39" t="s">
        <v>374</v>
      </c>
      <c r="O189" s="41">
        <v>114</v>
      </c>
      <c r="P189" s="38">
        <v>0.87</v>
      </c>
      <c r="Q189" s="38">
        <v>6951.52</v>
      </c>
      <c r="R189" s="39" t="s">
        <v>237</v>
      </c>
    </row>
    <row r="190" spans="1:18" x14ac:dyDescent="0.3">
      <c r="A190" s="37" t="s">
        <v>378</v>
      </c>
      <c r="B190" s="37" t="s">
        <v>565</v>
      </c>
      <c r="C190" s="37" t="s">
        <v>372</v>
      </c>
      <c r="D190" s="37" t="s">
        <v>375</v>
      </c>
      <c r="E190" s="38">
        <v>267.93</v>
      </c>
      <c r="F190" s="39" t="s">
        <v>237</v>
      </c>
      <c r="G190" s="38">
        <v>4197</v>
      </c>
      <c r="H190" s="39" t="s">
        <v>380</v>
      </c>
      <c r="I190" s="40">
        <v>45343</v>
      </c>
      <c r="J190" s="40">
        <v>45344</v>
      </c>
      <c r="K190" s="38">
        <v>0</v>
      </c>
      <c r="L190" s="39" t="s">
        <v>380</v>
      </c>
      <c r="M190" s="38">
        <v>0</v>
      </c>
      <c r="N190" s="39" t="s">
        <v>380</v>
      </c>
      <c r="O190" s="41">
        <v>99999</v>
      </c>
      <c r="P190" s="38">
        <v>0</v>
      </c>
      <c r="Q190" s="38">
        <v>0</v>
      </c>
      <c r="R190" s="39" t="s">
        <v>237</v>
      </c>
    </row>
    <row r="191" spans="1:18" x14ac:dyDescent="0.3">
      <c r="A191" s="37" t="s">
        <v>378</v>
      </c>
      <c r="B191" s="37" t="s">
        <v>566</v>
      </c>
      <c r="C191" s="37" t="s">
        <v>372</v>
      </c>
      <c r="D191" s="37" t="s">
        <v>375</v>
      </c>
      <c r="E191" s="38">
        <v>0</v>
      </c>
      <c r="F191" s="39" t="s">
        <v>237</v>
      </c>
      <c r="G191" s="38">
        <v>0</v>
      </c>
      <c r="H191" s="39" t="s">
        <v>380</v>
      </c>
      <c r="I191" s="40">
        <v>45343</v>
      </c>
      <c r="J191" s="40">
        <v>45357</v>
      </c>
      <c r="K191" s="38">
        <v>0</v>
      </c>
      <c r="L191" s="39" t="s">
        <v>380</v>
      </c>
      <c r="M191" s="38">
        <v>0</v>
      </c>
      <c r="N191" s="39" t="s">
        <v>380</v>
      </c>
      <c r="O191" s="41">
        <v>0</v>
      </c>
      <c r="P191" s="38">
        <v>0</v>
      </c>
      <c r="Q191" s="38">
        <v>0</v>
      </c>
      <c r="R191" s="39" t="s">
        <v>237</v>
      </c>
    </row>
    <row r="192" spans="1:18" x14ac:dyDescent="0.3">
      <c r="A192" s="37" t="s">
        <v>378</v>
      </c>
      <c r="B192" s="37" t="s">
        <v>567</v>
      </c>
      <c r="C192" s="37" t="s">
        <v>372</v>
      </c>
      <c r="D192" s="37" t="s">
        <v>375</v>
      </c>
      <c r="E192" s="38">
        <v>1580.1199999999899</v>
      </c>
      <c r="F192" s="39" t="s">
        <v>237</v>
      </c>
      <c r="G192" s="38">
        <v>15000</v>
      </c>
      <c r="H192" s="39" t="s">
        <v>380</v>
      </c>
      <c r="I192" s="40">
        <v>45335</v>
      </c>
      <c r="J192" s="40">
        <v>45357</v>
      </c>
      <c r="K192" s="38">
        <v>0</v>
      </c>
      <c r="L192" s="39" t="s">
        <v>380</v>
      </c>
      <c r="M192" s="38">
        <v>0</v>
      </c>
      <c r="N192" s="39" t="s">
        <v>380</v>
      </c>
      <c r="O192" s="41">
        <v>99999</v>
      </c>
      <c r="P192" s="38">
        <v>0</v>
      </c>
      <c r="Q192" s="38">
        <v>0</v>
      </c>
      <c r="R192" s="39" t="s">
        <v>237</v>
      </c>
    </row>
    <row r="193" spans="1:18" x14ac:dyDescent="0.3">
      <c r="A193" s="37" t="s">
        <v>378</v>
      </c>
      <c r="B193" s="37" t="s">
        <v>568</v>
      </c>
      <c r="C193" s="37" t="s">
        <v>372</v>
      </c>
      <c r="D193" s="37" t="s">
        <v>377</v>
      </c>
      <c r="E193" s="38">
        <v>741415.34999999905</v>
      </c>
      <c r="F193" s="39" t="s">
        <v>237</v>
      </c>
      <c r="G193" s="38">
        <v>157103.50700000001</v>
      </c>
      <c r="H193" s="39" t="s">
        <v>374</v>
      </c>
      <c r="I193" s="40">
        <v>45525</v>
      </c>
      <c r="J193" s="40"/>
      <c r="K193" s="38">
        <v>634139.94299999904</v>
      </c>
      <c r="L193" s="39" t="s">
        <v>374</v>
      </c>
      <c r="M193" s="38">
        <v>647900</v>
      </c>
      <c r="N193" s="39" t="s">
        <v>374</v>
      </c>
      <c r="O193" s="41">
        <v>46</v>
      </c>
      <c r="P193" s="38">
        <v>1.95</v>
      </c>
      <c r="Q193" s="38">
        <v>1477791.6399999899</v>
      </c>
      <c r="R193" s="39" t="s">
        <v>237</v>
      </c>
    </row>
    <row r="194" spans="1:18" x14ac:dyDescent="0.3">
      <c r="A194" s="37" t="s">
        <v>378</v>
      </c>
      <c r="B194" s="37" t="s">
        <v>569</v>
      </c>
      <c r="C194" s="37" t="s">
        <v>372</v>
      </c>
      <c r="D194" s="37" t="s">
        <v>375</v>
      </c>
      <c r="E194" s="38">
        <v>619.77999999999895</v>
      </c>
      <c r="F194" s="39" t="s">
        <v>237</v>
      </c>
      <c r="G194" s="38">
        <v>6000</v>
      </c>
      <c r="H194" s="39" t="s">
        <v>380</v>
      </c>
      <c r="I194" s="40">
        <v>45532</v>
      </c>
      <c r="J194" s="40">
        <v>45313</v>
      </c>
      <c r="K194" s="38">
        <v>0</v>
      </c>
      <c r="L194" s="39" t="s">
        <v>380</v>
      </c>
      <c r="M194" s="38">
        <v>6000</v>
      </c>
      <c r="N194" s="39" t="s">
        <v>380</v>
      </c>
      <c r="O194" s="41">
        <v>99999</v>
      </c>
      <c r="P194" s="38">
        <v>0</v>
      </c>
      <c r="Q194" s="38">
        <v>0</v>
      </c>
      <c r="R194" s="39" t="s">
        <v>237</v>
      </c>
    </row>
    <row r="195" spans="1:18" x14ac:dyDescent="0.3">
      <c r="A195" s="37" t="s">
        <v>378</v>
      </c>
      <c r="B195" s="37" t="s">
        <v>570</v>
      </c>
      <c r="C195" s="37" t="s">
        <v>372</v>
      </c>
      <c r="D195" s="37" t="s">
        <v>375</v>
      </c>
      <c r="E195" s="38">
        <v>0</v>
      </c>
      <c r="F195" s="39" t="s">
        <v>237</v>
      </c>
      <c r="G195" s="38">
        <v>0</v>
      </c>
      <c r="H195" s="39" t="s">
        <v>380</v>
      </c>
      <c r="I195" s="40">
        <v>44921</v>
      </c>
      <c r="J195" s="40">
        <v>44922</v>
      </c>
      <c r="K195" s="38">
        <v>0</v>
      </c>
      <c r="L195" s="39" t="s">
        <v>380</v>
      </c>
      <c r="M195" s="38">
        <v>0</v>
      </c>
      <c r="N195" s="39" t="s">
        <v>380</v>
      </c>
      <c r="O195" s="41">
        <v>0</v>
      </c>
      <c r="P195" s="38">
        <v>0</v>
      </c>
      <c r="Q195" s="38">
        <v>0</v>
      </c>
      <c r="R195" s="39" t="s">
        <v>237</v>
      </c>
    </row>
    <row r="196" spans="1:18" x14ac:dyDescent="0.3">
      <c r="A196" s="37" t="s">
        <v>378</v>
      </c>
      <c r="B196" s="37" t="s">
        <v>571</v>
      </c>
      <c r="C196" s="37" t="s">
        <v>372</v>
      </c>
      <c r="D196" s="37" t="s">
        <v>375</v>
      </c>
      <c r="E196" s="38">
        <v>0</v>
      </c>
      <c r="F196" s="39" t="s">
        <v>237</v>
      </c>
      <c r="G196" s="38">
        <v>0</v>
      </c>
      <c r="H196" s="39" t="s">
        <v>380</v>
      </c>
      <c r="I196" s="40">
        <v>44197</v>
      </c>
      <c r="J196" s="40">
        <v>44230</v>
      </c>
      <c r="K196" s="38">
        <v>0</v>
      </c>
      <c r="L196" s="39" t="s">
        <v>380</v>
      </c>
      <c r="M196" s="38">
        <v>0</v>
      </c>
      <c r="N196" s="39" t="s">
        <v>380</v>
      </c>
      <c r="O196" s="41">
        <v>0</v>
      </c>
      <c r="P196" s="38">
        <v>0</v>
      </c>
      <c r="Q196" s="38">
        <v>0</v>
      </c>
      <c r="R196" s="39" t="s">
        <v>237</v>
      </c>
    </row>
    <row r="197" spans="1:18" x14ac:dyDescent="0.3">
      <c r="A197" s="37" t="s">
        <v>378</v>
      </c>
      <c r="B197" s="37" t="s">
        <v>572</v>
      </c>
      <c r="C197" s="37" t="s">
        <v>372</v>
      </c>
      <c r="D197" s="37" t="s">
        <v>375</v>
      </c>
      <c r="E197" s="38">
        <v>0</v>
      </c>
      <c r="F197" s="39" t="s">
        <v>237</v>
      </c>
      <c r="G197" s="38">
        <v>0</v>
      </c>
      <c r="H197" s="39" t="s">
        <v>380</v>
      </c>
      <c r="I197" s="40">
        <v>44515</v>
      </c>
      <c r="J197" s="40">
        <v>44532</v>
      </c>
      <c r="K197" s="38">
        <v>0</v>
      </c>
      <c r="L197" s="39" t="s">
        <v>380</v>
      </c>
      <c r="M197" s="38">
        <v>0</v>
      </c>
      <c r="N197" s="39" t="s">
        <v>380</v>
      </c>
      <c r="O197" s="41">
        <v>0</v>
      </c>
      <c r="P197" s="38">
        <v>0</v>
      </c>
      <c r="Q197" s="38">
        <v>0</v>
      </c>
      <c r="R197" s="39" t="s">
        <v>237</v>
      </c>
    </row>
    <row r="198" spans="1:18" x14ac:dyDescent="0.3">
      <c r="A198" s="37" t="s">
        <v>378</v>
      </c>
      <c r="B198" s="37" t="s">
        <v>573</v>
      </c>
      <c r="C198" s="37" t="s">
        <v>372</v>
      </c>
      <c r="D198" s="37" t="s">
        <v>377</v>
      </c>
      <c r="E198" s="38">
        <v>4248.3100000000004</v>
      </c>
      <c r="F198" s="39" t="s">
        <v>237</v>
      </c>
      <c r="G198" s="38">
        <v>89.209000000000003</v>
      </c>
      <c r="H198" s="39" t="s">
        <v>374</v>
      </c>
      <c r="I198" s="40">
        <v>45502</v>
      </c>
      <c r="J198" s="40">
        <v>45533</v>
      </c>
      <c r="K198" s="38">
        <v>33.7229999999999</v>
      </c>
      <c r="L198" s="39" t="s">
        <v>374</v>
      </c>
      <c r="M198" s="38">
        <v>71.655000000000001</v>
      </c>
      <c r="N198" s="39" t="s">
        <v>374</v>
      </c>
      <c r="O198" s="41">
        <v>680</v>
      </c>
      <c r="P198" s="38">
        <v>0.14000000000000001</v>
      </c>
      <c r="Q198" s="38">
        <v>574.70000000000005</v>
      </c>
      <c r="R198" s="39" t="s">
        <v>237</v>
      </c>
    </row>
    <row r="199" spans="1:18" x14ac:dyDescent="0.3">
      <c r="A199" s="37" t="s">
        <v>378</v>
      </c>
      <c r="B199" s="37" t="s">
        <v>574</v>
      </c>
      <c r="C199" s="37" t="s">
        <v>372</v>
      </c>
      <c r="D199" s="37" t="s">
        <v>375</v>
      </c>
      <c r="E199" s="38">
        <v>3830.4</v>
      </c>
      <c r="F199" s="39" t="s">
        <v>237</v>
      </c>
      <c r="G199" s="38">
        <v>67200</v>
      </c>
      <c r="H199" s="39" t="s">
        <v>380</v>
      </c>
      <c r="I199" s="40">
        <v>45464</v>
      </c>
      <c r="J199" s="40">
        <v>45530</v>
      </c>
      <c r="K199" s="38">
        <v>48000</v>
      </c>
      <c r="L199" s="39" t="s">
        <v>380</v>
      </c>
      <c r="M199" s="38">
        <v>96000</v>
      </c>
      <c r="N199" s="39" t="s">
        <v>380</v>
      </c>
      <c r="O199" s="41">
        <v>129</v>
      </c>
      <c r="P199" s="38">
        <v>0.78</v>
      </c>
      <c r="Q199" s="38">
        <v>2736</v>
      </c>
      <c r="R199" s="39" t="s">
        <v>237</v>
      </c>
    </row>
    <row r="200" spans="1:18" x14ac:dyDescent="0.3">
      <c r="A200" s="37" t="s">
        <v>378</v>
      </c>
      <c r="B200" s="37" t="s">
        <v>575</v>
      </c>
      <c r="C200" s="37" t="s">
        <v>372</v>
      </c>
      <c r="D200" s="37" t="s">
        <v>375</v>
      </c>
      <c r="E200" s="38">
        <v>36096</v>
      </c>
      <c r="F200" s="39" t="s">
        <v>237</v>
      </c>
      <c r="G200" s="38">
        <v>90240</v>
      </c>
      <c r="H200" s="39" t="s">
        <v>380</v>
      </c>
      <c r="I200" s="40">
        <v>45518</v>
      </c>
      <c r="J200" s="40">
        <v>45526</v>
      </c>
      <c r="K200" s="38">
        <v>496320</v>
      </c>
      <c r="L200" s="39" t="s">
        <v>380</v>
      </c>
      <c r="M200" s="38">
        <v>542192</v>
      </c>
      <c r="N200" s="39" t="s">
        <v>380</v>
      </c>
      <c r="O200" s="41">
        <v>17</v>
      </c>
      <c r="P200" s="38">
        <v>5.18</v>
      </c>
      <c r="Q200" s="38">
        <v>197212</v>
      </c>
      <c r="R200" s="39" t="s">
        <v>237</v>
      </c>
    </row>
    <row r="201" spans="1:18" x14ac:dyDescent="0.3">
      <c r="A201" s="37" t="s">
        <v>378</v>
      </c>
      <c r="B201" s="37" t="s">
        <v>576</v>
      </c>
      <c r="C201" s="37" t="s">
        <v>372</v>
      </c>
      <c r="D201" s="37" t="s">
        <v>577</v>
      </c>
      <c r="E201" s="38">
        <v>0</v>
      </c>
      <c r="F201" s="39" t="s">
        <v>237</v>
      </c>
      <c r="G201" s="38">
        <v>7361</v>
      </c>
      <c r="H201" s="39" t="s">
        <v>380</v>
      </c>
      <c r="I201" s="40">
        <v>45488</v>
      </c>
      <c r="J201" s="40">
        <v>45124</v>
      </c>
      <c r="K201" s="38">
        <v>1627</v>
      </c>
      <c r="L201" s="39" t="s">
        <v>380</v>
      </c>
      <c r="M201" s="38">
        <v>1827</v>
      </c>
      <c r="N201" s="39" t="s">
        <v>380</v>
      </c>
      <c r="O201" s="41">
        <v>0</v>
      </c>
      <c r="P201" s="38">
        <v>0</v>
      </c>
      <c r="Q201" s="38">
        <v>0</v>
      </c>
      <c r="R201" s="39" t="s">
        <v>237</v>
      </c>
    </row>
    <row r="202" spans="1:18" x14ac:dyDescent="0.3">
      <c r="A202" s="37" t="s">
        <v>378</v>
      </c>
      <c r="B202" s="37" t="s">
        <v>578</v>
      </c>
      <c r="C202" s="37" t="s">
        <v>372</v>
      </c>
      <c r="D202" s="37" t="s">
        <v>375</v>
      </c>
      <c r="E202" s="38">
        <v>3451</v>
      </c>
      <c r="F202" s="39" t="s">
        <v>237</v>
      </c>
      <c r="G202" s="38">
        <v>20300</v>
      </c>
      <c r="H202" s="39" t="s">
        <v>380</v>
      </c>
      <c r="I202" s="40">
        <v>45532</v>
      </c>
      <c r="J202" s="40">
        <v>45420</v>
      </c>
      <c r="K202" s="38">
        <v>0</v>
      </c>
      <c r="L202" s="39" t="s">
        <v>380</v>
      </c>
      <c r="M202" s="38">
        <v>20300</v>
      </c>
      <c r="N202" s="39" t="s">
        <v>380</v>
      </c>
      <c r="O202" s="41">
        <v>99999</v>
      </c>
      <c r="P202" s="38">
        <v>0</v>
      </c>
      <c r="Q202" s="38">
        <v>0</v>
      </c>
      <c r="R202" s="39" t="s">
        <v>237</v>
      </c>
    </row>
    <row r="203" spans="1:18" x14ac:dyDescent="0.3">
      <c r="A203" s="37" t="s">
        <v>378</v>
      </c>
      <c r="B203" s="37" t="s">
        <v>579</v>
      </c>
      <c r="C203" s="37" t="s">
        <v>372</v>
      </c>
      <c r="D203" s="37" t="s">
        <v>375</v>
      </c>
      <c r="E203" s="38">
        <v>7373.06</v>
      </c>
      <c r="F203" s="39" t="s">
        <v>237</v>
      </c>
      <c r="G203" s="38">
        <v>134400</v>
      </c>
      <c r="H203" s="39" t="s">
        <v>380</v>
      </c>
      <c r="I203" s="40">
        <v>45264</v>
      </c>
      <c r="J203" s="40">
        <v>45281</v>
      </c>
      <c r="K203" s="38">
        <v>0</v>
      </c>
      <c r="L203" s="39" t="s">
        <v>380</v>
      </c>
      <c r="M203" s="38">
        <v>0</v>
      </c>
      <c r="N203" s="39" t="s">
        <v>380</v>
      </c>
      <c r="O203" s="41">
        <v>99999</v>
      </c>
      <c r="P203" s="38">
        <v>0</v>
      </c>
      <c r="Q203" s="38">
        <v>0</v>
      </c>
      <c r="R203" s="39" t="s">
        <v>237</v>
      </c>
    </row>
    <row r="204" spans="1:18" x14ac:dyDescent="0.3">
      <c r="A204" s="37" t="s">
        <v>378</v>
      </c>
      <c r="B204" s="37" t="s">
        <v>580</v>
      </c>
      <c r="C204" s="37" t="s">
        <v>372</v>
      </c>
      <c r="D204" s="37" t="s">
        <v>375</v>
      </c>
      <c r="E204" s="38">
        <v>28342.459999999901</v>
      </c>
      <c r="F204" s="39" t="s">
        <v>237</v>
      </c>
      <c r="G204" s="38">
        <v>537600</v>
      </c>
      <c r="H204" s="39" t="s">
        <v>380</v>
      </c>
      <c r="I204" s="40">
        <v>45526</v>
      </c>
      <c r="J204" s="40">
        <v>45532</v>
      </c>
      <c r="K204" s="38">
        <v>532800</v>
      </c>
      <c r="L204" s="39" t="s">
        <v>380</v>
      </c>
      <c r="M204" s="38">
        <v>864000</v>
      </c>
      <c r="N204" s="39" t="s">
        <v>380</v>
      </c>
      <c r="O204" s="41">
        <v>128</v>
      </c>
      <c r="P204" s="38">
        <v>1.07</v>
      </c>
      <c r="Q204" s="38">
        <v>20381.2</v>
      </c>
      <c r="R204" s="39" t="s">
        <v>237</v>
      </c>
    </row>
    <row r="205" spans="1:18" x14ac:dyDescent="0.3">
      <c r="A205" s="37" t="s">
        <v>378</v>
      </c>
      <c r="B205" s="37" t="s">
        <v>581</v>
      </c>
      <c r="C205" s="37" t="s">
        <v>372</v>
      </c>
      <c r="D205" s="37" t="s">
        <v>375</v>
      </c>
      <c r="E205" s="38">
        <v>0</v>
      </c>
      <c r="F205" s="39" t="s">
        <v>237</v>
      </c>
      <c r="G205" s="38">
        <v>0</v>
      </c>
      <c r="H205" s="39" t="s">
        <v>380</v>
      </c>
      <c r="I205" s="40">
        <v>45000</v>
      </c>
      <c r="J205" s="40">
        <v>45000</v>
      </c>
      <c r="K205" s="38">
        <v>0</v>
      </c>
      <c r="L205" s="39" t="s">
        <v>380</v>
      </c>
      <c r="M205" s="38">
        <v>0</v>
      </c>
      <c r="N205" s="39" t="s">
        <v>380</v>
      </c>
      <c r="O205" s="41">
        <v>0</v>
      </c>
      <c r="P205" s="38">
        <v>0</v>
      </c>
      <c r="Q205" s="38">
        <v>0</v>
      </c>
      <c r="R205" s="39" t="s">
        <v>237</v>
      </c>
    </row>
    <row r="206" spans="1:18" x14ac:dyDescent="0.3">
      <c r="A206" s="37" t="s">
        <v>378</v>
      </c>
      <c r="B206" s="37" t="s">
        <v>582</v>
      </c>
      <c r="C206" s="37" t="s">
        <v>372</v>
      </c>
      <c r="D206" s="37" t="s">
        <v>375</v>
      </c>
      <c r="E206" s="38">
        <v>0</v>
      </c>
      <c r="F206" s="39" t="s">
        <v>237</v>
      </c>
      <c r="G206" s="38">
        <v>3500</v>
      </c>
      <c r="H206" s="39" t="s">
        <v>380</v>
      </c>
      <c r="I206" s="40">
        <v>45264</v>
      </c>
      <c r="J206" s="40">
        <v>45000</v>
      </c>
      <c r="K206" s="38">
        <v>0</v>
      </c>
      <c r="L206" s="39" t="s">
        <v>380</v>
      </c>
      <c r="M206" s="38">
        <v>0</v>
      </c>
      <c r="N206" s="39" t="s">
        <v>380</v>
      </c>
      <c r="O206" s="41">
        <v>0</v>
      </c>
      <c r="P206" s="38">
        <v>0</v>
      </c>
      <c r="Q206" s="38">
        <v>0</v>
      </c>
      <c r="R206" s="39" t="s">
        <v>237</v>
      </c>
    </row>
    <row r="207" spans="1:18" x14ac:dyDescent="0.3">
      <c r="A207" s="37" t="s">
        <v>378</v>
      </c>
      <c r="B207" s="37" t="s">
        <v>583</v>
      </c>
      <c r="C207" s="37" t="s">
        <v>372</v>
      </c>
      <c r="D207" s="37" t="s">
        <v>375</v>
      </c>
      <c r="E207" s="38">
        <v>6260.3999999999896</v>
      </c>
      <c r="F207" s="39" t="s">
        <v>237</v>
      </c>
      <c r="G207" s="38">
        <v>20868</v>
      </c>
      <c r="H207" s="39" t="s">
        <v>380</v>
      </c>
      <c r="I207" s="40"/>
      <c r="J207" s="40">
        <v>45520</v>
      </c>
      <c r="K207" s="38">
        <v>92000</v>
      </c>
      <c r="L207" s="39" t="s">
        <v>380</v>
      </c>
      <c r="M207" s="38">
        <v>88320</v>
      </c>
      <c r="N207" s="39" t="s">
        <v>380</v>
      </c>
      <c r="O207" s="41">
        <v>21</v>
      </c>
      <c r="P207" s="38">
        <v>4.95</v>
      </c>
      <c r="Q207" s="38">
        <v>27600</v>
      </c>
      <c r="R207" s="39" t="s">
        <v>237</v>
      </c>
    </row>
    <row r="208" spans="1:18" x14ac:dyDescent="0.3">
      <c r="A208" s="37" t="s">
        <v>378</v>
      </c>
      <c r="B208" s="37" t="s">
        <v>584</v>
      </c>
      <c r="C208" s="37" t="s">
        <v>372</v>
      </c>
      <c r="D208" s="37" t="s">
        <v>375</v>
      </c>
      <c r="E208" s="38">
        <v>0</v>
      </c>
      <c r="F208" s="39" t="s">
        <v>237</v>
      </c>
      <c r="G208" s="38">
        <v>0</v>
      </c>
      <c r="H208" s="39" t="s">
        <v>380</v>
      </c>
      <c r="I208" s="40">
        <v>44922</v>
      </c>
      <c r="J208" s="40">
        <v>44937</v>
      </c>
      <c r="K208" s="38">
        <v>0</v>
      </c>
      <c r="L208" s="39" t="s">
        <v>380</v>
      </c>
      <c r="M208" s="38">
        <v>0</v>
      </c>
      <c r="N208" s="39" t="s">
        <v>380</v>
      </c>
      <c r="O208" s="41">
        <v>0</v>
      </c>
      <c r="P208" s="38">
        <v>0</v>
      </c>
      <c r="Q208" s="38">
        <v>0</v>
      </c>
      <c r="R208" s="39" t="s">
        <v>237</v>
      </c>
    </row>
    <row r="209" spans="1:18" x14ac:dyDescent="0.3">
      <c r="A209" s="37" t="s">
        <v>378</v>
      </c>
      <c r="B209" s="37" t="s">
        <v>585</v>
      </c>
      <c r="C209" s="37" t="s">
        <v>372</v>
      </c>
      <c r="D209" s="37" t="s">
        <v>375</v>
      </c>
      <c r="E209" s="38">
        <v>0</v>
      </c>
      <c r="F209" s="39" t="s">
        <v>237</v>
      </c>
      <c r="G209" s="38">
        <v>0</v>
      </c>
      <c r="H209" s="39" t="s">
        <v>380</v>
      </c>
      <c r="I209" s="40">
        <v>45385</v>
      </c>
      <c r="J209" s="40">
        <v>45397</v>
      </c>
      <c r="K209" s="38">
        <v>0</v>
      </c>
      <c r="L209" s="39" t="s">
        <v>380</v>
      </c>
      <c r="M209" s="38">
        <v>0</v>
      </c>
      <c r="N209" s="39" t="s">
        <v>380</v>
      </c>
      <c r="O209" s="41">
        <v>0</v>
      </c>
      <c r="P209" s="38">
        <v>0</v>
      </c>
      <c r="Q209" s="38">
        <v>0</v>
      </c>
      <c r="R209" s="39" t="s">
        <v>237</v>
      </c>
    </row>
    <row r="210" spans="1:18" x14ac:dyDescent="0.3">
      <c r="A210" s="37" t="s">
        <v>378</v>
      </c>
      <c r="B210" s="37" t="s">
        <v>586</v>
      </c>
      <c r="C210" s="37" t="s">
        <v>372</v>
      </c>
      <c r="D210" s="37" t="s">
        <v>375</v>
      </c>
      <c r="E210" s="38">
        <v>0</v>
      </c>
      <c r="F210" s="39" t="s">
        <v>237</v>
      </c>
      <c r="G210" s="38">
        <v>0</v>
      </c>
      <c r="H210" s="39" t="s">
        <v>380</v>
      </c>
      <c r="I210" s="40">
        <v>44944</v>
      </c>
      <c r="J210" s="40">
        <v>45240</v>
      </c>
      <c r="K210" s="38">
        <v>0</v>
      </c>
      <c r="L210" s="39" t="s">
        <v>380</v>
      </c>
      <c r="M210" s="38">
        <v>0</v>
      </c>
      <c r="N210" s="39" t="s">
        <v>380</v>
      </c>
      <c r="O210" s="41">
        <v>0</v>
      </c>
      <c r="P210" s="38">
        <v>0</v>
      </c>
      <c r="Q210" s="38">
        <v>0</v>
      </c>
      <c r="R210" s="39" t="s">
        <v>237</v>
      </c>
    </row>
    <row r="211" spans="1:18" x14ac:dyDescent="0.3">
      <c r="A211" s="37" t="s">
        <v>378</v>
      </c>
      <c r="B211" s="37" t="s">
        <v>587</v>
      </c>
      <c r="C211" s="37" t="s">
        <v>372</v>
      </c>
      <c r="D211" s="37" t="s">
        <v>375</v>
      </c>
      <c r="E211" s="38">
        <v>18370.799999999901</v>
      </c>
      <c r="F211" s="39" t="s">
        <v>237</v>
      </c>
      <c r="G211" s="38">
        <v>51030</v>
      </c>
      <c r="H211" s="39" t="s">
        <v>380</v>
      </c>
      <c r="I211" s="40">
        <v>45496</v>
      </c>
      <c r="J211" s="40">
        <v>45505</v>
      </c>
      <c r="K211" s="38">
        <v>50820</v>
      </c>
      <c r="L211" s="39" t="s">
        <v>380</v>
      </c>
      <c r="M211" s="38">
        <v>84840</v>
      </c>
      <c r="N211" s="39" t="s">
        <v>380</v>
      </c>
      <c r="O211" s="41">
        <v>94</v>
      </c>
      <c r="P211" s="38">
        <v>1.49</v>
      </c>
      <c r="Q211" s="38">
        <v>17956.049999999901</v>
      </c>
      <c r="R211" s="39" t="s">
        <v>237</v>
      </c>
    </row>
    <row r="212" spans="1:18" x14ac:dyDescent="0.3">
      <c r="A212" s="37" t="s">
        <v>378</v>
      </c>
      <c r="B212" s="37" t="s">
        <v>588</v>
      </c>
      <c r="C212" s="37" t="s">
        <v>372</v>
      </c>
      <c r="D212" s="37" t="s">
        <v>375</v>
      </c>
      <c r="E212" s="38">
        <v>14366.86</v>
      </c>
      <c r="F212" s="39" t="s">
        <v>237</v>
      </c>
      <c r="G212" s="38">
        <v>33600</v>
      </c>
      <c r="H212" s="39" t="s">
        <v>380</v>
      </c>
      <c r="I212" s="40">
        <v>45482</v>
      </c>
      <c r="J212" s="40">
        <v>45505</v>
      </c>
      <c r="K212" s="38">
        <v>50700</v>
      </c>
      <c r="L212" s="39" t="s">
        <v>380</v>
      </c>
      <c r="M212" s="38">
        <v>67200</v>
      </c>
      <c r="N212" s="39" t="s">
        <v>380</v>
      </c>
      <c r="O212" s="41">
        <v>62</v>
      </c>
      <c r="P212" s="38">
        <v>1.7</v>
      </c>
      <c r="Q212" s="38">
        <v>21310</v>
      </c>
      <c r="R212" s="39" t="s">
        <v>237</v>
      </c>
    </row>
    <row r="213" spans="1:18" x14ac:dyDescent="0.3">
      <c r="A213" s="37" t="s">
        <v>378</v>
      </c>
      <c r="B213" s="37" t="s">
        <v>589</v>
      </c>
      <c r="C213" s="37" t="s">
        <v>372</v>
      </c>
      <c r="D213" s="37" t="s">
        <v>375</v>
      </c>
      <c r="E213" s="38">
        <v>0</v>
      </c>
      <c r="F213" s="39" t="s">
        <v>237</v>
      </c>
      <c r="G213" s="38">
        <v>0</v>
      </c>
      <c r="H213" s="39" t="s">
        <v>380</v>
      </c>
      <c r="I213" s="40">
        <v>44915</v>
      </c>
      <c r="J213" s="40">
        <v>44916</v>
      </c>
      <c r="K213" s="38">
        <v>0</v>
      </c>
      <c r="L213" s="39" t="s">
        <v>380</v>
      </c>
      <c r="M213" s="38">
        <v>0</v>
      </c>
      <c r="N213" s="39" t="s">
        <v>380</v>
      </c>
      <c r="O213" s="41">
        <v>0</v>
      </c>
      <c r="P213" s="38">
        <v>0</v>
      </c>
      <c r="Q213" s="38">
        <v>0</v>
      </c>
      <c r="R213" s="39" t="s">
        <v>237</v>
      </c>
    </row>
    <row r="214" spans="1:18" x14ac:dyDescent="0.3">
      <c r="A214" s="37" t="s">
        <v>378</v>
      </c>
      <c r="B214" s="37" t="s">
        <v>590</v>
      </c>
      <c r="C214" s="37" t="s">
        <v>372</v>
      </c>
      <c r="D214" s="37" t="s">
        <v>375</v>
      </c>
      <c r="E214" s="38">
        <v>5356.8</v>
      </c>
      <c r="F214" s="39" t="s">
        <v>237</v>
      </c>
      <c r="G214" s="38">
        <v>17280</v>
      </c>
      <c r="H214" s="39" t="s">
        <v>380</v>
      </c>
      <c r="I214" s="40">
        <v>45527</v>
      </c>
      <c r="J214" s="40">
        <v>45527</v>
      </c>
      <c r="K214" s="38">
        <v>34560</v>
      </c>
      <c r="L214" s="39" t="s">
        <v>380</v>
      </c>
      <c r="M214" s="38">
        <v>34560</v>
      </c>
      <c r="N214" s="39" t="s">
        <v>380</v>
      </c>
      <c r="O214" s="41">
        <v>46</v>
      </c>
      <c r="P214" s="38">
        <v>2.67</v>
      </c>
      <c r="Q214" s="38">
        <v>10713.6</v>
      </c>
      <c r="R214" s="39" t="s">
        <v>237</v>
      </c>
    </row>
    <row r="215" spans="1:18" x14ac:dyDescent="0.3">
      <c r="A215" s="37" t="s">
        <v>378</v>
      </c>
      <c r="B215" s="37" t="s">
        <v>591</v>
      </c>
      <c r="C215" s="37" t="s">
        <v>372</v>
      </c>
      <c r="D215" s="37" t="s">
        <v>377</v>
      </c>
      <c r="E215" s="38">
        <v>4300.54</v>
      </c>
      <c r="F215" s="39" t="s">
        <v>237</v>
      </c>
      <c r="G215" s="38">
        <v>61.250999999999898</v>
      </c>
      <c r="H215" s="39" t="s">
        <v>374</v>
      </c>
      <c r="I215" s="40">
        <v>45525</v>
      </c>
      <c r="J215" s="40">
        <v>45527</v>
      </c>
      <c r="K215" s="38">
        <v>53.624000000000002</v>
      </c>
      <c r="L215" s="39" t="s">
        <v>374</v>
      </c>
      <c r="M215" s="38">
        <v>32.399999999999899</v>
      </c>
      <c r="N215" s="39" t="s">
        <v>374</v>
      </c>
      <c r="O215" s="41">
        <v>266</v>
      </c>
      <c r="P215" s="38">
        <v>0.28000000000000003</v>
      </c>
      <c r="Q215" s="38">
        <v>1490.17</v>
      </c>
      <c r="R215" s="39" t="s">
        <v>237</v>
      </c>
    </row>
    <row r="216" spans="1:18" x14ac:dyDescent="0.3">
      <c r="A216" s="37" t="s">
        <v>378</v>
      </c>
      <c r="B216" s="37" t="s">
        <v>1223</v>
      </c>
      <c r="C216" s="37" t="s">
        <v>372</v>
      </c>
      <c r="D216" s="37" t="s">
        <v>375</v>
      </c>
      <c r="E216" s="38">
        <v>3742.1999999999898</v>
      </c>
      <c r="F216" s="39" t="s">
        <v>237</v>
      </c>
      <c r="G216" s="38">
        <v>11340</v>
      </c>
      <c r="H216" s="39" t="s">
        <v>380</v>
      </c>
      <c r="I216" s="40">
        <v>45253</v>
      </c>
      <c r="J216" s="40">
        <v>45411</v>
      </c>
      <c r="K216" s="38">
        <v>0</v>
      </c>
      <c r="L216" s="39" t="s">
        <v>380</v>
      </c>
      <c r="M216" s="38">
        <v>0</v>
      </c>
      <c r="N216" s="39" t="s">
        <v>380</v>
      </c>
      <c r="O216" s="41">
        <v>99999</v>
      </c>
      <c r="P216" s="38">
        <v>0</v>
      </c>
      <c r="Q216" s="38">
        <v>0</v>
      </c>
      <c r="R216" s="39" t="s">
        <v>237</v>
      </c>
    </row>
    <row r="217" spans="1:18" x14ac:dyDescent="0.3">
      <c r="A217" s="37" t="s">
        <v>378</v>
      </c>
      <c r="B217" s="37" t="s">
        <v>592</v>
      </c>
      <c r="C217" s="37" t="s">
        <v>372</v>
      </c>
      <c r="D217" s="37" t="s">
        <v>375</v>
      </c>
      <c r="E217" s="38">
        <v>0</v>
      </c>
      <c r="F217" s="39" t="s">
        <v>237</v>
      </c>
      <c r="G217" s="38">
        <v>0</v>
      </c>
      <c r="H217" s="39" t="s">
        <v>380</v>
      </c>
      <c r="I217" s="40">
        <v>44921</v>
      </c>
      <c r="J217" s="40">
        <v>44922</v>
      </c>
      <c r="K217" s="38">
        <v>0</v>
      </c>
      <c r="L217" s="39" t="s">
        <v>380</v>
      </c>
      <c r="M217" s="38">
        <v>0</v>
      </c>
      <c r="N217" s="39" t="s">
        <v>380</v>
      </c>
      <c r="O217" s="41">
        <v>0</v>
      </c>
      <c r="P217" s="38">
        <v>0</v>
      </c>
      <c r="Q217" s="38">
        <v>0</v>
      </c>
      <c r="R217" s="39" t="s">
        <v>237</v>
      </c>
    </row>
    <row r="218" spans="1:18" x14ac:dyDescent="0.3">
      <c r="A218" s="37" t="s">
        <v>378</v>
      </c>
      <c r="B218" s="37" t="s">
        <v>593</v>
      </c>
      <c r="C218" s="37" t="s">
        <v>372</v>
      </c>
      <c r="D218" s="37" t="s">
        <v>375</v>
      </c>
      <c r="E218" s="38">
        <v>0</v>
      </c>
      <c r="F218" s="39" t="s">
        <v>237</v>
      </c>
      <c r="G218" s="38">
        <v>0</v>
      </c>
      <c r="H218" s="39" t="s">
        <v>380</v>
      </c>
      <c r="I218" s="40">
        <v>44923</v>
      </c>
      <c r="J218" s="40">
        <v>44977</v>
      </c>
      <c r="K218" s="38">
        <v>0</v>
      </c>
      <c r="L218" s="39" t="s">
        <v>380</v>
      </c>
      <c r="M218" s="38">
        <v>0</v>
      </c>
      <c r="N218" s="39" t="s">
        <v>380</v>
      </c>
      <c r="O218" s="41">
        <v>0</v>
      </c>
      <c r="P218" s="38">
        <v>0</v>
      </c>
      <c r="Q218" s="38">
        <v>0</v>
      </c>
      <c r="R218" s="39" t="s">
        <v>237</v>
      </c>
    </row>
    <row r="219" spans="1:18" x14ac:dyDescent="0.3">
      <c r="A219" s="37" t="s">
        <v>378</v>
      </c>
      <c r="B219" s="37" t="s">
        <v>594</v>
      </c>
      <c r="C219" s="37" t="s">
        <v>372</v>
      </c>
      <c r="D219" s="37" t="s">
        <v>377</v>
      </c>
      <c r="E219" s="38">
        <v>0.01</v>
      </c>
      <c r="F219" s="39" t="s">
        <v>237</v>
      </c>
      <c r="G219" s="38">
        <v>2E-3</v>
      </c>
      <c r="H219" s="39" t="s">
        <v>374</v>
      </c>
      <c r="I219" s="40">
        <v>45264</v>
      </c>
      <c r="J219" s="40">
        <v>45265</v>
      </c>
      <c r="K219" s="38">
        <v>0</v>
      </c>
      <c r="L219" s="39" t="s">
        <v>374</v>
      </c>
      <c r="M219" s="38">
        <v>0</v>
      </c>
      <c r="N219" s="39" t="s">
        <v>374</v>
      </c>
      <c r="O219" s="41">
        <v>99999</v>
      </c>
      <c r="P219" s="38">
        <v>0</v>
      </c>
      <c r="Q219" s="38">
        <v>0</v>
      </c>
      <c r="R219" s="39" t="s">
        <v>237</v>
      </c>
    </row>
    <row r="220" spans="1:18" x14ac:dyDescent="0.3">
      <c r="A220" s="37" t="s">
        <v>378</v>
      </c>
      <c r="B220" s="37" t="s">
        <v>595</v>
      </c>
      <c r="C220" s="37" t="s">
        <v>372</v>
      </c>
      <c r="D220" s="37" t="s">
        <v>375</v>
      </c>
      <c r="E220" s="38">
        <v>0</v>
      </c>
      <c r="F220" s="39" t="s">
        <v>237</v>
      </c>
      <c r="G220" s="38">
        <v>0</v>
      </c>
      <c r="H220" s="39" t="s">
        <v>380</v>
      </c>
      <c r="I220" s="40"/>
      <c r="J220" s="40">
        <v>45015</v>
      </c>
      <c r="K220" s="38">
        <v>0</v>
      </c>
      <c r="L220" s="39" t="s">
        <v>380</v>
      </c>
      <c r="M220" s="38">
        <v>0</v>
      </c>
      <c r="N220" s="39" t="s">
        <v>380</v>
      </c>
      <c r="O220" s="41">
        <v>0</v>
      </c>
      <c r="P220" s="38">
        <v>0</v>
      </c>
      <c r="Q220" s="38">
        <v>0</v>
      </c>
      <c r="R220" s="39" t="s">
        <v>237</v>
      </c>
    </row>
    <row r="221" spans="1:18" x14ac:dyDescent="0.3">
      <c r="A221" s="37" t="s">
        <v>378</v>
      </c>
      <c r="B221" s="37" t="s">
        <v>596</v>
      </c>
      <c r="C221" s="37" t="s">
        <v>372</v>
      </c>
      <c r="D221" s="37" t="s">
        <v>377</v>
      </c>
      <c r="E221" s="38">
        <v>55880.36</v>
      </c>
      <c r="F221" s="39" t="s">
        <v>237</v>
      </c>
      <c r="G221" s="38">
        <v>9209.2649999999903</v>
      </c>
      <c r="H221" s="39" t="s">
        <v>374</v>
      </c>
      <c r="I221" s="40">
        <v>45510</v>
      </c>
      <c r="J221" s="40">
        <v>45525</v>
      </c>
      <c r="K221" s="38">
        <v>4805.2020000000002</v>
      </c>
      <c r="L221" s="39" t="s">
        <v>374</v>
      </c>
      <c r="M221" s="38">
        <v>8064.402</v>
      </c>
      <c r="N221" s="39" t="s">
        <v>374</v>
      </c>
      <c r="O221" s="41">
        <v>388</v>
      </c>
      <c r="P221" s="38">
        <v>0.27</v>
      </c>
      <c r="Q221" s="38">
        <v>13263.91</v>
      </c>
      <c r="R221" s="39" t="s">
        <v>237</v>
      </c>
    </row>
    <row r="222" spans="1:18" x14ac:dyDescent="0.3">
      <c r="A222" s="37" t="s">
        <v>378</v>
      </c>
      <c r="B222" s="37" t="s">
        <v>1430</v>
      </c>
      <c r="C222" s="37" t="s">
        <v>372</v>
      </c>
      <c r="D222" s="37" t="s">
        <v>375</v>
      </c>
      <c r="E222" s="38">
        <v>168.96</v>
      </c>
      <c r="F222" s="39" t="s">
        <v>237</v>
      </c>
      <c r="G222" s="38">
        <v>528</v>
      </c>
      <c r="H222" s="39" t="s">
        <v>380</v>
      </c>
      <c r="I222" s="40">
        <v>45523</v>
      </c>
      <c r="J222" s="40"/>
      <c r="K222" s="38">
        <v>0</v>
      </c>
      <c r="L222" s="39" t="s">
        <v>380</v>
      </c>
      <c r="M222" s="38">
        <v>528</v>
      </c>
      <c r="N222" s="39" t="s">
        <v>380</v>
      </c>
      <c r="O222" s="41">
        <v>99999</v>
      </c>
      <c r="P222" s="38">
        <v>0</v>
      </c>
      <c r="Q222" s="38">
        <v>0</v>
      </c>
      <c r="R222" s="39" t="s">
        <v>237</v>
      </c>
    </row>
    <row r="223" spans="1:18" x14ac:dyDescent="0.3">
      <c r="A223" s="37" t="s">
        <v>378</v>
      </c>
      <c r="B223" s="37" t="s">
        <v>597</v>
      </c>
      <c r="C223" s="37" t="s">
        <v>372</v>
      </c>
      <c r="D223" s="37" t="s">
        <v>577</v>
      </c>
      <c r="E223" s="38">
        <v>0</v>
      </c>
      <c r="F223" s="39" t="s">
        <v>237</v>
      </c>
      <c r="G223" s="38">
        <v>996</v>
      </c>
      <c r="H223" s="39" t="s">
        <v>380</v>
      </c>
      <c r="I223" s="40">
        <v>45177</v>
      </c>
      <c r="J223" s="40"/>
      <c r="K223" s="38">
        <v>106</v>
      </c>
      <c r="L223" s="39" t="s">
        <v>380</v>
      </c>
      <c r="M223" s="38">
        <v>106</v>
      </c>
      <c r="N223" s="39" t="s">
        <v>380</v>
      </c>
      <c r="O223" s="41">
        <v>0</v>
      </c>
      <c r="P223" s="38">
        <v>0</v>
      </c>
      <c r="Q223" s="38">
        <v>0</v>
      </c>
      <c r="R223" s="39" t="s">
        <v>237</v>
      </c>
    </row>
    <row r="224" spans="1:18" x14ac:dyDescent="0.3">
      <c r="A224" s="37" t="s">
        <v>378</v>
      </c>
      <c r="B224" s="37" t="s">
        <v>598</v>
      </c>
      <c r="C224" s="37" t="s">
        <v>372</v>
      </c>
      <c r="D224" s="37" t="s">
        <v>375</v>
      </c>
      <c r="E224" s="38">
        <v>0</v>
      </c>
      <c r="F224" s="39" t="s">
        <v>237</v>
      </c>
      <c r="G224" s="38">
        <v>528</v>
      </c>
      <c r="H224" s="39" t="s">
        <v>380</v>
      </c>
      <c r="I224" s="40">
        <v>45533</v>
      </c>
      <c r="J224" s="40">
        <v>44894</v>
      </c>
      <c r="K224" s="38">
        <v>0</v>
      </c>
      <c r="L224" s="39" t="s">
        <v>380</v>
      </c>
      <c r="M224" s="38">
        <v>528</v>
      </c>
      <c r="N224" s="39" t="s">
        <v>380</v>
      </c>
      <c r="O224" s="41">
        <v>0</v>
      </c>
      <c r="P224" s="38">
        <v>0</v>
      </c>
      <c r="Q224" s="38">
        <v>0</v>
      </c>
      <c r="R224" s="39" t="s">
        <v>237</v>
      </c>
    </row>
    <row r="225" spans="1:18" x14ac:dyDescent="0.3">
      <c r="A225" s="37" t="s">
        <v>378</v>
      </c>
      <c r="B225" s="37" t="s">
        <v>599</v>
      </c>
      <c r="C225" s="37" t="s">
        <v>372</v>
      </c>
      <c r="D225" s="37" t="s">
        <v>375</v>
      </c>
      <c r="E225" s="38">
        <v>0</v>
      </c>
      <c r="F225" s="39" t="s">
        <v>237</v>
      </c>
      <c r="G225" s="38">
        <v>0</v>
      </c>
      <c r="H225" s="39" t="s">
        <v>380</v>
      </c>
      <c r="I225" s="40">
        <v>45435</v>
      </c>
      <c r="J225" s="40">
        <v>45440</v>
      </c>
      <c r="K225" s="38">
        <v>0</v>
      </c>
      <c r="L225" s="39" t="s">
        <v>380</v>
      </c>
      <c r="M225" s="38">
        <v>0</v>
      </c>
      <c r="N225" s="39" t="s">
        <v>380</v>
      </c>
      <c r="O225" s="41">
        <v>0</v>
      </c>
      <c r="P225" s="38">
        <v>0</v>
      </c>
      <c r="Q225" s="38">
        <v>0</v>
      </c>
      <c r="R225" s="39" t="s">
        <v>237</v>
      </c>
    </row>
    <row r="226" spans="1:18" x14ac:dyDescent="0.3">
      <c r="A226" s="37" t="s">
        <v>378</v>
      </c>
      <c r="B226" s="37" t="s">
        <v>600</v>
      </c>
      <c r="C226" s="37" t="s">
        <v>372</v>
      </c>
      <c r="D226" s="37" t="s">
        <v>375</v>
      </c>
      <c r="E226" s="38">
        <v>0</v>
      </c>
      <c r="F226" s="39" t="s">
        <v>237</v>
      </c>
      <c r="G226" s="38">
        <v>0</v>
      </c>
      <c r="H226" s="39" t="s">
        <v>380</v>
      </c>
      <c r="I226" s="40">
        <v>45401</v>
      </c>
      <c r="J226" s="40">
        <v>45418</v>
      </c>
      <c r="K226" s="38">
        <v>0</v>
      </c>
      <c r="L226" s="39" t="s">
        <v>380</v>
      </c>
      <c r="M226" s="38">
        <v>0</v>
      </c>
      <c r="N226" s="39" t="s">
        <v>380</v>
      </c>
      <c r="O226" s="41">
        <v>0</v>
      </c>
      <c r="P226" s="38">
        <v>0</v>
      </c>
      <c r="Q226" s="38">
        <v>0</v>
      </c>
      <c r="R226" s="39" t="s">
        <v>237</v>
      </c>
    </row>
    <row r="227" spans="1:18" x14ac:dyDescent="0.3">
      <c r="A227" s="37" t="s">
        <v>378</v>
      </c>
      <c r="B227" s="37" t="s">
        <v>601</v>
      </c>
      <c r="C227" s="37" t="s">
        <v>372</v>
      </c>
      <c r="D227" s="37" t="s">
        <v>375</v>
      </c>
      <c r="E227" s="38">
        <v>0</v>
      </c>
      <c r="F227" s="39" t="s">
        <v>237</v>
      </c>
      <c r="G227" s="38">
        <v>0</v>
      </c>
      <c r="H227" s="39" t="s">
        <v>380</v>
      </c>
      <c r="I227" s="40">
        <v>45428</v>
      </c>
      <c r="J227" s="40">
        <v>45471</v>
      </c>
      <c r="K227" s="38">
        <v>18000</v>
      </c>
      <c r="L227" s="39" t="s">
        <v>380</v>
      </c>
      <c r="M227" s="38">
        <v>0</v>
      </c>
      <c r="N227" s="39" t="s">
        <v>380</v>
      </c>
      <c r="O227" s="41">
        <v>0</v>
      </c>
      <c r="P227" s="38">
        <v>4</v>
      </c>
      <c r="Q227" s="38">
        <v>4511.55</v>
      </c>
      <c r="R227" s="39" t="s">
        <v>237</v>
      </c>
    </row>
    <row r="228" spans="1:18" x14ac:dyDescent="0.3">
      <c r="A228" s="37" t="s">
        <v>378</v>
      </c>
      <c r="B228" s="37" t="s">
        <v>602</v>
      </c>
      <c r="C228" s="37" t="s">
        <v>372</v>
      </c>
      <c r="D228" s="37" t="s">
        <v>375</v>
      </c>
      <c r="E228" s="38">
        <v>0</v>
      </c>
      <c r="F228" s="39" t="s">
        <v>237</v>
      </c>
      <c r="G228" s="38">
        <v>0</v>
      </c>
      <c r="H228" s="39" t="s">
        <v>380</v>
      </c>
      <c r="I228" s="40">
        <v>45525</v>
      </c>
      <c r="J228" s="40">
        <v>45527</v>
      </c>
      <c r="K228" s="38">
        <v>5000</v>
      </c>
      <c r="L228" s="39" t="s">
        <v>380</v>
      </c>
      <c r="M228" s="38">
        <v>5000</v>
      </c>
      <c r="N228" s="39" t="s">
        <v>380</v>
      </c>
      <c r="O228" s="41">
        <v>0</v>
      </c>
      <c r="P228" s="38">
        <v>99999</v>
      </c>
      <c r="Q228" s="38">
        <v>797.29999999999905</v>
      </c>
      <c r="R228" s="39" t="s">
        <v>237</v>
      </c>
    </row>
    <row r="229" spans="1:18" x14ac:dyDescent="0.3">
      <c r="A229" s="37" t="s">
        <v>378</v>
      </c>
      <c r="B229" s="37" t="s">
        <v>603</v>
      </c>
      <c r="C229" s="37" t="s">
        <v>372</v>
      </c>
      <c r="D229" s="37" t="s">
        <v>375</v>
      </c>
      <c r="E229" s="38">
        <v>202.27</v>
      </c>
      <c r="F229" s="39" t="s">
        <v>237</v>
      </c>
      <c r="G229" s="38">
        <v>1200</v>
      </c>
      <c r="H229" s="39" t="s">
        <v>380</v>
      </c>
      <c r="I229" s="40">
        <v>45411</v>
      </c>
      <c r="J229" s="40">
        <v>45415</v>
      </c>
      <c r="K229" s="38">
        <v>0</v>
      </c>
      <c r="L229" s="39" t="s">
        <v>380</v>
      </c>
      <c r="M229" s="38">
        <v>0</v>
      </c>
      <c r="N229" s="39" t="s">
        <v>380</v>
      </c>
      <c r="O229" s="41">
        <v>99999</v>
      </c>
      <c r="P229" s="38">
        <v>0</v>
      </c>
      <c r="Q229" s="38">
        <v>0</v>
      </c>
      <c r="R229" s="39" t="s">
        <v>237</v>
      </c>
    </row>
    <row r="230" spans="1:18" x14ac:dyDescent="0.3">
      <c r="A230" s="37" t="s">
        <v>378</v>
      </c>
      <c r="B230" s="37" t="s">
        <v>604</v>
      </c>
      <c r="C230" s="37" t="s">
        <v>372</v>
      </c>
      <c r="D230" s="37" t="s">
        <v>375</v>
      </c>
      <c r="E230" s="38">
        <v>0</v>
      </c>
      <c r="F230" s="39" t="s">
        <v>237</v>
      </c>
      <c r="G230" s="38">
        <v>0</v>
      </c>
      <c r="H230" s="39" t="s">
        <v>380</v>
      </c>
      <c r="I230" s="40">
        <v>45239</v>
      </c>
      <c r="J230" s="40">
        <v>45246</v>
      </c>
      <c r="K230" s="38">
        <v>0</v>
      </c>
      <c r="L230" s="39" t="s">
        <v>380</v>
      </c>
      <c r="M230" s="38">
        <v>0</v>
      </c>
      <c r="N230" s="39" t="s">
        <v>380</v>
      </c>
      <c r="O230" s="41">
        <v>0</v>
      </c>
      <c r="P230" s="38">
        <v>0</v>
      </c>
      <c r="Q230" s="38">
        <v>0</v>
      </c>
      <c r="R230" s="39" t="s">
        <v>237</v>
      </c>
    </row>
    <row r="231" spans="1:18" x14ac:dyDescent="0.3">
      <c r="A231" s="37" t="s">
        <v>378</v>
      </c>
      <c r="B231" s="37" t="s">
        <v>605</v>
      </c>
      <c r="C231" s="37" t="s">
        <v>372</v>
      </c>
      <c r="D231" s="37" t="s">
        <v>375</v>
      </c>
      <c r="E231" s="38">
        <v>0</v>
      </c>
      <c r="F231" s="39" t="s">
        <v>237</v>
      </c>
      <c r="G231" s="38">
        <v>0</v>
      </c>
      <c r="H231" s="39" t="s">
        <v>380</v>
      </c>
      <c r="I231" s="40">
        <v>44197</v>
      </c>
      <c r="J231" s="40">
        <v>44755</v>
      </c>
      <c r="K231" s="38">
        <v>0</v>
      </c>
      <c r="L231" s="39" t="s">
        <v>380</v>
      </c>
      <c r="M231" s="38">
        <v>0</v>
      </c>
      <c r="N231" s="39" t="s">
        <v>380</v>
      </c>
      <c r="O231" s="41">
        <v>0</v>
      </c>
      <c r="P231" s="38">
        <v>0</v>
      </c>
      <c r="Q231" s="38">
        <v>0</v>
      </c>
      <c r="R231" s="39" t="s">
        <v>237</v>
      </c>
    </row>
    <row r="232" spans="1:18" x14ac:dyDescent="0.3">
      <c r="A232" s="37" t="s">
        <v>378</v>
      </c>
      <c r="B232" s="37" t="s">
        <v>606</v>
      </c>
      <c r="C232" s="37" t="s">
        <v>372</v>
      </c>
      <c r="D232" s="37" t="s">
        <v>375</v>
      </c>
      <c r="E232" s="38">
        <v>0</v>
      </c>
      <c r="F232" s="39" t="s">
        <v>237</v>
      </c>
      <c r="G232" s="38">
        <v>0</v>
      </c>
      <c r="H232" s="39" t="s">
        <v>380</v>
      </c>
      <c r="I232" s="40">
        <v>45485</v>
      </c>
      <c r="J232" s="40">
        <v>45485</v>
      </c>
      <c r="K232" s="38">
        <v>40320</v>
      </c>
      <c r="L232" s="39" t="s">
        <v>380</v>
      </c>
      <c r="M232" s="38">
        <v>20160</v>
      </c>
      <c r="N232" s="39" t="s">
        <v>380</v>
      </c>
      <c r="O232" s="41">
        <v>0</v>
      </c>
      <c r="P232" s="38">
        <v>2</v>
      </c>
      <c r="Q232" s="38">
        <v>5241.6000000000004</v>
      </c>
      <c r="R232" s="39" t="s">
        <v>237</v>
      </c>
    </row>
    <row r="233" spans="1:18" x14ac:dyDescent="0.3">
      <c r="A233" s="37" t="s">
        <v>378</v>
      </c>
      <c r="B233" s="37" t="s">
        <v>607</v>
      </c>
      <c r="C233" s="37" t="s">
        <v>372</v>
      </c>
      <c r="D233" s="37" t="s">
        <v>375</v>
      </c>
      <c r="E233" s="38">
        <v>0</v>
      </c>
      <c r="F233" s="39" t="s">
        <v>237</v>
      </c>
      <c r="G233" s="38">
        <v>0</v>
      </c>
      <c r="H233" s="39" t="s">
        <v>380</v>
      </c>
      <c r="I233" s="40">
        <v>44921</v>
      </c>
      <c r="J233" s="40">
        <v>44922</v>
      </c>
      <c r="K233" s="38">
        <v>0</v>
      </c>
      <c r="L233" s="39" t="s">
        <v>380</v>
      </c>
      <c r="M233" s="38">
        <v>0</v>
      </c>
      <c r="N233" s="39" t="s">
        <v>380</v>
      </c>
      <c r="O233" s="41">
        <v>0</v>
      </c>
      <c r="P233" s="38">
        <v>0</v>
      </c>
      <c r="Q233" s="38">
        <v>0</v>
      </c>
      <c r="R233" s="39" t="s">
        <v>237</v>
      </c>
    </row>
    <row r="234" spans="1:18" x14ac:dyDescent="0.3">
      <c r="A234" s="37" t="s">
        <v>378</v>
      </c>
      <c r="B234" s="37" t="s">
        <v>608</v>
      </c>
      <c r="C234" s="37" t="s">
        <v>372</v>
      </c>
      <c r="D234" s="37" t="s">
        <v>375</v>
      </c>
      <c r="E234" s="38">
        <v>0</v>
      </c>
      <c r="F234" s="39" t="s">
        <v>237</v>
      </c>
      <c r="G234" s="38">
        <v>0</v>
      </c>
      <c r="H234" s="39" t="s">
        <v>380</v>
      </c>
      <c r="I234" s="40">
        <v>45216</v>
      </c>
      <c r="J234" s="40">
        <v>45217</v>
      </c>
      <c r="K234" s="38">
        <v>0</v>
      </c>
      <c r="L234" s="39" t="s">
        <v>380</v>
      </c>
      <c r="M234" s="38">
        <v>0</v>
      </c>
      <c r="N234" s="39" t="s">
        <v>380</v>
      </c>
      <c r="O234" s="41">
        <v>0</v>
      </c>
      <c r="P234" s="38">
        <v>0</v>
      </c>
      <c r="Q234" s="38">
        <v>0</v>
      </c>
      <c r="R234" s="39" t="s">
        <v>237</v>
      </c>
    </row>
    <row r="235" spans="1:18" x14ac:dyDescent="0.3">
      <c r="A235" s="37" t="s">
        <v>378</v>
      </c>
      <c r="B235" s="37" t="s">
        <v>609</v>
      </c>
      <c r="C235" s="37" t="s">
        <v>372</v>
      </c>
      <c r="D235" s="37" t="s">
        <v>375</v>
      </c>
      <c r="E235" s="38">
        <v>33516</v>
      </c>
      <c r="F235" s="39" t="s">
        <v>237</v>
      </c>
      <c r="G235" s="38">
        <v>134064</v>
      </c>
      <c r="H235" s="39" t="s">
        <v>380</v>
      </c>
      <c r="I235" s="40">
        <v>45531</v>
      </c>
      <c r="J235" s="40">
        <v>45531</v>
      </c>
      <c r="K235" s="38">
        <v>159075</v>
      </c>
      <c r="L235" s="39" t="s">
        <v>380</v>
      </c>
      <c r="M235" s="38">
        <v>277578</v>
      </c>
      <c r="N235" s="39" t="s">
        <v>380</v>
      </c>
      <c r="O235" s="41">
        <v>111</v>
      </c>
      <c r="P235" s="38">
        <v>2.09</v>
      </c>
      <c r="Q235" s="38">
        <v>27782.369999999901</v>
      </c>
      <c r="R235" s="39" t="s">
        <v>237</v>
      </c>
    </row>
    <row r="236" spans="1:18" x14ac:dyDescent="0.3">
      <c r="A236" s="37" t="s">
        <v>378</v>
      </c>
      <c r="B236" s="37" t="s">
        <v>610</v>
      </c>
      <c r="C236" s="37" t="s">
        <v>372</v>
      </c>
      <c r="D236" s="37" t="s">
        <v>375</v>
      </c>
      <c r="E236" s="38">
        <v>128.03</v>
      </c>
      <c r="F236" s="39" t="s">
        <v>237</v>
      </c>
      <c r="G236" s="38">
        <v>413</v>
      </c>
      <c r="H236" s="39" t="s">
        <v>380</v>
      </c>
      <c r="I236" s="40">
        <v>45530</v>
      </c>
      <c r="J236" s="40">
        <v>45530</v>
      </c>
      <c r="K236" s="38">
        <v>40387</v>
      </c>
      <c r="L236" s="39" t="s">
        <v>380</v>
      </c>
      <c r="M236" s="38">
        <v>20400</v>
      </c>
      <c r="N236" s="39" t="s">
        <v>380</v>
      </c>
      <c r="O236" s="41">
        <v>1</v>
      </c>
      <c r="P236" s="38">
        <v>7.54</v>
      </c>
      <c r="Q236" s="38">
        <v>12456.75</v>
      </c>
      <c r="R236" s="39" t="s">
        <v>237</v>
      </c>
    </row>
    <row r="237" spans="1:18" x14ac:dyDescent="0.3">
      <c r="A237" s="37" t="s">
        <v>378</v>
      </c>
      <c r="B237" s="37" t="s">
        <v>611</v>
      </c>
      <c r="C237" s="37" t="s">
        <v>372</v>
      </c>
      <c r="D237" s="37" t="s">
        <v>375</v>
      </c>
      <c r="E237" s="38">
        <v>0</v>
      </c>
      <c r="F237" s="39" t="s">
        <v>237</v>
      </c>
      <c r="G237" s="38">
        <v>0</v>
      </c>
      <c r="H237" s="39" t="s">
        <v>380</v>
      </c>
      <c r="I237" s="40">
        <v>45196</v>
      </c>
      <c r="J237" s="40">
        <v>45202</v>
      </c>
      <c r="K237" s="38">
        <v>0</v>
      </c>
      <c r="L237" s="39" t="s">
        <v>380</v>
      </c>
      <c r="M237" s="38">
        <v>0</v>
      </c>
      <c r="N237" s="39" t="s">
        <v>380</v>
      </c>
      <c r="O237" s="41">
        <v>0</v>
      </c>
      <c r="P237" s="38">
        <v>0</v>
      </c>
      <c r="Q237" s="38">
        <v>0</v>
      </c>
      <c r="R237" s="39" t="s">
        <v>237</v>
      </c>
    </row>
    <row r="238" spans="1:18" x14ac:dyDescent="0.3">
      <c r="A238" s="37" t="s">
        <v>378</v>
      </c>
      <c r="B238" s="37" t="s">
        <v>612</v>
      </c>
      <c r="C238" s="37" t="s">
        <v>372</v>
      </c>
      <c r="D238" s="37" t="s">
        <v>375</v>
      </c>
      <c r="E238" s="38">
        <v>0</v>
      </c>
      <c r="F238" s="39" t="s">
        <v>237</v>
      </c>
      <c r="G238" s="38">
        <v>0</v>
      </c>
      <c r="H238" s="39" t="s">
        <v>380</v>
      </c>
      <c r="I238" s="40">
        <v>45490</v>
      </c>
      <c r="J238" s="40">
        <v>45490</v>
      </c>
      <c r="K238" s="38">
        <v>14976</v>
      </c>
      <c r="L238" s="39" t="s">
        <v>380</v>
      </c>
      <c r="M238" s="38">
        <v>14976</v>
      </c>
      <c r="N238" s="39" t="s">
        <v>380</v>
      </c>
      <c r="O238" s="41">
        <v>0</v>
      </c>
      <c r="P238" s="38">
        <v>99999</v>
      </c>
      <c r="Q238" s="38">
        <v>3669.1199999999899</v>
      </c>
      <c r="R238" s="39" t="s">
        <v>237</v>
      </c>
    </row>
    <row r="239" spans="1:18" x14ac:dyDescent="0.3">
      <c r="A239" s="37" t="s">
        <v>378</v>
      </c>
      <c r="B239" s="37" t="s">
        <v>613</v>
      </c>
      <c r="C239" s="37" t="s">
        <v>372</v>
      </c>
      <c r="D239" s="37" t="s">
        <v>375</v>
      </c>
      <c r="E239" s="38">
        <v>0</v>
      </c>
      <c r="F239" s="39" t="s">
        <v>237</v>
      </c>
      <c r="G239" s="38">
        <v>0</v>
      </c>
      <c r="H239" s="39" t="s">
        <v>380</v>
      </c>
      <c r="I239" s="40">
        <v>45099</v>
      </c>
      <c r="J239" s="40">
        <v>45124</v>
      </c>
      <c r="K239" s="38">
        <v>0</v>
      </c>
      <c r="L239" s="39" t="s">
        <v>380</v>
      </c>
      <c r="M239" s="38">
        <v>0</v>
      </c>
      <c r="N239" s="39" t="s">
        <v>380</v>
      </c>
      <c r="O239" s="41">
        <v>0</v>
      </c>
      <c r="P239" s="38">
        <v>0</v>
      </c>
      <c r="Q239" s="38">
        <v>0</v>
      </c>
      <c r="R239" s="39" t="s">
        <v>237</v>
      </c>
    </row>
    <row r="240" spans="1:18" x14ac:dyDescent="0.3">
      <c r="A240" s="37" t="s">
        <v>378</v>
      </c>
      <c r="B240" s="37" t="s">
        <v>1197</v>
      </c>
      <c r="C240" s="37" t="s">
        <v>372</v>
      </c>
      <c r="D240" s="37" t="s">
        <v>375</v>
      </c>
      <c r="E240" s="38">
        <v>0</v>
      </c>
      <c r="F240" s="39" t="s">
        <v>237</v>
      </c>
      <c r="G240" s="38">
        <v>0</v>
      </c>
      <c r="H240" s="39" t="s">
        <v>380</v>
      </c>
      <c r="I240" s="40">
        <v>45198</v>
      </c>
      <c r="J240" s="40">
        <v>45264</v>
      </c>
      <c r="K240" s="38">
        <v>0</v>
      </c>
      <c r="L240" s="39" t="s">
        <v>380</v>
      </c>
      <c r="M240" s="38">
        <v>0</v>
      </c>
      <c r="N240" s="39" t="s">
        <v>380</v>
      </c>
      <c r="O240" s="41">
        <v>0</v>
      </c>
      <c r="P240" s="38">
        <v>0</v>
      </c>
      <c r="Q240" s="38">
        <v>0</v>
      </c>
      <c r="R240" s="39" t="s">
        <v>237</v>
      </c>
    </row>
    <row r="241" spans="1:18" x14ac:dyDescent="0.3">
      <c r="A241" s="37" t="s">
        <v>378</v>
      </c>
      <c r="B241" s="37" t="s">
        <v>614</v>
      </c>
      <c r="C241" s="37" t="s">
        <v>372</v>
      </c>
      <c r="D241" s="37" t="s">
        <v>375</v>
      </c>
      <c r="E241" s="38">
        <v>0</v>
      </c>
      <c r="F241" s="39" t="s">
        <v>237</v>
      </c>
      <c r="G241" s="38">
        <v>0</v>
      </c>
      <c r="H241" s="39" t="s">
        <v>380</v>
      </c>
      <c r="I241" s="40">
        <v>44358</v>
      </c>
      <c r="J241" s="40">
        <v>44365</v>
      </c>
      <c r="K241" s="38">
        <v>0</v>
      </c>
      <c r="L241" s="39" t="s">
        <v>380</v>
      </c>
      <c r="M241" s="38">
        <v>0</v>
      </c>
      <c r="N241" s="39" t="s">
        <v>380</v>
      </c>
      <c r="O241" s="41">
        <v>0</v>
      </c>
      <c r="P241" s="38">
        <v>0</v>
      </c>
      <c r="Q241" s="38">
        <v>0</v>
      </c>
      <c r="R241" s="39" t="s">
        <v>237</v>
      </c>
    </row>
    <row r="242" spans="1:18" x14ac:dyDescent="0.3">
      <c r="A242" s="37" t="s">
        <v>378</v>
      </c>
      <c r="B242" s="37" t="s">
        <v>615</v>
      </c>
      <c r="C242" s="37" t="s">
        <v>372</v>
      </c>
      <c r="D242" s="37" t="s">
        <v>377</v>
      </c>
      <c r="E242" s="38">
        <v>0</v>
      </c>
      <c r="F242" s="39" t="s">
        <v>237</v>
      </c>
      <c r="G242" s="38">
        <v>0</v>
      </c>
      <c r="H242" s="39" t="s">
        <v>374</v>
      </c>
      <c r="I242" s="40">
        <v>44754</v>
      </c>
      <c r="J242" s="40">
        <v>44755</v>
      </c>
      <c r="K242" s="38">
        <v>0</v>
      </c>
      <c r="L242" s="39" t="s">
        <v>374</v>
      </c>
      <c r="M242" s="38">
        <v>0</v>
      </c>
      <c r="N242" s="39" t="s">
        <v>374</v>
      </c>
      <c r="O242" s="41">
        <v>0</v>
      </c>
      <c r="P242" s="38">
        <v>0</v>
      </c>
      <c r="Q242" s="38">
        <v>0</v>
      </c>
      <c r="R242" s="39" t="s">
        <v>237</v>
      </c>
    </row>
    <row r="243" spans="1:18" x14ac:dyDescent="0.3">
      <c r="A243" s="37" t="s">
        <v>378</v>
      </c>
      <c r="B243" s="37" t="s">
        <v>616</v>
      </c>
      <c r="C243" s="37" t="s">
        <v>372</v>
      </c>
      <c r="D243" s="37" t="s">
        <v>375</v>
      </c>
      <c r="E243" s="38">
        <v>6590.7399999999898</v>
      </c>
      <c r="F243" s="39" t="s">
        <v>237</v>
      </c>
      <c r="G243" s="38">
        <v>25349</v>
      </c>
      <c r="H243" s="39" t="s">
        <v>380</v>
      </c>
      <c r="I243" s="40">
        <v>45525</v>
      </c>
      <c r="J243" s="40"/>
      <c r="K243" s="38">
        <v>39762</v>
      </c>
      <c r="L243" s="39" t="s">
        <v>380</v>
      </c>
      <c r="M243" s="38">
        <v>53862</v>
      </c>
      <c r="N243" s="39" t="s">
        <v>380</v>
      </c>
      <c r="O243" s="41">
        <v>61</v>
      </c>
      <c r="P243" s="38">
        <v>2.86</v>
      </c>
      <c r="Q243" s="38">
        <v>9917.94</v>
      </c>
      <c r="R243" s="39" t="s">
        <v>237</v>
      </c>
    </row>
    <row r="244" spans="1:18" x14ac:dyDescent="0.3">
      <c r="A244" s="37" t="s">
        <v>378</v>
      </c>
      <c r="B244" s="37" t="s">
        <v>617</v>
      </c>
      <c r="C244" s="37" t="s">
        <v>372</v>
      </c>
      <c r="D244" s="37" t="s">
        <v>375</v>
      </c>
      <c r="E244" s="38">
        <v>0</v>
      </c>
      <c r="F244" s="39" t="s">
        <v>237</v>
      </c>
      <c r="G244" s="38">
        <v>0</v>
      </c>
      <c r="H244" s="39" t="s">
        <v>380</v>
      </c>
      <c r="I244" s="40">
        <v>45532</v>
      </c>
      <c r="J244" s="40">
        <v>45533</v>
      </c>
      <c r="K244" s="38">
        <v>27825</v>
      </c>
      <c r="L244" s="39" t="s">
        <v>380</v>
      </c>
      <c r="M244" s="38">
        <v>27825</v>
      </c>
      <c r="N244" s="39" t="s">
        <v>380</v>
      </c>
      <c r="O244" s="41">
        <v>0</v>
      </c>
      <c r="P244" s="38">
        <v>99999</v>
      </c>
      <c r="Q244" s="38">
        <v>11662.559999999899</v>
      </c>
      <c r="R244" s="39" t="s">
        <v>237</v>
      </c>
    </row>
    <row r="245" spans="1:18" x14ac:dyDescent="0.3">
      <c r="A245" s="37" t="s">
        <v>378</v>
      </c>
      <c r="B245" s="37" t="s">
        <v>618</v>
      </c>
      <c r="C245" s="37" t="s">
        <v>372</v>
      </c>
      <c r="D245" s="37" t="s">
        <v>377</v>
      </c>
      <c r="E245" s="38">
        <v>0</v>
      </c>
      <c r="F245" s="39" t="s">
        <v>237</v>
      </c>
      <c r="G245" s="38">
        <v>0</v>
      </c>
      <c r="H245" s="39" t="s">
        <v>374</v>
      </c>
      <c r="I245" s="40">
        <v>44915</v>
      </c>
      <c r="J245" s="40">
        <v>44918</v>
      </c>
      <c r="K245" s="38">
        <v>0</v>
      </c>
      <c r="L245" s="39" t="s">
        <v>374</v>
      </c>
      <c r="M245" s="38">
        <v>0</v>
      </c>
      <c r="N245" s="39" t="s">
        <v>374</v>
      </c>
      <c r="O245" s="41">
        <v>0</v>
      </c>
      <c r="P245" s="38">
        <v>0</v>
      </c>
      <c r="Q245" s="38">
        <v>0</v>
      </c>
      <c r="R245" s="39" t="s">
        <v>237</v>
      </c>
    </row>
    <row r="246" spans="1:18" x14ac:dyDescent="0.3">
      <c r="A246" s="37" t="s">
        <v>378</v>
      </c>
      <c r="B246" s="37" t="s">
        <v>619</v>
      </c>
      <c r="C246" s="37" t="s">
        <v>372</v>
      </c>
      <c r="D246" s="37" t="s">
        <v>377</v>
      </c>
      <c r="E246" s="38">
        <v>1858.78</v>
      </c>
      <c r="F246" s="39" t="s">
        <v>237</v>
      </c>
      <c r="G246" s="38">
        <v>45.881</v>
      </c>
      <c r="H246" s="39" t="s">
        <v>374</v>
      </c>
      <c r="I246" s="40">
        <v>45514</v>
      </c>
      <c r="J246" s="40">
        <v>45518</v>
      </c>
      <c r="K246" s="38">
        <v>203.54499999999899</v>
      </c>
      <c r="L246" s="39" t="s">
        <v>374</v>
      </c>
      <c r="M246" s="38">
        <v>148.56899999999899</v>
      </c>
      <c r="N246" s="39" t="s">
        <v>374</v>
      </c>
      <c r="O246" s="41">
        <v>41</v>
      </c>
      <c r="P246" s="38">
        <v>1.35</v>
      </c>
      <c r="Q246" s="38">
        <v>4198.7700000000004</v>
      </c>
      <c r="R246" s="39" t="s">
        <v>237</v>
      </c>
    </row>
    <row r="247" spans="1:18" x14ac:dyDescent="0.3">
      <c r="A247" s="37" t="s">
        <v>378</v>
      </c>
      <c r="B247" s="37" t="s">
        <v>620</v>
      </c>
      <c r="C247" s="37" t="s">
        <v>372</v>
      </c>
      <c r="D247" s="37" t="s">
        <v>375</v>
      </c>
      <c r="E247" s="38">
        <v>0</v>
      </c>
      <c r="F247" s="39" t="s">
        <v>237</v>
      </c>
      <c r="G247" s="38">
        <v>0</v>
      </c>
      <c r="H247" s="39" t="s">
        <v>380</v>
      </c>
      <c r="I247" s="40">
        <v>44921</v>
      </c>
      <c r="J247" s="40">
        <v>44922</v>
      </c>
      <c r="K247" s="38">
        <v>0</v>
      </c>
      <c r="L247" s="39" t="s">
        <v>380</v>
      </c>
      <c r="M247" s="38">
        <v>0</v>
      </c>
      <c r="N247" s="39" t="s">
        <v>380</v>
      </c>
      <c r="O247" s="41">
        <v>0</v>
      </c>
      <c r="P247" s="38">
        <v>0</v>
      </c>
      <c r="Q247" s="38">
        <v>0</v>
      </c>
      <c r="R247" s="39" t="s">
        <v>237</v>
      </c>
    </row>
    <row r="248" spans="1:18" x14ac:dyDescent="0.3">
      <c r="A248" s="37" t="s">
        <v>378</v>
      </c>
      <c r="B248" s="37" t="s">
        <v>621</v>
      </c>
      <c r="C248" s="37" t="s">
        <v>372</v>
      </c>
      <c r="D248" s="37" t="s">
        <v>377</v>
      </c>
      <c r="E248" s="38">
        <v>2809.42</v>
      </c>
      <c r="F248" s="39" t="s">
        <v>237</v>
      </c>
      <c r="G248" s="38">
        <v>29.727</v>
      </c>
      <c r="H248" s="39" t="s">
        <v>374</v>
      </c>
      <c r="I248" s="40">
        <v>45506</v>
      </c>
      <c r="J248" s="40">
        <v>45526</v>
      </c>
      <c r="K248" s="38">
        <v>79.183000000000007</v>
      </c>
      <c r="L248" s="39" t="s">
        <v>374</v>
      </c>
      <c r="M248" s="38">
        <v>61.5459999999999</v>
      </c>
      <c r="N248" s="39" t="s">
        <v>374</v>
      </c>
      <c r="O248" s="41">
        <v>65</v>
      </c>
      <c r="P248" s="38">
        <v>1.1499999999999999</v>
      </c>
      <c r="Q248" s="38">
        <v>4003.2399999999898</v>
      </c>
      <c r="R248" s="39" t="s">
        <v>237</v>
      </c>
    </row>
    <row r="249" spans="1:18" x14ac:dyDescent="0.3">
      <c r="A249" s="37" t="s">
        <v>378</v>
      </c>
      <c r="B249" s="37" t="s">
        <v>622</v>
      </c>
      <c r="C249" s="37" t="s">
        <v>372</v>
      </c>
      <c r="D249" s="37" t="s">
        <v>375</v>
      </c>
      <c r="E249" s="38">
        <v>19038.990000000002</v>
      </c>
      <c r="F249" s="39" t="s">
        <v>237</v>
      </c>
      <c r="G249" s="38">
        <v>264000</v>
      </c>
      <c r="H249" s="39" t="s">
        <v>380</v>
      </c>
      <c r="I249" s="40">
        <v>45526</v>
      </c>
      <c r="J249" s="40"/>
      <c r="K249" s="38">
        <v>253000</v>
      </c>
      <c r="L249" s="39" t="s">
        <v>380</v>
      </c>
      <c r="M249" s="38">
        <v>407000</v>
      </c>
      <c r="N249" s="39" t="s">
        <v>380</v>
      </c>
      <c r="O249" s="41">
        <v>103</v>
      </c>
      <c r="P249" s="38">
        <v>1.19</v>
      </c>
      <c r="Q249" s="38">
        <v>17006.279999999901</v>
      </c>
      <c r="R249" s="39" t="s">
        <v>237</v>
      </c>
    </row>
    <row r="250" spans="1:18" x14ac:dyDescent="0.3">
      <c r="A250" s="37" t="s">
        <v>378</v>
      </c>
      <c r="B250" s="37" t="s">
        <v>623</v>
      </c>
      <c r="C250" s="37" t="s">
        <v>372</v>
      </c>
      <c r="D250" s="37" t="s">
        <v>377</v>
      </c>
      <c r="E250" s="38">
        <v>2947.88</v>
      </c>
      <c r="F250" s="39" t="s">
        <v>237</v>
      </c>
      <c r="G250" s="38">
        <v>82.954999999999899</v>
      </c>
      <c r="H250" s="39" t="s">
        <v>374</v>
      </c>
      <c r="I250" s="40">
        <v>45482</v>
      </c>
      <c r="J250" s="40">
        <v>45482</v>
      </c>
      <c r="K250" s="38">
        <v>54.82</v>
      </c>
      <c r="L250" s="39" t="s">
        <v>374</v>
      </c>
      <c r="M250" s="38">
        <v>77.409999999999897</v>
      </c>
      <c r="N250" s="39" t="s">
        <v>374</v>
      </c>
      <c r="O250" s="41">
        <v>296</v>
      </c>
      <c r="P250" s="38">
        <v>0.4</v>
      </c>
      <c r="Q250" s="38">
        <v>915.03999999999905</v>
      </c>
      <c r="R250" s="39" t="s">
        <v>237</v>
      </c>
    </row>
    <row r="251" spans="1:18" x14ac:dyDescent="0.3">
      <c r="A251" s="37" t="s">
        <v>378</v>
      </c>
      <c r="B251" s="37" t="s">
        <v>624</v>
      </c>
      <c r="C251" s="37" t="s">
        <v>372</v>
      </c>
      <c r="D251" s="37" t="s">
        <v>375</v>
      </c>
      <c r="E251" s="38">
        <v>2069.7600000000002</v>
      </c>
      <c r="F251" s="39" t="s">
        <v>237</v>
      </c>
      <c r="G251" s="38">
        <v>17248</v>
      </c>
      <c r="H251" s="39" t="s">
        <v>380</v>
      </c>
      <c r="I251" s="40">
        <v>45404</v>
      </c>
      <c r="J251" s="40">
        <v>45478</v>
      </c>
      <c r="K251" s="38">
        <v>32032</v>
      </c>
      <c r="L251" s="39" t="s">
        <v>380</v>
      </c>
      <c r="M251" s="38">
        <v>0</v>
      </c>
      <c r="N251" s="39" t="s">
        <v>380</v>
      </c>
      <c r="O251" s="41">
        <v>50</v>
      </c>
      <c r="P251" s="38">
        <v>1.1000000000000001</v>
      </c>
      <c r="Q251" s="38">
        <v>3843.84</v>
      </c>
      <c r="R251" s="39" t="s">
        <v>237</v>
      </c>
    </row>
    <row r="252" spans="1:18" x14ac:dyDescent="0.3">
      <c r="A252" s="37" t="s">
        <v>378</v>
      </c>
      <c r="B252" s="37" t="s">
        <v>625</v>
      </c>
      <c r="C252" s="37" t="s">
        <v>372</v>
      </c>
      <c r="D252" s="37" t="s">
        <v>375</v>
      </c>
      <c r="E252" s="38">
        <v>0</v>
      </c>
      <c r="F252" s="39" t="s">
        <v>237</v>
      </c>
      <c r="G252" s="38">
        <v>0</v>
      </c>
      <c r="H252" s="39" t="s">
        <v>380</v>
      </c>
      <c r="I252" s="40">
        <v>45510</v>
      </c>
      <c r="J252" s="40">
        <v>45510</v>
      </c>
      <c r="K252" s="38">
        <v>70140</v>
      </c>
      <c r="L252" s="39" t="s">
        <v>380</v>
      </c>
      <c r="M252" s="38">
        <v>70140</v>
      </c>
      <c r="N252" s="39" t="s">
        <v>380</v>
      </c>
      <c r="O252" s="41">
        <v>0</v>
      </c>
      <c r="P252" s="38">
        <v>7.95</v>
      </c>
      <c r="Q252" s="38">
        <v>26653.200000000001</v>
      </c>
      <c r="R252" s="39" t="s">
        <v>237</v>
      </c>
    </row>
    <row r="253" spans="1:18" x14ac:dyDescent="0.3">
      <c r="A253" s="37" t="s">
        <v>378</v>
      </c>
      <c r="B253" s="37" t="s">
        <v>626</v>
      </c>
      <c r="C253" s="37" t="s">
        <v>372</v>
      </c>
      <c r="D253" s="37" t="s">
        <v>375</v>
      </c>
      <c r="E253" s="38">
        <v>0</v>
      </c>
      <c r="F253" s="39" t="s">
        <v>237</v>
      </c>
      <c r="G253" s="38">
        <v>0</v>
      </c>
      <c r="H253" s="39" t="s">
        <v>380</v>
      </c>
      <c r="I253" s="40">
        <v>44705</v>
      </c>
      <c r="J253" s="40">
        <v>44705</v>
      </c>
      <c r="K253" s="38">
        <v>0</v>
      </c>
      <c r="L253" s="39" t="s">
        <v>380</v>
      </c>
      <c r="M253" s="38">
        <v>0</v>
      </c>
      <c r="N253" s="39" t="s">
        <v>380</v>
      </c>
      <c r="O253" s="41">
        <v>0</v>
      </c>
      <c r="P253" s="38">
        <v>0</v>
      </c>
      <c r="Q253" s="38">
        <v>0</v>
      </c>
      <c r="R253" s="39" t="s">
        <v>237</v>
      </c>
    </row>
    <row r="254" spans="1:18" x14ac:dyDescent="0.3">
      <c r="A254" s="37" t="s">
        <v>378</v>
      </c>
      <c r="B254" s="37" t="s">
        <v>627</v>
      </c>
      <c r="C254" s="37" t="s">
        <v>372</v>
      </c>
      <c r="D254" s="37" t="s">
        <v>375</v>
      </c>
      <c r="E254" s="38">
        <v>0</v>
      </c>
      <c r="F254" s="39" t="s">
        <v>237</v>
      </c>
      <c r="G254" s="38">
        <v>0</v>
      </c>
      <c r="H254" s="39" t="s">
        <v>380</v>
      </c>
      <c r="I254" s="40">
        <v>45495</v>
      </c>
      <c r="J254" s="40">
        <v>45496</v>
      </c>
      <c r="K254" s="38">
        <v>76200</v>
      </c>
      <c r="L254" s="39" t="s">
        <v>380</v>
      </c>
      <c r="M254" s="38">
        <v>76200</v>
      </c>
      <c r="N254" s="39" t="s">
        <v>380</v>
      </c>
      <c r="O254" s="41">
        <v>0</v>
      </c>
      <c r="P254" s="38">
        <v>13.33</v>
      </c>
      <c r="Q254" s="38">
        <v>17526</v>
      </c>
      <c r="R254" s="39" t="s">
        <v>237</v>
      </c>
    </row>
    <row r="255" spans="1:18" x14ac:dyDescent="0.3">
      <c r="A255" s="37" t="s">
        <v>378</v>
      </c>
      <c r="B255" s="37" t="s">
        <v>628</v>
      </c>
      <c r="C255" s="37" t="s">
        <v>372</v>
      </c>
      <c r="D255" s="37" t="s">
        <v>375</v>
      </c>
      <c r="E255" s="38">
        <v>0</v>
      </c>
      <c r="F255" s="39" t="s">
        <v>237</v>
      </c>
      <c r="G255" s="38">
        <v>0</v>
      </c>
      <c r="H255" s="39" t="s">
        <v>380</v>
      </c>
      <c r="I255" s="40">
        <v>45502</v>
      </c>
      <c r="J255" s="40">
        <v>45509</v>
      </c>
      <c r="K255" s="38">
        <v>143820</v>
      </c>
      <c r="L255" s="39" t="s">
        <v>380</v>
      </c>
      <c r="M255" s="38">
        <v>143820</v>
      </c>
      <c r="N255" s="39" t="s">
        <v>380</v>
      </c>
      <c r="O255" s="41">
        <v>0</v>
      </c>
      <c r="P255" s="38">
        <v>24</v>
      </c>
      <c r="Q255" s="38">
        <v>31640.400000000001</v>
      </c>
      <c r="R255" s="39" t="s">
        <v>237</v>
      </c>
    </row>
    <row r="256" spans="1:18" x14ac:dyDescent="0.3">
      <c r="A256" s="37" t="s">
        <v>378</v>
      </c>
      <c r="B256" s="37" t="s">
        <v>629</v>
      </c>
      <c r="C256" s="37" t="s">
        <v>372</v>
      </c>
      <c r="D256" s="37" t="s">
        <v>375</v>
      </c>
      <c r="E256" s="38">
        <v>0</v>
      </c>
      <c r="F256" s="39" t="s">
        <v>237</v>
      </c>
      <c r="G256" s="38">
        <v>0</v>
      </c>
      <c r="H256" s="39" t="s">
        <v>380</v>
      </c>
      <c r="I256" s="40">
        <v>45524</v>
      </c>
      <c r="J256" s="40">
        <v>45534</v>
      </c>
      <c r="K256" s="38">
        <v>52200</v>
      </c>
      <c r="L256" s="39" t="s">
        <v>380</v>
      </c>
      <c r="M256" s="38">
        <v>52200</v>
      </c>
      <c r="N256" s="39" t="s">
        <v>380</v>
      </c>
      <c r="O256" s="41">
        <v>0</v>
      </c>
      <c r="P256" s="38">
        <v>99999</v>
      </c>
      <c r="Q256" s="38">
        <v>12704</v>
      </c>
      <c r="R256" s="39" t="s">
        <v>237</v>
      </c>
    </row>
    <row r="257" spans="1:18" x14ac:dyDescent="0.3">
      <c r="A257" s="37" t="s">
        <v>378</v>
      </c>
      <c r="B257" s="37" t="s">
        <v>630</v>
      </c>
      <c r="C257" s="37" t="s">
        <v>372</v>
      </c>
      <c r="D257" s="37" t="s">
        <v>375</v>
      </c>
      <c r="E257" s="38">
        <v>1020</v>
      </c>
      <c r="F257" s="39" t="s">
        <v>237</v>
      </c>
      <c r="G257" s="38">
        <v>4080</v>
      </c>
      <c r="H257" s="39" t="s">
        <v>380</v>
      </c>
      <c r="I257" s="40">
        <v>45371</v>
      </c>
      <c r="J257" s="40">
        <v>45383</v>
      </c>
      <c r="K257" s="38">
        <v>138720</v>
      </c>
      <c r="L257" s="39" t="s">
        <v>380</v>
      </c>
      <c r="M257" s="38">
        <v>142800</v>
      </c>
      <c r="N257" s="39" t="s">
        <v>380</v>
      </c>
      <c r="O257" s="41">
        <v>3</v>
      </c>
      <c r="P257" s="38">
        <v>24.73</v>
      </c>
      <c r="Q257" s="38">
        <v>34199.349999999897</v>
      </c>
      <c r="R257" s="39" t="s">
        <v>237</v>
      </c>
    </row>
    <row r="258" spans="1:18" x14ac:dyDescent="0.3">
      <c r="A258" s="37" t="s">
        <v>378</v>
      </c>
      <c r="B258" s="37" t="s">
        <v>631</v>
      </c>
      <c r="C258" s="37" t="s">
        <v>372</v>
      </c>
      <c r="D258" s="37" t="s">
        <v>375</v>
      </c>
      <c r="E258" s="38">
        <v>0</v>
      </c>
      <c r="F258" s="39" t="s">
        <v>237</v>
      </c>
      <c r="G258" s="38">
        <v>0</v>
      </c>
      <c r="H258" s="39" t="s">
        <v>380</v>
      </c>
      <c r="I258" s="40">
        <v>45372</v>
      </c>
      <c r="J258" s="40">
        <v>45383</v>
      </c>
      <c r="K258" s="38">
        <v>0</v>
      </c>
      <c r="L258" s="39" t="s">
        <v>380</v>
      </c>
      <c r="M258" s="38">
        <v>0</v>
      </c>
      <c r="N258" s="39" t="s">
        <v>380</v>
      </c>
      <c r="O258" s="41">
        <v>0</v>
      </c>
      <c r="P258" s="38">
        <v>0</v>
      </c>
      <c r="Q258" s="38">
        <v>0</v>
      </c>
      <c r="R258" s="39" t="s">
        <v>237</v>
      </c>
    </row>
    <row r="259" spans="1:18" x14ac:dyDescent="0.3">
      <c r="A259" s="37" t="s">
        <v>378</v>
      </c>
      <c r="B259" s="37" t="s">
        <v>632</v>
      </c>
      <c r="C259" s="37" t="s">
        <v>372</v>
      </c>
      <c r="D259" s="37" t="s">
        <v>375</v>
      </c>
      <c r="E259" s="38">
        <v>0</v>
      </c>
      <c r="F259" s="39" t="s">
        <v>237</v>
      </c>
      <c r="G259" s="38">
        <v>0</v>
      </c>
      <c r="H259" s="39" t="s">
        <v>380</v>
      </c>
      <c r="I259" s="40">
        <v>45098</v>
      </c>
      <c r="J259" s="40">
        <v>45103</v>
      </c>
      <c r="K259" s="38">
        <v>0</v>
      </c>
      <c r="L259" s="39" t="s">
        <v>380</v>
      </c>
      <c r="M259" s="38">
        <v>0</v>
      </c>
      <c r="N259" s="39" t="s">
        <v>380</v>
      </c>
      <c r="O259" s="41">
        <v>0</v>
      </c>
      <c r="P259" s="38">
        <v>0</v>
      </c>
      <c r="Q259" s="38">
        <v>0</v>
      </c>
      <c r="R259" s="39" t="s">
        <v>237</v>
      </c>
    </row>
    <row r="260" spans="1:18" x14ac:dyDescent="0.3">
      <c r="A260" s="37" t="s">
        <v>378</v>
      </c>
      <c r="B260" s="37" t="s">
        <v>633</v>
      </c>
      <c r="C260" s="37" t="s">
        <v>372</v>
      </c>
      <c r="D260" s="37" t="s">
        <v>375</v>
      </c>
      <c r="E260" s="38">
        <v>2366</v>
      </c>
      <c r="F260" s="39" t="s">
        <v>237</v>
      </c>
      <c r="G260" s="38">
        <v>9100</v>
      </c>
      <c r="H260" s="39" t="s">
        <v>380</v>
      </c>
      <c r="I260" s="40">
        <v>45504</v>
      </c>
      <c r="J260" s="40"/>
      <c r="K260" s="38">
        <v>9100</v>
      </c>
      <c r="L260" s="39" t="s">
        <v>380</v>
      </c>
      <c r="M260" s="38">
        <v>18200</v>
      </c>
      <c r="N260" s="39" t="s">
        <v>380</v>
      </c>
      <c r="O260" s="41">
        <v>92</v>
      </c>
      <c r="P260" s="38">
        <v>1.33</v>
      </c>
      <c r="Q260" s="38">
        <v>2366</v>
      </c>
      <c r="R260" s="39" t="s">
        <v>237</v>
      </c>
    </row>
    <row r="261" spans="1:18" x14ac:dyDescent="0.3">
      <c r="A261" s="37" t="s">
        <v>378</v>
      </c>
      <c r="B261" s="37" t="s">
        <v>634</v>
      </c>
      <c r="C261" s="37" t="s">
        <v>372</v>
      </c>
      <c r="D261" s="37" t="s">
        <v>375</v>
      </c>
      <c r="E261" s="38">
        <v>0</v>
      </c>
      <c r="F261" s="39" t="s">
        <v>237</v>
      </c>
      <c r="G261" s="38">
        <v>0</v>
      </c>
      <c r="H261" s="39" t="s">
        <v>380</v>
      </c>
      <c r="I261" s="40">
        <v>45359</v>
      </c>
      <c r="J261" s="40">
        <v>45385</v>
      </c>
      <c r="K261" s="38">
        <v>0</v>
      </c>
      <c r="L261" s="39" t="s">
        <v>380</v>
      </c>
      <c r="M261" s="38">
        <v>0</v>
      </c>
      <c r="N261" s="39" t="s">
        <v>380</v>
      </c>
      <c r="O261" s="41">
        <v>0</v>
      </c>
      <c r="P261" s="38">
        <v>0</v>
      </c>
      <c r="Q261" s="38">
        <v>0</v>
      </c>
      <c r="R261" s="39" t="s">
        <v>237</v>
      </c>
    </row>
    <row r="262" spans="1:18" x14ac:dyDescent="0.3">
      <c r="A262" s="37" t="s">
        <v>378</v>
      </c>
      <c r="B262" s="37" t="s">
        <v>635</v>
      </c>
      <c r="C262" s="37" t="s">
        <v>372</v>
      </c>
      <c r="D262" s="37" t="s">
        <v>375</v>
      </c>
      <c r="E262" s="38">
        <v>0</v>
      </c>
      <c r="F262" s="39" t="s">
        <v>237</v>
      </c>
      <c r="G262" s="38">
        <v>0</v>
      </c>
      <c r="H262" s="39" t="s">
        <v>380</v>
      </c>
      <c r="I262" s="40">
        <v>45048</v>
      </c>
      <c r="J262" s="40">
        <v>45049</v>
      </c>
      <c r="K262" s="38">
        <v>0</v>
      </c>
      <c r="L262" s="39" t="s">
        <v>380</v>
      </c>
      <c r="M262" s="38">
        <v>0</v>
      </c>
      <c r="N262" s="39" t="s">
        <v>380</v>
      </c>
      <c r="O262" s="41">
        <v>0</v>
      </c>
      <c r="P262" s="38">
        <v>0</v>
      </c>
      <c r="Q262" s="38">
        <v>0</v>
      </c>
      <c r="R262" s="39" t="s">
        <v>237</v>
      </c>
    </row>
    <row r="263" spans="1:18" x14ac:dyDescent="0.3">
      <c r="A263" s="37" t="s">
        <v>378</v>
      </c>
      <c r="B263" s="37" t="s">
        <v>636</v>
      </c>
      <c r="C263" s="37" t="s">
        <v>372</v>
      </c>
      <c r="D263" s="37" t="s">
        <v>375</v>
      </c>
      <c r="E263" s="38">
        <v>0</v>
      </c>
      <c r="F263" s="39" t="s">
        <v>237</v>
      </c>
      <c r="G263" s="38">
        <v>0</v>
      </c>
      <c r="H263" s="39" t="s">
        <v>373</v>
      </c>
      <c r="I263" s="40">
        <v>44984</v>
      </c>
      <c r="J263" s="40">
        <v>44984</v>
      </c>
      <c r="K263" s="38">
        <v>0</v>
      </c>
      <c r="L263" s="39" t="s">
        <v>373</v>
      </c>
      <c r="M263" s="38">
        <v>0</v>
      </c>
      <c r="N263" s="39" t="s">
        <v>373</v>
      </c>
      <c r="O263" s="41">
        <v>0</v>
      </c>
      <c r="P263" s="38">
        <v>0</v>
      </c>
      <c r="Q263" s="38">
        <v>0</v>
      </c>
      <c r="R263" s="39" t="s">
        <v>237</v>
      </c>
    </row>
    <row r="264" spans="1:18" x14ac:dyDescent="0.3">
      <c r="A264" s="37" t="s">
        <v>378</v>
      </c>
      <c r="B264" s="37" t="s">
        <v>637</v>
      </c>
      <c r="C264" s="37" t="s">
        <v>372</v>
      </c>
      <c r="D264" s="37" t="s">
        <v>375</v>
      </c>
      <c r="E264" s="38">
        <v>1260</v>
      </c>
      <c r="F264" s="39" t="s">
        <v>237</v>
      </c>
      <c r="G264" s="38">
        <v>3000</v>
      </c>
      <c r="H264" s="39" t="s">
        <v>380</v>
      </c>
      <c r="I264" s="40"/>
      <c r="J264" s="40">
        <v>45471</v>
      </c>
      <c r="K264" s="38">
        <v>6000</v>
      </c>
      <c r="L264" s="39" t="s">
        <v>380</v>
      </c>
      <c r="M264" s="38">
        <v>0</v>
      </c>
      <c r="N264" s="39" t="s">
        <v>380</v>
      </c>
      <c r="O264" s="41">
        <v>47</v>
      </c>
      <c r="P264" s="38">
        <v>1.33</v>
      </c>
      <c r="Q264" s="38">
        <v>2459.1799999999898</v>
      </c>
      <c r="R264" s="39" t="s">
        <v>237</v>
      </c>
    </row>
    <row r="265" spans="1:18" x14ac:dyDescent="0.3">
      <c r="A265" s="37" t="s">
        <v>378</v>
      </c>
      <c r="B265" s="37" t="s">
        <v>638</v>
      </c>
      <c r="C265" s="37" t="s">
        <v>372</v>
      </c>
      <c r="D265" s="37" t="s">
        <v>375</v>
      </c>
      <c r="E265" s="38">
        <v>0</v>
      </c>
      <c r="F265" s="39" t="s">
        <v>237</v>
      </c>
      <c r="G265" s="38">
        <v>0</v>
      </c>
      <c r="H265" s="39" t="s">
        <v>380</v>
      </c>
      <c r="I265" s="40">
        <v>44519</v>
      </c>
      <c r="J265" s="40">
        <v>44522</v>
      </c>
      <c r="K265" s="38">
        <v>0</v>
      </c>
      <c r="L265" s="39" t="s">
        <v>380</v>
      </c>
      <c r="M265" s="38">
        <v>0</v>
      </c>
      <c r="N265" s="39" t="s">
        <v>380</v>
      </c>
      <c r="O265" s="41">
        <v>0</v>
      </c>
      <c r="P265" s="38">
        <v>0</v>
      </c>
      <c r="Q265" s="38">
        <v>0</v>
      </c>
      <c r="R265" s="39" t="s">
        <v>237</v>
      </c>
    </row>
    <row r="266" spans="1:18" x14ac:dyDescent="0.3">
      <c r="A266" s="37" t="s">
        <v>378</v>
      </c>
      <c r="B266" s="37" t="s">
        <v>639</v>
      </c>
      <c r="C266" s="37" t="s">
        <v>372</v>
      </c>
      <c r="D266" s="37" t="s">
        <v>375</v>
      </c>
      <c r="E266" s="38">
        <v>0</v>
      </c>
      <c r="F266" s="39" t="s">
        <v>237</v>
      </c>
      <c r="G266" s="38">
        <v>0</v>
      </c>
      <c r="H266" s="39" t="s">
        <v>380</v>
      </c>
      <c r="I266" s="40">
        <v>45532</v>
      </c>
      <c r="J266" s="40">
        <v>45533</v>
      </c>
      <c r="K266" s="38">
        <v>16008</v>
      </c>
      <c r="L266" s="39" t="s">
        <v>380</v>
      </c>
      <c r="M266" s="38">
        <v>16008</v>
      </c>
      <c r="N266" s="39" t="s">
        <v>380</v>
      </c>
      <c r="O266" s="41">
        <v>0</v>
      </c>
      <c r="P266" s="38">
        <v>99999</v>
      </c>
      <c r="Q266" s="38">
        <v>10805.33</v>
      </c>
      <c r="R266" s="39" t="s">
        <v>237</v>
      </c>
    </row>
    <row r="267" spans="1:18" x14ac:dyDescent="0.3">
      <c r="A267" s="37" t="s">
        <v>378</v>
      </c>
      <c r="B267" s="37" t="s">
        <v>640</v>
      </c>
      <c r="C267" s="37" t="s">
        <v>372</v>
      </c>
      <c r="D267" s="37" t="s">
        <v>375</v>
      </c>
      <c r="E267" s="38">
        <v>3881</v>
      </c>
      <c r="F267" s="39" t="s">
        <v>237</v>
      </c>
      <c r="G267" s="38">
        <v>15524</v>
      </c>
      <c r="H267" s="39" t="s">
        <v>380</v>
      </c>
      <c r="I267" s="40">
        <v>45528</v>
      </c>
      <c r="J267" s="40">
        <v>45530</v>
      </c>
      <c r="K267" s="38">
        <v>36573</v>
      </c>
      <c r="L267" s="39" t="s">
        <v>380</v>
      </c>
      <c r="M267" s="38">
        <v>28480</v>
      </c>
      <c r="N267" s="39" t="s">
        <v>380</v>
      </c>
      <c r="O267" s="41">
        <v>70</v>
      </c>
      <c r="P267" s="38">
        <v>1.24</v>
      </c>
      <c r="Q267" s="38">
        <v>5095.25</v>
      </c>
      <c r="R267" s="39" t="s">
        <v>237</v>
      </c>
    </row>
    <row r="268" spans="1:18" x14ac:dyDescent="0.3">
      <c r="A268" s="37" t="s">
        <v>378</v>
      </c>
      <c r="B268" s="37" t="s">
        <v>641</v>
      </c>
      <c r="C268" s="37" t="s">
        <v>372</v>
      </c>
      <c r="D268" s="37" t="s">
        <v>375</v>
      </c>
      <c r="E268" s="38">
        <v>0</v>
      </c>
      <c r="F268" s="39" t="s">
        <v>237</v>
      </c>
      <c r="G268" s="38">
        <v>0</v>
      </c>
      <c r="H268" s="39" t="s">
        <v>380</v>
      </c>
      <c r="I268" s="40">
        <v>44644</v>
      </c>
      <c r="J268" s="40">
        <v>44662</v>
      </c>
      <c r="K268" s="38">
        <v>0</v>
      </c>
      <c r="L268" s="39" t="s">
        <v>380</v>
      </c>
      <c r="M268" s="38">
        <v>0</v>
      </c>
      <c r="N268" s="39" t="s">
        <v>380</v>
      </c>
      <c r="O268" s="41">
        <v>0</v>
      </c>
      <c r="P268" s="38">
        <v>0</v>
      </c>
      <c r="Q268" s="38">
        <v>0</v>
      </c>
      <c r="R268" s="39" t="s">
        <v>237</v>
      </c>
    </row>
    <row r="269" spans="1:18" x14ac:dyDescent="0.3">
      <c r="A269" s="37" t="s">
        <v>378</v>
      </c>
      <c r="B269" s="37" t="s">
        <v>642</v>
      </c>
      <c r="C269" s="37" t="s">
        <v>372</v>
      </c>
      <c r="D269" s="37" t="s">
        <v>375</v>
      </c>
      <c r="E269" s="38">
        <v>0</v>
      </c>
      <c r="F269" s="39" t="s">
        <v>237</v>
      </c>
      <c r="G269" s="38">
        <v>0</v>
      </c>
      <c r="H269" s="39" t="s">
        <v>380</v>
      </c>
      <c r="I269" s="40">
        <v>44712</v>
      </c>
      <c r="J269" s="40">
        <v>44713</v>
      </c>
      <c r="K269" s="38">
        <v>0</v>
      </c>
      <c r="L269" s="39" t="s">
        <v>380</v>
      </c>
      <c r="M269" s="38">
        <v>0</v>
      </c>
      <c r="N269" s="39" t="s">
        <v>380</v>
      </c>
      <c r="O269" s="41">
        <v>0</v>
      </c>
      <c r="P269" s="38">
        <v>0</v>
      </c>
      <c r="Q269" s="38">
        <v>0</v>
      </c>
      <c r="R269" s="39" t="s">
        <v>237</v>
      </c>
    </row>
    <row r="270" spans="1:18" x14ac:dyDescent="0.3">
      <c r="A270" s="37" t="s">
        <v>378</v>
      </c>
      <c r="B270" s="37" t="s">
        <v>643</v>
      </c>
      <c r="C270" s="37" t="s">
        <v>372</v>
      </c>
      <c r="D270" s="37" t="s">
        <v>375</v>
      </c>
      <c r="E270" s="38">
        <v>0</v>
      </c>
      <c r="F270" s="39" t="s">
        <v>237</v>
      </c>
      <c r="G270" s="38">
        <v>0</v>
      </c>
      <c r="H270" s="39" t="s">
        <v>380</v>
      </c>
      <c r="I270" s="40">
        <v>44658</v>
      </c>
      <c r="J270" s="40">
        <v>44662</v>
      </c>
      <c r="K270" s="38">
        <v>0</v>
      </c>
      <c r="L270" s="39" t="s">
        <v>380</v>
      </c>
      <c r="M270" s="38">
        <v>0</v>
      </c>
      <c r="N270" s="39" t="s">
        <v>380</v>
      </c>
      <c r="O270" s="41">
        <v>0</v>
      </c>
      <c r="P270" s="38">
        <v>0</v>
      </c>
      <c r="Q270" s="38">
        <v>0</v>
      </c>
      <c r="R270" s="39" t="s">
        <v>237</v>
      </c>
    </row>
    <row r="271" spans="1:18" x14ac:dyDescent="0.3">
      <c r="A271" s="37" t="s">
        <v>378</v>
      </c>
      <c r="B271" s="37" t="s">
        <v>644</v>
      </c>
      <c r="C271" s="37" t="s">
        <v>372</v>
      </c>
      <c r="D271" s="37" t="s">
        <v>377</v>
      </c>
      <c r="E271" s="38">
        <v>1604.45</v>
      </c>
      <c r="F271" s="39" t="s">
        <v>237</v>
      </c>
      <c r="G271" s="38">
        <v>28.648</v>
      </c>
      <c r="H271" s="39" t="s">
        <v>374</v>
      </c>
      <c r="I271" s="40">
        <v>45510</v>
      </c>
      <c r="J271" s="40">
        <v>45525</v>
      </c>
      <c r="K271" s="38">
        <v>1.054</v>
      </c>
      <c r="L271" s="39" t="s">
        <v>374</v>
      </c>
      <c r="M271" s="38">
        <v>0.52700000000000002</v>
      </c>
      <c r="N271" s="39" t="s">
        <v>374</v>
      </c>
      <c r="O271" s="41">
        <v>5000</v>
      </c>
      <c r="P271" s="38">
        <v>0.02</v>
      </c>
      <c r="Q271" s="38">
        <v>29.52</v>
      </c>
      <c r="R271" s="39" t="s">
        <v>237</v>
      </c>
    </row>
    <row r="272" spans="1:18" x14ac:dyDescent="0.3">
      <c r="A272" s="37" t="s">
        <v>378</v>
      </c>
      <c r="B272" s="37" t="s">
        <v>645</v>
      </c>
      <c r="C272" s="37" t="s">
        <v>372</v>
      </c>
      <c r="D272" s="37" t="s">
        <v>375</v>
      </c>
      <c r="E272" s="38">
        <v>20613.119999999901</v>
      </c>
      <c r="F272" s="39" t="s">
        <v>237</v>
      </c>
      <c r="G272" s="38">
        <v>93696</v>
      </c>
      <c r="H272" s="39" t="s">
        <v>380</v>
      </c>
      <c r="I272" s="40"/>
      <c r="J272" s="40"/>
      <c r="K272" s="38">
        <v>262656</v>
      </c>
      <c r="L272" s="39" t="s">
        <v>380</v>
      </c>
      <c r="M272" s="38">
        <v>353280</v>
      </c>
      <c r="N272" s="39" t="s">
        <v>380</v>
      </c>
      <c r="O272" s="41">
        <v>33</v>
      </c>
      <c r="P272" s="38">
        <v>8.24</v>
      </c>
      <c r="Q272" s="38">
        <v>57169.919999999896</v>
      </c>
      <c r="R272" s="39" t="s">
        <v>237</v>
      </c>
    </row>
    <row r="273" spans="1:18" x14ac:dyDescent="0.3">
      <c r="A273" s="37" t="s">
        <v>378</v>
      </c>
      <c r="B273" s="37" t="s">
        <v>646</v>
      </c>
      <c r="C273" s="37" t="s">
        <v>372</v>
      </c>
      <c r="D273" s="37" t="s">
        <v>377</v>
      </c>
      <c r="E273" s="38">
        <v>3122.11</v>
      </c>
      <c r="F273" s="39" t="s">
        <v>237</v>
      </c>
      <c r="G273" s="38">
        <v>54.015999999999899</v>
      </c>
      <c r="H273" s="39" t="s">
        <v>374</v>
      </c>
      <c r="I273" s="40">
        <v>45524</v>
      </c>
      <c r="J273" s="40">
        <v>45533</v>
      </c>
      <c r="K273" s="38">
        <v>169.19300000000001</v>
      </c>
      <c r="L273" s="39" t="s">
        <v>374</v>
      </c>
      <c r="M273" s="38">
        <v>174.209</v>
      </c>
      <c r="N273" s="39" t="s">
        <v>374</v>
      </c>
      <c r="O273" s="41">
        <v>73</v>
      </c>
      <c r="P273" s="38">
        <v>1.21</v>
      </c>
      <c r="Q273" s="38">
        <v>3929.4899999999898</v>
      </c>
      <c r="R273" s="39" t="s">
        <v>237</v>
      </c>
    </row>
    <row r="274" spans="1:18" x14ac:dyDescent="0.3">
      <c r="A274" s="37" t="s">
        <v>378</v>
      </c>
      <c r="B274" s="37" t="s">
        <v>1141</v>
      </c>
      <c r="C274" s="37" t="s">
        <v>372</v>
      </c>
      <c r="D274" s="37" t="s">
        <v>375</v>
      </c>
      <c r="E274" s="38">
        <v>3763.76</v>
      </c>
      <c r="F274" s="39" t="s">
        <v>237</v>
      </c>
      <c r="G274" s="38">
        <v>8008</v>
      </c>
      <c r="H274" s="39" t="s">
        <v>380</v>
      </c>
      <c r="I274" s="40">
        <v>45504</v>
      </c>
      <c r="J274" s="40">
        <v>45089</v>
      </c>
      <c r="K274" s="38">
        <v>0</v>
      </c>
      <c r="L274" s="39" t="s">
        <v>380</v>
      </c>
      <c r="M274" s="38">
        <v>8008</v>
      </c>
      <c r="N274" s="39" t="s">
        <v>380</v>
      </c>
      <c r="O274" s="41">
        <v>99999</v>
      </c>
      <c r="P274" s="38">
        <v>0</v>
      </c>
      <c r="Q274" s="38">
        <v>0</v>
      </c>
      <c r="R274" s="39" t="s">
        <v>237</v>
      </c>
    </row>
    <row r="275" spans="1:18" x14ac:dyDescent="0.3">
      <c r="A275" s="37" t="s">
        <v>378</v>
      </c>
      <c r="B275" s="37" t="s">
        <v>647</v>
      </c>
      <c r="C275" s="37" t="s">
        <v>372</v>
      </c>
      <c r="D275" s="37" t="s">
        <v>375</v>
      </c>
      <c r="E275" s="38">
        <v>0</v>
      </c>
      <c r="F275" s="39" t="s">
        <v>237</v>
      </c>
      <c r="G275" s="38">
        <v>0</v>
      </c>
      <c r="H275" s="39" t="s">
        <v>380</v>
      </c>
      <c r="I275" s="40">
        <v>44522</v>
      </c>
      <c r="J275" s="40">
        <v>45327</v>
      </c>
      <c r="K275" s="38">
        <v>0</v>
      </c>
      <c r="L275" s="39" t="s">
        <v>380</v>
      </c>
      <c r="M275" s="38">
        <v>0</v>
      </c>
      <c r="N275" s="39" t="s">
        <v>380</v>
      </c>
      <c r="O275" s="41">
        <v>0</v>
      </c>
      <c r="P275" s="38">
        <v>0</v>
      </c>
      <c r="Q275" s="38">
        <v>0</v>
      </c>
      <c r="R275" s="39" t="s">
        <v>237</v>
      </c>
    </row>
    <row r="276" spans="1:18" x14ac:dyDescent="0.3">
      <c r="A276" s="37" t="s">
        <v>378</v>
      </c>
      <c r="B276" s="37" t="s">
        <v>648</v>
      </c>
      <c r="C276" s="37" t="s">
        <v>372</v>
      </c>
      <c r="D276" s="37" t="s">
        <v>375</v>
      </c>
      <c r="E276" s="38">
        <v>0</v>
      </c>
      <c r="F276" s="39" t="s">
        <v>237</v>
      </c>
      <c r="G276" s="38">
        <v>0</v>
      </c>
      <c r="H276" s="39" t="s">
        <v>380</v>
      </c>
      <c r="I276" s="40">
        <v>44522</v>
      </c>
      <c r="J276" s="40">
        <v>45327</v>
      </c>
      <c r="K276" s="38">
        <v>0</v>
      </c>
      <c r="L276" s="39" t="s">
        <v>380</v>
      </c>
      <c r="M276" s="38">
        <v>0</v>
      </c>
      <c r="N276" s="39" t="s">
        <v>380</v>
      </c>
      <c r="O276" s="41">
        <v>0</v>
      </c>
      <c r="P276" s="38">
        <v>0</v>
      </c>
      <c r="Q276" s="38">
        <v>0</v>
      </c>
      <c r="R276" s="39" t="s">
        <v>237</v>
      </c>
    </row>
    <row r="277" spans="1:18" x14ac:dyDescent="0.3">
      <c r="A277" s="37" t="s">
        <v>378</v>
      </c>
      <c r="B277" s="37" t="s">
        <v>649</v>
      </c>
      <c r="C277" s="37" t="s">
        <v>372</v>
      </c>
      <c r="D277" s="37" t="s">
        <v>375</v>
      </c>
      <c r="E277" s="38">
        <v>0</v>
      </c>
      <c r="F277" s="39" t="s">
        <v>237</v>
      </c>
      <c r="G277" s="38">
        <v>0</v>
      </c>
      <c r="H277" s="39" t="s">
        <v>380</v>
      </c>
      <c r="I277" s="40">
        <v>44522</v>
      </c>
      <c r="J277" s="40">
        <v>45327</v>
      </c>
      <c r="K277" s="38">
        <v>0</v>
      </c>
      <c r="L277" s="39" t="s">
        <v>380</v>
      </c>
      <c r="M277" s="38">
        <v>0</v>
      </c>
      <c r="N277" s="39" t="s">
        <v>380</v>
      </c>
      <c r="O277" s="41">
        <v>0</v>
      </c>
      <c r="P277" s="38">
        <v>0</v>
      </c>
      <c r="Q277" s="38">
        <v>0</v>
      </c>
      <c r="R277" s="39" t="s">
        <v>237</v>
      </c>
    </row>
    <row r="278" spans="1:18" x14ac:dyDescent="0.3">
      <c r="A278" s="37" t="s">
        <v>378</v>
      </c>
      <c r="B278" s="37" t="s">
        <v>650</v>
      </c>
      <c r="C278" s="37" t="s">
        <v>372</v>
      </c>
      <c r="D278" s="37" t="s">
        <v>375</v>
      </c>
      <c r="E278" s="38">
        <v>9466.7999999999902</v>
      </c>
      <c r="F278" s="39" t="s">
        <v>237</v>
      </c>
      <c r="G278" s="38">
        <v>33810</v>
      </c>
      <c r="H278" s="39" t="s">
        <v>380</v>
      </c>
      <c r="I278" s="40">
        <v>45518</v>
      </c>
      <c r="J278" s="40">
        <v>45525</v>
      </c>
      <c r="K278" s="38">
        <v>48300</v>
      </c>
      <c r="L278" s="39" t="s">
        <v>380</v>
      </c>
      <c r="M278" s="38">
        <v>82110</v>
      </c>
      <c r="N278" s="39" t="s">
        <v>380</v>
      </c>
      <c r="O278" s="41">
        <v>64</v>
      </c>
      <c r="P278" s="38">
        <v>2.67</v>
      </c>
      <c r="Q278" s="38">
        <v>13524</v>
      </c>
      <c r="R278" s="39" t="s">
        <v>237</v>
      </c>
    </row>
    <row r="279" spans="1:18" x14ac:dyDescent="0.3">
      <c r="A279" s="37" t="s">
        <v>378</v>
      </c>
      <c r="B279" s="37" t="s">
        <v>1198</v>
      </c>
      <c r="C279" s="37" t="s">
        <v>372</v>
      </c>
      <c r="D279" s="37" t="s">
        <v>375</v>
      </c>
      <c r="E279" s="38">
        <v>2940.76</v>
      </c>
      <c r="F279" s="39" t="s">
        <v>237</v>
      </c>
      <c r="G279" s="38">
        <v>44000</v>
      </c>
      <c r="H279" s="39" t="s">
        <v>380</v>
      </c>
      <c r="I279" s="40">
        <v>45198</v>
      </c>
      <c r="J279" s="40"/>
      <c r="K279" s="38">
        <v>0</v>
      </c>
      <c r="L279" s="39" t="s">
        <v>380</v>
      </c>
      <c r="M279" s="38">
        <v>0</v>
      </c>
      <c r="N279" s="39" t="s">
        <v>380</v>
      </c>
      <c r="O279" s="41">
        <v>99999</v>
      </c>
      <c r="P279" s="38">
        <v>0</v>
      </c>
      <c r="Q279" s="38">
        <v>0</v>
      </c>
      <c r="R279" s="39" t="s">
        <v>237</v>
      </c>
    </row>
    <row r="280" spans="1:18" x14ac:dyDescent="0.3">
      <c r="A280" s="37" t="s">
        <v>378</v>
      </c>
      <c r="B280" s="37" t="s">
        <v>651</v>
      </c>
      <c r="C280" s="37" t="s">
        <v>372</v>
      </c>
      <c r="D280" s="37" t="s">
        <v>375</v>
      </c>
      <c r="E280" s="38">
        <v>3524.4</v>
      </c>
      <c r="F280" s="39" t="s">
        <v>237</v>
      </c>
      <c r="G280" s="38">
        <v>14685</v>
      </c>
      <c r="H280" s="39" t="s">
        <v>380</v>
      </c>
      <c r="I280" s="40">
        <v>45517</v>
      </c>
      <c r="J280" s="40">
        <v>45533</v>
      </c>
      <c r="K280" s="38">
        <v>91848</v>
      </c>
      <c r="L280" s="39" t="s">
        <v>380</v>
      </c>
      <c r="M280" s="38">
        <v>72624</v>
      </c>
      <c r="N280" s="39" t="s">
        <v>380</v>
      </c>
      <c r="O280" s="41">
        <v>15</v>
      </c>
      <c r="P280" s="38">
        <v>3.36</v>
      </c>
      <c r="Q280" s="38">
        <v>22039.9199999999</v>
      </c>
      <c r="R280" s="39" t="s">
        <v>237</v>
      </c>
    </row>
    <row r="281" spans="1:18" x14ac:dyDescent="0.3">
      <c r="A281" s="37" t="s">
        <v>378</v>
      </c>
      <c r="B281" s="37" t="s">
        <v>652</v>
      </c>
      <c r="C281" s="37" t="s">
        <v>372</v>
      </c>
      <c r="D281" s="37" t="s">
        <v>377</v>
      </c>
      <c r="E281" s="38">
        <v>0</v>
      </c>
      <c r="F281" s="39" t="s">
        <v>237</v>
      </c>
      <c r="G281" s="38">
        <v>0</v>
      </c>
      <c r="H281" s="39" t="s">
        <v>374</v>
      </c>
      <c r="I281" s="40">
        <v>45379</v>
      </c>
      <c r="J281" s="40">
        <v>45386</v>
      </c>
      <c r="K281" s="38">
        <v>0</v>
      </c>
      <c r="L281" s="39" t="s">
        <v>374</v>
      </c>
      <c r="M281" s="38">
        <v>0</v>
      </c>
      <c r="N281" s="39" t="s">
        <v>374</v>
      </c>
      <c r="O281" s="41">
        <v>0</v>
      </c>
      <c r="P281" s="38">
        <v>0</v>
      </c>
      <c r="Q281" s="38">
        <v>0</v>
      </c>
      <c r="R281" s="39" t="s">
        <v>237</v>
      </c>
    </row>
    <row r="282" spans="1:18" x14ac:dyDescent="0.3">
      <c r="A282" s="37" t="s">
        <v>378</v>
      </c>
      <c r="B282" s="37" t="s">
        <v>653</v>
      </c>
      <c r="C282" s="37" t="s">
        <v>372</v>
      </c>
      <c r="D282" s="37" t="s">
        <v>375</v>
      </c>
      <c r="E282" s="38">
        <v>6921.72</v>
      </c>
      <c r="F282" s="39" t="s">
        <v>237</v>
      </c>
      <c r="G282" s="38">
        <v>26622</v>
      </c>
      <c r="H282" s="39" t="s">
        <v>380</v>
      </c>
      <c r="I282" s="40">
        <v>45499</v>
      </c>
      <c r="J282" s="40">
        <v>45533</v>
      </c>
      <c r="K282" s="38">
        <v>88290</v>
      </c>
      <c r="L282" s="39" t="s">
        <v>380</v>
      </c>
      <c r="M282" s="38">
        <v>97470</v>
      </c>
      <c r="N282" s="39" t="s">
        <v>380</v>
      </c>
      <c r="O282" s="41">
        <v>28</v>
      </c>
      <c r="P282" s="38">
        <v>3.16</v>
      </c>
      <c r="Q282" s="38">
        <v>22624.66</v>
      </c>
      <c r="R282" s="39" t="s">
        <v>237</v>
      </c>
    </row>
    <row r="283" spans="1:18" x14ac:dyDescent="0.3">
      <c r="A283" s="37" t="s">
        <v>378</v>
      </c>
      <c r="B283" s="37" t="s">
        <v>1353</v>
      </c>
      <c r="C283" s="37" t="s">
        <v>372</v>
      </c>
      <c r="D283" s="37" t="s">
        <v>375</v>
      </c>
      <c r="E283" s="38">
        <v>0</v>
      </c>
      <c r="F283" s="39" t="s">
        <v>237</v>
      </c>
      <c r="G283" s="38">
        <v>0</v>
      </c>
      <c r="H283" s="39" t="s">
        <v>380</v>
      </c>
      <c r="I283" s="40">
        <v>45488</v>
      </c>
      <c r="J283" s="40">
        <v>45497</v>
      </c>
      <c r="K283" s="38">
        <v>11200</v>
      </c>
      <c r="L283" s="39" t="s">
        <v>380</v>
      </c>
      <c r="M283" s="38">
        <v>11200</v>
      </c>
      <c r="N283" s="39" t="s">
        <v>380</v>
      </c>
      <c r="O283" s="41">
        <v>0</v>
      </c>
      <c r="P283" s="38">
        <v>99999</v>
      </c>
      <c r="Q283" s="38">
        <v>258.8</v>
      </c>
      <c r="R283" s="39" t="s">
        <v>237</v>
      </c>
    </row>
    <row r="284" spans="1:18" x14ac:dyDescent="0.3">
      <c r="A284" s="37" t="s">
        <v>378</v>
      </c>
      <c r="B284" s="37" t="s">
        <v>654</v>
      </c>
      <c r="C284" s="37" t="s">
        <v>372</v>
      </c>
      <c r="D284" s="37" t="s">
        <v>375</v>
      </c>
      <c r="E284" s="38">
        <v>0</v>
      </c>
      <c r="F284" s="39" t="s">
        <v>237</v>
      </c>
      <c r="G284" s="38">
        <v>0</v>
      </c>
      <c r="H284" s="39" t="s">
        <v>380</v>
      </c>
      <c r="I284" s="40">
        <v>45125</v>
      </c>
      <c r="J284" s="40">
        <v>45125</v>
      </c>
      <c r="K284" s="38">
        <v>0</v>
      </c>
      <c r="L284" s="39" t="s">
        <v>380</v>
      </c>
      <c r="M284" s="38">
        <v>0</v>
      </c>
      <c r="N284" s="39" t="s">
        <v>380</v>
      </c>
      <c r="O284" s="41">
        <v>0</v>
      </c>
      <c r="P284" s="38">
        <v>0</v>
      </c>
      <c r="Q284" s="38">
        <v>0</v>
      </c>
      <c r="R284" s="39" t="s">
        <v>237</v>
      </c>
    </row>
    <row r="285" spans="1:18" x14ac:dyDescent="0.3">
      <c r="A285" s="37" t="s">
        <v>378</v>
      </c>
      <c r="B285" s="37" t="s">
        <v>655</v>
      </c>
      <c r="C285" s="37" t="s">
        <v>372</v>
      </c>
      <c r="D285" s="37" t="s">
        <v>375</v>
      </c>
      <c r="E285" s="38">
        <v>0</v>
      </c>
      <c r="F285" s="39" t="s">
        <v>237</v>
      </c>
      <c r="G285" s="38">
        <v>0</v>
      </c>
      <c r="H285" s="39" t="s">
        <v>380</v>
      </c>
      <c r="I285" s="40">
        <v>44197</v>
      </c>
      <c r="J285" s="40">
        <v>45373</v>
      </c>
      <c r="K285" s="38">
        <v>0</v>
      </c>
      <c r="L285" s="39" t="s">
        <v>380</v>
      </c>
      <c r="M285" s="38">
        <v>0</v>
      </c>
      <c r="N285" s="39" t="s">
        <v>380</v>
      </c>
      <c r="O285" s="41">
        <v>0</v>
      </c>
      <c r="P285" s="38">
        <v>0</v>
      </c>
      <c r="Q285" s="38">
        <v>0</v>
      </c>
      <c r="R285" s="39" t="s">
        <v>237</v>
      </c>
    </row>
    <row r="286" spans="1:18" x14ac:dyDescent="0.3">
      <c r="A286" s="37" t="s">
        <v>378</v>
      </c>
      <c r="B286" s="37" t="s">
        <v>656</v>
      </c>
      <c r="C286" s="37" t="s">
        <v>372</v>
      </c>
      <c r="D286" s="37" t="s">
        <v>375</v>
      </c>
      <c r="E286" s="38">
        <v>0</v>
      </c>
      <c r="F286" s="39" t="s">
        <v>237</v>
      </c>
      <c r="G286" s="38">
        <v>0</v>
      </c>
      <c r="H286" s="39" t="s">
        <v>380</v>
      </c>
      <c r="I286" s="40">
        <v>44462</v>
      </c>
      <c r="J286" s="40">
        <v>45373</v>
      </c>
      <c r="K286" s="38">
        <v>0</v>
      </c>
      <c r="L286" s="39" t="s">
        <v>380</v>
      </c>
      <c r="M286" s="38">
        <v>0</v>
      </c>
      <c r="N286" s="39" t="s">
        <v>380</v>
      </c>
      <c r="O286" s="41">
        <v>0</v>
      </c>
      <c r="P286" s="38">
        <v>0</v>
      </c>
      <c r="Q286" s="38">
        <v>0</v>
      </c>
      <c r="R286" s="39" t="s">
        <v>237</v>
      </c>
    </row>
    <row r="287" spans="1:18" x14ac:dyDescent="0.3">
      <c r="A287" s="37" t="s">
        <v>378</v>
      </c>
      <c r="B287" s="37" t="s">
        <v>657</v>
      </c>
      <c r="C287" s="37" t="s">
        <v>372</v>
      </c>
      <c r="D287" s="37" t="s">
        <v>375</v>
      </c>
      <c r="E287" s="38">
        <v>0</v>
      </c>
      <c r="F287" s="39" t="s">
        <v>237</v>
      </c>
      <c r="G287" s="38">
        <v>0</v>
      </c>
      <c r="H287" s="39" t="s">
        <v>380</v>
      </c>
      <c r="I287" s="40">
        <v>44487</v>
      </c>
      <c r="J287" s="40">
        <v>44489</v>
      </c>
      <c r="K287" s="38">
        <v>0</v>
      </c>
      <c r="L287" s="39" t="s">
        <v>380</v>
      </c>
      <c r="M287" s="38">
        <v>0</v>
      </c>
      <c r="N287" s="39" t="s">
        <v>380</v>
      </c>
      <c r="O287" s="41">
        <v>0</v>
      </c>
      <c r="P287" s="38">
        <v>0</v>
      </c>
      <c r="Q287" s="38">
        <v>0</v>
      </c>
      <c r="R287" s="39" t="s">
        <v>237</v>
      </c>
    </row>
    <row r="288" spans="1:18" x14ac:dyDescent="0.3">
      <c r="A288" s="37" t="s">
        <v>378</v>
      </c>
      <c r="B288" s="37" t="s">
        <v>658</v>
      </c>
      <c r="C288" s="37" t="s">
        <v>372</v>
      </c>
      <c r="D288" s="37" t="s">
        <v>375</v>
      </c>
      <c r="E288" s="38">
        <v>144.59</v>
      </c>
      <c r="F288" s="39" t="s">
        <v>237</v>
      </c>
      <c r="G288" s="38">
        <v>4300</v>
      </c>
      <c r="H288" s="39" t="s">
        <v>380</v>
      </c>
      <c r="I288" s="40">
        <v>45385</v>
      </c>
      <c r="J288" s="40">
        <v>45385</v>
      </c>
      <c r="K288" s="38">
        <v>0</v>
      </c>
      <c r="L288" s="39" t="s">
        <v>380</v>
      </c>
      <c r="M288" s="38">
        <v>0</v>
      </c>
      <c r="N288" s="39" t="s">
        <v>380</v>
      </c>
      <c r="O288" s="41">
        <v>99999</v>
      </c>
      <c r="P288" s="38">
        <v>0</v>
      </c>
      <c r="Q288" s="38">
        <v>0</v>
      </c>
      <c r="R288" s="39" t="s">
        <v>237</v>
      </c>
    </row>
    <row r="289" spans="1:18" x14ac:dyDescent="0.3">
      <c r="A289" s="37" t="s">
        <v>378</v>
      </c>
      <c r="B289" s="37" t="s">
        <v>659</v>
      </c>
      <c r="C289" s="37" t="s">
        <v>372</v>
      </c>
      <c r="D289" s="37" t="s">
        <v>375</v>
      </c>
      <c r="E289" s="38">
        <v>0</v>
      </c>
      <c r="F289" s="39" t="s">
        <v>237</v>
      </c>
      <c r="G289" s="38">
        <v>0</v>
      </c>
      <c r="H289" s="39" t="s">
        <v>380</v>
      </c>
      <c r="I289" s="40">
        <v>44197</v>
      </c>
      <c r="J289" s="40">
        <v>44755</v>
      </c>
      <c r="K289" s="38">
        <v>0</v>
      </c>
      <c r="L289" s="39" t="s">
        <v>380</v>
      </c>
      <c r="M289" s="38">
        <v>0</v>
      </c>
      <c r="N289" s="39" t="s">
        <v>380</v>
      </c>
      <c r="O289" s="41">
        <v>0</v>
      </c>
      <c r="P289" s="38">
        <v>0</v>
      </c>
      <c r="Q289" s="38">
        <v>0</v>
      </c>
      <c r="R289" s="39" t="s">
        <v>237</v>
      </c>
    </row>
    <row r="290" spans="1:18" x14ac:dyDescent="0.3">
      <c r="A290" s="37" t="s">
        <v>378</v>
      </c>
      <c r="B290" s="37" t="s">
        <v>660</v>
      </c>
      <c r="C290" s="37" t="s">
        <v>372</v>
      </c>
      <c r="D290" s="37" t="s">
        <v>375</v>
      </c>
      <c r="E290" s="38">
        <v>0</v>
      </c>
      <c r="F290" s="39" t="s">
        <v>237</v>
      </c>
      <c r="G290" s="38">
        <v>0</v>
      </c>
      <c r="H290" s="39" t="s">
        <v>380</v>
      </c>
      <c r="I290" s="40">
        <v>44197</v>
      </c>
      <c r="J290" s="40">
        <v>44755</v>
      </c>
      <c r="K290" s="38">
        <v>0</v>
      </c>
      <c r="L290" s="39" t="s">
        <v>380</v>
      </c>
      <c r="M290" s="38">
        <v>0</v>
      </c>
      <c r="N290" s="39" t="s">
        <v>380</v>
      </c>
      <c r="O290" s="41">
        <v>0</v>
      </c>
      <c r="P290" s="38">
        <v>0</v>
      </c>
      <c r="Q290" s="38">
        <v>0</v>
      </c>
      <c r="R290" s="39" t="s">
        <v>237</v>
      </c>
    </row>
    <row r="291" spans="1:18" x14ac:dyDescent="0.3">
      <c r="A291" s="37" t="s">
        <v>378</v>
      </c>
      <c r="B291" s="37" t="s">
        <v>661</v>
      </c>
      <c r="C291" s="37" t="s">
        <v>372</v>
      </c>
      <c r="D291" s="37" t="s">
        <v>375</v>
      </c>
      <c r="E291" s="38">
        <v>0</v>
      </c>
      <c r="F291" s="39" t="s">
        <v>237</v>
      </c>
      <c r="G291" s="38">
        <v>0</v>
      </c>
      <c r="H291" s="39" t="s">
        <v>380</v>
      </c>
      <c r="I291" s="40">
        <v>45482</v>
      </c>
      <c r="J291" s="40">
        <v>45485</v>
      </c>
      <c r="K291" s="38">
        <v>1800</v>
      </c>
      <c r="L291" s="39" t="s">
        <v>380</v>
      </c>
      <c r="M291" s="38">
        <v>1800</v>
      </c>
      <c r="N291" s="39" t="s">
        <v>380</v>
      </c>
      <c r="O291" s="41">
        <v>0</v>
      </c>
      <c r="P291" s="38">
        <v>99999</v>
      </c>
      <c r="Q291" s="38">
        <v>345.88</v>
      </c>
      <c r="R291" s="39" t="s">
        <v>237</v>
      </c>
    </row>
    <row r="292" spans="1:18" x14ac:dyDescent="0.3">
      <c r="A292" s="37" t="s">
        <v>378</v>
      </c>
      <c r="B292" s="37" t="s">
        <v>662</v>
      </c>
      <c r="C292" s="37" t="s">
        <v>372</v>
      </c>
      <c r="D292" s="37" t="s">
        <v>375</v>
      </c>
      <c r="E292" s="38">
        <v>0</v>
      </c>
      <c r="F292" s="39" t="s">
        <v>237</v>
      </c>
      <c r="G292" s="38">
        <v>0</v>
      </c>
      <c r="H292" s="39" t="s">
        <v>380</v>
      </c>
      <c r="I292" s="40">
        <v>45506</v>
      </c>
      <c r="J292" s="40">
        <v>45510</v>
      </c>
      <c r="K292" s="38">
        <v>20160</v>
      </c>
      <c r="L292" s="39" t="s">
        <v>380</v>
      </c>
      <c r="M292" s="38">
        <v>20160</v>
      </c>
      <c r="N292" s="39" t="s">
        <v>380</v>
      </c>
      <c r="O292" s="41">
        <v>0</v>
      </c>
      <c r="P292" s="38">
        <v>99999</v>
      </c>
      <c r="Q292" s="38">
        <v>3139.26</v>
      </c>
      <c r="R292" s="39" t="s">
        <v>237</v>
      </c>
    </row>
    <row r="293" spans="1:18" x14ac:dyDescent="0.3">
      <c r="A293" s="37" t="s">
        <v>378</v>
      </c>
      <c r="B293" s="37" t="s">
        <v>663</v>
      </c>
      <c r="C293" s="37" t="s">
        <v>372</v>
      </c>
      <c r="D293" s="37" t="s">
        <v>375</v>
      </c>
      <c r="E293" s="38">
        <v>0</v>
      </c>
      <c r="F293" s="39" t="s">
        <v>237</v>
      </c>
      <c r="G293" s="38">
        <v>0</v>
      </c>
      <c r="H293" s="39" t="s">
        <v>380</v>
      </c>
      <c r="I293" s="40">
        <v>44396</v>
      </c>
      <c r="J293" s="40">
        <v>44398</v>
      </c>
      <c r="K293" s="38">
        <v>0</v>
      </c>
      <c r="L293" s="39" t="s">
        <v>380</v>
      </c>
      <c r="M293" s="38">
        <v>0</v>
      </c>
      <c r="N293" s="39" t="s">
        <v>380</v>
      </c>
      <c r="O293" s="41">
        <v>0</v>
      </c>
      <c r="P293" s="38">
        <v>0</v>
      </c>
      <c r="Q293" s="38">
        <v>0</v>
      </c>
      <c r="R293" s="39" t="s">
        <v>237</v>
      </c>
    </row>
    <row r="294" spans="1:18" x14ac:dyDescent="0.3">
      <c r="A294" s="37" t="s">
        <v>378</v>
      </c>
      <c r="B294" s="37" t="s">
        <v>664</v>
      </c>
      <c r="C294" s="37" t="s">
        <v>372</v>
      </c>
      <c r="D294" s="37" t="s">
        <v>375</v>
      </c>
      <c r="E294" s="38">
        <v>0</v>
      </c>
      <c r="F294" s="39" t="s">
        <v>237</v>
      </c>
      <c r="G294" s="38">
        <v>0</v>
      </c>
      <c r="H294" s="39" t="s">
        <v>380</v>
      </c>
      <c r="I294" s="40">
        <v>44862</v>
      </c>
      <c r="J294" s="40">
        <v>44866</v>
      </c>
      <c r="K294" s="38">
        <v>0</v>
      </c>
      <c r="L294" s="39" t="s">
        <v>380</v>
      </c>
      <c r="M294" s="38">
        <v>0</v>
      </c>
      <c r="N294" s="39" t="s">
        <v>380</v>
      </c>
      <c r="O294" s="41">
        <v>0</v>
      </c>
      <c r="P294" s="38">
        <v>0</v>
      </c>
      <c r="Q294" s="38">
        <v>0</v>
      </c>
      <c r="R294" s="39" t="s">
        <v>237</v>
      </c>
    </row>
    <row r="295" spans="1:18" x14ac:dyDescent="0.3">
      <c r="A295" s="37" t="s">
        <v>378</v>
      </c>
      <c r="B295" s="37" t="s">
        <v>665</v>
      </c>
      <c r="C295" s="37" t="s">
        <v>372</v>
      </c>
      <c r="D295" s="37" t="s">
        <v>375</v>
      </c>
      <c r="E295" s="38">
        <v>0</v>
      </c>
      <c r="F295" s="39" t="s">
        <v>237</v>
      </c>
      <c r="G295" s="38">
        <v>0</v>
      </c>
      <c r="H295" s="39" t="s">
        <v>380</v>
      </c>
      <c r="I295" s="40">
        <v>45502</v>
      </c>
      <c r="J295" s="40">
        <v>45502</v>
      </c>
      <c r="K295" s="38">
        <v>19200</v>
      </c>
      <c r="L295" s="39" t="s">
        <v>380</v>
      </c>
      <c r="M295" s="38">
        <v>19200</v>
      </c>
      <c r="N295" s="39" t="s">
        <v>380</v>
      </c>
      <c r="O295" s="41">
        <v>0</v>
      </c>
      <c r="P295" s="38">
        <v>99999</v>
      </c>
      <c r="Q295" s="38">
        <v>6103.25</v>
      </c>
      <c r="R295" s="39" t="s">
        <v>237</v>
      </c>
    </row>
    <row r="296" spans="1:18" x14ac:dyDescent="0.3">
      <c r="A296" s="37" t="s">
        <v>378</v>
      </c>
      <c r="B296" s="37" t="s">
        <v>666</v>
      </c>
      <c r="C296" s="37" t="s">
        <v>372</v>
      </c>
      <c r="D296" s="37" t="s">
        <v>375</v>
      </c>
      <c r="E296" s="38">
        <v>17304.650000000001</v>
      </c>
      <c r="F296" s="39" t="s">
        <v>237</v>
      </c>
      <c r="G296" s="38">
        <v>157315</v>
      </c>
      <c r="H296" s="39" t="s">
        <v>380</v>
      </c>
      <c r="I296" s="40">
        <v>45100</v>
      </c>
      <c r="J296" s="40">
        <v>45523</v>
      </c>
      <c r="K296" s="38">
        <v>888000</v>
      </c>
      <c r="L296" s="39" t="s">
        <v>380</v>
      </c>
      <c r="M296" s="38">
        <v>728000</v>
      </c>
      <c r="N296" s="39" t="s">
        <v>380</v>
      </c>
      <c r="O296" s="41">
        <v>18</v>
      </c>
      <c r="P296" s="38">
        <v>2.72</v>
      </c>
      <c r="Q296" s="38">
        <v>88880</v>
      </c>
      <c r="R296" s="39" t="s">
        <v>237</v>
      </c>
    </row>
    <row r="297" spans="1:18" x14ac:dyDescent="0.3">
      <c r="A297" s="37" t="s">
        <v>378</v>
      </c>
      <c r="B297" s="37" t="s">
        <v>667</v>
      </c>
      <c r="C297" s="37" t="s">
        <v>372</v>
      </c>
      <c r="D297" s="37" t="s">
        <v>375</v>
      </c>
      <c r="E297" s="38">
        <v>0</v>
      </c>
      <c r="F297" s="39" t="s">
        <v>237</v>
      </c>
      <c r="G297" s="38">
        <v>0</v>
      </c>
      <c r="H297" s="39" t="s">
        <v>380</v>
      </c>
      <c r="I297" s="40">
        <v>45335</v>
      </c>
      <c r="J297" s="40">
        <v>45341</v>
      </c>
      <c r="K297" s="38">
        <v>0</v>
      </c>
      <c r="L297" s="39" t="s">
        <v>380</v>
      </c>
      <c r="M297" s="38">
        <v>0</v>
      </c>
      <c r="N297" s="39" t="s">
        <v>380</v>
      </c>
      <c r="O297" s="41">
        <v>0</v>
      </c>
      <c r="P297" s="38">
        <v>0</v>
      </c>
      <c r="Q297" s="38">
        <v>0</v>
      </c>
      <c r="R297" s="39" t="s">
        <v>237</v>
      </c>
    </row>
    <row r="298" spans="1:18" x14ac:dyDescent="0.3">
      <c r="A298" s="37" t="s">
        <v>378</v>
      </c>
      <c r="B298" s="37" t="s">
        <v>668</v>
      </c>
      <c r="C298" s="37" t="s">
        <v>372</v>
      </c>
      <c r="D298" s="37" t="s">
        <v>375</v>
      </c>
      <c r="E298" s="38">
        <v>0</v>
      </c>
      <c r="F298" s="39" t="s">
        <v>237</v>
      </c>
      <c r="G298" s="38">
        <v>0</v>
      </c>
      <c r="H298" s="39" t="s">
        <v>380</v>
      </c>
      <c r="I298" s="40">
        <v>44459</v>
      </c>
      <c r="J298" s="40">
        <v>44460</v>
      </c>
      <c r="K298" s="38">
        <v>0</v>
      </c>
      <c r="L298" s="39" t="s">
        <v>380</v>
      </c>
      <c r="M298" s="38">
        <v>0</v>
      </c>
      <c r="N298" s="39" t="s">
        <v>380</v>
      </c>
      <c r="O298" s="41">
        <v>0</v>
      </c>
      <c r="P298" s="38">
        <v>0</v>
      </c>
      <c r="Q298" s="38">
        <v>0</v>
      </c>
      <c r="R298" s="39" t="s">
        <v>237</v>
      </c>
    </row>
    <row r="299" spans="1:18" x14ac:dyDescent="0.3">
      <c r="A299" s="37" t="s">
        <v>378</v>
      </c>
      <c r="B299" s="37" t="s">
        <v>669</v>
      </c>
      <c r="C299" s="37" t="s">
        <v>372</v>
      </c>
      <c r="D299" s="37" t="s">
        <v>375</v>
      </c>
      <c r="E299" s="38">
        <v>0</v>
      </c>
      <c r="F299" s="39" t="s">
        <v>237</v>
      </c>
      <c r="G299" s="38">
        <v>0</v>
      </c>
      <c r="H299" s="39" t="s">
        <v>380</v>
      </c>
      <c r="I299" s="40">
        <v>44376</v>
      </c>
      <c r="J299" s="40">
        <v>44260</v>
      </c>
      <c r="K299" s="38">
        <v>0</v>
      </c>
      <c r="L299" s="39" t="s">
        <v>380</v>
      </c>
      <c r="M299" s="38">
        <v>0</v>
      </c>
      <c r="N299" s="39" t="s">
        <v>380</v>
      </c>
      <c r="O299" s="41">
        <v>0</v>
      </c>
      <c r="P299" s="38">
        <v>0</v>
      </c>
      <c r="Q299" s="38">
        <v>0</v>
      </c>
      <c r="R299" s="39" t="s">
        <v>237</v>
      </c>
    </row>
    <row r="300" spans="1:18" x14ac:dyDescent="0.3">
      <c r="A300" s="37" t="s">
        <v>378</v>
      </c>
      <c r="B300" s="37" t="s">
        <v>670</v>
      </c>
      <c r="C300" s="37" t="s">
        <v>372</v>
      </c>
      <c r="D300" s="37" t="s">
        <v>375</v>
      </c>
      <c r="E300" s="38">
        <v>4437</v>
      </c>
      <c r="F300" s="39" t="s">
        <v>237</v>
      </c>
      <c r="G300" s="38">
        <v>8700</v>
      </c>
      <c r="H300" s="39" t="s">
        <v>380</v>
      </c>
      <c r="I300" s="40">
        <v>45492</v>
      </c>
      <c r="J300" s="40">
        <v>45532</v>
      </c>
      <c r="K300" s="38">
        <v>21750</v>
      </c>
      <c r="L300" s="39" t="s">
        <v>380</v>
      </c>
      <c r="M300" s="38">
        <v>21750</v>
      </c>
      <c r="N300" s="39" t="s">
        <v>380</v>
      </c>
      <c r="O300" s="41">
        <v>37</v>
      </c>
      <c r="P300" s="38">
        <v>2.5</v>
      </c>
      <c r="Q300" s="38">
        <v>10918.5</v>
      </c>
      <c r="R300" s="39" t="s">
        <v>237</v>
      </c>
    </row>
    <row r="301" spans="1:18" x14ac:dyDescent="0.3">
      <c r="A301" s="37" t="s">
        <v>378</v>
      </c>
      <c r="B301" s="37" t="s">
        <v>671</v>
      </c>
      <c r="C301" s="37" t="s">
        <v>372</v>
      </c>
      <c r="D301" s="37" t="s">
        <v>375</v>
      </c>
      <c r="E301" s="38">
        <v>0</v>
      </c>
      <c r="F301" s="39" t="s">
        <v>237</v>
      </c>
      <c r="G301" s="38">
        <v>0</v>
      </c>
      <c r="H301" s="39" t="s">
        <v>380</v>
      </c>
      <c r="I301" s="40">
        <v>44840</v>
      </c>
      <c r="J301" s="40">
        <v>44845</v>
      </c>
      <c r="K301" s="38">
        <v>0</v>
      </c>
      <c r="L301" s="39" t="s">
        <v>380</v>
      </c>
      <c r="M301" s="38">
        <v>0</v>
      </c>
      <c r="N301" s="39" t="s">
        <v>380</v>
      </c>
      <c r="O301" s="41">
        <v>0</v>
      </c>
      <c r="P301" s="38">
        <v>0</v>
      </c>
      <c r="Q301" s="38">
        <v>0</v>
      </c>
      <c r="R301" s="39" t="s">
        <v>237</v>
      </c>
    </row>
    <row r="302" spans="1:18" x14ac:dyDescent="0.3">
      <c r="A302" s="37" t="s">
        <v>378</v>
      </c>
      <c r="B302" s="37" t="s">
        <v>672</v>
      </c>
      <c r="C302" s="37" t="s">
        <v>372</v>
      </c>
      <c r="D302" s="37" t="s">
        <v>375</v>
      </c>
      <c r="E302" s="38">
        <v>0</v>
      </c>
      <c r="F302" s="39" t="s">
        <v>237</v>
      </c>
      <c r="G302" s="38">
        <v>0</v>
      </c>
      <c r="H302" s="39" t="s">
        <v>380</v>
      </c>
      <c r="I302" s="40">
        <v>45449</v>
      </c>
      <c r="J302" s="40">
        <v>45449</v>
      </c>
      <c r="K302" s="38">
        <v>20400</v>
      </c>
      <c r="L302" s="39" t="s">
        <v>380</v>
      </c>
      <c r="M302" s="38">
        <v>8400</v>
      </c>
      <c r="N302" s="39" t="s">
        <v>380</v>
      </c>
      <c r="O302" s="41">
        <v>0</v>
      </c>
      <c r="P302" s="38">
        <v>6.8</v>
      </c>
      <c r="Q302" s="38">
        <v>5444.56</v>
      </c>
      <c r="R302" s="39" t="s">
        <v>237</v>
      </c>
    </row>
    <row r="303" spans="1:18" x14ac:dyDescent="0.3">
      <c r="A303" s="37" t="s">
        <v>378</v>
      </c>
      <c r="B303" s="37" t="s">
        <v>673</v>
      </c>
      <c r="C303" s="37" t="s">
        <v>372</v>
      </c>
      <c r="D303" s="37" t="s">
        <v>375</v>
      </c>
      <c r="E303" s="38">
        <v>188.61</v>
      </c>
      <c r="F303" s="39" t="s">
        <v>237</v>
      </c>
      <c r="G303" s="38">
        <v>720</v>
      </c>
      <c r="H303" s="39" t="s">
        <v>380</v>
      </c>
      <c r="I303" s="40">
        <v>45469</v>
      </c>
      <c r="J303" s="40">
        <v>45485</v>
      </c>
      <c r="K303" s="38">
        <v>10800</v>
      </c>
      <c r="L303" s="39" t="s">
        <v>380</v>
      </c>
      <c r="M303" s="38">
        <v>10800</v>
      </c>
      <c r="N303" s="39" t="s">
        <v>380</v>
      </c>
      <c r="O303" s="41">
        <v>6</v>
      </c>
      <c r="P303" s="38">
        <v>3.16</v>
      </c>
      <c r="Q303" s="38">
        <v>2829.0999999999899</v>
      </c>
      <c r="R303" s="39" t="s">
        <v>237</v>
      </c>
    </row>
    <row r="304" spans="1:18" x14ac:dyDescent="0.3">
      <c r="A304" s="37" t="s">
        <v>378</v>
      </c>
      <c r="B304" s="37" t="s">
        <v>674</v>
      </c>
      <c r="C304" s="37" t="s">
        <v>372</v>
      </c>
      <c r="D304" s="37" t="s">
        <v>375</v>
      </c>
      <c r="E304" s="38">
        <v>0</v>
      </c>
      <c r="F304" s="39" t="s">
        <v>237</v>
      </c>
      <c r="G304" s="38">
        <v>0</v>
      </c>
      <c r="H304" s="39" t="s">
        <v>380</v>
      </c>
      <c r="I304" s="40">
        <v>44260</v>
      </c>
      <c r="J304" s="40">
        <v>44260</v>
      </c>
      <c r="K304" s="38">
        <v>0</v>
      </c>
      <c r="L304" s="39" t="s">
        <v>380</v>
      </c>
      <c r="M304" s="38">
        <v>0</v>
      </c>
      <c r="N304" s="39" t="s">
        <v>380</v>
      </c>
      <c r="O304" s="41">
        <v>0</v>
      </c>
      <c r="P304" s="38">
        <v>0</v>
      </c>
      <c r="Q304" s="38">
        <v>0</v>
      </c>
      <c r="R304" s="39" t="s">
        <v>237</v>
      </c>
    </row>
    <row r="305" spans="1:18" x14ac:dyDescent="0.3">
      <c r="A305" s="37" t="s">
        <v>378</v>
      </c>
      <c r="B305" s="37" t="s">
        <v>675</v>
      </c>
      <c r="C305" s="37" t="s">
        <v>372</v>
      </c>
      <c r="D305" s="37" t="s">
        <v>375</v>
      </c>
      <c r="E305" s="38">
        <v>0</v>
      </c>
      <c r="F305" s="39" t="s">
        <v>237</v>
      </c>
      <c r="G305" s="38">
        <v>0</v>
      </c>
      <c r="H305" s="39" t="s">
        <v>380</v>
      </c>
      <c r="I305" s="40">
        <v>44530</v>
      </c>
      <c r="J305" s="40">
        <v>44574</v>
      </c>
      <c r="K305" s="38">
        <v>0</v>
      </c>
      <c r="L305" s="39" t="s">
        <v>380</v>
      </c>
      <c r="M305" s="38">
        <v>0</v>
      </c>
      <c r="N305" s="39" t="s">
        <v>380</v>
      </c>
      <c r="O305" s="41">
        <v>0</v>
      </c>
      <c r="P305" s="38">
        <v>0</v>
      </c>
      <c r="Q305" s="38">
        <v>0</v>
      </c>
      <c r="R305" s="39" t="s">
        <v>237</v>
      </c>
    </row>
    <row r="306" spans="1:18" x14ac:dyDescent="0.3">
      <c r="A306" s="37" t="s">
        <v>378</v>
      </c>
      <c r="B306" s="37" t="s">
        <v>676</v>
      </c>
      <c r="C306" s="37" t="s">
        <v>372</v>
      </c>
      <c r="D306" s="37" t="s">
        <v>375</v>
      </c>
      <c r="E306" s="38">
        <v>526.23</v>
      </c>
      <c r="F306" s="39" t="s">
        <v>237</v>
      </c>
      <c r="G306" s="38">
        <v>1440</v>
      </c>
      <c r="H306" s="39" t="s">
        <v>380</v>
      </c>
      <c r="I306" s="40">
        <v>45436</v>
      </c>
      <c r="J306" s="40">
        <v>45450</v>
      </c>
      <c r="K306" s="38">
        <v>21600</v>
      </c>
      <c r="L306" s="39" t="s">
        <v>380</v>
      </c>
      <c r="M306" s="38">
        <v>0</v>
      </c>
      <c r="N306" s="39" t="s">
        <v>380</v>
      </c>
      <c r="O306" s="41">
        <v>6</v>
      </c>
      <c r="P306" s="38">
        <v>3.16</v>
      </c>
      <c r="Q306" s="38">
        <v>7893.4499999999898</v>
      </c>
      <c r="R306" s="39" t="s">
        <v>237</v>
      </c>
    </row>
    <row r="307" spans="1:18" x14ac:dyDescent="0.3">
      <c r="A307" s="37" t="s">
        <v>378</v>
      </c>
      <c r="B307" s="37" t="s">
        <v>677</v>
      </c>
      <c r="C307" s="37" t="s">
        <v>372</v>
      </c>
      <c r="D307" s="37" t="s">
        <v>375</v>
      </c>
      <c r="E307" s="38">
        <v>0</v>
      </c>
      <c r="F307" s="39" t="s">
        <v>237</v>
      </c>
      <c r="G307" s="38">
        <v>0</v>
      </c>
      <c r="H307" s="39" t="s">
        <v>380</v>
      </c>
      <c r="I307" s="40">
        <v>44396</v>
      </c>
      <c r="J307" s="40">
        <v>44398</v>
      </c>
      <c r="K307" s="38">
        <v>0</v>
      </c>
      <c r="L307" s="39" t="s">
        <v>380</v>
      </c>
      <c r="M307" s="38">
        <v>0</v>
      </c>
      <c r="N307" s="39" t="s">
        <v>380</v>
      </c>
      <c r="O307" s="41">
        <v>0</v>
      </c>
      <c r="P307" s="38">
        <v>0</v>
      </c>
      <c r="Q307" s="38">
        <v>0</v>
      </c>
      <c r="R307" s="39" t="s">
        <v>237</v>
      </c>
    </row>
    <row r="308" spans="1:18" x14ac:dyDescent="0.3">
      <c r="A308" s="37" t="s">
        <v>378</v>
      </c>
      <c r="B308" s="37" t="s">
        <v>678</v>
      </c>
      <c r="C308" s="37" t="s">
        <v>372</v>
      </c>
      <c r="D308" s="37" t="s">
        <v>375</v>
      </c>
      <c r="E308" s="38">
        <v>0</v>
      </c>
      <c r="F308" s="39" t="s">
        <v>237</v>
      </c>
      <c r="G308" s="38">
        <v>0</v>
      </c>
      <c r="H308" s="39" t="s">
        <v>380</v>
      </c>
      <c r="I308" s="40">
        <v>44454</v>
      </c>
      <c r="J308" s="40">
        <v>44460</v>
      </c>
      <c r="K308" s="38">
        <v>0</v>
      </c>
      <c r="L308" s="39" t="s">
        <v>380</v>
      </c>
      <c r="M308" s="38">
        <v>0</v>
      </c>
      <c r="N308" s="39" t="s">
        <v>380</v>
      </c>
      <c r="O308" s="41">
        <v>0</v>
      </c>
      <c r="P308" s="38">
        <v>0</v>
      </c>
      <c r="Q308" s="38">
        <v>0</v>
      </c>
      <c r="R308" s="39" t="s">
        <v>237</v>
      </c>
    </row>
    <row r="309" spans="1:18" x14ac:dyDescent="0.3">
      <c r="A309" s="37" t="s">
        <v>378</v>
      </c>
      <c r="B309" s="37" t="s">
        <v>679</v>
      </c>
      <c r="C309" s="37" t="s">
        <v>372</v>
      </c>
      <c r="D309" s="37" t="s">
        <v>375</v>
      </c>
      <c r="E309" s="38">
        <v>0</v>
      </c>
      <c r="F309" s="39" t="s">
        <v>237</v>
      </c>
      <c r="G309" s="38">
        <v>0</v>
      </c>
      <c r="H309" s="39" t="s">
        <v>380</v>
      </c>
      <c r="I309" s="40">
        <v>44852</v>
      </c>
      <c r="J309" s="40">
        <v>44866</v>
      </c>
      <c r="K309" s="38">
        <v>0</v>
      </c>
      <c r="L309" s="39" t="s">
        <v>380</v>
      </c>
      <c r="M309" s="38">
        <v>0</v>
      </c>
      <c r="N309" s="39" t="s">
        <v>380</v>
      </c>
      <c r="O309" s="41">
        <v>0</v>
      </c>
      <c r="P309" s="38">
        <v>0</v>
      </c>
      <c r="Q309" s="38">
        <v>0</v>
      </c>
      <c r="R309" s="39" t="s">
        <v>237</v>
      </c>
    </row>
    <row r="310" spans="1:18" x14ac:dyDescent="0.3">
      <c r="A310" s="37" t="s">
        <v>378</v>
      </c>
      <c r="B310" s="37" t="s">
        <v>680</v>
      </c>
      <c r="C310" s="37" t="s">
        <v>372</v>
      </c>
      <c r="D310" s="37" t="s">
        <v>375</v>
      </c>
      <c r="E310" s="38">
        <v>0</v>
      </c>
      <c r="F310" s="39" t="s">
        <v>237</v>
      </c>
      <c r="G310" s="38">
        <v>0</v>
      </c>
      <c r="H310" s="39" t="s">
        <v>380</v>
      </c>
      <c r="I310" s="40">
        <v>45502</v>
      </c>
      <c r="J310" s="40">
        <v>45502</v>
      </c>
      <c r="K310" s="38">
        <v>19200</v>
      </c>
      <c r="L310" s="39" t="s">
        <v>380</v>
      </c>
      <c r="M310" s="38">
        <v>19200</v>
      </c>
      <c r="N310" s="39" t="s">
        <v>380</v>
      </c>
      <c r="O310" s="41">
        <v>0</v>
      </c>
      <c r="P310" s="38">
        <v>99999</v>
      </c>
      <c r="Q310" s="38">
        <v>9898.01</v>
      </c>
      <c r="R310" s="39" t="s">
        <v>237</v>
      </c>
    </row>
    <row r="311" spans="1:18" x14ac:dyDescent="0.3">
      <c r="A311" s="37" t="s">
        <v>378</v>
      </c>
      <c r="B311" s="37" t="s">
        <v>681</v>
      </c>
      <c r="C311" s="37" t="s">
        <v>372</v>
      </c>
      <c r="D311" s="37" t="s">
        <v>375</v>
      </c>
      <c r="E311" s="38">
        <v>0</v>
      </c>
      <c r="F311" s="39" t="s">
        <v>237</v>
      </c>
      <c r="G311" s="38">
        <v>0</v>
      </c>
      <c r="H311" s="39" t="s">
        <v>380</v>
      </c>
      <c r="I311" s="40">
        <v>45414</v>
      </c>
      <c r="J311" s="40">
        <v>45422</v>
      </c>
      <c r="K311" s="38">
        <v>0</v>
      </c>
      <c r="L311" s="39" t="s">
        <v>380</v>
      </c>
      <c r="M311" s="38">
        <v>0</v>
      </c>
      <c r="N311" s="39" t="s">
        <v>380</v>
      </c>
      <c r="O311" s="41">
        <v>0</v>
      </c>
      <c r="P311" s="38">
        <v>0</v>
      </c>
      <c r="Q311" s="38">
        <v>0</v>
      </c>
      <c r="R311" s="39" t="s">
        <v>237</v>
      </c>
    </row>
    <row r="312" spans="1:18" x14ac:dyDescent="0.3">
      <c r="A312" s="37" t="s">
        <v>378</v>
      </c>
      <c r="B312" s="37" t="s">
        <v>1199</v>
      </c>
      <c r="C312" s="37" t="s">
        <v>372</v>
      </c>
      <c r="D312" s="37" t="s">
        <v>375</v>
      </c>
      <c r="E312" s="38">
        <v>258.39999999999901</v>
      </c>
      <c r="F312" s="39" t="s">
        <v>237</v>
      </c>
      <c r="G312" s="38">
        <v>1520</v>
      </c>
      <c r="H312" s="39" t="s">
        <v>380</v>
      </c>
      <c r="I312" s="40">
        <v>45356</v>
      </c>
      <c r="J312" s="40">
        <v>45356</v>
      </c>
      <c r="K312" s="38">
        <v>0</v>
      </c>
      <c r="L312" s="39" t="s">
        <v>380</v>
      </c>
      <c r="M312" s="38">
        <v>0</v>
      </c>
      <c r="N312" s="39" t="s">
        <v>380</v>
      </c>
      <c r="O312" s="41">
        <v>99999</v>
      </c>
      <c r="P312" s="38">
        <v>0</v>
      </c>
      <c r="Q312" s="38">
        <v>0</v>
      </c>
      <c r="R312" s="39" t="s">
        <v>237</v>
      </c>
    </row>
    <row r="313" spans="1:18" x14ac:dyDescent="0.3">
      <c r="A313" s="37" t="s">
        <v>378</v>
      </c>
      <c r="B313" s="37" t="s">
        <v>682</v>
      </c>
      <c r="C313" s="37" t="s">
        <v>372</v>
      </c>
      <c r="D313" s="37" t="s">
        <v>375</v>
      </c>
      <c r="E313" s="38">
        <v>360</v>
      </c>
      <c r="F313" s="39" t="s">
        <v>237</v>
      </c>
      <c r="G313" s="38">
        <v>2000</v>
      </c>
      <c r="H313" s="39" t="s">
        <v>380</v>
      </c>
      <c r="I313" s="40">
        <v>45498</v>
      </c>
      <c r="J313" s="40">
        <v>45531</v>
      </c>
      <c r="K313" s="38">
        <v>32000</v>
      </c>
      <c r="L313" s="39" t="s">
        <v>380</v>
      </c>
      <c r="M313" s="38">
        <v>20000</v>
      </c>
      <c r="N313" s="39" t="s">
        <v>380</v>
      </c>
      <c r="O313" s="41">
        <v>6</v>
      </c>
      <c r="P313" s="38">
        <v>3.12</v>
      </c>
      <c r="Q313" s="38">
        <v>5760</v>
      </c>
      <c r="R313" s="39" t="s">
        <v>237</v>
      </c>
    </row>
    <row r="314" spans="1:18" x14ac:dyDescent="0.3">
      <c r="A314" s="37" t="s">
        <v>378</v>
      </c>
      <c r="B314" s="37" t="s">
        <v>683</v>
      </c>
      <c r="C314" s="37" t="s">
        <v>372</v>
      </c>
      <c r="D314" s="37" t="s">
        <v>375</v>
      </c>
      <c r="E314" s="38">
        <v>0</v>
      </c>
      <c r="F314" s="39" t="s">
        <v>237</v>
      </c>
      <c r="G314" s="38">
        <v>0</v>
      </c>
      <c r="H314" s="39" t="s">
        <v>380</v>
      </c>
      <c r="I314" s="40">
        <v>44461</v>
      </c>
      <c r="J314" s="40">
        <v>44463</v>
      </c>
      <c r="K314" s="38">
        <v>0</v>
      </c>
      <c r="L314" s="39" t="s">
        <v>380</v>
      </c>
      <c r="M314" s="38">
        <v>0</v>
      </c>
      <c r="N314" s="39" t="s">
        <v>380</v>
      </c>
      <c r="O314" s="41">
        <v>0</v>
      </c>
      <c r="P314" s="38">
        <v>0</v>
      </c>
      <c r="Q314" s="38">
        <v>0</v>
      </c>
      <c r="R314" s="39" t="s">
        <v>237</v>
      </c>
    </row>
    <row r="315" spans="1:18" x14ac:dyDescent="0.3">
      <c r="A315" s="37" t="s">
        <v>378</v>
      </c>
      <c r="B315" s="37" t="s">
        <v>684</v>
      </c>
      <c r="C315" s="37" t="s">
        <v>372</v>
      </c>
      <c r="D315" s="37" t="s">
        <v>375</v>
      </c>
      <c r="E315" s="38">
        <v>0</v>
      </c>
      <c r="F315" s="39" t="s">
        <v>237</v>
      </c>
      <c r="G315" s="38">
        <v>0</v>
      </c>
      <c r="H315" s="39" t="s">
        <v>380</v>
      </c>
      <c r="I315" s="40">
        <v>44917</v>
      </c>
      <c r="J315" s="40">
        <v>45373</v>
      </c>
      <c r="K315" s="38">
        <v>0</v>
      </c>
      <c r="L315" s="39" t="s">
        <v>380</v>
      </c>
      <c r="M315" s="38">
        <v>0</v>
      </c>
      <c r="N315" s="39" t="s">
        <v>380</v>
      </c>
      <c r="O315" s="41">
        <v>0</v>
      </c>
      <c r="P315" s="38">
        <v>0</v>
      </c>
      <c r="Q315" s="38">
        <v>0</v>
      </c>
      <c r="R315" s="39" t="s">
        <v>237</v>
      </c>
    </row>
    <row r="316" spans="1:18" x14ac:dyDescent="0.3">
      <c r="A316" s="37" t="s">
        <v>378</v>
      </c>
      <c r="B316" s="37" t="s">
        <v>685</v>
      </c>
      <c r="C316" s="37" t="s">
        <v>372</v>
      </c>
      <c r="D316" s="37" t="s">
        <v>375</v>
      </c>
      <c r="E316" s="38">
        <v>0</v>
      </c>
      <c r="F316" s="39" t="s">
        <v>237</v>
      </c>
      <c r="G316" s="38">
        <v>0</v>
      </c>
      <c r="H316" s="39" t="s">
        <v>380</v>
      </c>
      <c r="I316" s="40">
        <v>45488</v>
      </c>
      <c r="J316" s="40">
        <v>45497</v>
      </c>
      <c r="K316" s="38">
        <v>11100</v>
      </c>
      <c r="L316" s="39" t="s">
        <v>380</v>
      </c>
      <c r="M316" s="38">
        <v>11100</v>
      </c>
      <c r="N316" s="39" t="s">
        <v>380</v>
      </c>
      <c r="O316" s="41">
        <v>0</v>
      </c>
      <c r="P316" s="38">
        <v>99999</v>
      </c>
      <c r="Q316" s="38">
        <v>2109</v>
      </c>
      <c r="R316" s="39" t="s">
        <v>237</v>
      </c>
    </row>
    <row r="317" spans="1:18" x14ac:dyDescent="0.3">
      <c r="A317" s="37" t="s">
        <v>378</v>
      </c>
      <c r="B317" s="37" t="s">
        <v>686</v>
      </c>
      <c r="C317" s="37" t="s">
        <v>372</v>
      </c>
      <c r="D317" s="37" t="s">
        <v>375</v>
      </c>
      <c r="E317" s="38">
        <v>0</v>
      </c>
      <c r="F317" s="39" t="s">
        <v>237</v>
      </c>
      <c r="G317" s="38">
        <v>0</v>
      </c>
      <c r="H317" s="39" t="s">
        <v>380</v>
      </c>
      <c r="I317" s="40">
        <v>45121</v>
      </c>
      <c r="J317" s="40">
        <v>45121</v>
      </c>
      <c r="K317" s="38">
        <v>0</v>
      </c>
      <c r="L317" s="39" t="s">
        <v>380</v>
      </c>
      <c r="M317" s="38">
        <v>0</v>
      </c>
      <c r="N317" s="39" t="s">
        <v>380</v>
      </c>
      <c r="O317" s="41">
        <v>0</v>
      </c>
      <c r="P317" s="38">
        <v>0</v>
      </c>
      <c r="Q317" s="38">
        <v>0</v>
      </c>
      <c r="R317" s="39" t="s">
        <v>237</v>
      </c>
    </row>
    <row r="318" spans="1:18" x14ac:dyDescent="0.3">
      <c r="A318" s="37" t="s">
        <v>378</v>
      </c>
      <c r="B318" s="37" t="s">
        <v>687</v>
      </c>
      <c r="C318" s="37" t="s">
        <v>372</v>
      </c>
      <c r="D318" s="37" t="s">
        <v>375</v>
      </c>
      <c r="E318" s="38">
        <v>0</v>
      </c>
      <c r="F318" s="39" t="s">
        <v>237</v>
      </c>
      <c r="G318" s="38">
        <v>0</v>
      </c>
      <c r="H318" s="39" t="s">
        <v>380</v>
      </c>
      <c r="I318" s="40">
        <v>44830</v>
      </c>
      <c r="J318" s="40">
        <v>44851</v>
      </c>
      <c r="K318" s="38">
        <v>0</v>
      </c>
      <c r="L318" s="39" t="s">
        <v>380</v>
      </c>
      <c r="M318" s="38">
        <v>0</v>
      </c>
      <c r="N318" s="39" t="s">
        <v>380</v>
      </c>
      <c r="O318" s="41">
        <v>0</v>
      </c>
      <c r="P318" s="38">
        <v>0</v>
      </c>
      <c r="Q318" s="38">
        <v>0</v>
      </c>
      <c r="R318" s="39" t="s">
        <v>237</v>
      </c>
    </row>
    <row r="319" spans="1:18" x14ac:dyDescent="0.3">
      <c r="A319" s="37" t="s">
        <v>378</v>
      </c>
      <c r="B319" s="37" t="s">
        <v>688</v>
      </c>
      <c r="C319" s="37" t="s">
        <v>372</v>
      </c>
      <c r="D319" s="37" t="s">
        <v>375</v>
      </c>
      <c r="E319" s="38">
        <v>0</v>
      </c>
      <c r="F319" s="39" t="s">
        <v>237</v>
      </c>
      <c r="G319" s="38">
        <v>0</v>
      </c>
      <c r="H319" s="39" t="s">
        <v>380</v>
      </c>
      <c r="I319" s="40">
        <v>44644</v>
      </c>
      <c r="J319" s="40">
        <v>44650</v>
      </c>
      <c r="K319" s="38">
        <v>0</v>
      </c>
      <c r="L319" s="39" t="s">
        <v>380</v>
      </c>
      <c r="M319" s="38">
        <v>0</v>
      </c>
      <c r="N319" s="39" t="s">
        <v>380</v>
      </c>
      <c r="O319" s="41">
        <v>0</v>
      </c>
      <c r="P319" s="38">
        <v>0</v>
      </c>
      <c r="Q319" s="38">
        <v>0</v>
      </c>
      <c r="R319" s="39" t="s">
        <v>237</v>
      </c>
    </row>
    <row r="320" spans="1:18" x14ac:dyDescent="0.3">
      <c r="A320" s="37" t="s">
        <v>378</v>
      </c>
      <c r="B320" s="37" t="s">
        <v>689</v>
      </c>
      <c r="C320" s="37" t="s">
        <v>372</v>
      </c>
      <c r="D320" s="37" t="s">
        <v>375</v>
      </c>
      <c r="E320" s="38">
        <v>0</v>
      </c>
      <c r="F320" s="39" t="s">
        <v>237</v>
      </c>
      <c r="G320" s="38">
        <v>0</v>
      </c>
      <c r="H320" s="39" t="s">
        <v>380</v>
      </c>
      <c r="I320" s="40">
        <v>45376</v>
      </c>
      <c r="J320" s="40">
        <v>45385</v>
      </c>
      <c r="K320" s="38">
        <v>0</v>
      </c>
      <c r="L320" s="39" t="s">
        <v>380</v>
      </c>
      <c r="M320" s="38">
        <v>0</v>
      </c>
      <c r="N320" s="39" t="s">
        <v>380</v>
      </c>
      <c r="O320" s="41">
        <v>0</v>
      </c>
      <c r="P320" s="38">
        <v>0</v>
      </c>
      <c r="Q320" s="38">
        <v>0</v>
      </c>
      <c r="R320" s="39" t="s">
        <v>237</v>
      </c>
    </row>
    <row r="321" spans="1:18" x14ac:dyDescent="0.3">
      <c r="A321" s="37" t="s">
        <v>378</v>
      </c>
      <c r="B321" s="37" t="s">
        <v>690</v>
      </c>
      <c r="C321" s="37" t="s">
        <v>372</v>
      </c>
      <c r="D321" s="37" t="s">
        <v>375</v>
      </c>
      <c r="E321" s="38">
        <v>12700.799999999899</v>
      </c>
      <c r="F321" s="39" t="s">
        <v>237</v>
      </c>
      <c r="G321" s="38">
        <v>36288</v>
      </c>
      <c r="H321" s="39" t="s">
        <v>380</v>
      </c>
      <c r="I321" s="40"/>
      <c r="J321" s="40"/>
      <c r="K321" s="38">
        <v>252000</v>
      </c>
      <c r="L321" s="39" t="s">
        <v>380</v>
      </c>
      <c r="M321" s="38">
        <v>288288</v>
      </c>
      <c r="N321" s="39" t="s">
        <v>380</v>
      </c>
      <c r="O321" s="41">
        <v>13</v>
      </c>
      <c r="P321" s="38">
        <v>23.81</v>
      </c>
      <c r="Q321" s="38">
        <v>88200</v>
      </c>
      <c r="R321" s="39" t="s">
        <v>237</v>
      </c>
    </row>
    <row r="322" spans="1:18" x14ac:dyDescent="0.3">
      <c r="A322" s="37" t="s">
        <v>378</v>
      </c>
      <c r="B322" s="37" t="s">
        <v>691</v>
      </c>
      <c r="C322" s="37" t="s">
        <v>372</v>
      </c>
      <c r="D322" s="37" t="s">
        <v>375</v>
      </c>
      <c r="E322" s="38">
        <v>0</v>
      </c>
      <c r="F322" s="39" t="s">
        <v>237</v>
      </c>
      <c r="G322" s="38">
        <v>0</v>
      </c>
      <c r="H322" s="39" t="s">
        <v>380</v>
      </c>
      <c r="I322" s="40">
        <v>44228</v>
      </c>
      <c r="J322" s="40">
        <v>44235</v>
      </c>
      <c r="K322" s="38">
        <v>0</v>
      </c>
      <c r="L322" s="39" t="s">
        <v>380</v>
      </c>
      <c r="M322" s="38">
        <v>0</v>
      </c>
      <c r="N322" s="39" t="s">
        <v>380</v>
      </c>
      <c r="O322" s="41">
        <v>0</v>
      </c>
      <c r="P322" s="38">
        <v>0</v>
      </c>
      <c r="Q322" s="38">
        <v>0</v>
      </c>
      <c r="R322" s="39" t="s">
        <v>237</v>
      </c>
    </row>
    <row r="323" spans="1:18" x14ac:dyDescent="0.3">
      <c r="A323" s="37" t="s">
        <v>378</v>
      </c>
      <c r="B323" s="37" t="s">
        <v>692</v>
      </c>
      <c r="C323" s="37" t="s">
        <v>372</v>
      </c>
      <c r="D323" s="37" t="s">
        <v>375</v>
      </c>
      <c r="E323" s="38">
        <v>17117.0999999999</v>
      </c>
      <c r="F323" s="39" t="s">
        <v>237</v>
      </c>
      <c r="G323" s="38">
        <v>40755</v>
      </c>
      <c r="H323" s="39" t="s">
        <v>380</v>
      </c>
      <c r="I323" s="40">
        <v>44774</v>
      </c>
      <c r="J323" s="40">
        <v>45510</v>
      </c>
      <c r="K323" s="38">
        <v>70560</v>
      </c>
      <c r="L323" s="39" t="s">
        <v>380</v>
      </c>
      <c r="M323" s="38">
        <v>46080</v>
      </c>
      <c r="N323" s="39" t="s">
        <v>380</v>
      </c>
      <c r="O323" s="41">
        <v>53</v>
      </c>
      <c r="P323" s="38">
        <v>1.32</v>
      </c>
      <c r="Q323" s="38">
        <v>29448</v>
      </c>
      <c r="R323" s="39" t="s">
        <v>237</v>
      </c>
    </row>
    <row r="324" spans="1:18" x14ac:dyDescent="0.3">
      <c r="A324" s="37" t="s">
        <v>378</v>
      </c>
      <c r="B324" s="37" t="s">
        <v>693</v>
      </c>
      <c r="C324" s="37" t="s">
        <v>372</v>
      </c>
      <c r="D324" s="37" t="s">
        <v>375</v>
      </c>
      <c r="E324" s="38">
        <v>0</v>
      </c>
      <c r="F324" s="39" t="s">
        <v>237</v>
      </c>
      <c r="G324" s="38">
        <v>0</v>
      </c>
      <c r="H324" s="39" t="s">
        <v>380</v>
      </c>
      <c r="I324" s="40">
        <v>45488</v>
      </c>
      <c r="J324" s="40">
        <v>45505</v>
      </c>
      <c r="K324" s="38">
        <v>20160</v>
      </c>
      <c r="L324" s="39" t="s">
        <v>380</v>
      </c>
      <c r="M324" s="38">
        <v>20160</v>
      </c>
      <c r="N324" s="39" t="s">
        <v>380</v>
      </c>
      <c r="O324" s="41">
        <v>0</v>
      </c>
      <c r="P324" s="38">
        <v>4</v>
      </c>
      <c r="Q324" s="38">
        <v>7459.1999999999898</v>
      </c>
      <c r="R324" s="39" t="s">
        <v>237</v>
      </c>
    </row>
    <row r="325" spans="1:18" x14ac:dyDescent="0.3">
      <c r="A325" s="37" t="s">
        <v>378</v>
      </c>
      <c r="B325" s="37" t="s">
        <v>694</v>
      </c>
      <c r="C325" s="37" t="s">
        <v>372</v>
      </c>
      <c r="D325" s="37" t="s">
        <v>375</v>
      </c>
      <c r="E325" s="38">
        <v>0</v>
      </c>
      <c r="F325" s="39" t="s">
        <v>237</v>
      </c>
      <c r="G325" s="38">
        <v>0</v>
      </c>
      <c r="H325" s="39" t="s">
        <v>380</v>
      </c>
      <c r="I325" s="40">
        <v>44335</v>
      </c>
      <c r="J325" s="40">
        <v>44336</v>
      </c>
      <c r="K325" s="38">
        <v>0</v>
      </c>
      <c r="L325" s="39" t="s">
        <v>380</v>
      </c>
      <c r="M325" s="38">
        <v>0</v>
      </c>
      <c r="N325" s="39" t="s">
        <v>380</v>
      </c>
      <c r="O325" s="41">
        <v>0</v>
      </c>
      <c r="P325" s="38">
        <v>0</v>
      </c>
      <c r="Q325" s="38">
        <v>0</v>
      </c>
      <c r="R325" s="39" t="s">
        <v>237</v>
      </c>
    </row>
    <row r="326" spans="1:18" x14ac:dyDescent="0.3">
      <c r="A326" s="37" t="s">
        <v>378</v>
      </c>
      <c r="B326" s="37" t="s">
        <v>695</v>
      </c>
      <c r="C326" s="37" t="s">
        <v>372</v>
      </c>
      <c r="D326" s="37" t="s">
        <v>375</v>
      </c>
      <c r="E326" s="38">
        <v>0</v>
      </c>
      <c r="F326" s="39" t="s">
        <v>237</v>
      </c>
      <c r="G326" s="38">
        <v>0</v>
      </c>
      <c r="H326" s="39" t="s">
        <v>380</v>
      </c>
      <c r="I326" s="40">
        <v>45083</v>
      </c>
      <c r="J326" s="40">
        <v>45084</v>
      </c>
      <c r="K326" s="38">
        <v>0</v>
      </c>
      <c r="L326" s="39" t="s">
        <v>380</v>
      </c>
      <c r="M326" s="38">
        <v>0</v>
      </c>
      <c r="N326" s="39" t="s">
        <v>380</v>
      </c>
      <c r="O326" s="41">
        <v>0</v>
      </c>
      <c r="P326" s="38">
        <v>0</v>
      </c>
      <c r="Q326" s="38">
        <v>0</v>
      </c>
      <c r="R326" s="39" t="s">
        <v>237</v>
      </c>
    </row>
    <row r="327" spans="1:18" x14ac:dyDescent="0.3">
      <c r="A327" s="37" t="s">
        <v>378</v>
      </c>
      <c r="B327" s="37" t="s">
        <v>1300</v>
      </c>
      <c r="C327" s="37" t="s">
        <v>372</v>
      </c>
      <c r="D327" s="37" t="s">
        <v>375</v>
      </c>
      <c r="E327" s="38">
        <v>0</v>
      </c>
      <c r="F327" s="39" t="s">
        <v>237</v>
      </c>
      <c r="G327" s="38">
        <v>0</v>
      </c>
      <c r="H327" s="39" t="s">
        <v>380</v>
      </c>
      <c r="I327" s="40">
        <v>45400</v>
      </c>
      <c r="J327" s="40">
        <v>45401</v>
      </c>
      <c r="K327" s="38">
        <v>0</v>
      </c>
      <c r="L327" s="39" t="s">
        <v>380</v>
      </c>
      <c r="M327" s="38">
        <v>0</v>
      </c>
      <c r="N327" s="39" t="s">
        <v>380</v>
      </c>
      <c r="O327" s="41">
        <v>0</v>
      </c>
      <c r="P327" s="38">
        <v>0</v>
      </c>
      <c r="Q327" s="38">
        <v>0</v>
      </c>
      <c r="R327" s="39" t="s">
        <v>237</v>
      </c>
    </row>
    <row r="328" spans="1:18" x14ac:dyDescent="0.3">
      <c r="A328" s="37" t="s">
        <v>378</v>
      </c>
      <c r="B328" s="37" t="s">
        <v>696</v>
      </c>
      <c r="C328" s="37" t="s">
        <v>372</v>
      </c>
      <c r="D328" s="37" t="s">
        <v>375</v>
      </c>
      <c r="E328" s="38">
        <v>1451.52</v>
      </c>
      <c r="F328" s="39" t="s">
        <v>237</v>
      </c>
      <c r="G328" s="38">
        <v>3024</v>
      </c>
      <c r="H328" s="39" t="s">
        <v>380</v>
      </c>
      <c r="I328" s="40">
        <v>45400</v>
      </c>
      <c r="J328" s="40">
        <v>45523</v>
      </c>
      <c r="K328" s="38">
        <v>3024</v>
      </c>
      <c r="L328" s="39" t="s">
        <v>380</v>
      </c>
      <c r="M328" s="38">
        <v>0</v>
      </c>
      <c r="N328" s="39" t="s">
        <v>380</v>
      </c>
      <c r="O328" s="41">
        <v>92</v>
      </c>
      <c r="P328" s="38">
        <v>0.71</v>
      </c>
      <c r="Q328" s="38">
        <v>1451.52</v>
      </c>
      <c r="R328" s="39" t="s">
        <v>237</v>
      </c>
    </row>
    <row r="329" spans="1:18" x14ac:dyDescent="0.3">
      <c r="A329" s="37" t="s">
        <v>378</v>
      </c>
      <c r="B329" s="37" t="s">
        <v>697</v>
      </c>
      <c r="C329" s="37" t="s">
        <v>372</v>
      </c>
      <c r="D329" s="37" t="s">
        <v>375</v>
      </c>
      <c r="E329" s="38">
        <v>0</v>
      </c>
      <c r="F329" s="39" t="s">
        <v>237</v>
      </c>
      <c r="G329" s="38">
        <v>0</v>
      </c>
      <c r="H329" s="39" t="s">
        <v>380</v>
      </c>
      <c r="I329" s="40">
        <v>44376</v>
      </c>
      <c r="J329" s="40">
        <v>44260</v>
      </c>
      <c r="K329" s="38">
        <v>0</v>
      </c>
      <c r="L329" s="39" t="s">
        <v>380</v>
      </c>
      <c r="M329" s="38">
        <v>0</v>
      </c>
      <c r="N329" s="39" t="s">
        <v>380</v>
      </c>
      <c r="O329" s="41">
        <v>0</v>
      </c>
      <c r="P329" s="38">
        <v>0</v>
      </c>
      <c r="Q329" s="38">
        <v>0</v>
      </c>
      <c r="R329" s="39" t="s">
        <v>237</v>
      </c>
    </row>
    <row r="330" spans="1:18" x14ac:dyDescent="0.3">
      <c r="A330" s="37" t="s">
        <v>378</v>
      </c>
      <c r="B330" s="37" t="s">
        <v>698</v>
      </c>
      <c r="C330" s="37" t="s">
        <v>372</v>
      </c>
      <c r="D330" s="37" t="s">
        <v>375</v>
      </c>
      <c r="E330" s="38">
        <v>0</v>
      </c>
      <c r="F330" s="39" t="s">
        <v>237</v>
      </c>
      <c r="G330" s="38">
        <v>0</v>
      </c>
      <c r="H330" s="39" t="s">
        <v>380</v>
      </c>
      <c r="I330" s="40">
        <v>44781</v>
      </c>
      <c r="J330" s="40">
        <v>44799</v>
      </c>
      <c r="K330" s="38">
        <v>0</v>
      </c>
      <c r="L330" s="39" t="s">
        <v>380</v>
      </c>
      <c r="M330" s="38">
        <v>0</v>
      </c>
      <c r="N330" s="39" t="s">
        <v>380</v>
      </c>
      <c r="O330" s="41">
        <v>0</v>
      </c>
      <c r="P330" s="38">
        <v>0</v>
      </c>
      <c r="Q330" s="38">
        <v>0</v>
      </c>
      <c r="R330" s="39" t="s">
        <v>237</v>
      </c>
    </row>
    <row r="331" spans="1:18" x14ac:dyDescent="0.3">
      <c r="A331" s="37" t="s">
        <v>378</v>
      </c>
      <c r="B331" s="37" t="s">
        <v>699</v>
      </c>
      <c r="C331" s="37" t="s">
        <v>372</v>
      </c>
      <c r="D331" s="37" t="s">
        <v>375</v>
      </c>
      <c r="E331" s="38">
        <v>0</v>
      </c>
      <c r="F331" s="39" t="s">
        <v>237</v>
      </c>
      <c r="G331" s="38">
        <v>0</v>
      </c>
      <c r="H331" s="39" t="s">
        <v>380</v>
      </c>
      <c r="I331" s="40">
        <v>44923</v>
      </c>
      <c r="J331" s="40">
        <v>44923</v>
      </c>
      <c r="K331" s="38">
        <v>0</v>
      </c>
      <c r="L331" s="39" t="s">
        <v>380</v>
      </c>
      <c r="M331" s="38">
        <v>0</v>
      </c>
      <c r="N331" s="39" t="s">
        <v>380</v>
      </c>
      <c r="O331" s="41">
        <v>0</v>
      </c>
      <c r="P331" s="38">
        <v>0</v>
      </c>
      <c r="Q331" s="38">
        <v>0</v>
      </c>
      <c r="R331" s="39" t="s">
        <v>237</v>
      </c>
    </row>
    <row r="332" spans="1:18" x14ac:dyDescent="0.3">
      <c r="A332" s="37" t="s">
        <v>378</v>
      </c>
      <c r="B332" s="37" t="s">
        <v>700</v>
      </c>
      <c r="C332" s="37" t="s">
        <v>372</v>
      </c>
      <c r="D332" s="37" t="s">
        <v>375</v>
      </c>
      <c r="E332" s="38">
        <v>143723.39000000001</v>
      </c>
      <c r="F332" s="39" t="s">
        <v>237</v>
      </c>
      <c r="G332" s="38">
        <v>1880305</v>
      </c>
      <c r="H332" s="39" t="s">
        <v>380</v>
      </c>
      <c r="I332" s="40">
        <v>45533</v>
      </c>
      <c r="J332" s="40">
        <v>45533</v>
      </c>
      <c r="K332" s="38">
        <v>1251500</v>
      </c>
      <c r="L332" s="39" t="s">
        <v>380</v>
      </c>
      <c r="M332" s="38">
        <v>2200000</v>
      </c>
      <c r="N332" s="39" t="s">
        <v>380</v>
      </c>
      <c r="O332" s="41">
        <v>277</v>
      </c>
      <c r="P332" s="38">
        <v>0.42</v>
      </c>
      <c r="Q332" s="38">
        <v>47719.779999999897</v>
      </c>
      <c r="R332" s="39" t="s">
        <v>237</v>
      </c>
    </row>
    <row r="333" spans="1:18" x14ac:dyDescent="0.3">
      <c r="A333" s="37" t="s">
        <v>378</v>
      </c>
      <c r="B333" s="37" t="s">
        <v>701</v>
      </c>
      <c r="C333" s="37" t="s">
        <v>372</v>
      </c>
      <c r="D333" s="37" t="s">
        <v>375</v>
      </c>
      <c r="E333" s="38">
        <v>0</v>
      </c>
      <c r="F333" s="39" t="s">
        <v>237</v>
      </c>
      <c r="G333" s="38">
        <v>0</v>
      </c>
      <c r="H333" s="39" t="s">
        <v>380</v>
      </c>
      <c r="I333" s="40">
        <v>45430</v>
      </c>
      <c r="J333" s="40">
        <v>45432</v>
      </c>
      <c r="K333" s="38">
        <v>0</v>
      </c>
      <c r="L333" s="39" t="s">
        <v>380</v>
      </c>
      <c r="M333" s="38">
        <v>0</v>
      </c>
      <c r="N333" s="39" t="s">
        <v>380</v>
      </c>
      <c r="O333" s="41">
        <v>0</v>
      </c>
      <c r="P333" s="38">
        <v>0</v>
      </c>
      <c r="Q333" s="38">
        <v>0</v>
      </c>
      <c r="R333" s="39" t="s">
        <v>237</v>
      </c>
    </row>
    <row r="334" spans="1:18" x14ac:dyDescent="0.3">
      <c r="A334" s="37" t="s">
        <v>378</v>
      </c>
      <c r="B334" s="37" t="s">
        <v>702</v>
      </c>
      <c r="C334" s="37" t="s">
        <v>372</v>
      </c>
      <c r="D334" s="37" t="s">
        <v>375</v>
      </c>
      <c r="E334" s="38">
        <v>0</v>
      </c>
      <c r="F334" s="39" t="s">
        <v>237</v>
      </c>
      <c r="G334" s="38">
        <v>0</v>
      </c>
      <c r="H334" s="39" t="s">
        <v>380</v>
      </c>
      <c r="I334" s="40">
        <v>44530</v>
      </c>
      <c r="J334" s="40">
        <v>44536</v>
      </c>
      <c r="K334" s="38">
        <v>0</v>
      </c>
      <c r="L334" s="39" t="s">
        <v>380</v>
      </c>
      <c r="M334" s="38">
        <v>0</v>
      </c>
      <c r="N334" s="39" t="s">
        <v>380</v>
      </c>
      <c r="O334" s="41">
        <v>0</v>
      </c>
      <c r="P334" s="38">
        <v>0</v>
      </c>
      <c r="Q334" s="38">
        <v>0</v>
      </c>
      <c r="R334" s="39" t="s">
        <v>237</v>
      </c>
    </row>
    <row r="335" spans="1:18" x14ac:dyDescent="0.3">
      <c r="A335" s="37" t="s">
        <v>378</v>
      </c>
      <c r="B335" s="37" t="s">
        <v>703</v>
      </c>
      <c r="C335" s="37" t="s">
        <v>372</v>
      </c>
      <c r="D335" s="37" t="s">
        <v>375</v>
      </c>
      <c r="E335" s="38">
        <v>0</v>
      </c>
      <c r="F335" s="39" t="s">
        <v>237</v>
      </c>
      <c r="G335" s="38">
        <v>0</v>
      </c>
      <c r="H335" s="39" t="s">
        <v>380</v>
      </c>
      <c r="I335" s="40">
        <v>45422</v>
      </c>
      <c r="J335" s="40">
        <v>45422</v>
      </c>
      <c r="K335" s="38">
        <v>0</v>
      </c>
      <c r="L335" s="39" t="s">
        <v>380</v>
      </c>
      <c r="M335" s="38">
        <v>0</v>
      </c>
      <c r="N335" s="39" t="s">
        <v>380</v>
      </c>
      <c r="O335" s="41">
        <v>0</v>
      </c>
      <c r="P335" s="38">
        <v>0</v>
      </c>
      <c r="Q335" s="38">
        <v>0</v>
      </c>
      <c r="R335" s="39" t="s">
        <v>237</v>
      </c>
    </row>
    <row r="336" spans="1:18" x14ac:dyDescent="0.3">
      <c r="A336" s="37" t="s">
        <v>378</v>
      </c>
      <c r="B336" s="37" t="s">
        <v>704</v>
      </c>
      <c r="C336" s="37" t="s">
        <v>372</v>
      </c>
      <c r="D336" s="37" t="s">
        <v>375</v>
      </c>
      <c r="E336" s="38">
        <v>0</v>
      </c>
      <c r="F336" s="39" t="s">
        <v>237</v>
      </c>
      <c r="G336" s="38">
        <v>0</v>
      </c>
      <c r="H336" s="39" t="s">
        <v>380</v>
      </c>
      <c r="I336" s="40">
        <v>44525</v>
      </c>
      <c r="J336" s="40">
        <v>44530</v>
      </c>
      <c r="K336" s="38">
        <v>0</v>
      </c>
      <c r="L336" s="39" t="s">
        <v>380</v>
      </c>
      <c r="M336" s="38">
        <v>0</v>
      </c>
      <c r="N336" s="39" t="s">
        <v>380</v>
      </c>
      <c r="O336" s="41">
        <v>0</v>
      </c>
      <c r="P336" s="38">
        <v>0</v>
      </c>
      <c r="Q336" s="38">
        <v>0</v>
      </c>
      <c r="R336" s="39" t="s">
        <v>237</v>
      </c>
    </row>
    <row r="337" spans="1:18" x14ac:dyDescent="0.3">
      <c r="A337" s="37" t="s">
        <v>378</v>
      </c>
      <c r="B337" s="37" t="s">
        <v>705</v>
      </c>
      <c r="C337" s="37" t="s">
        <v>372</v>
      </c>
      <c r="D337" s="37" t="s">
        <v>375</v>
      </c>
      <c r="E337" s="38">
        <v>0</v>
      </c>
      <c r="F337" s="39" t="s">
        <v>237</v>
      </c>
      <c r="G337" s="38">
        <v>0</v>
      </c>
      <c r="H337" s="39" t="s">
        <v>380</v>
      </c>
      <c r="I337" s="40">
        <v>44795</v>
      </c>
      <c r="J337" s="40">
        <v>44799</v>
      </c>
      <c r="K337" s="38">
        <v>0</v>
      </c>
      <c r="L337" s="39" t="s">
        <v>380</v>
      </c>
      <c r="M337" s="38">
        <v>0</v>
      </c>
      <c r="N337" s="39" t="s">
        <v>380</v>
      </c>
      <c r="O337" s="41">
        <v>0</v>
      </c>
      <c r="P337" s="38">
        <v>0</v>
      </c>
      <c r="Q337" s="38">
        <v>0</v>
      </c>
      <c r="R337" s="39" t="s">
        <v>237</v>
      </c>
    </row>
    <row r="338" spans="1:18" x14ac:dyDescent="0.3">
      <c r="A338" s="37" t="s">
        <v>378</v>
      </c>
      <c r="B338" s="37" t="s">
        <v>706</v>
      </c>
      <c r="C338" s="37" t="s">
        <v>372</v>
      </c>
      <c r="D338" s="37" t="s">
        <v>375</v>
      </c>
      <c r="E338" s="38">
        <v>0</v>
      </c>
      <c r="F338" s="39" t="s">
        <v>237</v>
      </c>
      <c r="G338" s="38">
        <v>0</v>
      </c>
      <c r="H338" s="39" t="s">
        <v>380</v>
      </c>
      <c r="I338" s="40">
        <v>44448</v>
      </c>
      <c r="J338" s="40">
        <v>44469</v>
      </c>
      <c r="K338" s="38">
        <v>0</v>
      </c>
      <c r="L338" s="39" t="s">
        <v>380</v>
      </c>
      <c r="M338" s="38">
        <v>0</v>
      </c>
      <c r="N338" s="39" t="s">
        <v>380</v>
      </c>
      <c r="O338" s="41">
        <v>0</v>
      </c>
      <c r="P338" s="38">
        <v>0</v>
      </c>
      <c r="Q338" s="38">
        <v>0</v>
      </c>
      <c r="R338" s="39" t="s">
        <v>237</v>
      </c>
    </row>
    <row r="339" spans="1:18" x14ac:dyDescent="0.3">
      <c r="A339" s="37" t="s">
        <v>378</v>
      </c>
      <c r="B339" s="37" t="s">
        <v>707</v>
      </c>
      <c r="C339" s="37" t="s">
        <v>372</v>
      </c>
      <c r="D339" s="37" t="s">
        <v>375</v>
      </c>
      <c r="E339" s="38">
        <v>0</v>
      </c>
      <c r="F339" s="39" t="s">
        <v>237</v>
      </c>
      <c r="G339" s="38">
        <v>0</v>
      </c>
      <c r="H339" s="39" t="s">
        <v>380</v>
      </c>
      <c r="I339" s="40">
        <v>44630</v>
      </c>
      <c r="J339" s="40">
        <v>44659</v>
      </c>
      <c r="K339" s="38">
        <v>0</v>
      </c>
      <c r="L339" s="39" t="s">
        <v>380</v>
      </c>
      <c r="M339" s="38">
        <v>0</v>
      </c>
      <c r="N339" s="39" t="s">
        <v>380</v>
      </c>
      <c r="O339" s="41">
        <v>0</v>
      </c>
      <c r="P339" s="38">
        <v>0</v>
      </c>
      <c r="Q339" s="38">
        <v>0</v>
      </c>
      <c r="R339" s="39" t="s">
        <v>237</v>
      </c>
    </row>
    <row r="340" spans="1:18" x14ac:dyDescent="0.3">
      <c r="A340" s="37" t="s">
        <v>378</v>
      </c>
      <c r="B340" s="37" t="s">
        <v>708</v>
      </c>
      <c r="C340" s="37" t="s">
        <v>372</v>
      </c>
      <c r="D340" s="37" t="s">
        <v>375</v>
      </c>
      <c r="E340" s="38">
        <v>1402.5799999999899</v>
      </c>
      <c r="F340" s="39" t="s">
        <v>237</v>
      </c>
      <c r="G340" s="38">
        <v>14000</v>
      </c>
      <c r="H340" s="39" t="s">
        <v>380</v>
      </c>
      <c r="I340" s="40">
        <v>45493</v>
      </c>
      <c r="J340" s="40">
        <v>45517</v>
      </c>
      <c r="K340" s="38">
        <v>96000</v>
      </c>
      <c r="L340" s="39" t="s">
        <v>380</v>
      </c>
      <c r="M340" s="38">
        <v>110000</v>
      </c>
      <c r="N340" s="39" t="s">
        <v>380</v>
      </c>
      <c r="O340" s="41">
        <v>14</v>
      </c>
      <c r="P340" s="38">
        <v>6</v>
      </c>
      <c r="Q340" s="38">
        <v>9544.1</v>
      </c>
      <c r="R340" s="39" t="s">
        <v>237</v>
      </c>
    </row>
    <row r="341" spans="1:18" x14ac:dyDescent="0.3">
      <c r="A341" s="37" t="s">
        <v>378</v>
      </c>
      <c r="B341" s="37" t="s">
        <v>709</v>
      </c>
      <c r="C341" s="37" t="s">
        <v>372</v>
      </c>
      <c r="D341" s="37" t="s">
        <v>375</v>
      </c>
      <c r="E341" s="38">
        <v>0</v>
      </c>
      <c r="F341" s="39" t="s">
        <v>237</v>
      </c>
      <c r="G341" s="38">
        <v>0</v>
      </c>
      <c r="H341" s="39" t="s">
        <v>380</v>
      </c>
      <c r="I341" s="40">
        <v>44921</v>
      </c>
      <c r="J341" s="40">
        <v>44922</v>
      </c>
      <c r="K341" s="38">
        <v>0</v>
      </c>
      <c r="L341" s="39" t="s">
        <v>380</v>
      </c>
      <c r="M341" s="38">
        <v>0</v>
      </c>
      <c r="N341" s="39" t="s">
        <v>380</v>
      </c>
      <c r="O341" s="41">
        <v>0</v>
      </c>
      <c r="P341" s="38">
        <v>0</v>
      </c>
      <c r="Q341" s="38">
        <v>0</v>
      </c>
      <c r="R341" s="39" t="s">
        <v>237</v>
      </c>
    </row>
    <row r="342" spans="1:18" x14ac:dyDescent="0.3">
      <c r="A342" s="37" t="s">
        <v>378</v>
      </c>
      <c r="B342" s="37" t="s">
        <v>710</v>
      </c>
      <c r="C342" s="37" t="s">
        <v>372</v>
      </c>
      <c r="D342" s="37" t="s">
        <v>375</v>
      </c>
      <c r="E342" s="38">
        <v>8674.45999999999</v>
      </c>
      <c r="F342" s="39" t="s">
        <v>237</v>
      </c>
      <c r="G342" s="38">
        <v>21600</v>
      </c>
      <c r="H342" s="39" t="s">
        <v>380</v>
      </c>
      <c r="I342" s="40"/>
      <c r="J342" s="40"/>
      <c r="K342" s="38">
        <v>75600</v>
      </c>
      <c r="L342" s="39" t="s">
        <v>380</v>
      </c>
      <c r="M342" s="38">
        <v>75600</v>
      </c>
      <c r="N342" s="39" t="s">
        <v>380</v>
      </c>
      <c r="O342" s="41">
        <v>26</v>
      </c>
      <c r="P342" s="38">
        <v>5.6</v>
      </c>
      <c r="Q342" s="38">
        <v>30207.45</v>
      </c>
      <c r="R342" s="39" t="s">
        <v>237</v>
      </c>
    </row>
    <row r="343" spans="1:18" x14ac:dyDescent="0.3">
      <c r="A343" s="37" t="s">
        <v>378</v>
      </c>
      <c r="B343" s="37" t="s">
        <v>711</v>
      </c>
      <c r="C343" s="37" t="s">
        <v>372</v>
      </c>
      <c r="D343" s="37" t="s">
        <v>375</v>
      </c>
      <c r="E343" s="38">
        <v>0</v>
      </c>
      <c r="F343" s="39" t="s">
        <v>237</v>
      </c>
      <c r="G343" s="38">
        <v>0</v>
      </c>
      <c r="H343" s="39" t="s">
        <v>380</v>
      </c>
      <c r="I343" s="40">
        <v>44921</v>
      </c>
      <c r="J343" s="40">
        <v>44922</v>
      </c>
      <c r="K343" s="38">
        <v>0</v>
      </c>
      <c r="L343" s="39" t="s">
        <v>380</v>
      </c>
      <c r="M343" s="38">
        <v>0</v>
      </c>
      <c r="N343" s="39" t="s">
        <v>380</v>
      </c>
      <c r="O343" s="41">
        <v>0</v>
      </c>
      <c r="P343" s="38">
        <v>0</v>
      </c>
      <c r="Q343" s="38">
        <v>0</v>
      </c>
      <c r="R343" s="39" t="s">
        <v>237</v>
      </c>
    </row>
    <row r="344" spans="1:18" x14ac:dyDescent="0.3">
      <c r="A344" s="37" t="s">
        <v>378</v>
      </c>
      <c r="B344" s="37" t="s">
        <v>712</v>
      </c>
      <c r="C344" s="37" t="s">
        <v>372</v>
      </c>
      <c r="D344" s="37" t="s">
        <v>375</v>
      </c>
      <c r="E344" s="38">
        <v>24887.869999999901</v>
      </c>
      <c r="F344" s="39" t="s">
        <v>237</v>
      </c>
      <c r="G344" s="38">
        <v>24480</v>
      </c>
      <c r="H344" s="39" t="s">
        <v>380</v>
      </c>
      <c r="I344" s="40">
        <v>45496</v>
      </c>
      <c r="J344" s="40">
        <v>45520</v>
      </c>
      <c r="K344" s="38">
        <v>68400</v>
      </c>
      <c r="L344" s="39" t="s">
        <v>380</v>
      </c>
      <c r="M344" s="38">
        <v>66240</v>
      </c>
      <c r="N344" s="39" t="s">
        <v>380</v>
      </c>
      <c r="O344" s="41">
        <v>33</v>
      </c>
      <c r="P344" s="38">
        <v>3.25</v>
      </c>
      <c r="Q344" s="38">
        <v>70038.100000000006</v>
      </c>
      <c r="R344" s="39" t="s">
        <v>237</v>
      </c>
    </row>
    <row r="345" spans="1:18" x14ac:dyDescent="0.3">
      <c r="A345" s="37" t="s">
        <v>378</v>
      </c>
      <c r="B345" s="37" t="s">
        <v>713</v>
      </c>
      <c r="C345" s="37" t="s">
        <v>372</v>
      </c>
      <c r="D345" s="37" t="s">
        <v>375</v>
      </c>
      <c r="E345" s="38">
        <v>0</v>
      </c>
      <c r="F345" s="39" t="s">
        <v>237</v>
      </c>
      <c r="G345" s="38">
        <v>0</v>
      </c>
      <c r="H345" s="39" t="s">
        <v>380</v>
      </c>
      <c r="I345" s="40">
        <v>44488</v>
      </c>
      <c r="J345" s="40">
        <v>44489</v>
      </c>
      <c r="K345" s="38">
        <v>0</v>
      </c>
      <c r="L345" s="39" t="s">
        <v>380</v>
      </c>
      <c r="M345" s="38">
        <v>0</v>
      </c>
      <c r="N345" s="39" t="s">
        <v>380</v>
      </c>
      <c r="O345" s="41">
        <v>0</v>
      </c>
      <c r="P345" s="38">
        <v>0</v>
      </c>
      <c r="Q345" s="38">
        <v>0</v>
      </c>
      <c r="R345" s="39" t="s">
        <v>237</v>
      </c>
    </row>
    <row r="346" spans="1:18" x14ac:dyDescent="0.3">
      <c r="A346" s="37" t="s">
        <v>378</v>
      </c>
      <c r="B346" s="37" t="s">
        <v>714</v>
      </c>
      <c r="C346" s="37" t="s">
        <v>372</v>
      </c>
      <c r="D346" s="37" t="s">
        <v>375</v>
      </c>
      <c r="E346" s="38">
        <v>0</v>
      </c>
      <c r="F346" s="39" t="s">
        <v>237</v>
      </c>
      <c r="G346" s="38">
        <v>0</v>
      </c>
      <c r="H346" s="39" t="s">
        <v>380</v>
      </c>
      <c r="I346" s="40">
        <v>45272</v>
      </c>
      <c r="J346" s="40">
        <v>45272</v>
      </c>
      <c r="K346" s="38">
        <v>0</v>
      </c>
      <c r="L346" s="39" t="s">
        <v>380</v>
      </c>
      <c r="M346" s="38">
        <v>0</v>
      </c>
      <c r="N346" s="39" t="s">
        <v>380</v>
      </c>
      <c r="O346" s="41">
        <v>0</v>
      </c>
      <c r="P346" s="38">
        <v>0</v>
      </c>
      <c r="Q346" s="38">
        <v>0</v>
      </c>
      <c r="R346" s="39" t="s">
        <v>237</v>
      </c>
    </row>
    <row r="347" spans="1:18" x14ac:dyDescent="0.3">
      <c r="A347" s="37" t="s">
        <v>378</v>
      </c>
      <c r="B347" s="37" t="s">
        <v>715</v>
      </c>
      <c r="C347" s="37" t="s">
        <v>372</v>
      </c>
      <c r="D347" s="37" t="s">
        <v>375</v>
      </c>
      <c r="E347" s="38">
        <v>0</v>
      </c>
      <c r="F347" s="39" t="s">
        <v>237</v>
      </c>
      <c r="G347" s="38">
        <v>0</v>
      </c>
      <c r="H347" s="39" t="s">
        <v>380</v>
      </c>
      <c r="I347" s="40">
        <v>45257</v>
      </c>
      <c r="J347" s="40">
        <v>45272</v>
      </c>
      <c r="K347" s="38">
        <v>0</v>
      </c>
      <c r="L347" s="39" t="s">
        <v>380</v>
      </c>
      <c r="M347" s="38">
        <v>0</v>
      </c>
      <c r="N347" s="39" t="s">
        <v>380</v>
      </c>
      <c r="O347" s="41">
        <v>0</v>
      </c>
      <c r="P347" s="38">
        <v>0</v>
      </c>
      <c r="Q347" s="38">
        <v>0</v>
      </c>
      <c r="R347" s="39" t="s">
        <v>237</v>
      </c>
    </row>
    <row r="348" spans="1:18" x14ac:dyDescent="0.3">
      <c r="A348" s="37" t="s">
        <v>378</v>
      </c>
      <c r="B348" s="37" t="s">
        <v>716</v>
      </c>
      <c r="C348" s="37" t="s">
        <v>372</v>
      </c>
      <c r="D348" s="37" t="s">
        <v>375</v>
      </c>
      <c r="E348" s="38">
        <v>0</v>
      </c>
      <c r="F348" s="39" t="s">
        <v>237</v>
      </c>
      <c r="G348" s="38">
        <v>0</v>
      </c>
      <c r="H348" s="39" t="s">
        <v>380</v>
      </c>
      <c r="I348" s="40">
        <v>44609</v>
      </c>
      <c r="J348" s="40">
        <v>44609</v>
      </c>
      <c r="K348" s="38">
        <v>0</v>
      </c>
      <c r="L348" s="39" t="s">
        <v>380</v>
      </c>
      <c r="M348" s="38">
        <v>0</v>
      </c>
      <c r="N348" s="39" t="s">
        <v>380</v>
      </c>
      <c r="O348" s="41">
        <v>0</v>
      </c>
      <c r="P348" s="38">
        <v>0</v>
      </c>
      <c r="Q348" s="38">
        <v>0</v>
      </c>
      <c r="R348" s="39" t="s">
        <v>237</v>
      </c>
    </row>
    <row r="349" spans="1:18" x14ac:dyDescent="0.3">
      <c r="A349" s="37" t="s">
        <v>378</v>
      </c>
      <c r="B349" s="37" t="s">
        <v>717</v>
      </c>
      <c r="C349" s="37" t="s">
        <v>372</v>
      </c>
      <c r="D349" s="37" t="s">
        <v>375</v>
      </c>
      <c r="E349" s="38">
        <v>7874.9799999999896</v>
      </c>
      <c r="F349" s="39" t="s">
        <v>237</v>
      </c>
      <c r="G349" s="38">
        <v>10000</v>
      </c>
      <c r="H349" s="39" t="s">
        <v>380</v>
      </c>
      <c r="I349" s="40">
        <v>45488</v>
      </c>
      <c r="J349" s="40">
        <v>45489</v>
      </c>
      <c r="K349" s="38">
        <v>21500</v>
      </c>
      <c r="L349" s="39" t="s">
        <v>380</v>
      </c>
      <c r="M349" s="38">
        <v>1500</v>
      </c>
      <c r="N349" s="39" t="s">
        <v>380</v>
      </c>
      <c r="O349" s="41">
        <v>43</v>
      </c>
      <c r="P349" s="38">
        <v>1.23</v>
      </c>
      <c r="Q349" s="38">
        <v>16900.549999999901</v>
      </c>
      <c r="R349" s="39" t="s">
        <v>237</v>
      </c>
    </row>
    <row r="350" spans="1:18" x14ac:dyDescent="0.3">
      <c r="A350" s="37" t="s">
        <v>378</v>
      </c>
      <c r="B350" s="37" t="s">
        <v>718</v>
      </c>
      <c r="C350" s="37" t="s">
        <v>372</v>
      </c>
      <c r="D350" s="37" t="s">
        <v>375</v>
      </c>
      <c r="E350" s="38">
        <v>3232.98</v>
      </c>
      <c r="F350" s="39" t="s">
        <v>237</v>
      </c>
      <c r="G350" s="38">
        <v>10000</v>
      </c>
      <c r="H350" s="39" t="s">
        <v>380</v>
      </c>
      <c r="I350" s="40">
        <v>45428</v>
      </c>
      <c r="J350" s="40">
        <v>45489</v>
      </c>
      <c r="K350" s="38">
        <v>10000</v>
      </c>
      <c r="L350" s="39" t="s">
        <v>380</v>
      </c>
      <c r="M350" s="38">
        <v>0</v>
      </c>
      <c r="N350" s="39" t="s">
        <v>380</v>
      </c>
      <c r="O350" s="41">
        <v>92</v>
      </c>
      <c r="P350" s="38">
        <v>0.67</v>
      </c>
      <c r="Q350" s="38">
        <v>3232.98</v>
      </c>
      <c r="R350" s="39" t="s">
        <v>237</v>
      </c>
    </row>
    <row r="351" spans="1:18" x14ac:dyDescent="0.3">
      <c r="A351" s="37" t="s">
        <v>378</v>
      </c>
      <c r="B351" s="37" t="s">
        <v>719</v>
      </c>
      <c r="C351" s="37" t="s">
        <v>372</v>
      </c>
      <c r="D351" s="37" t="s">
        <v>375</v>
      </c>
      <c r="E351" s="38">
        <v>0</v>
      </c>
      <c r="F351" s="39" t="s">
        <v>237</v>
      </c>
      <c r="G351" s="38">
        <v>0</v>
      </c>
      <c r="H351" s="39" t="s">
        <v>380</v>
      </c>
      <c r="I351" s="40">
        <v>45435</v>
      </c>
      <c r="J351" s="40">
        <v>45449</v>
      </c>
      <c r="K351" s="38">
        <v>10000</v>
      </c>
      <c r="L351" s="39" t="s">
        <v>380</v>
      </c>
      <c r="M351" s="38">
        <v>0</v>
      </c>
      <c r="N351" s="39" t="s">
        <v>380</v>
      </c>
      <c r="O351" s="41">
        <v>0</v>
      </c>
      <c r="P351" s="38">
        <v>4</v>
      </c>
      <c r="Q351" s="38">
        <v>3386.76</v>
      </c>
      <c r="R351" s="39" t="s">
        <v>237</v>
      </c>
    </row>
    <row r="352" spans="1:18" x14ac:dyDescent="0.3">
      <c r="A352" s="37" t="s">
        <v>378</v>
      </c>
      <c r="B352" s="37" t="s">
        <v>720</v>
      </c>
      <c r="C352" s="37" t="s">
        <v>372</v>
      </c>
      <c r="D352" s="37" t="s">
        <v>375</v>
      </c>
      <c r="E352" s="38">
        <v>0</v>
      </c>
      <c r="F352" s="39" t="s">
        <v>237</v>
      </c>
      <c r="G352" s="38">
        <v>0</v>
      </c>
      <c r="H352" s="39" t="s">
        <v>380</v>
      </c>
      <c r="I352" s="40">
        <v>45488</v>
      </c>
      <c r="J352" s="40">
        <v>45489</v>
      </c>
      <c r="K352" s="38">
        <v>1500</v>
      </c>
      <c r="L352" s="39" t="s">
        <v>380</v>
      </c>
      <c r="M352" s="38">
        <v>1500</v>
      </c>
      <c r="N352" s="39" t="s">
        <v>380</v>
      </c>
      <c r="O352" s="41">
        <v>0</v>
      </c>
      <c r="P352" s="38">
        <v>99999</v>
      </c>
      <c r="Q352" s="38">
        <v>475.11</v>
      </c>
      <c r="R352" s="39" t="s">
        <v>237</v>
      </c>
    </row>
    <row r="353" spans="1:18" x14ac:dyDescent="0.3">
      <c r="A353" s="37" t="s">
        <v>378</v>
      </c>
      <c r="B353" s="37" t="s">
        <v>721</v>
      </c>
      <c r="C353" s="37" t="s">
        <v>372</v>
      </c>
      <c r="D353" s="37" t="s">
        <v>375</v>
      </c>
      <c r="E353" s="38">
        <v>90</v>
      </c>
      <c r="F353" s="39" t="s">
        <v>237</v>
      </c>
      <c r="G353" s="38">
        <v>450</v>
      </c>
      <c r="H353" s="39" t="s">
        <v>380</v>
      </c>
      <c r="I353" s="40">
        <v>45432</v>
      </c>
      <c r="J353" s="40">
        <v>45432</v>
      </c>
      <c r="K353" s="38">
        <v>0</v>
      </c>
      <c r="L353" s="39" t="s">
        <v>380</v>
      </c>
      <c r="M353" s="38">
        <v>0</v>
      </c>
      <c r="N353" s="39" t="s">
        <v>380</v>
      </c>
      <c r="O353" s="41">
        <v>99999</v>
      </c>
      <c r="P353" s="38">
        <v>0</v>
      </c>
      <c r="Q353" s="38">
        <v>0</v>
      </c>
      <c r="R353" s="39" t="s">
        <v>237</v>
      </c>
    </row>
    <row r="354" spans="1:18" x14ac:dyDescent="0.3">
      <c r="A354" s="37" t="s">
        <v>378</v>
      </c>
      <c r="B354" s="37" t="s">
        <v>722</v>
      </c>
      <c r="C354" s="37" t="s">
        <v>372</v>
      </c>
      <c r="D354" s="37" t="s">
        <v>377</v>
      </c>
      <c r="E354" s="38">
        <v>37964.79</v>
      </c>
      <c r="F354" s="39" t="s">
        <v>237</v>
      </c>
      <c r="G354" s="38">
        <v>6920.9049999999897</v>
      </c>
      <c r="H354" s="39" t="s">
        <v>374</v>
      </c>
      <c r="I354" s="40">
        <v>45464</v>
      </c>
      <c r="J354" s="40">
        <v>44956</v>
      </c>
      <c r="K354" s="38">
        <v>7541.0230000000001</v>
      </c>
      <c r="L354" s="39" t="s">
        <v>374</v>
      </c>
      <c r="M354" s="38">
        <v>9680.1509999999907</v>
      </c>
      <c r="N354" s="39" t="s">
        <v>374</v>
      </c>
      <c r="O354" s="41">
        <v>189</v>
      </c>
      <c r="P354" s="38">
        <v>0.46</v>
      </c>
      <c r="Q354" s="38">
        <v>18436.11</v>
      </c>
      <c r="R354" s="39" t="s">
        <v>237</v>
      </c>
    </row>
    <row r="355" spans="1:18" x14ac:dyDescent="0.3">
      <c r="A355" s="37" t="s">
        <v>378</v>
      </c>
      <c r="B355" s="37" t="s">
        <v>723</v>
      </c>
      <c r="C355" s="37" t="s">
        <v>372</v>
      </c>
      <c r="D355" s="37" t="s">
        <v>377</v>
      </c>
      <c r="E355" s="38">
        <v>88845.029999999897</v>
      </c>
      <c r="F355" s="39" t="s">
        <v>237</v>
      </c>
      <c r="G355" s="38">
        <v>17041.745999999901</v>
      </c>
      <c r="H355" s="39" t="s">
        <v>374</v>
      </c>
      <c r="I355" s="40">
        <v>45523</v>
      </c>
      <c r="J355" s="40">
        <v>44198</v>
      </c>
      <c r="K355" s="38">
        <v>78039.714999999895</v>
      </c>
      <c r="L355" s="39" t="s">
        <v>374</v>
      </c>
      <c r="M355" s="38">
        <v>81268.399999999907</v>
      </c>
      <c r="N355" s="39" t="s">
        <v>374</v>
      </c>
      <c r="O355" s="41">
        <v>39</v>
      </c>
      <c r="P355" s="38">
        <v>2.1800000000000002</v>
      </c>
      <c r="Q355" s="38">
        <v>209555.67</v>
      </c>
      <c r="R355" s="39" t="s">
        <v>237</v>
      </c>
    </row>
    <row r="356" spans="1:18" x14ac:dyDescent="0.3">
      <c r="A356" s="37" t="s">
        <v>378</v>
      </c>
      <c r="B356" s="37" t="s">
        <v>724</v>
      </c>
      <c r="C356" s="37" t="s">
        <v>372</v>
      </c>
      <c r="D356" s="37" t="s">
        <v>377</v>
      </c>
      <c r="E356" s="38">
        <v>29.3</v>
      </c>
      <c r="F356" s="39" t="s">
        <v>237</v>
      </c>
      <c r="G356" s="38">
        <v>2930.9</v>
      </c>
      <c r="H356" s="39" t="s">
        <v>374</v>
      </c>
      <c r="I356" s="40">
        <v>44447</v>
      </c>
      <c r="J356" s="40">
        <v>45274</v>
      </c>
      <c r="K356" s="38">
        <v>0</v>
      </c>
      <c r="L356" s="39" t="s">
        <v>374</v>
      </c>
      <c r="M356" s="38">
        <v>0</v>
      </c>
      <c r="N356" s="39" t="s">
        <v>374</v>
      </c>
      <c r="O356" s="41">
        <v>99999</v>
      </c>
      <c r="P356" s="38">
        <v>0</v>
      </c>
      <c r="Q356" s="38">
        <v>0</v>
      </c>
      <c r="R356" s="39" t="s">
        <v>237</v>
      </c>
    </row>
    <row r="357" spans="1:18" x14ac:dyDescent="0.3">
      <c r="A357" s="37" t="s">
        <v>378</v>
      </c>
      <c r="B357" s="37" t="s">
        <v>725</v>
      </c>
      <c r="C357" s="37" t="s">
        <v>372</v>
      </c>
      <c r="D357" s="37" t="s">
        <v>377</v>
      </c>
      <c r="E357" s="38">
        <v>2744.34</v>
      </c>
      <c r="F357" s="39" t="s">
        <v>237</v>
      </c>
      <c r="G357" s="38">
        <v>196.024</v>
      </c>
      <c r="H357" s="39" t="s">
        <v>374</v>
      </c>
      <c r="I357" s="40">
        <v>45534</v>
      </c>
      <c r="J357" s="40">
        <v>45532</v>
      </c>
      <c r="K357" s="38">
        <v>351.3</v>
      </c>
      <c r="L357" s="39" t="s">
        <v>374</v>
      </c>
      <c r="M357" s="38">
        <v>200.708</v>
      </c>
      <c r="N357" s="39" t="s">
        <v>374</v>
      </c>
      <c r="O357" s="41">
        <v>120</v>
      </c>
      <c r="P357" s="38">
        <v>0.51</v>
      </c>
      <c r="Q357" s="38">
        <v>2108.27</v>
      </c>
      <c r="R357" s="39" t="s">
        <v>237</v>
      </c>
    </row>
    <row r="358" spans="1:18" x14ac:dyDescent="0.3">
      <c r="A358" s="37" t="s">
        <v>378</v>
      </c>
      <c r="B358" s="37" t="s">
        <v>726</v>
      </c>
      <c r="C358" s="37" t="s">
        <v>372</v>
      </c>
      <c r="D358" s="37" t="s">
        <v>377</v>
      </c>
      <c r="E358" s="38">
        <v>626.62</v>
      </c>
      <c r="F358" s="39" t="s">
        <v>237</v>
      </c>
      <c r="G358" s="38">
        <v>31.5459999999999</v>
      </c>
      <c r="H358" s="39" t="s">
        <v>374</v>
      </c>
      <c r="I358" s="40">
        <v>45406</v>
      </c>
      <c r="J358" s="40">
        <v>45408</v>
      </c>
      <c r="K358" s="38">
        <v>0</v>
      </c>
      <c r="L358" s="39" t="s">
        <v>374</v>
      </c>
      <c r="M358" s="38">
        <v>0</v>
      </c>
      <c r="N358" s="39" t="s">
        <v>374</v>
      </c>
      <c r="O358" s="41">
        <v>99999</v>
      </c>
      <c r="P358" s="38">
        <v>0</v>
      </c>
      <c r="Q358" s="38">
        <v>0</v>
      </c>
      <c r="R358" s="39" t="s">
        <v>237</v>
      </c>
    </row>
    <row r="359" spans="1:18" x14ac:dyDescent="0.3">
      <c r="A359" s="37" t="s">
        <v>378</v>
      </c>
      <c r="B359" s="37" t="s">
        <v>727</v>
      </c>
      <c r="C359" s="37" t="s">
        <v>372</v>
      </c>
      <c r="D359" s="37" t="s">
        <v>377</v>
      </c>
      <c r="E359" s="38">
        <v>1142.54</v>
      </c>
      <c r="F359" s="39" t="s">
        <v>237</v>
      </c>
      <c r="G359" s="38">
        <v>40.805</v>
      </c>
      <c r="H359" s="39" t="s">
        <v>374</v>
      </c>
      <c r="I359" s="40">
        <v>44915</v>
      </c>
      <c r="J359" s="40">
        <v>45264</v>
      </c>
      <c r="K359" s="38">
        <v>0</v>
      </c>
      <c r="L359" s="39" t="s">
        <v>374</v>
      </c>
      <c r="M359" s="38">
        <v>0</v>
      </c>
      <c r="N359" s="39" t="s">
        <v>374</v>
      </c>
      <c r="O359" s="41">
        <v>99999</v>
      </c>
      <c r="P359" s="38">
        <v>0</v>
      </c>
      <c r="Q359" s="38">
        <v>0</v>
      </c>
      <c r="R359" s="39" t="s">
        <v>237</v>
      </c>
    </row>
    <row r="360" spans="1:18" x14ac:dyDescent="0.3">
      <c r="A360" s="37" t="s">
        <v>378</v>
      </c>
      <c r="B360" s="37" t="s">
        <v>728</v>
      </c>
      <c r="C360" s="37" t="s">
        <v>372</v>
      </c>
      <c r="D360" s="37" t="s">
        <v>377</v>
      </c>
      <c r="E360" s="38">
        <v>0</v>
      </c>
      <c r="F360" s="39" t="s">
        <v>237</v>
      </c>
      <c r="G360" s="38">
        <v>0</v>
      </c>
      <c r="H360" s="39" t="s">
        <v>374</v>
      </c>
      <c r="I360" s="40">
        <v>44519</v>
      </c>
      <c r="J360" s="40">
        <v>44522</v>
      </c>
      <c r="K360" s="38">
        <v>0</v>
      </c>
      <c r="L360" s="39" t="s">
        <v>374</v>
      </c>
      <c r="M360" s="38">
        <v>0</v>
      </c>
      <c r="N360" s="39" t="s">
        <v>374</v>
      </c>
      <c r="O360" s="41">
        <v>0</v>
      </c>
      <c r="P360" s="38">
        <v>0</v>
      </c>
      <c r="Q360" s="38">
        <v>0</v>
      </c>
      <c r="R360" s="39" t="s">
        <v>237</v>
      </c>
    </row>
    <row r="361" spans="1:18" x14ac:dyDescent="0.3">
      <c r="A361" s="37" t="s">
        <v>378</v>
      </c>
      <c r="B361" s="37" t="s">
        <v>729</v>
      </c>
      <c r="C361" s="37" t="s">
        <v>372</v>
      </c>
      <c r="D361" s="37" t="s">
        <v>377</v>
      </c>
      <c r="E361" s="38">
        <v>1475.2</v>
      </c>
      <c r="F361" s="39" t="s">
        <v>237</v>
      </c>
      <c r="G361" s="38">
        <v>46.1</v>
      </c>
      <c r="H361" s="39" t="s">
        <v>374</v>
      </c>
      <c r="I361" s="40">
        <v>45023</v>
      </c>
      <c r="J361" s="40">
        <v>44964</v>
      </c>
      <c r="K361" s="38">
        <v>0</v>
      </c>
      <c r="L361" s="39" t="s">
        <v>374</v>
      </c>
      <c r="M361" s="38">
        <v>0</v>
      </c>
      <c r="N361" s="39" t="s">
        <v>374</v>
      </c>
      <c r="O361" s="41">
        <v>99999</v>
      </c>
      <c r="P361" s="38">
        <v>0</v>
      </c>
      <c r="Q361" s="38">
        <v>0</v>
      </c>
      <c r="R361" s="39" t="s">
        <v>237</v>
      </c>
    </row>
    <row r="362" spans="1:18" x14ac:dyDescent="0.3">
      <c r="A362" s="37" t="s">
        <v>378</v>
      </c>
      <c r="B362" s="37" t="s">
        <v>730</v>
      </c>
      <c r="C362" s="37" t="s">
        <v>372</v>
      </c>
      <c r="D362" s="37" t="s">
        <v>377</v>
      </c>
      <c r="E362" s="38">
        <v>0</v>
      </c>
      <c r="F362" s="39" t="s">
        <v>237</v>
      </c>
      <c r="G362" s="38">
        <v>0</v>
      </c>
      <c r="H362" s="39" t="s">
        <v>374</v>
      </c>
      <c r="I362" s="40">
        <v>44197</v>
      </c>
      <c r="J362" s="40">
        <v>44755</v>
      </c>
      <c r="K362" s="38">
        <v>0</v>
      </c>
      <c r="L362" s="39" t="s">
        <v>374</v>
      </c>
      <c r="M362" s="38">
        <v>0</v>
      </c>
      <c r="N362" s="39" t="s">
        <v>374</v>
      </c>
      <c r="O362" s="41">
        <v>0</v>
      </c>
      <c r="P362" s="38">
        <v>0</v>
      </c>
      <c r="Q362" s="38">
        <v>0</v>
      </c>
      <c r="R362" s="39" t="s">
        <v>237</v>
      </c>
    </row>
    <row r="363" spans="1:18" x14ac:dyDescent="0.3">
      <c r="A363" s="37" t="s">
        <v>378</v>
      </c>
      <c r="B363" s="37" t="s">
        <v>731</v>
      </c>
      <c r="C363" s="37" t="s">
        <v>372</v>
      </c>
      <c r="D363" s="37" t="s">
        <v>377</v>
      </c>
      <c r="E363" s="38">
        <v>778.94</v>
      </c>
      <c r="F363" s="39" t="s">
        <v>237</v>
      </c>
      <c r="G363" s="38">
        <v>25</v>
      </c>
      <c r="H363" s="39" t="s">
        <v>374</v>
      </c>
      <c r="I363" s="40">
        <v>44503</v>
      </c>
      <c r="J363" s="40">
        <v>44460</v>
      </c>
      <c r="K363" s="38">
        <v>0</v>
      </c>
      <c r="L363" s="39" t="s">
        <v>374</v>
      </c>
      <c r="M363" s="38">
        <v>0</v>
      </c>
      <c r="N363" s="39" t="s">
        <v>374</v>
      </c>
      <c r="O363" s="41">
        <v>99999</v>
      </c>
      <c r="P363" s="38">
        <v>0</v>
      </c>
      <c r="Q363" s="38">
        <v>0</v>
      </c>
      <c r="R363" s="39" t="s">
        <v>237</v>
      </c>
    </row>
    <row r="364" spans="1:18" x14ac:dyDescent="0.3">
      <c r="A364" s="37" t="s">
        <v>378</v>
      </c>
      <c r="B364" s="37" t="s">
        <v>732</v>
      </c>
      <c r="C364" s="37" t="s">
        <v>372</v>
      </c>
      <c r="D364" s="37" t="s">
        <v>377</v>
      </c>
      <c r="E364" s="38">
        <v>0</v>
      </c>
      <c r="F364" s="39" t="s">
        <v>237</v>
      </c>
      <c r="G364" s="38">
        <v>0</v>
      </c>
      <c r="H364" s="39" t="s">
        <v>374</v>
      </c>
      <c r="I364" s="40">
        <v>44894</v>
      </c>
      <c r="J364" s="40">
        <v>45015</v>
      </c>
      <c r="K364" s="38">
        <v>0</v>
      </c>
      <c r="L364" s="39" t="s">
        <v>374</v>
      </c>
      <c r="M364" s="38">
        <v>0</v>
      </c>
      <c r="N364" s="39" t="s">
        <v>374</v>
      </c>
      <c r="O364" s="41">
        <v>0</v>
      </c>
      <c r="P364" s="38">
        <v>0</v>
      </c>
      <c r="Q364" s="38">
        <v>0</v>
      </c>
      <c r="R364" s="39" t="s">
        <v>237</v>
      </c>
    </row>
    <row r="365" spans="1:18" x14ac:dyDescent="0.3">
      <c r="A365" s="37" t="s">
        <v>378</v>
      </c>
      <c r="B365" s="37" t="s">
        <v>733</v>
      </c>
      <c r="C365" s="37" t="s">
        <v>372</v>
      </c>
      <c r="D365" s="37" t="s">
        <v>377</v>
      </c>
      <c r="E365" s="38">
        <v>2577.1799999999898</v>
      </c>
      <c r="F365" s="39" t="s">
        <v>237</v>
      </c>
      <c r="G365" s="38">
        <v>83.135000000000005</v>
      </c>
      <c r="H365" s="39" t="s">
        <v>374</v>
      </c>
      <c r="I365" s="40">
        <v>45484</v>
      </c>
      <c r="J365" s="40">
        <v>45488</v>
      </c>
      <c r="K365" s="38">
        <v>58.265000000000001</v>
      </c>
      <c r="L365" s="39" t="s">
        <v>374</v>
      </c>
      <c r="M365" s="38">
        <v>41.399999999999899</v>
      </c>
      <c r="N365" s="39" t="s">
        <v>374</v>
      </c>
      <c r="O365" s="41">
        <v>454</v>
      </c>
      <c r="P365" s="38">
        <v>0.18</v>
      </c>
      <c r="Q365" s="38">
        <v>522.82000000000005</v>
      </c>
      <c r="R365" s="39" t="s">
        <v>237</v>
      </c>
    </row>
    <row r="366" spans="1:18" x14ac:dyDescent="0.3">
      <c r="A366" s="37" t="s">
        <v>378</v>
      </c>
      <c r="B366" s="37" t="s">
        <v>734</v>
      </c>
      <c r="C366" s="37" t="s">
        <v>372</v>
      </c>
      <c r="D366" s="37" t="s">
        <v>377</v>
      </c>
      <c r="E366" s="38">
        <v>689.33</v>
      </c>
      <c r="F366" s="39" t="s">
        <v>237</v>
      </c>
      <c r="G366" s="38">
        <v>24</v>
      </c>
      <c r="H366" s="39" t="s">
        <v>374</v>
      </c>
      <c r="I366" s="40">
        <v>44445</v>
      </c>
      <c r="J366" s="40">
        <v>44503</v>
      </c>
      <c r="K366" s="38">
        <v>0</v>
      </c>
      <c r="L366" s="39" t="s">
        <v>374</v>
      </c>
      <c r="M366" s="38">
        <v>0</v>
      </c>
      <c r="N366" s="39" t="s">
        <v>374</v>
      </c>
      <c r="O366" s="41">
        <v>99999</v>
      </c>
      <c r="P366" s="38">
        <v>0</v>
      </c>
      <c r="Q366" s="38">
        <v>0</v>
      </c>
      <c r="R366" s="39" t="s">
        <v>237</v>
      </c>
    </row>
    <row r="367" spans="1:18" x14ac:dyDescent="0.3">
      <c r="A367" s="37" t="s">
        <v>378</v>
      </c>
      <c r="B367" s="37" t="s">
        <v>735</v>
      </c>
      <c r="C367" s="37" t="s">
        <v>372</v>
      </c>
      <c r="D367" s="37" t="s">
        <v>377</v>
      </c>
      <c r="E367" s="38">
        <v>0</v>
      </c>
      <c r="F367" s="39" t="s">
        <v>237</v>
      </c>
      <c r="G367" s="38">
        <v>0</v>
      </c>
      <c r="H367" s="39" t="s">
        <v>374</v>
      </c>
      <c r="I367" s="40">
        <v>45478</v>
      </c>
      <c r="J367" s="40">
        <v>45488</v>
      </c>
      <c r="K367" s="38">
        <v>1.1080000000000001</v>
      </c>
      <c r="L367" s="39" t="s">
        <v>374</v>
      </c>
      <c r="M367" s="38">
        <v>1.1080000000000001</v>
      </c>
      <c r="N367" s="39" t="s">
        <v>374</v>
      </c>
      <c r="O367" s="41">
        <v>0</v>
      </c>
      <c r="P367" s="38">
        <v>99999</v>
      </c>
      <c r="Q367" s="38">
        <v>0</v>
      </c>
      <c r="R367" s="39" t="s">
        <v>237</v>
      </c>
    </row>
    <row r="368" spans="1:18" x14ac:dyDescent="0.3">
      <c r="A368" s="37" t="s">
        <v>378</v>
      </c>
      <c r="B368" s="37" t="s">
        <v>736</v>
      </c>
      <c r="C368" s="37" t="s">
        <v>372</v>
      </c>
      <c r="D368" s="37" t="s">
        <v>377</v>
      </c>
      <c r="E368" s="38">
        <v>0</v>
      </c>
      <c r="F368" s="39" t="s">
        <v>237</v>
      </c>
      <c r="G368" s="38">
        <v>0</v>
      </c>
      <c r="H368" s="39" t="s">
        <v>374</v>
      </c>
      <c r="I368" s="40">
        <v>44677</v>
      </c>
      <c r="J368" s="40">
        <v>44755</v>
      </c>
      <c r="K368" s="38">
        <v>0</v>
      </c>
      <c r="L368" s="39" t="s">
        <v>374</v>
      </c>
      <c r="M368" s="38">
        <v>0</v>
      </c>
      <c r="N368" s="39" t="s">
        <v>374</v>
      </c>
      <c r="O368" s="41">
        <v>0</v>
      </c>
      <c r="P368" s="38">
        <v>0</v>
      </c>
      <c r="Q368" s="38">
        <v>0</v>
      </c>
      <c r="R368" s="39" t="s">
        <v>237</v>
      </c>
    </row>
    <row r="369" spans="1:18" x14ac:dyDescent="0.3">
      <c r="A369" s="37" t="s">
        <v>378</v>
      </c>
      <c r="B369" s="37" t="s">
        <v>737</v>
      </c>
      <c r="C369" s="37" t="s">
        <v>372</v>
      </c>
      <c r="D369" s="37" t="s">
        <v>377</v>
      </c>
      <c r="E369" s="38">
        <v>2534.0999999999899</v>
      </c>
      <c r="F369" s="39" t="s">
        <v>237</v>
      </c>
      <c r="G369" s="38">
        <v>200.87700000000001</v>
      </c>
      <c r="H369" s="39" t="s">
        <v>374</v>
      </c>
      <c r="I369" s="40">
        <v>45531</v>
      </c>
      <c r="J369" s="40">
        <v>45531</v>
      </c>
      <c r="K369" s="38">
        <v>435.55700000000002</v>
      </c>
      <c r="L369" s="39" t="s">
        <v>374</v>
      </c>
      <c r="M369" s="38">
        <v>254.755</v>
      </c>
      <c r="N369" s="39" t="s">
        <v>374</v>
      </c>
      <c r="O369" s="41">
        <v>102</v>
      </c>
      <c r="P369" s="38">
        <v>0.59</v>
      </c>
      <c r="Q369" s="38">
        <v>2280.84</v>
      </c>
      <c r="R369" s="39" t="s">
        <v>237</v>
      </c>
    </row>
    <row r="370" spans="1:18" x14ac:dyDescent="0.3">
      <c r="A370" s="37" t="s">
        <v>378</v>
      </c>
      <c r="B370" s="37" t="s">
        <v>738</v>
      </c>
      <c r="C370" s="37" t="s">
        <v>372</v>
      </c>
      <c r="D370" s="37" t="s">
        <v>377</v>
      </c>
      <c r="E370" s="38">
        <v>0</v>
      </c>
      <c r="F370" s="39" t="s">
        <v>237</v>
      </c>
      <c r="G370" s="38">
        <v>0</v>
      </c>
      <c r="H370" s="39" t="s">
        <v>374</v>
      </c>
      <c r="I370" s="40">
        <v>45511</v>
      </c>
      <c r="J370" s="40">
        <v>45511</v>
      </c>
      <c r="K370" s="38">
        <v>24.614000000000001</v>
      </c>
      <c r="L370" s="39" t="s">
        <v>374</v>
      </c>
      <c r="M370" s="38">
        <v>17.568000000000001</v>
      </c>
      <c r="N370" s="39" t="s">
        <v>374</v>
      </c>
      <c r="O370" s="41">
        <v>0</v>
      </c>
      <c r="P370" s="38">
        <v>10.97</v>
      </c>
      <c r="Q370" s="38">
        <v>0.19</v>
      </c>
      <c r="R370" s="39" t="s">
        <v>237</v>
      </c>
    </row>
    <row r="371" spans="1:18" x14ac:dyDescent="0.3">
      <c r="A371" s="37" t="s">
        <v>378</v>
      </c>
      <c r="B371" s="37" t="s">
        <v>739</v>
      </c>
      <c r="C371" s="37" t="s">
        <v>372</v>
      </c>
      <c r="D371" s="37" t="s">
        <v>377</v>
      </c>
      <c r="E371" s="38">
        <v>0</v>
      </c>
      <c r="F371" s="39" t="s">
        <v>237</v>
      </c>
      <c r="G371" s="38">
        <v>0</v>
      </c>
      <c r="H371" s="39" t="s">
        <v>374</v>
      </c>
      <c r="I371" s="40">
        <v>44754</v>
      </c>
      <c r="J371" s="40">
        <v>44755</v>
      </c>
      <c r="K371" s="38">
        <v>0</v>
      </c>
      <c r="L371" s="39" t="s">
        <v>374</v>
      </c>
      <c r="M371" s="38">
        <v>0</v>
      </c>
      <c r="N371" s="39" t="s">
        <v>374</v>
      </c>
      <c r="O371" s="41">
        <v>0</v>
      </c>
      <c r="P371" s="38">
        <v>0</v>
      </c>
      <c r="Q371" s="38">
        <v>0</v>
      </c>
      <c r="R371" s="39" t="s">
        <v>237</v>
      </c>
    </row>
    <row r="372" spans="1:18" x14ac:dyDescent="0.3">
      <c r="A372" s="37" t="s">
        <v>378</v>
      </c>
      <c r="B372" s="37" t="s">
        <v>740</v>
      </c>
      <c r="C372" s="37" t="s">
        <v>372</v>
      </c>
      <c r="D372" s="37" t="s">
        <v>377</v>
      </c>
      <c r="E372" s="38">
        <v>7752.89</v>
      </c>
      <c r="F372" s="39" t="s">
        <v>237</v>
      </c>
      <c r="G372" s="38">
        <v>1432.9490000000001</v>
      </c>
      <c r="H372" s="39" t="s">
        <v>374</v>
      </c>
      <c r="I372" s="40">
        <v>45510</v>
      </c>
      <c r="J372" s="40">
        <v>45510</v>
      </c>
      <c r="K372" s="38">
        <v>319.346</v>
      </c>
      <c r="L372" s="39" t="s">
        <v>374</v>
      </c>
      <c r="M372" s="38">
        <v>1457.423</v>
      </c>
      <c r="N372" s="39" t="s">
        <v>374</v>
      </c>
      <c r="O372" s="41">
        <v>1178</v>
      </c>
      <c r="P372" s="38">
        <v>0.1</v>
      </c>
      <c r="Q372" s="38">
        <v>605.54999999999905</v>
      </c>
      <c r="R372" s="39" t="s">
        <v>237</v>
      </c>
    </row>
    <row r="373" spans="1:18" x14ac:dyDescent="0.3">
      <c r="A373" s="37" t="s">
        <v>378</v>
      </c>
      <c r="B373" s="37" t="s">
        <v>741</v>
      </c>
      <c r="C373" s="37" t="s">
        <v>372</v>
      </c>
      <c r="D373" s="37" t="s">
        <v>377</v>
      </c>
      <c r="E373" s="38">
        <v>13062.25</v>
      </c>
      <c r="F373" s="39" t="s">
        <v>237</v>
      </c>
      <c r="G373" s="38">
        <v>2348.6370000000002</v>
      </c>
      <c r="H373" s="39" t="s">
        <v>374</v>
      </c>
      <c r="I373" s="40"/>
      <c r="J373" s="40"/>
      <c r="K373" s="38">
        <v>26777.862000000001</v>
      </c>
      <c r="L373" s="39" t="s">
        <v>374</v>
      </c>
      <c r="M373" s="38">
        <v>21122.0999999999</v>
      </c>
      <c r="N373" s="39" t="s">
        <v>374</v>
      </c>
      <c r="O373" s="41">
        <v>16</v>
      </c>
      <c r="P373" s="38">
        <v>1.58</v>
      </c>
      <c r="Q373" s="38">
        <v>74336.949999999895</v>
      </c>
      <c r="R373" s="39" t="s">
        <v>237</v>
      </c>
    </row>
    <row r="374" spans="1:18" x14ac:dyDescent="0.3">
      <c r="A374" s="37" t="s">
        <v>378</v>
      </c>
      <c r="B374" s="37" t="s">
        <v>742</v>
      </c>
      <c r="C374" s="37" t="s">
        <v>372</v>
      </c>
      <c r="D374" s="37" t="s">
        <v>377</v>
      </c>
      <c r="E374" s="38">
        <v>349.5</v>
      </c>
      <c r="F374" s="39" t="s">
        <v>237</v>
      </c>
      <c r="G374" s="38">
        <v>75</v>
      </c>
      <c r="H374" s="39" t="s">
        <v>374</v>
      </c>
      <c r="I374" s="40">
        <v>44197</v>
      </c>
      <c r="J374" s="40"/>
      <c r="K374" s="38">
        <v>0</v>
      </c>
      <c r="L374" s="39" t="s">
        <v>374</v>
      </c>
      <c r="M374" s="38">
        <v>0</v>
      </c>
      <c r="N374" s="39" t="s">
        <v>374</v>
      </c>
      <c r="O374" s="41">
        <v>99999</v>
      </c>
      <c r="P374" s="38">
        <v>0</v>
      </c>
      <c r="Q374" s="38">
        <v>0</v>
      </c>
      <c r="R374" s="39" t="s">
        <v>237</v>
      </c>
    </row>
    <row r="375" spans="1:18" x14ac:dyDescent="0.3">
      <c r="A375" s="37" t="s">
        <v>378</v>
      </c>
      <c r="B375" s="37" t="s">
        <v>743</v>
      </c>
      <c r="C375" s="37" t="s">
        <v>372</v>
      </c>
      <c r="D375" s="37" t="s">
        <v>377</v>
      </c>
      <c r="E375" s="38">
        <v>0</v>
      </c>
      <c r="F375" s="39" t="s">
        <v>237</v>
      </c>
      <c r="G375" s="38">
        <v>0</v>
      </c>
      <c r="H375" s="39" t="s">
        <v>374</v>
      </c>
      <c r="I375" s="40"/>
      <c r="J375" s="40">
        <v>44789</v>
      </c>
      <c r="K375" s="38">
        <v>0</v>
      </c>
      <c r="L375" s="39" t="s">
        <v>374</v>
      </c>
      <c r="M375" s="38">
        <v>0</v>
      </c>
      <c r="N375" s="39" t="s">
        <v>374</v>
      </c>
      <c r="O375" s="41">
        <v>0</v>
      </c>
      <c r="P375" s="38">
        <v>0</v>
      </c>
      <c r="Q375" s="38">
        <v>0</v>
      </c>
      <c r="R375" s="39" t="s">
        <v>237</v>
      </c>
    </row>
    <row r="376" spans="1:18" x14ac:dyDescent="0.3">
      <c r="A376" s="37" t="s">
        <v>378</v>
      </c>
      <c r="B376" s="37" t="s">
        <v>744</v>
      </c>
      <c r="C376" s="37" t="s">
        <v>372</v>
      </c>
      <c r="D376" s="37" t="s">
        <v>377</v>
      </c>
      <c r="E376" s="38">
        <v>48578.68</v>
      </c>
      <c r="F376" s="39" t="s">
        <v>237</v>
      </c>
      <c r="G376" s="38">
        <v>8411.9310000000005</v>
      </c>
      <c r="H376" s="39" t="s">
        <v>374</v>
      </c>
      <c r="I376" s="40">
        <v>45533</v>
      </c>
      <c r="J376" s="40">
        <v>45533</v>
      </c>
      <c r="K376" s="38">
        <v>30337.371999999901</v>
      </c>
      <c r="L376" s="39" t="s">
        <v>374</v>
      </c>
      <c r="M376" s="38">
        <v>32507.22</v>
      </c>
      <c r="N376" s="39" t="s">
        <v>374</v>
      </c>
      <c r="O376" s="41">
        <v>60</v>
      </c>
      <c r="P376" s="38">
        <v>1.57</v>
      </c>
      <c r="Q376" s="38">
        <v>74943.029999999897</v>
      </c>
      <c r="R376" s="39" t="s">
        <v>237</v>
      </c>
    </row>
    <row r="377" spans="1:18" x14ac:dyDescent="0.3">
      <c r="A377" s="37" t="s">
        <v>378</v>
      </c>
      <c r="B377" s="37" t="s">
        <v>745</v>
      </c>
      <c r="C377" s="37" t="s">
        <v>372</v>
      </c>
      <c r="D377" s="37" t="s">
        <v>377</v>
      </c>
      <c r="E377" s="38">
        <v>0</v>
      </c>
      <c r="F377" s="39" t="s">
        <v>237</v>
      </c>
      <c r="G377" s="38">
        <v>0</v>
      </c>
      <c r="H377" s="39" t="s">
        <v>374</v>
      </c>
      <c r="I377" s="40">
        <v>44754</v>
      </c>
      <c r="J377" s="40">
        <v>44755</v>
      </c>
      <c r="K377" s="38">
        <v>0</v>
      </c>
      <c r="L377" s="39" t="s">
        <v>374</v>
      </c>
      <c r="M377" s="38">
        <v>0</v>
      </c>
      <c r="N377" s="39" t="s">
        <v>374</v>
      </c>
      <c r="O377" s="41">
        <v>0</v>
      </c>
      <c r="P377" s="38">
        <v>0</v>
      </c>
      <c r="Q377" s="38">
        <v>0</v>
      </c>
      <c r="R377" s="39" t="s">
        <v>237</v>
      </c>
    </row>
    <row r="378" spans="1:18" x14ac:dyDescent="0.3">
      <c r="A378" s="37" t="s">
        <v>378</v>
      </c>
      <c r="B378" s="37" t="s">
        <v>746</v>
      </c>
      <c r="C378" s="37" t="s">
        <v>372</v>
      </c>
      <c r="D378" s="37" t="s">
        <v>377</v>
      </c>
      <c r="E378" s="38">
        <v>0</v>
      </c>
      <c r="F378" s="39" t="s">
        <v>237</v>
      </c>
      <c r="G378" s="38">
        <v>0</v>
      </c>
      <c r="H378" s="39" t="s">
        <v>374</v>
      </c>
      <c r="I378" s="40">
        <v>44915</v>
      </c>
      <c r="J378" s="40">
        <v>45015</v>
      </c>
      <c r="K378" s="38">
        <v>0</v>
      </c>
      <c r="L378" s="39" t="s">
        <v>374</v>
      </c>
      <c r="M378" s="38">
        <v>0</v>
      </c>
      <c r="N378" s="39" t="s">
        <v>374</v>
      </c>
      <c r="O378" s="41">
        <v>0</v>
      </c>
      <c r="P378" s="38">
        <v>0</v>
      </c>
      <c r="Q378" s="38">
        <v>0</v>
      </c>
      <c r="R378" s="39" t="s">
        <v>237</v>
      </c>
    </row>
    <row r="379" spans="1:18" x14ac:dyDescent="0.3">
      <c r="A379" s="37" t="s">
        <v>378</v>
      </c>
      <c r="B379" s="37" t="s">
        <v>747</v>
      </c>
      <c r="C379" s="37" t="s">
        <v>372</v>
      </c>
      <c r="D379" s="37" t="s">
        <v>377</v>
      </c>
      <c r="E379" s="38">
        <v>0</v>
      </c>
      <c r="F379" s="39" t="s">
        <v>237</v>
      </c>
      <c r="G379" s="38">
        <v>0</v>
      </c>
      <c r="H379" s="39" t="s">
        <v>374</v>
      </c>
      <c r="I379" s="40">
        <v>44655</v>
      </c>
      <c r="J379" s="40">
        <v>44915</v>
      </c>
      <c r="K379" s="38">
        <v>0</v>
      </c>
      <c r="L379" s="39" t="s">
        <v>374</v>
      </c>
      <c r="M379" s="38">
        <v>0</v>
      </c>
      <c r="N379" s="39" t="s">
        <v>374</v>
      </c>
      <c r="O379" s="41">
        <v>0</v>
      </c>
      <c r="P379" s="38">
        <v>0</v>
      </c>
      <c r="Q379" s="38">
        <v>0</v>
      </c>
      <c r="R379" s="39" t="s">
        <v>237</v>
      </c>
    </row>
    <row r="380" spans="1:18" x14ac:dyDescent="0.3">
      <c r="A380" s="37" t="s">
        <v>378</v>
      </c>
      <c r="B380" s="37" t="s">
        <v>748</v>
      </c>
      <c r="C380" s="37" t="s">
        <v>372</v>
      </c>
      <c r="D380" s="37" t="s">
        <v>377</v>
      </c>
      <c r="E380" s="38">
        <v>931.17999999999904</v>
      </c>
      <c r="F380" s="39" t="s">
        <v>237</v>
      </c>
      <c r="G380" s="38">
        <v>46.558999999999898</v>
      </c>
      <c r="H380" s="39" t="s">
        <v>374</v>
      </c>
      <c r="I380" s="40">
        <v>45436</v>
      </c>
      <c r="J380" s="40">
        <v>45428</v>
      </c>
      <c r="K380" s="38">
        <v>0</v>
      </c>
      <c r="L380" s="39" t="s">
        <v>374</v>
      </c>
      <c r="M380" s="38">
        <v>0</v>
      </c>
      <c r="N380" s="39" t="s">
        <v>374</v>
      </c>
      <c r="O380" s="41">
        <v>99999</v>
      </c>
      <c r="P380" s="38">
        <v>0</v>
      </c>
      <c r="Q380" s="38">
        <v>0</v>
      </c>
      <c r="R380" s="39" t="s">
        <v>237</v>
      </c>
    </row>
    <row r="381" spans="1:18" x14ac:dyDescent="0.3">
      <c r="A381" s="37" t="s">
        <v>378</v>
      </c>
      <c r="B381" s="37" t="s">
        <v>749</v>
      </c>
      <c r="C381" s="37" t="s">
        <v>372</v>
      </c>
      <c r="D381" s="37" t="s">
        <v>377</v>
      </c>
      <c r="E381" s="38">
        <v>0</v>
      </c>
      <c r="F381" s="39" t="s">
        <v>237</v>
      </c>
      <c r="G381" s="38">
        <v>0</v>
      </c>
      <c r="H381" s="39" t="s">
        <v>374</v>
      </c>
      <c r="I381" s="40">
        <v>45482</v>
      </c>
      <c r="J381" s="40">
        <v>45488</v>
      </c>
      <c r="K381" s="38">
        <v>2.3479999999999901</v>
      </c>
      <c r="L381" s="39" t="s">
        <v>374</v>
      </c>
      <c r="M381" s="38">
        <v>2.3479999999999901</v>
      </c>
      <c r="N381" s="39" t="s">
        <v>374</v>
      </c>
      <c r="O381" s="41">
        <v>0</v>
      </c>
      <c r="P381" s="38">
        <v>99999</v>
      </c>
      <c r="Q381" s="38">
        <v>0.01</v>
      </c>
      <c r="R381" s="39" t="s">
        <v>237</v>
      </c>
    </row>
    <row r="382" spans="1:18" x14ac:dyDescent="0.3">
      <c r="A382" s="37" t="s">
        <v>378</v>
      </c>
      <c r="B382" s="37" t="s">
        <v>750</v>
      </c>
      <c r="C382" s="37" t="s">
        <v>372</v>
      </c>
      <c r="D382" s="37" t="s">
        <v>377</v>
      </c>
      <c r="E382" s="38">
        <v>530.32000000000005</v>
      </c>
      <c r="F382" s="39" t="s">
        <v>237</v>
      </c>
      <c r="G382" s="38">
        <v>26.515999999999899</v>
      </c>
      <c r="H382" s="39" t="s">
        <v>374</v>
      </c>
      <c r="I382" s="40">
        <v>45364</v>
      </c>
      <c r="J382" s="40">
        <v>45432</v>
      </c>
      <c r="K382" s="38">
        <v>0</v>
      </c>
      <c r="L382" s="39" t="s">
        <v>374</v>
      </c>
      <c r="M382" s="38">
        <v>0</v>
      </c>
      <c r="N382" s="39" t="s">
        <v>374</v>
      </c>
      <c r="O382" s="41">
        <v>99999</v>
      </c>
      <c r="P382" s="38">
        <v>0</v>
      </c>
      <c r="Q382" s="38">
        <v>0</v>
      </c>
      <c r="R382" s="39" t="s">
        <v>237</v>
      </c>
    </row>
    <row r="383" spans="1:18" x14ac:dyDescent="0.3">
      <c r="A383" s="37" t="s">
        <v>378</v>
      </c>
      <c r="B383" s="37" t="s">
        <v>751</v>
      </c>
      <c r="C383" s="37" t="s">
        <v>372</v>
      </c>
      <c r="D383" s="37" t="s">
        <v>377</v>
      </c>
      <c r="E383" s="38">
        <v>0</v>
      </c>
      <c r="F383" s="39" t="s">
        <v>237</v>
      </c>
      <c r="G383" s="38">
        <v>0</v>
      </c>
      <c r="H383" s="39" t="s">
        <v>374</v>
      </c>
      <c r="I383" s="40">
        <v>45219</v>
      </c>
      <c r="J383" s="40">
        <v>45219</v>
      </c>
      <c r="K383" s="38">
        <v>0</v>
      </c>
      <c r="L383" s="39" t="s">
        <v>374</v>
      </c>
      <c r="M383" s="38">
        <v>0</v>
      </c>
      <c r="N383" s="39" t="s">
        <v>374</v>
      </c>
      <c r="O383" s="41">
        <v>0</v>
      </c>
      <c r="P383" s="38">
        <v>0</v>
      </c>
      <c r="Q383" s="38">
        <v>0</v>
      </c>
      <c r="R383" s="39" t="s">
        <v>237</v>
      </c>
    </row>
    <row r="384" spans="1:18" x14ac:dyDescent="0.3">
      <c r="A384" s="37" t="s">
        <v>378</v>
      </c>
      <c r="B384" s="37" t="s">
        <v>752</v>
      </c>
      <c r="C384" s="37" t="s">
        <v>372</v>
      </c>
      <c r="D384" s="37" t="s">
        <v>375</v>
      </c>
      <c r="E384" s="38">
        <v>0</v>
      </c>
      <c r="F384" s="39" t="s">
        <v>237</v>
      </c>
      <c r="G384" s="38">
        <v>0</v>
      </c>
      <c r="H384" s="39" t="s">
        <v>380</v>
      </c>
      <c r="I384" s="40">
        <v>45470</v>
      </c>
      <c r="J384" s="40">
        <v>45470</v>
      </c>
      <c r="K384" s="38">
        <v>24480</v>
      </c>
      <c r="L384" s="39" t="s">
        <v>380</v>
      </c>
      <c r="M384" s="38">
        <v>24480</v>
      </c>
      <c r="N384" s="39" t="s">
        <v>380</v>
      </c>
      <c r="O384" s="41">
        <v>0</v>
      </c>
      <c r="P384" s="38">
        <v>99999</v>
      </c>
      <c r="Q384" s="38">
        <v>4896</v>
      </c>
      <c r="R384" s="39" t="s">
        <v>237</v>
      </c>
    </row>
    <row r="385" spans="1:18" x14ac:dyDescent="0.3">
      <c r="A385" s="37" t="s">
        <v>378</v>
      </c>
      <c r="B385" s="37" t="s">
        <v>753</v>
      </c>
      <c r="C385" s="37" t="s">
        <v>372</v>
      </c>
      <c r="D385" s="37" t="s">
        <v>375</v>
      </c>
      <c r="E385" s="38">
        <v>0</v>
      </c>
      <c r="F385" s="39" t="s">
        <v>237</v>
      </c>
      <c r="G385" s="38">
        <v>0</v>
      </c>
      <c r="H385" s="39" t="s">
        <v>380</v>
      </c>
      <c r="I385" s="40">
        <v>44735</v>
      </c>
      <c r="J385" s="40">
        <v>44735</v>
      </c>
      <c r="K385" s="38">
        <v>0</v>
      </c>
      <c r="L385" s="39" t="s">
        <v>380</v>
      </c>
      <c r="M385" s="38">
        <v>0</v>
      </c>
      <c r="N385" s="39" t="s">
        <v>380</v>
      </c>
      <c r="O385" s="41">
        <v>0</v>
      </c>
      <c r="P385" s="38">
        <v>0</v>
      </c>
      <c r="Q385" s="38">
        <v>0</v>
      </c>
      <c r="R385" s="39" t="s">
        <v>237</v>
      </c>
    </row>
    <row r="386" spans="1:18" x14ac:dyDescent="0.3">
      <c r="A386" s="37" t="s">
        <v>378</v>
      </c>
      <c r="B386" s="37" t="s">
        <v>754</v>
      </c>
      <c r="C386" s="37" t="s">
        <v>372</v>
      </c>
      <c r="D386" s="37" t="s">
        <v>375</v>
      </c>
      <c r="E386" s="38">
        <v>1123.2</v>
      </c>
      <c r="F386" s="39" t="s">
        <v>237</v>
      </c>
      <c r="G386" s="38">
        <v>46800</v>
      </c>
      <c r="H386" s="39" t="s">
        <v>380</v>
      </c>
      <c r="I386" s="40">
        <v>45531</v>
      </c>
      <c r="J386" s="40">
        <v>45531</v>
      </c>
      <c r="K386" s="38">
        <v>60800</v>
      </c>
      <c r="L386" s="39" t="s">
        <v>380</v>
      </c>
      <c r="M386" s="38">
        <v>75200</v>
      </c>
      <c r="N386" s="39" t="s">
        <v>380</v>
      </c>
      <c r="O386" s="41">
        <v>168</v>
      </c>
      <c r="P386" s="38">
        <v>0.71</v>
      </c>
      <c r="Q386" s="38">
        <v>614.39999999999895</v>
      </c>
      <c r="R386" s="39" t="s">
        <v>237</v>
      </c>
    </row>
    <row r="387" spans="1:18" x14ac:dyDescent="0.3">
      <c r="A387" s="37" t="s">
        <v>378</v>
      </c>
      <c r="B387" s="37" t="s">
        <v>1301</v>
      </c>
      <c r="C387" s="37" t="s">
        <v>372</v>
      </c>
      <c r="D387" s="37" t="s">
        <v>375</v>
      </c>
      <c r="E387" s="38">
        <v>0</v>
      </c>
      <c r="F387" s="39" t="s">
        <v>237</v>
      </c>
      <c r="G387" s="38">
        <v>0</v>
      </c>
      <c r="H387" s="39" t="s">
        <v>380</v>
      </c>
      <c r="I387" s="40">
        <v>45400</v>
      </c>
      <c r="J387" s="40">
        <v>45400</v>
      </c>
      <c r="K387" s="38">
        <v>0</v>
      </c>
      <c r="L387" s="39" t="s">
        <v>380</v>
      </c>
      <c r="M387" s="38">
        <v>0</v>
      </c>
      <c r="N387" s="39" t="s">
        <v>380</v>
      </c>
      <c r="O387" s="41">
        <v>0</v>
      </c>
      <c r="P387" s="38">
        <v>0</v>
      </c>
      <c r="Q387" s="38">
        <v>0</v>
      </c>
      <c r="R387" s="39" t="s">
        <v>237</v>
      </c>
    </row>
    <row r="388" spans="1:18" x14ac:dyDescent="0.3">
      <c r="A388" s="37" t="s">
        <v>378</v>
      </c>
      <c r="B388" s="37" t="s">
        <v>755</v>
      </c>
      <c r="C388" s="37" t="s">
        <v>372</v>
      </c>
      <c r="D388" s="37" t="s">
        <v>375</v>
      </c>
      <c r="E388" s="38">
        <v>0</v>
      </c>
      <c r="F388" s="39" t="s">
        <v>237</v>
      </c>
      <c r="G388" s="38">
        <v>0</v>
      </c>
      <c r="H388" s="39" t="s">
        <v>380</v>
      </c>
      <c r="I388" s="40">
        <v>44748</v>
      </c>
      <c r="J388" s="40">
        <v>44756</v>
      </c>
      <c r="K388" s="38">
        <v>0</v>
      </c>
      <c r="L388" s="39" t="s">
        <v>380</v>
      </c>
      <c r="M388" s="38">
        <v>0</v>
      </c>
      <c r="N388" s="39" t="s">
        <v>380</v>
      </c>
      <c r="O388" s="41">
        <v>0</v>
      </c>
      <c r="P388" s="38">
        <v>0</v>
      </c>
      <c r="Q388" s="38">
        <v>0</v>
      </c>
      <c r="R388" s="39" t="s">
        <v>237</v>
      </c>
    </row>
    <row r="389" spans="1:18" x14ac:dyDescent="0.3">
      <c r="A389" s="37" t="s">
        <v>378</v>
      </c>
      <c r="B389" s="37" t="s">
        <v>756</v>
      </c>
      <c r="C389" s="37" t="s">
        <v>372</v>
      </c>
      <c r="D389" s="37" t="s">
        <v>377</v>
      </c>
      <c r="E389" s="38">
        <v>1874.13</v>
      </c>
      <c r="F389" s="39" t="s">
        <v>237</v>
      </c>
      <c r="G389" s="38">
        <v>64</v>
      </c>
      <c r="H389" s="39" t="s">
        <v>374</v>
      </c>
      <c r="I389" s="40">
        <v>45043</v>
      </c>
      <c r="J389" s="40">
        <v>45264</v>
      </c>
      <c r="K389" s="38">
        <v>0</v>
      </c>
      <c r="L389" s="39" t="s">
        <v>374</v>
      </c>
      <c r="M389" s="38">
        <v>0</v>
      </c>
      <c r="N389" s="39" t="s">
        <v>374</v>
      </c>
      <c r="O389" s="41">
        <v>99999</v>
      </c>
      <c r="P389" s="38">
        <v>0</v>
      </c>
      <c r="Q389" s="38">
        <v>0</v>
      </c>
      <c r="R389" s="39" t="s">
        <v>237</v>
      </c>
    </row>
    <row r="390" spans="1:18" x14ac:dyDescent="0.3">
      <c r="A390" s="37" t="s">
        <v>378</v>
      </c>
      <c r="B390" s="37" t="s">
        <v>757</v>
      </c>
      <c r="C390" s="37" t="s">
        <v>372</v>
      </c>
      <c r="D390" s="37" t="s">
        <v>375</v>
      </c>
      <c r="E390" s="38">
        <v>0</v>
      </c>
      <c r="F390" s="39" t="s">
        <v>237</v>
      </c>
      <c r="G390" s="38">
        <v>0</v>
      </c>
      <c r="H390" s="39" t="s">
        <v>380</v>
      </c>
      <c r="I390" s="40">
        <v>45509</v>
      </c>
      <c r="J390" s="40">
        <v>45525</v>
      </c>
      <c r="K390" s="38">
        <v>122760</v>
      </c>
      <c r="L390" s="39" t="s">
        <v>380</v>
      </c>
      <c r="M390" s="38">
        <v>122760</v>
      </c>
      <c r="N390" s="39" t="s">
        <v>380</v>
      </c>
      <c r="O390" s="41">
        <v>0</v>
      </c>
      <c r="P390" s="38">
        <v>99999</v>
      </c>
      <c r="Q390" s="38">
        <v>27007.200000000001</v>
      </c>
      <c r="R390" s="39" t="s">
        <v>237</v>
      </c>
    </row>
    <row r="391" spans="1:18" x14ac:dyDescent="0.3">
      <c r="A391" s="37" t="s">
        <v>378</v>
      </c>
      <c r="B391" s="37" t="s">
        <v>758</v>
      </c>
      <c r="C391" s="37" t="s">
        <v>372</v>
      </c>
      <c r="D391" s="37" t="s">
        <v>375</v>
      </c>
      <c r="E391" s="38">
        <v>0</v>
      </c>
      <c r="F391" s="39" t="s">
        <v>237</v>
      </c>
      <c r="G391" s="38">
        <v>0</v>
      </c>
      <c r="H391" s="39" t="s">
        <v>380</v>
      </c>
      <c r="I391" s="40">
        <v>45006</v>
      </c>
      <c r="J391" s="40">
        <v>45159</v>
      </c>
      <c r="K391" s="38">
        <v>0</v>
      </c>
      <c r="L391" s="39" t="s">
        <v>380</v>
      </c>
      <c r="M391" s="38">
        <v>0</v>
      </c>
      <c r="N391" s="39" t="s">
        <v>380</v>
      </c>
      <c r="O391" s="41">
        <v>0</v>
      </c>
      <c r="P391" s="38">
        <v>0</v>
      </c>
      <c r="Q391" s="38">
        <v>0</v>
      </c>
      <c r="R391" s="39" t="s">
        <v>237</v>
      </c>
    </row>
    <row r="392" spans="1:18" x14ac:dyDescent="0.3">
      <c r="A392" s="37" t="s">
        <v>378</v>
      </c>
      <c r="B392" s="37" t="s">
        <v>759</v>
      </c>
      <c r="C392" s="37" t="s">
        <v>372</v>
      </c>
      <c r="D392" s="37" t="s">
        <v>377</v>
      </c>
      <c r="E392" s="38">
        <v>0</v>
      </c>
      <c r="F392" s="39" t="s">
        <v>237</v>
      </c>
      <c r="G392" s="38">
        <v>0</v>
      </c>
      <c r="H392" s="39" t="s">
        <v>374</v>
      </c>
      <c r="I392" s="40">
        <v>44289</v>
      </c>
      <c r="J392" s="40">
        <v>45274</v>
      </c>
      <c r="K392" s="38">
        <v>0</v>
      </c>
      <c r="L392" s="39" t="s">
        <v>374</v>
      </c>
      <c r="M392" s="38">
        <v>0</v>
      </c>
      <c r="N392" s="39" t="s">
        <v>374</v>
      </c>
      <c r="O392" s="41">
        <v>0</v>
      </c>
      <c r="P392" s="38">
        <v>0</v>
      </c>
      <c r="Q392" s="38">
        <v>0</v>
      </c>
      <c r="R392" s="39" t="s">
        <v>237</v>
      </c>
    </row>
    <row r="393" spans="1:18" x14ac:dyDescent="0.3">
      <c r="A393" s="37" t="s">
        <v>378</v>
      </c>
      <c r="B393" s="37" t="s">
        <v>760</v>
      </c>
      <c r="C393" s="37" t="s">
        <v>372</v>
      </c>
      <c r="D393" s="37" t="s">
        <v>377</v>
      </c>
      <c r="E393" s="38">
        <v>0</v>
      </c>
      <c r="F393" s="39" t="s">
        <v>237</v>
      </c>
      <c r="G393" s="38">
        <v>0</v>
      </c>
      <c r="H393" s="39" t="s">
        <v>374</v>
      </c>
      <c r="I393" s="40">
        <v>44470</v>
      </c>
      <c r="J393" s="40">
        <v>44470</v>
      </c>
      <c r="K393" s="38">
        <v>0</v>
      </c>
      <c r="L393" s="39" t="s">
        <v>374</v>
      </c>
      <c r="M393" s="38">
        <v>0</v>
      </c>
      <c r="N393" s="39" t="s">
        <v>374</v>
      </c>
      <c r="O393" s="41">
        <v>0</v>
      </c>
      <c r="P393" s="38">
        <v>0</v>
      </c>
      <c r="Q393" s="38">
        <v>0</v>
      </c>
      <c r="R393" s="39" t="s">
        <v>237</v>
      </c>
    </row>
    <row r="394" spans="1:18" x14ac:dyDescent="0.3">
      <c r="A394" s="37" t="s">
        <v>378</v>
      </c>
      <c r="B394" s="37" t="s">
        <v>761</v>
      </c>
      <c r="C394" s="37" t="s">
        <v>372</v>
      </c>
      <c r="D394" s="37" t="s">
        <v>375</v>
      </c>
      <c r="E394" s="38">
        <v>0</v>
      </c>
      <c r="F394" s="39" t="s">
        <v>237</v>
      </c>
      <c r="G394" s="38">
        <v>0</v>
      </c>
      <c r="H394" s="39" t="s">
        <v>380</v>
      </c>
      <c r="I394" s="40">
        <v>44197</v>
      </c>
      <c r="J394" s="40">
        <v>44755</v>
      </c>
      <c r="K394" s="38">
        <v>0</v>
      </c>
      <c r="L394" s="39" t="s">
        <v>380</v>
      </c>
      <c r="M394" s="38">
        <v>0</v>
      </c>
      <c r="N394" s="39" t="s">
        <v>380</v>
      </c>
      <c r="O394" s="41">
        <v>0</v>
      </c>
      <c r="P394" s="38">
        <v>0</v>
      </c>
      <c r="Q394" s="38">
        <v>0</v>
      </c>
      <c r="R394" s="39" t="s">
        <v>237</v>
      </c>
    </row>
    <row r="395" spans="1:18" x14ac:dyDescent="0.3">
      <c r="A395" s="37" t="s">
        <v>378</v>
      </c>
      <c r="B395" s="37" t="s">
        <v>762</v>
      </c>
      <c r="C395" s="37" t="s">
        <v>372</v>
      </c>
      <c r="D395" s="37" t="s">
        <v>375</v>
      </c>
      <c r="E395" s="38">
        <v>0</v>
      </c>
      <c r="F395" s="39" t="s">
        <v>237</v>
      </c>
      <c r="G395" s="38">
        <v>0</v>
      </c>
      <c r="H395" s="39" t="s">
        <v>380</v>
      </c>
      <c r="I395" s="40">
        <v>44571</v>
      </c>
      <c r="J395" s="40">
        <v>44587</v>
      </c>
      <c r="K395" s="38">
        <v>0</v>
      </c>
      <c r="L395" s="39" t="s">
        <v>380</v>
      </c>
      <c r="M395" s="38">
        <v>0</v>
      </c>
      <c r="N395" s="39" t="s">
        <v>380</v>
      </c>
      <c r="O395" s="41">
        <v>0</v>
      </c>
      <c r="P395" s="38">
        <v>0</v>
      </c>
      <c r="Q395" s="38">
        <v>0</v>
      </c>
      <c r="R395" s="39" t="s">
        <v>237</v>
      </c>
    </row>
    <row r="396" spans="1:18" x14ac:dyDescent="0.3">
      <c r="A396" s="37" t="s">
        <v>378</v>
      </c>
      <c r="B396" s="37" t="s">
        <v>763</v>
      </c>
      <c r="C396" s="37" t="s">
        <v>372</v>
      </c>
      <c r="D396" s="37" t="s">
        <v>375</v>
      </c>
      <c r="E396" s="38">
        <v>0</v>
      </c>
      <c r="F396" s="39" t="s">
        <v>237</v>
      </c>
      <c r="G396" s="38">
        <v>0</v>
      </c>
      <c r="H396" s="39" t="s">
        <v>380</v>
      </c>
      <c r="I396" s="40">
        <v>44754</v>
      </c>
      <c r="J396" s="40">
        <v>44755</v>
      </c>
      <c r="K396" s="38">
        <v>0</v>
      </c>
      <c r="L396" s="39" t="s">
        <v>380</v>
      </c>
      <c r="M396" s="38">
        <v>0</v>
      </c>
      <c r="N396" s="39" t="s">
        <v>380</v>
      </c>
      <c r="O396" s="41">
        <v>0</v>
      </c>
      <c r="P396" s="38">
        <v>0</v>
      </c>
      <c r="Q396" s="38">
        <v>0</v>
      </c>
      <c r="R396" s="39" t="s">
        <v>237</v>
      </c>
    </row>
    <row r="397" spans="1:18" x14ac:dyDescent="0.3">
      <c r="A397" s="37" t="s">
        <v>378</v>
      </c>
      <c r="B397" s="37" t="s">
        <v>764</v>
      </c>
      <c r="C397" s="37" t="s">
        <v>372</v>
      </c>
      <c r="D397" s="37" t="s">
        <v>375</v>
      </c>
      <c r="E397" s="38">
        <v>0</v>
      </c>
      <c r="F397" s="39" t="s">
        <v>237</v>
      </c>
      <c r="G397" s="38">
        <v>0</v>
      </c>
      <c r="H397" s="39" t="s">
        <v>380</v>
      </c>
      <c r="I397" s="40">
        <v>44615</v>
      </c>
      <c r="J397" s="40">
        <v>44617</v>
      </c>
      <c r="K397" s="38">
        <v>0</v>
      </c>
      <c r="L397" s="39" t="s">
        <v>380</v>
      </c>
      <c r="M397" s="38">
        <v>0</v>
      </c>
      <c r="N397" s="39" t="s">
        <v>380</v>
      </c>
      <c r="O397" s="41">
        <v>0</v>
      </c>
      <c r="P397" s="38">
        <v>0</v>
      </c>
      <c r="Q397" s="38">
        <v>0</v>
      </c>
      <c r="R397" s="39" t="s">
        <v>237</v>
      </c>
    </row>
    <row r="398" spans="1:18" x14ac:dyDescent="0.3">
      <c r="A398" s="37" t="s">
        <v>378</v>
      </c>
      <c r="B398" s="37" t="s">
        <v>765</v>
      </c>
      <c r="C398" s="37" t="s">
        <v>372</v>
      </c>
      <c r="D398" s="37" t="s">
        <v>375</v>
      </c>
      <c r="E398" s="38">
        <v>0</v>
      </c>
      <c r="F398" s="39" t="s">
        <v>237</v>
      </c>
      <c r="G398" s="38">
        <v>0</v>
      </c>
      <c r="H398" s="39" t="s">
        <v>380</v>
      </c>
      <c r="I398" s="40">
        <v>45348</v>
      </c>
      <c r="J398" s="40">
        <v>45421</v>
      </c>
      <c r="K398" s="38">
        <v>0</v>
      </c>
      <c r="L398" s="39" t="s">
        <v>380</v>
      </c>
      <c r="M398" s="38">
        <v>0</v>
      </c>
      <c r="N398" s="39" t="s">
        <v>380</v>
      </c>
      <c r="O398" s="41">
        <v>0</v>
      </c>
      <c r="P398" s="38">
        <v>0</v>
      </c>
      <c r="Q398" s="38">
        <v>0</v>
      </c>
      <c r="R398" s="39" t="s">
        <v>237</v>
      </c>
    </row>
    <row r="399" spans="1:18" x14ac:dyDescent="0.3">
      <c r="A399" s="37" t="s">
        <v>378</v>
      </c>
      <c r="B399" s="37" t="s">
        <v>766</v>
      </c>
      <c r="C399" s="37" t="s">
        <v>372</v>
      </c>
      <c r="D399" s="37" t="s">
        <v>375</v>
      </c>
      <c r="E399" s="38">
        <v>0</v>
      </c>
      <c r="F399" s="39" t="s">
        <v>237</v>
      </c>
      <c r="G399" s="38">
        <v>0</v>
      </c>
      <c r="H399" s="39" t="s">
        <v>380</v>
      </c>
      <c r="I399" s="40">
        <v>44356</v>
      </c>
      <c r="J399" s="40">
        <v>44357</v>
      </c>
      <c r="K399" s="38">
        <v>0</v>
      </c>
      <c r="L399" s="39" t="s">
        <v>380</v>
      </c>
      <c r="M399" s="38">
        <v>0</v>
      </c>
      <c r="N399" s="39" t="s">
        <v>380</v>
      </c>
      <c r="O399" s="41">
        <v>0</v>
      </c>
      <c r="P399" s="38">
        <v>0</v>
      </c>
      <c r="Q399" s="38">
        <v>0</v>
      </c>
      <c r="R399" s="39" t="s">
        <v>237</v>
      </c>
    </row>
    <row r="400" spans="1:18" x14ac:dyDescent="0.3">
      <c r="A400" s="37" t="s">
        <v>378</v>
      </c>
      <c r="B400" s="37" t="s">
        <v>767</v>
      </c>
      <c r="C400" s="37" t="s">
        <v>372</v>
      </c>
      <c r="D400" s="37" t="s">
        <v>375</v>
      </c>
      <c r="E400" s="38">
        <v>55545.54</v>
      </c>
      <c r="F400" s="39" t="s">
        <v>237</v>
      </c>
      <c r="G400" s="38">
        <v>252000</v>
      </c>
      <c r="H400" s="39" t="s">
        <v>380</v>
      </c>
      <c r="I400" s="40">
        <v>45533</v>
      </c>
      <c r="J400" s="40"/>
      <c r="K400" s="38">
        <v>264000</v>
      </c>
      <c r="L400" s="39" t="s">
        <v>380</v>
      </c>
      <c r="M400" s="38">
        <v>376000</v>
      </c>
      <c r="N400" s="39" t="s">
        <v>380</v>
      </c>
      <c r="O400" s="41">
        <v>87</v>
      </c>
      <c r="P400" s="38">
        <v>1.69</v>
      </c>
      <c r="Q400" s="38">
        <v>58555.33</v>
      </c>
      <c r="R400" s="39" t="s">
        <v>237</v>
      </c>
    </row>
    <row r="401" spans="1:18" x14ac:dyDescent="0.3">
      <c r="A401" s="37" t="s">
        <v>378</v>
      </c>
      <c r="B401" s="37" t="s">
        <v>768</v>
      </c>
      <c r="C401" s="37" t="s">
        <v>372</v>
      </c>
      <c r="D401" s="37" t="s">
        <v>375</v>
      </c>
      <c r="E401" s="38">
        <v>4863.26</v>
      </c>
      <c r="F401" s="39" t="s">
        <v>237</v>
      </c>
      <c r="G401" s="38">
        <v>233000</v>
      </c>
      <c r="H401" s="39" t="s">
        <v>380</v>
      </c>
      <c r="I401" s="40">
        <v>45524</v>
      </c>
      <c r="J401" s="40">
        <v>45533</v>
      </c>
      <c r="K401" s="38">
        <v>920000</v>
      </c>
      <c r="L401" s="39" t="s">
        <v>380</v>
      </c>
      <c r="M401" s="38">
        <v>1106000</v>
      </c>
      <c r="N401" s="39" t="s">
        <v>380</v>
      </c>
      <c r="O401" s="41">
        <v>57</v>
      </c>
      <c r="P401" s="38">
        <v>1.61</v>
      </c>
      <c r="Q401" s="38">
        <v>7883.7399999999898</v>
      </c>
      <c r="R401" s="39" t="s">
        <v>237</v>
      </c>
    </row>
    <row r="402" spans="1:18" x14ac:dyDescent="0.3">
      <c r="A402" s="37" t="s">
        <v>378</v>
      </c>
      <c r="B402" s="37" t="s">
        <v>769</v>
      </c>
      <c r="C402" s="37" t="s">
        <v>372</v>
      </c>
      <c r="D402" s="37" t="s">
        <v>375</v>
      </c>
      <c r="E402" s="38">
        <v>0</v>
      </c>
      <c r="F402" s="39" t="s">
        <v>237</v>
      </c>
      <c r="G402" s="38">
        <v>0</v>
      </c>
      <c r="H402" s="39" t="s">
        <v>380</v>
      </c>
      <c r="I402" s="40">
        <v>44659</v>
      </c>
      <c r="J402" s="40">
        <v>44659</v>
      </c>
      <c r="K402" s="38">
        <v>0</v>
      </c>
      <c r="L402" s="39" t="s">
        <v>380</v>
      </c>
      <c r="M402" s="38">
        <v>0</v>
      </c>
      <c r="N402" s="39" t="s">
        <v>380</v>
      </c>
      <c r="O402" s="41">
        <v>0</v>
      </c>
      <c r="P402" s="38">
        <v>0</v>
      </c>
      <c r="Q402" s="38">
        <v>0</v>
      </c>
      <c r="R402" s="39" t="s">
        <v>237</v>
      </c>
    </row>
    <row r="403" spans="1:18" x14ac:dyDescent="0.3">
      <c r="A403" s="37" t="s">
        <v>378</v>
      </c>
      <c r="B403" s="37" t="s">
        <v>770</v>
      </c>
      <c r="C403" s="37" t="s">
        <v>372</v>
      </c>
      <c r="D403" s="37" t="s">
        <v>375</v>
      </c>
      <c r="E403" s="38">
        <v>148608</v>
      </c>
      <c r="F403" s="39" t="s">
        <v>237</v>
      </c>
      <c r="G403" s="38">
        <v>309600</v>
      </c>
      <c r="H403" s="39" t="s">
        <v>380</v>
      </c>
      <c r="I403" s="40"/>
      <c r="J403" s="40">
        <v>45533</v>
      </c>
      <c r="K403" s="38">
        <v>498906</v>
      </c>
      <c r="L403" s="39" t="s">
        <v>380</v>
      </c>
      <c r="M403" s="38">
        <v>565200</v>
      </c>
      <c r="N403" s="39" t="s">
        <v>380</v>
      </c>
      <c r="O403" s="41">
        <v>60</v>
      </c>
      <c r="P403" s="38">
        <v>2.15</v>
      </c>
      <c r="Q403" s="38">
        <v>227693.76</v>
      </c>
      <c r="R403" s="39" t="s">
        <v>237</v>
      </c>
    </row>
    <row r="404" spans="1:18" x14ac:dyDescent="0.3">
      <c r="A404" s="37" t="s">
        <v>378</v>
      </c>
      <c r="B404" s="37" t="s">
        <v>771</v>
      </c>
      <c r="C404" s="37" t="s">
        <v>372</v>
      </c>
      <c r="D404" s="37" t="s">
        <v>377</v>
      </c>
      <c r="E404" s="38">
        <v>1082.19</v>
      </c>
      <c r="F404" s="39" t="s">
        <v>237</v>
      </c>
      <c r="G404" s="38">
        <v>20.626999999999899</v>
      </c>
      <c r="H404" s="39" t="s">
        <v>374</v>
      </c>
      <c r="I404" s="40">
        <v>45496</v>
      </c>
      <c r="J404" s="40">
        <v>45502</v>
      </c>
      <c r="K404" s="38">
        <v>5.1139999999999901</v>
      </c>
      <c r="L404" s="39" t="s">
        <v>374</v>
      </c>
      <c r="M404" s="38">
        <v>2.5569999999999902</v>
      </c>
      <c r="N404" s="39" t="s">
        <v>374</v>
      </c>
      <c r="O404" s="41">
        <v>742</v>
      </c>
      <c r="P404" s="38">
        <v>0.12</v>
      </c>
      <c r="Q404" s="38">
        <v>134.15</v>
      </c>
      <c r="R404" s="39" t="s">
        <v>237</v>
      </c>
    </row>
    <row r="405" spans="1:18" x14ac:dyDescent="0.3">
      <c r="A405" s="37" t="s">
        <v>378</v>
      </c>
      <c r="B405" s="37" t="s">
        <v>772</v>
      </c>
      <c r="C405" s="37" t="s">
        <v>372</v>
      </c>
      <c r="D405" s="37" t="s">
        <v>377</v>
      </c>
      <c r="E405" s="38">
        <v>0</v>
      </c>
      <c r="F405" s="39" t="s">
        <v>237</v>
      </c>
      <c r="G405" s="38">
        <v>0</v>
      </c>
      <c r="H405" s="39" t="s">
        <v>374</v>
      </c>
      <c r="I405" s="40">
        <v>44197</v>
      </c>
      <c r="J405" s="40">
        <v>44468</v>
      </c>
      <c r="K405" s="38">
        <v>0</v>
      </c>
      <c r="L405" s="39" t="s">
        <v>374</v>
      </c>
      <c r="M405" s="38">
        <v>0</v>
      </c>
      <c r="N405" s="39" t="s">
        <v>374</v>
      </c>
      <c r="O405" s="41">
        <v>0</v>
      </c>
      <c r="P405" s="38">
        <v>0</v>
      </c>
      <c r="Q405" s="38">
        <v>0</v>
      </c>
      <c r="R405" s="39" t="s">
        <v>237</v>
      </c>
    </row>
    <row r="406" spans="1:18" x14ac:dyDescent="0.3">
      <c r="A406" s="37" t="s">
        <v>378</v>
      </c>
      <c r="B406" s="37" t="s">
        <v>773</v>
      </c>
      <c r="C406" s="37" t="s">
        <v>372</v>
      </c>
      <c r="D406" s="37" t="s">
        <v>375</v>
      </c>
      <c r="E406" s="38">
        <v>13305.6</v>
      </c>
      <c r="F406" s="39" t="s">
        <v>237</v>
      </c>
      <c r="G406" s="38">
        <v>30240</v>
      </c>
      <c r="H406" s="39" t="s">
        <v>380</v>
      </c>
      <c r="I406" s="40">
        <v>44897</v>
      </c>
      <c r="J406" s="40">
        <v>45000</v>
      </c>
      <c r="K406" s="38">
        <v>0</v>
      </c>
      <c r="L406" s="39" t="s">
        <v>380</v>
      </c>
      <c r="M406" s="38">
        <v>0</v>
      </c>
      <c r="N406" s="39" t="s">
        <v>380</v>
      </c>
      <c r="O406" s="41">
        <v>99999</v>
      </c>
      <c r="P406" s="38">
        <v>0</v>
      </c>
      <c r="Q406" s="38">
        <v>0</v>
      </c>
      <c r="R406" s="39" t="s">
        <v>237</v>
      </c>
    </row>
    <row r="407" spans="1:18" x14ac:dyDescent="0.3">
      <c r="A407" s="37" t="s">
        <v>378</v>
      </c>
      <c r="B407" s="37" t="s">
        <v>774</v>
      </c>
      <c r="C407" s="37" t="s">
        <v>372</v>
      </c>
      <c r="D407" s="37" t="s">
        <v>375</v>
      </c>
      <c r="E407" s="38">
        <v>2588.96</v>
      </c>
      <c r="F407" s="39" t="s">
        <v>237</v>
      </c>
      <c r="G407" s="38">
        <v>20160</v>
      </c>
      <c r="H407" s="39" t="s">
        <v>380</v>
      </c>
      <c r="I407" s="40">
        <v>45517</v>
      </c>
      <c r="J407" s="40">
        <v>45516</v>
      </c>
      <c r="K407" s="38">
        <v>60480</v>
      </c>
      <c r="L407" s="39" t="s">
        <v>380</v>
      </c>
      <c r="M407" s="38">
        <v>80640</v>
      </c>
      <c r="N407" s="39" t="s">
        <v>380</v>
      </c>
      <c r="O407" s="41">
        <v>31</v>
      </c>
      <c r="P407" s="38">
        <v>6</v>
      </c>
      <c r="Q407" s="38">
        <v>7786.22</v>
      </c>
      <c r="R407" s="39" t="s">
        <v>237</v>
      </c>
    </row>
    <row r="408" spans="1:18" x14ac:dyDescent="0.3">
      <c r="A408" s="37" t="s">
        <v>378</v>
      </c>
      <c r="B408" s="37" t="s">
        <v>775</v>
      </c>
      <c r="C408" s="37" t="s">
        <v>372</v>
      </c>
      <c r="D408" s="37" t="s">
        <v>377</v>
      </c>
      <c r="E408" s="38">
        <v>0</v>
      </c>
      <c r="F408" s="39" t="s">
        <v>237</v>
      </c>
      <c r="G408" s="38">
        <v>0</v>
      </c>
      <c r="H408" s="39" t="s">
        <v>374</v>
      </c>
      <c r="I408" s="40">
        <v>44894</v>
      </c>
      <c r="J408" s="40">
        <v>45076</v>
      </c>
      <c r="K408" s="38">
        <v>0</v>
      </c>
      <c r="L408" s="39" t="s">
        <v>374</v>
      </c>
      <c r="M408" s="38">
        <v>0</v>
      </c>
      <c r="N408" s="39" t="s">
        <v>374</v>
      </c>
      <c r="O408" s="41">
        <v>0</v>
      </c>
      <c r="P408" s="38">
        <v>0</v>
      </c>
      <c r="Q408" s="38">
        <v>0</v>
      </c>
      <c r="R408" s="39" t="s">
        <v>237</v>
      </c>
    </row>
    <row r="409" spans="1:18" x14ac:dyDescent="0.3">
      <c r="A409" s="37" t="s">
        <v>378</v>
      </c>
      <c r="B409" s="37" t="s">
        <v>776</v>
      </c>
      <c r="C409" s="37" t="s">
        <v>372</v>
      </c>
      <c r="D409" s="37" t="s">
        <v>377</v>
      </c>
      <c r="E409" s="38">
        <v>2984.42</v>
      </c>
      <c r="F409" s="39" t="s">
        <v>237</v>
      </c>
      <c r="G409" s="38">
        <v>34.7929999999999</v>
      </c>
      <c r="H409" s="39" t="s">
        <v>374</v>
      </c>
      <c r="I409" s="40">
        <v>45512</v>
      </c>
      <c r="J409" s="40">
        <v>45502</v>
      </c>
      <c r="K409" s="38">
        <v>10.8279999999999</v>
      </c>
      <c r="L409" s="39" t="s">
        <v>374</v>
      </c>
      <c r="M409" s="38">
        <v>29.414000000000001</v>
      </c>
      <c r="N409" s="39" t="s">
        <v>374</v>
      </c>
      <c r="O409" s="41">
        <v>595</v>
      </c>
      <c r="P409" s="38">
        <v>0.28000000000000003</v>
      </c>
      <c r="Q409" s="38">
        <v>461.69999999999902</v>
      </c>
      <c r="R409" s="39" t="s">
        <v>237</v>
      </c>
    </row>
    <row r="410" spans="1:18" x14ac:dyDescent="0.3">
      <c r="A410" s="37" t="s">
        <v>378</v>
      </c>
      <c r="B410" s="37" t="s">
        <v>777</v>
      </c>
      <c r="C410" s="37" t="s">
        <v>372</v>
      </c>
      <c r="D410" s="37" t="s">
        <v>375</v>
      </c>
      <c r="E410" s="38">
        <v>3705.6399999999899</v>
      </c>
      <c r="F410" s="39" t="s">
        <v>237</v>
      </c>
      <c r="G410" s="38">
        <v>12000</v>
      </c>
      <c r="H410" s="39" t="s">
        <v>380</v>
      </c>
      <c r="I410" s="40">
        <v>45502</v>
      </c>
      <c r="J410" s="40"/>
      <c r="K410" s="38">
        <v>12000</v>
      </c>
      <c r="L410" s="39" t="s">
        <v>380</v>
      </c>
      <c r="M410" s="38">
        <v>24000</v>
      </c>
      <c r="N410" s="39" t="s">
        <v>380</v>
      </c>
      <c r="O410" s="41">
        <v>92</v>
      </c>
      <c r="P410" s="38">
        <v>1.33</v>
      </c>
      <c r="Q410" s="38">
        <v>3705.6399999999899</v>
      </c>
      <c r="R410" s="39" t="s">
        <v>237</v>
      </c>
    </row>
    <row r="411" spans="1:18" x14ac:dyDescent="0.3">
      <c r="A411" s="37" t="s">
        <v>378</v>
      </c>
      <c r="B411" s="37" t="s">
        <v>778</v>
      </c>
      <c r="C411" s="37" t="s">
        <v>372</v>
      </c>
      <c r="D411" s="37" t="s">
        <v>377</v>
      </c>
      <c r="E411" s="38">
        <v>3478.3299999999899</v>
      </c>
      <c r="F411" s="39" t="s">
        <v>237</v>
      </c>
      <c r="G411" s="38">
        <v>358.58999999999901</v>
      </c>
      <c r="H411" s="39" t="s">
        <v>374</v>
      </c>
      <c r="I411" s="40">
        <v>44894</v>
      </c>
      <c r="J411" s="40">
        <v>45070</v>
      </c>
      <c r="K411" s="38">
        <v>0</v>
      </c>
      <c r="L411" s="39" t="s">
        <v>374</v>
      </c>
      <c r="M411" s="38">
        <v>0</v>
      </c>
      <c r="N411" s="39" t="s">
        <v>374</v>
      </c>
      <c r="O411" s="41">
        <v>99999</v>
      </c>
      <c r="P411" s="38">
        <v>0</v>
      </c>
      <c r="Q411" s="38">
        <v>0</v>
      </c>
      <c r="R411" s="39" t="s">
        <v>237</v>
      </c>
    </row>
    <row r="412" spans="1:18" x14ac:dyDescent="0.3">
      <c r="A412" s="37" t="s">
        <v>378</v>
      </c>
      <c r="B412" s="37" t="s">
        <v>779</v>
      </c>
      <c r="C412" s="37" t="s">
        <v>372</v>
      </c>
      <c r="D412" s="37" t="s">
        <v>375</v>
      </c>
      <c r="E412" s="38">
        <v>0</v>
      </c>
      <c r="F412" s="39" t="s">
        <v>237</v>
      </c>
      <c r="G412" s="38">
        <v>0</v>
      </c>
      <c r="H412" s="39" t="s">
        <v>380</v>
      </c>
      <c r="I412" s="40">
        <v>45489</v>
      </c>
      <c r="J412" s="40">
        <v>45491</v>
      </c>
      <c r="K412" s="38">
        <v>10350</v>
      </c>
      <c r="L412" s="39" t="s">
        <v>380</v>
      </c>
      <c r="M412" s="38">
        <v>10350</v>
      </c>
      <c r="N412" s="39" t="s">
        <v>380</v>
      </c>
      <c r="O412" s="41">
        <v>0</v>
      </c>
      <c r="P412" s="38">
        <v>99999</v>
      </c>
      <c r="Q412" s="38">
        <v>1552.5</v>
      </c>
      <c r="R412" s="39" t="s">
        <v>237</v>
      </c>
    </row>
    <row r="413" spans="1:18" x14ac:dyDescent="0.3">
      <c r="A413" s="37" t="s">
        <v>378</v>
      </c>
      <c r="B413" s="37" t="s">
        <v>780</v>
      </c>
      <c r="C413" s="37" t="s">
        <v>372</v>
      </c>
      <c r="D413" s="37" t="s">
        <v>375</v>
      </c>
      <c r="E413" s="38">
        <v>0</v>
      </c>
      <c r="F413" s="39" t="s">
        <v>237</v>
      </c>
      <c r="G413" s="38">
        <v>0</v>
      </c>
      <c r="H413" s="39" t="s">
        <v>380</v>
      </c>
      <c r="I413" s="40">
        <v>44718</v>
      </c>
      <c r="J413" s="40">
        <v>44750</v>
      </c>
      <c r="K413" s="38">
        <v>0</v>
      </c>
      <c r="L413" s="39" t="s">
        <v>380</v>
      </c>
      <c r="M413" s="38">
        <v>0</v>
      </c>
      <c r="N413" s="39" t="s">
        <v>380</v>
      </c>
      <c r="O413" s="41">
        <v>0</v>
      </c>
      <c r="P413" s="38">
        <v>0</v>
      </c>
      <c r="Q413" s="38">
        <v>0</v>
      </c>
      <c r="R413" s="39" t="s">
        <v>237</v>
      </c>
    </row>
    <row r="414" spans="1:18" x14ac:dyDescent="0.3">
      <c r="A414" s="37" t="s">
        <v>378</v>
      </c>
      <c r="B414" s="37" t="s">
        <v>781</v>
      </c>
      <c r="C414" s="37" t="s">
        <v>372</v>
      </c>
      <c r="D414" s="37" t="s">
        <v>375</v>
      </c>
      <c r="E414" s="38">
        <v>0</v>
      </c>
      <c r="F414" s="39" t="s">
        <v>237</v>
      </c>
      <c r="G414" s="38">
        <v>0</v>
      </c>
      <c r="H414" s="39" t="s">
        <v>380</v>
      </c>
      <c r="I414" s="40">
        <v>44727</v>
      </c>
      <c r="J414" s="40">
        <v>44732</v>
      </c>
      <c r="K414" s="38">
        <v>0</v>
      </c>
      <c r="L414" s="39" t="s">
        <v>380</v>
      </c>
      <c r="M414" s="38">
        <v>0</v>
      </c>
      <c r="N414" s="39" t="s">
        <v>380</v>
      </c>
      <c r="O414" s="41">
        <v>0</v>
      </c>
      <c r="P414" s="38">
        <v>0</v>
      </c>
      <c r="Q414" s="38">
        <v>0</v>
      </c>
      <c r="R414" s="39" t="s">
        <v>237</v>
      </c>
    </row>
    <row r="415" spans="1:18" x14ac:dyDescent="0.3">
      <c r="A415" s="37" t="s">
        <v>378</v>
      </c>
      <c r="B415" s="37" t="s">
        <v>782</v>
      </c>
      <c r="C415" s="37" t="s">
        <v>372</v>
      </c>
      <c r="D415" s="37" t="s">
        <v>375</v>
      </c>
      <c r="E415" s="38">
        <v>0</v>
      </c>
      <c r="F415" s="39" t="s">
        <v>237</v>
      </c>
      <c r="G415" s="38">
        <v>0</v>
      </c>
      <c r="H415" s="39" t="s">
        <v>380</v>
      </c>
      <c r="I415" s="40">
        <v>44727</v>
      </c>
      <c r="J415" s="40">
        <v>44732</v>
      </c>
      <c r="K415" s="38">
        <v>0</v>
      </c>
      <c r="L415" s="39" t="s">
        <v>380</v>
      </c>
      <c r="M415" s="38">
        <v>0</v>
      </c>
      <c r="N415" s="39" t="s">
        <v>380</v>
      </c>
      <c r="O415" s="41">
        <v>0</v>
      </c>
      <c r="P415" s="38">
        <v>0</v>
      </c>
      <c r="Q415" s="38">
        <v>0</v>
      </c>
      <c r="R415" s="39" t="s">
        <v>237</v>
      </c>
    </row>
    <row r="416" spans="1:18" x14ac:dyDescent="0.3">
      <c r="A416" s="37" t="s">
        <v>378</v>
      </c>
      <c r="B416" s="37" t="s">
        <v>783</v>
      </c>
      <c r="C416" s="37" t="s">
        <v>372</v>
      </c>
      <c r="D416" s="37" t="s">
        <v>375</v>
      </c>
      <c r="E416" s="38">
        <v>0</v>
      </c>
      <c r="F416" s="39" t="s">
        <v>237</v>
      </c>
      <c r="G416" s="38">
        <v>0</v>
      </c>
      <c r="H416" s="39" t="s">
        <v>380</v>
      </c>
      <c r="I416" s="40">
        <v>44727</v>
      </c>
      <c r="J416" s="40">
        <v>44732</v>
      </c>
      <c r="K416" s="38">
        <v>0</v>
      </c>
      <c r="L416" s="39" t="s">
        <v>380</v>
      </c>
      <c r="M416" s="38">
        <v>0</v>
      </c>
      <c r="N416" s="39" t="s">
        <v>380</v>
      </c>
      <c r="O416" s="41">
        <v>0</v>
      </c>
      <c r="P416" s="38">
        <v>0</v>
      </c>
      <c r="Q416" s="38">
        <v>0</v>
      </c>
      <c r="R416" s="39" t="s">
        <v>237</v>
      </c>
    </row>
    <row r="417" spans="1:18" x14ac:dyDescent="0.3">
      <c r="A417" s="37" t="s">
        <v>378</v>
      </c>
      <c r="B417" s="37" t="s">
        <v>784</v>
      </c>
      <c r="C417" s="37" t="s">
        <v>372</v>
      </c>
      <c r="D417" s="37" t="s">
        <v>377</v>
      </c>
      <c r="E417" s="38">
        <v>666.09</v>
      </c>
      <c r="F417" s="39" t="s">
        <v>237</v>
      </c>
      <c r="G417" s="38">
        <v>37.005000000000003</v>
      </c>
      <c r="H417" s="39" t="s">
        <v>374</v>
      </c>
      <c r="I417" s="40">
        <v>45264</v>
      </c>
      <c r="J417" s="40">
        <v>45070</v>
      </c>
      <c r="K417" s="38">
        <v>0</v>
      </c>
      <c r="L417" s="39" t="s">
        <v>374</v>
      </c>
      <c r="M417" s="38">
        <v>0</v>
      </c>
      <c r="N417" s="39" t="s">
        <v>374</v>
      </c>
      <c r="O417" s="41">
        <v>99999</v>
      </c>
      <c r="P417" s="38">
        <v>0</v>
      </c>
      <c r="Q417" s="38">
        <v>0</v>
      </c>
      <c r="R417" s="39" t="s">
        <v>237</v>
      </c>
    </row>
    <row r="418" spans="1:18" x14ac:dyDescent="0.3">
      <c r="A418" s="37" t="s">
        <v>378</v>
      </c>
      <c r="B418" s="37" t="s">
        <v>785</v>
      </c>
      <c r="C418" s="37" t="s">
        <v>372</v>
      </c>
      <c r="D418" s="37" t="s">
        <v>375</v>
      </c>
      <c r="E418" s="38">
        <v>0</v>
      </c>
      <c r="F418" s="39" t="s">
        <v>237</v>
      </c>
      <c r="G418" s="38">
        <v>0</v>
      </c>
      <c r="H418" s="39" t="s">
        <v>380</v>
      </c>
      <c r="I418" s="40">
        <v>44204</v>
      </c>
      <c r="J418" s="40">
        <v>44428</v>
      </c>
      <c r="K418" s="38">
        <v>0</v>
      </c>
      <c r="L418" s="39" t="s">
        <v>380</v>
      </c>
      <c r="M418" s="38">
        <v>0</v>
      </c>
      <c r="N418" s="39" t="s">
        <v>380</v>
      </c>
      <c r="O418" s="41">
        <v>0</v>
      </c>
      <c r="P418" s="38">
        <v>0</v>
      </c>
      <c r="Q418" s="38">
        <v>0</v>
      </c>
      <c r="R418" s="39" t="s">
        <v>237</v>
      </c>
    </row>
    <row r="419" spans="1:18" x14ac:dyDescent="0.3">
      <c r="A419" s="37" t="s">
        <v>378</v>
      </c>
      <c r="B419" s="37" t="s">
        <v>786</v>
      </c>
      <c r="C419" s="37" t="s">
        <v>372</v>
      </c>
      <c r="D419" s="37" t="s">
        <v>375</v>
      </c>
      <c r="E419" s="38">
        <v>0</v>
      </c>
      <c r="F419" s="39" t="s">
        <v>237</v>
      </c>
      <c r="G419" s="38">
        <v>0</v>
      </c>
      <c r="H419" s="39" t="s">
        <v>380</v>
      </c>
      <c r="I419" s="40">
        <v>44559</v>
      </c>
      <c r="J419" s="40">
        <v>44559</v>
      </c>
      <c r="K419" s="38">
        <v>0</v>
      </c>
      <c r="L419" s="39" t="s">
        <v>380</v>
      </c>
      <c r="M419" s="38">
        <v>0</v>
      </c>
      <c r="N419" s="39" t="s">
        <v>380</v>
      </c>
      <c r="O419" s="41">
        <v>0</v>
      </c>
      <c r="P419" s="38">
        <v>0</v>
      </c>
      <c r="Q419" s="38">
        <v>0</v>
      </c>
      <c r="R419" s="39" t="s">
        <v>237</v>
      </c>
    </row>
    <row r="420" spans="1:18" x14ac:dyDescent="0.3">
      <c r="A420" s="37" t="s">
        <v>378</v>
      </c>
      <c r="B420" s="37" t="s">
        <v>787</v>
      </c>
      <c r="C420" s="37" t="s">
        <v>372</v>
      </c>
      <c r="D420" s="37" t="s">
        <v>375</v>
      </c>
      <c r="E420" s="38">
        <v>0</v>
      </c>
      <c r="F420" s="39" t="s">
        <v>237</v>
      </c>
      <c r="G420" s="38">
        <v>0</v>
      </c>
      <c r="H420" s="39" t="s">
        <v>380</v>
      </c>
      <c r="I420" s="40">
        <v>44741</v>
      </c>
      <c r="J420" s="40">
        <v>44863</v>
      </c>
      <c r="K420" s="38">
        <v>0</v>
      </c>
      <c r="L420" s="39" t="s">
        <v>380</v>
      </c>
      <c r="M420" s="38">
        <v>0</v>
      </c>
      <c r="N420" s="39" t="s">
        <v>380</v>
      </c>
      <c r="O420" s="41">
        <v>0</v>
      </c>
      <c r="P420" s="38">
        <v>0</v>
      </c>
      <c r="Q420" s="38">
        <v>0</v>
      </c>
      <c r="R420" s="39" t="s">
        <v>237</v>
      </c>
    </row>
    <row r="421" spans="1:18" x14ac:dyDescent="0.3">
      <c r="A421" s="37" t="s">
        <v>378</v>
      </c>
      <c r="B421" s="37" t="s">
        <v>788</v>
      </c>
      <c r="C421" s="37" t="s">
        <v>372</v>
      </c>
      <c r="D421" s="37" t="s">
        <v>375</v>
      </c>
      <c r="E421" s="38">
        <v>0</v>
      </c>
      <c r="F421" s="39" t="s">
        <v>237</v>
      </c>
      <c r="G421" s="38">
        <v>0</v>
      </c>
      <c r="H421" s="39" t="s">
        <v>380</v>
      </c>
      <c r="I421" s="40">
        <v>44754</v>
      </c>
      <c r="J421" s="40">
        <v>44755</v>
      </c>
      <c r="K421" s="38">
        <v>0</v>
      </c>
      <c r="L421" s="39" t="s">
        <v>380</v>
      </c>
      <c r="M421" s="38">
        <v>0</v>
      </c>
      <c r="N421" s="39" t="s">
        <v>380</v>
      </c>
      <c r="O421" s="41">
        <v>0</v>
      </c>
      <c r="P421" s="38">
        <v>0</v>
      </c>
      <c r="Q421" s="38">
        <v>0</v>
      </c>
      <c r="R421" s="39" t="s">
        <v>237</v>
      </c>
    </row>
    <row r="422" spans="1:18" x14ac:dyDescent="0.3">
      <c r="A422" s="37" t="s">
        <v>378</v>
      </c>
      <c r="B422" s="37" t="s">
        <v>1302</v>
      </c>
      <c r="C422" s="37" t="s">
        <v>372</v>
      </c>
      <c r="D422" s="37" t="s">
        <v>375</v>
      </c>
      <c r="E422" s="38">
        <v>0</v>
      </c>
      <c r="F422" s="39" t="s">
        <v>237</v>
      </c>
      <c r="G422" s="38">
        <v>0</v>
      </c>
      <c r="H422" s="39" t="s">
        <v>380</v>
      </c>
      <c r="I422" s="40">
        <v>44251</v>
      </c>
      <c r="J422" s="40">
        <v>44252</v>
      </c>
      <c r="K422" s="38">
        <v>0</v>
      </c>
      <c r="L422" s="39" t="s">
        <v>380</v>
      </c>
      <c r="M422" s="38">
        <v>0</v>
      </c>
      <c r="N422" s="39" t="s">
        <v>380</v>
      </c>
      <c r="O422" s="41">
        <v>0</v>
      </c>
      <c r="P422" s="38">
        <v>0</v>
      </c>
      <c r="Q422" s="38">
        <v>0</v>
      </c>
      <c r="R422" s="39" t="s">
        <v>237</v>
      </c>
    </row>
    <row r="423" spans="1:18" x14ac:dyDescent="0.3">
      <c r="A423" s="37" t="s">
        <v>378</v>
      </c>
      <c r="B423" s="37" t="s">
        <v>789</v>
      </c>
      <c r="C423" s="37" t="s">
        <v>372</v>
      </c>
      <c r="D423" s="37" t="s">
        <v>375</v>
      </c>
      <c r="E423" s="38">
        <v>0</v>
      </c>
      <c r="F423" s="39" t="s">
        <v>237</v>
      </c>
      <c r="G423" s="38">
        <v>0</v>
      </c>
      <c r="H423" s="39" t="s">
        <v>380</v>
      </c>
      <c r="I423" s="40">
        <v>44727</v>
      </c>
      <c r="J423" s="40">
        <v>44750</v>
      </c>
      <c r="K423" s="38">
        <v>0</v>
      </c>
      <c r="L423" s="39" t="s">
        <v>380</v>
      </c>
      <c r="M423" s="38">
        <v>0</v>
      </c>
      <c r="N423" s="39" t="s">
        <v>380</v>
      </c>
      <c r="O423" s="41">
        <v>0</v>
      </c>
      <c r="P423" s="38">
        <v>0</v>
      </c>
      <c r="Q423" s="38">
        <v>0</v>
      </c>
      <c r="R423" s="39" t="s">
        <v>237</v>
      </c>
    </row>
    <row r="424" spans="1:18" x14ac:dyDescent="0.3">
      <c r="A424" s="37" t="s">
        <v>378</v>
      </c>
      <c r="B424" s="37" t="s">
        <v>790</v>
      </c>
      <c r="C424" s="37" t="s">
        <v>372</v>
      </c>
      <c r="D424" s="37" t="s">
        <v>375</v>
      </c>
      <c r="E424" s="38">
        <v>0</v>
      </c>
      <c r="F424" s="39" t="s">
        <v>237</v>
      </c>
      <c r="G424" s="38">
        <v>0</v>
      </c>
      <c r="H424" s="39" t="s">
        <v>380</v>
      </c>
      <c r="I424" s="40">
        <v>45478</v>
      </c>
      <c r="J424" s="40">
        <v>45478</v>
      </c>
      <c r="K424" s="38">
        <v>76776</v>
      </c>
      <c r="L424" s="39" t="s">
        <v>380</v>
      </c>
      <c r="M424" s="38">
        <v>76776</v>
      </c>
      <c r="N424" s="39" t="s">
        <v>380</v>
      </c>
      <c r="O424" s="41">
        <v>0</v>
      </c>
      <c r="P424" s="38">
        <v>0</v>
      </c>
      <c r="Q424" s="38">
        <v>0</v>
      </c>
      <c r="R424" s="39" t="s">
        <v>237</v>
      </c>
    </row>
    <row r="425" spans="1:18" x14ac:dyDescent="0.3">
      <c r="A425" s="37" t="s">
        <v>378</v>
      </c>
      <c r="B425" s="37" t="s">
        <v>791</v>
      </c>
      <c r="C425" s="37" t="s">
        <v>372</v>
      </c>
      <c r="D425" s="37" t="s">
        <v>375</v>
      </c>
      <c r="E425" s="38">
        <v>0</v>
      </c>
      <c r="F425" s="39" t="s">
        <v>237</v>
      </c>
      <c r="G425" s="38">
        <v>0</v>
      </c>
      <c r="H425" s="39" t="s">
        <v>380</v>
      </c>
      <c r="I425" s="40">
        <v>45436</v>
      </c>
      <c r="J425" s="40">
        <v>45450</v>
      </c>
      <c r="K425" s="38">
        <v>7200</v>
      </c>
      <c r="L425" s="39" t="s">
        <v>380</v>
      </c>
      <c r="M425" s="38">
        <v>0</v>
      </c>
      <c r="N425" s="39" t="s">
        <v>380</v>
      </c>
      <c r="O425" s="41">
        <v>0</v>
      </c>
      <c r="P425" s="38">
        <v>4</v>
      </c>
      <c r="Q425" s="38">
        <v>2662.6999999999898</v>
      </c>
      <c r="R425" s="39" t="s">
        <v>237</v>
      </c>
    </row>
    <row r="426" spans="1:18" x14ac:dyDescent="0.3">
      <c r="A426" s="37" t="s">
        <v>378</v>
      </c>
      <c r="B426" s="37" t="s">
        <v>792</v>
      </c>
      <c r="C426" s="37" t="s">
        <v>372</v>
      </c>
      <c r="D426" s="37" t="s">
        <v>375</v>
      </c>
      <c r="E426" s="38">
        <v>265.24</v>
      </c>
      <c r="F426" s="39" t="s">
        <v>237</v>
      </c>
      <c r="G426" s="38">
        <v>720</v>
      </c>
      <c r="H426" s="39" t="s">
        <v>380</v>
      </c>
      <c r="I426" s="40">
        <v>45440</v>
      </c>
      <c r="J426" s="40">
        <v>45450</v>
      </c>
      <c r="K426" s="38">
        <v>7200</v>
      </c>
      <c r="L426" s="39" t="s">
        <v>380</v>
      </c>
      <c r="M426" s="38">
        <v>0</v>
      </c>
      <c r="N426" s="39" t="s">
        <v>380</v>
      </c>
      <c r="O426" s="41">
        <v>9</v>
      </c>
      <c r="P426" s="38">
        <v>2.86</v>
      </c>
      <c r="Q426" s="38">
        <v>2652.3699999999899</v>
      </c>
      <c r="R426" s="39" t="s">
        <v>237</v>
      </c>
    </row>
    <row r="427" spans="1:18" x14ac:dyDescent="0.3">
      <c r="A427" s="37" t="s">
        <v>378</v>
      </c>
      <c r="B427" s="37" t="s">
        <v>793</v>
      </c>
      <c r="C427" s="37" t="s">
        <v>372</v>
      </c>
      <c r="D427" s="37" t="s">
        <v>375</v>
      </c>
      <c r="E427" s="38">
        <v>0</v>
      </c>
      <c r="F427" s="39" t="s">
        <v>237</v>
      </c>
      <c r="G427" s="38">
        <v>0</v>
      </c>
      <c r="H427" s="39" t="s">
        <v>380</v>
      </c>
      <c r="I427" s="40">
        <v>44281</v>
      </c>
      <c r="J427" s="40">
        <v>44281</v>
      </c>
      <c r="K427" s="38">
        <v>0</v>
      </c>
      <c r="L427" s="39" t="s">
        <v>380</v>
      </c>
      <c r="M427" s="38">
        <v>0</v>
      </c>
      <c r="N427" s="39" t="s">
        <v>380</v>
      </c>
      <c r="O427" s="41">
        <v>0</v>
      </c>
      <c r="P427" s="38">
        <v>0</v>
      </c>
      <c r="Q427" s="38">
        <v>0</v>
      </c>
      <c r="R427" s="39" t="s">
        <v>237</v>
      </c>
    </row>
    <row r="428" spans="1:18" x14ac:dyDescent="0.3">
      <c r="A428" s="37" t="s">
        <v>378</v>
      </c>
      <c r="B428" s="37" t="s">
        <v>794</v>
      </c>
      <c r="C428" s="37" t="s">
        <v>372</v>
      </c>
      <c r="D428" s="37" t="s">
        <v>375</v>
      </c>
      <c r="E428" s="38">
        <v>0</v>
      </c>
      <c r="F428" s="39" t="s">
        <v>237</v>
      </c>
      <c r="G428" s="38">
        <v>0</v>
      </c>
      <c r="H428" s="39" t="s">
        <v>380</v>
      </c>
      <c r="I428" s="40">
        <v>44288</v>
      </c>
      <c r="J428" s="40">
        <v>44288</v>
      </c>
      <c r="K428" s="38">
        <v>0</v>
      </c>
      <c r="L428" s="39" t="s">
        <v>380</v>
      </c>
      <c r="M428" s="38">
        <v>0</v>
      </c>
      <c r="N428" s="39" t="s">
        <v>380</v>
      </c>
      <c r="O428" s="41">
        <v>0</v>
      </c>
      <c r="P428" s="38">
        <v>0</v>
      </c>
      <c r="Q428" s="38">
        <v>0</v>
      </c>
      <c r="R428" s="39" t="s">
        <v>237</v>
      </c>
    </row>
    <row r="429" spans="1:18" x14ac:dyDescent="0.3">
      <c r="A429" s="37" t="s">
        <v>378</v>
      </c>
      <c r="B429" s="37" t="s">
        <v>795</v>
      </c>
      <c r="C429" s="37" t="s">
        <v>372</v>
      </c>
      <c r="D429" s="37" t="s">
        <v>375</v>
      </c>
      <c r="E429" s="38">
        <v>0</v>
      </c>
      <c r="F429" s="39" t="s">
        <v>237</v>
      </c>
      <c r="G429" s="38">
        <v>0</v>
      </c>
      <c r="H429" s="39" t="s">
        <v>380</v>
      </c>
      <c r="I429" s="40">
        <v>44747</v>
      </c>
      <c r="J429" s="40">
        <v>44747</v>
      </c>
      <c r="K429" s="38">
        <v>0</v>
      </c>
      <c r="L429" s="39" t="s">
        <v>380</v>
      </c>
      <c r="M429" s="38">
        <v>0</v>
      </c>
      <c r="N429" s="39" t="s">
        <v>380</v>
      </c>
      <c r="O429" s="41">
        <v>0</v>
      </c>
      <c r="P429" s="38">
        <v>0</v>
      </c>
      <c r="Q429" s="38">
        <v>0</v>
      </c>
      <c r="R429" s="39" t="s">
        <v>237</v>
      </c>
    </row>
    <row r="430" spans="1:18" x14ac:dyDescent="0.3">
      <c r="A430" s="37" t="s">
        <v>378</v>
      </c>
      <c r="B430" s="37" t="s">
        <v>796</v>
      </c>
      <c r="C430" s="37" t="s">
        <v>372</v>
      </c>
      <c r="D430" s="37" t="s">
        <v>375</v>
      </c>
      <c r="E430" s="38">
        <v>0</v>
      </c>
      <c r="F430" s="39" t="s">
        <v>237</v>
      </c>
      <c r="G430" s="38">
        <v>0</v>
      </c>
      <c r="H430" s="39" t="s">
        <v>380</v>
      </c>
      <c r="I430" s="40">
        <v>45301</v>
      </c>
      <c r="J430" s="40">
        <v>45308</v>
      </c>
      <c r="K430" s="38">
        <v>0</v>
      </c>
      <c r="L430" s="39" t="s">
        <v>380</v>
      </c>
      <c r="M430" s="38">
        <v>0</v>
      </c>
      <c r="N430" s="39" t="s">
        <v>380</v>
      </c>
      <c r="O430" s="41">
        <v>0</v>
      </c>
      <c r="P430" s="38">
        <v>0</v>
      </c>
      <c r="Q430" s="38">
        <v>0</v>
      </c>
      <c r="R430" s="39" t="s">
        <v>237</v>
      </c>
    </row>
    <row r="431" spans="1:18" x14ac:dyDescent="0.3">
      <c r="A431" s="37" t="s">
        <v>378</v>
      </c>
      <c r="B431" s="37" t="s">
        <v>797</v>
      </c>
      <c r="C431" s="37" t="s">
        <v>372</v>
      </c>
      <c r="D431" s="37" t="s">
        <v>375</v>
      </c>
      <c r="E431" s="38">
        <v>0</v>
      </c>
      <c r="F431" s="39" t="s">
        <v>237</v>
      </c>
      <c r="G431" s="38">
        <v>0</v>
      </c>
      <c r="H431" s="39" t="s">
        <v>380</v>
      </c>
      <c r="I431" s="40">
        <v>45231</v>
      </c>
      <c r="J431" s="40">
        <v>45373</v>
      </c>
      <c r="K431" s="38">
        <v>0</v>
      </c>
      <c r="L431" s="39" t="s">
        <v>380</v>
      </c>
      <c r="M431" s="38">
        <v>0</v>
      </c>
      <c r="N431" s="39" t="s">
        <v>380</v>
      </c>
      <c r="O431" s="41">
        <v>0</v>
      </c>
      <c r="P431" s="38">
        <v>0</v>
      </c>
      <c r="Q431" s="38">
        <v>0</v>
      </c>
      <c r="R431" s="39" t="s">
        <v>237</v>
      </c>
    </row>
    <row r="432" spans="1:18" x14ac:dyDescent="0.3">
      <c r="A432" s="37" t="s">
        <v>378</v>
      </c>
      <c r="B432" s="37" t="s">
        <v>798</v>
      </c>
      <c r="C432" s="37" t="s">
        <v>372</v>
      </c>
      <c r="D432" s="37" t="s">
        <v>375</v>
      </c>
      <c r="E432" s="38">
        <v>0</v>
      </c>
      <c r="F432" s="39" t="s">
        <v>237</v>
      </c>
      <c r="G432" s="38">
        <v>0</v>
      </c>
      <c r="H432" s="39" t="s">
        <v>380</v>
      </c>
      <c r="I432" s="40">
        <v>45240</v>
      </c>
      <c r="J432" s="40">
        <v>45240</v>
      </c>
      <c r="K432" s="38">
        <v>0</v>
      </c>
      <c r="L432" s="39" t="s">
        <v>380</v>
      </c>
      <c r="M432" s="38">
        <v>0</v>
      </c>
      <c r="N432" s="39" t="s">
        <v>380</v>
      </c>
      <c r="O432" s="41">
        <v>0</v>
      </c>
      <c r="P432" s="38">
        <v>0</v>
      </c>
      <c r="Q432" s="38">
        <v>0</v>
      </c>
      <c r="R432" s="39" t="s">
        <v>237</v>
      </c>
    </row>
    <row r="433" spans="1:18" x14ac:dyDescent="0.3">
      <c r="A433" s="37" t="s">
        <v>378</v>
      </c>
      <c r="B433" s="37" t="s">
        <v>799</v>
      </c>
      <c r="C433" s="37" t="s">
        <v>372</v>
      </c>
      <c r="D433" s="37" t="s">
        <v>377</v>
      </c>
      <c r="E433" s="38">
        <v>121.39</v>
      </c>
      <c r="F433" s="39" t="s">
        <v>237</v>
      </c>
      <c r="G433" s="38">
        <v>0.71799999999999897</v>
      </c>
      <c r="H433" s="39" t="s">
        <v>374</v>
      </c>
      <c r="I433" s="40">
        <v>45377</v>
      </c>
      <c r="J433" s="40">
        <v>45377</v>
      </c>
      <c r="K433" s="38">
        <v>0</v>
      </c>
      <c r="L433" s="39" t="s">
        <v>374</v>
      </c>
      <c r="M433" s="38">
        <v>0</v>
      </c>
      <c r="N433" s="39" t="s">
        <v>374</v>
      </c>
      <c r="O433" s="41">
        <v>99999</v>
      </c>
      <c r="P433" s="38">
        <v>0</v>
      </c>
      <c r="Q433" s="38">
        <v>0</v>
      </c>
      <c r="R433" s="39" t="s">
        <v>237</v>
      </c>
    </row>
    <row r="434" spans="1:18" x14ac:dyDescent="0.3">
      <c r="A434" s="37" t="s">
        <v>378</v>
      </c>
      <c r="B434" s="37" t="s">
        <v>800</v>
      </c>
      <c r="C434" s="37" t="s">
        <v>372</v>
      </c>
      <c r="D434" s="37" t="s">
        <v>377</v>
      </c>
      <c r="E434" s="38">
        <v>118.75</v>
      </c>
      <c r="F434" s="39" t="s">
        <v>237</v>
      </c>
      <c r="G434" s="38">
        <v>2.399</v>
      </c>
      <c r="H434" s="39" t="s">
        <v>374</v>
      </c>
      <c r="I434" s="40">
        <v>45314</v>
      </c>
      <c r="J434" s="40">
        <v>45323</v>
      </c>
      <c r="K434" s="38">
        <v>0</v>
      </c>
      <c r="L434" s="39" t="s">
        <v>374</v>
      </c>
      <c r="M434" s="38">
        <v>0</v>
      </c>
      <c r="N434" s="39" t="s">
        <v>374</v>
      </c>
      <c r="O434" s="41">
        <v>99999</v>
      </c>
      <c r="P434" s="38">
        <v>0</v>
      </c>
      <c r="Q434" s="38">
        <v>0</v>
      </c>
      <c r="R434" s="39" t="s">
        <v>237</v>
      </c>
    </row>
    <row r="435" spans="1:18" x14ac:dyDescent="0.3">
      <c r="A435" s="37" t="s">
        <v>378</v>
      </c>
      <c r="B435" s="37" t="s">
        <v>801</v>
      </c>
      <c r="C435" s="37" t="s">
        <v>372</v>
      </c>
      <c r="D435" s="37" t="s">
        <v>377</v>
      </c>
      <c r="E435" s="38">
        <v>3301.5599999999899</v>
      </c>
      <c r="F435" s="39" t="s">
        <v>237</v>
      </c>
      <c r="G435" s="38">
        <v>64.808999999999898</v>
      </c>
      <c r="H435" s="39" t="s">
        <v>374</v>
      </c>
      <c r="I435" s="40">
        <v>45528</v>
      </c>
      <c r="J435" s="40">
        <v>45531</v>
      </c>
      <c r="K435" s="38">
        <v>50.167000000000002</v>
      </c>
      <c r="L435" s="39" t="s">
        <v>374</v>
      </c>
      <c r="M435" s="38">
        <v>30</v>
      </c>
      <c r="N435" s="39" t="s">
        <v>374</v>
      </c>
      <c r="O435" s="41">
        <v>296</v>
      </c>
      <c r="P435" s="38">
        <v>0.25</v>
      </c>
      <c r="Q435" s="38">
        <v>1027.3699999999899</v>
      </c>
      <c r="R435" s="39" t="s">
        <v>237</v>
      </c>
    </row>
    <row r="436" spans="1:18" x14ac:dyDescent="0.3">
      <c r="A436" s="37" t="s">
        <v>378</v>
      </c>
      <c r="B436" s="37" t="s">
        <v>802</v>
      </c>
      <c r="C436" s="37" t="s">
        <v>372</v>
      </c>
      <c r="D436" s="37" t="s">
        <v>375</v>
      </c>
      <c r="E436" s="38">
        <v>0</v>
      </c>
      <c r="F436" s="39" t="s">
        <v>237</v>
      </c>
      <c r="G436" s="38">
        <v>3600</v>
      </c>
      <c r="H436" s="39" t="s">
        <v>380</v>
      </c>
      <c r="I436" s="40">
        <v>45420</v>
      </c>
      <c r="J436" s="40">
        <v>45432</v>
      </c>
      <c r="K436" s="38">
        <v>0</v>
      </c>
      <c r="L436" s="39" t="s">
        <v>380</v>
      </c>
      <c r="M436" s="38">
        <v>0</v>
      </c>
      <c r="N436" s="39" t="s">
        <v>380</v>
      </c>
      <c r="O436" s="41">
        <v>0</v>
      </c>
      <c r="P436" s="38">
        <v>0</v>
      </c>
      <c r="Q436" s="38">
        <v>0</v>
      </c>
      <c r="R436" s="39" t="s">
        <v>237</v>
      </c>
    </row>
    <row r="437" spans="1:18" x14ac:dyDescent="0.3">
      <c r="A437" s="37" t="s">
        <v>378</v>
      </c>
      <c r="B437" s="37" t="s">
        <v>803</v>
      </c>
      <c r="C437" s="37" t="s">
        <v>372</v>
      </c>
      <c r="D437" s="37" t="s">
        <v>375</v>
      </c>
      <c r="E437" s="38">
        <v>0</v>
      </c>
      <c r="F437" s="39" t="s">
        <v>237</v>
      </c>
      <c r="G437" s="38">
        <v>1100</v>
      </c>
      <c r="H437" s="39" t="s">
        <v>380</v>
      </c>
      <c r="I437" s="40">
        <v>45264</v>
      </c>
      <c r="J437" s="40"/>
      <c r="K437" s="38">
        <v>0</v>
      </c>
      <c r="L437" s="39" t="s">
        <v>380</v>
      </c>
      <c r="M437" s="38">
        <v>0</v>
      </c>
      <c r="N437" s="39" t="s">
        <v>380</v>
      </c>
      <c r="O437" s="41">
        <v>0</v>
      </c>
      <c r="P437" s="38">
        <v>0</v>
      </c>
      <c r="Q437" s="38">
        <v>0</v>
      </c>
      <c r="R437" s="39" t="s">
        <v>237</v>
      </c>
    </row>
    <row r="438" spans="1:18" x14ac:dyDescent="0.3">
      <c r="A438" s="37" t="s">
        <v>378</v>
      </c>
      <c r="B438" s="37" t="s">
        <v>804</v>
      </c>
      <c r="C438" s="37" t="s">
        <v>372</v>
      </c>
      <c r="D438" s="37" t="s">
        <v>375</v>
      </c>
      <c r="E438" s="38">
        <v>0</v>
      </c>
      <c r="F438" s="39" t="s">
        <v>237</v>
      </c>
      <c r="G438" s="38">
        <v>4080</v>
      </c>
      <c r="H438" s="39" t="s">
        <v>380</v>
      </c>
      <c r="I438" s="40">
        <v>45432</v>
      </c>
      <c r="J438" s="40">
        <v>45440</v>
      </c>
      <c r="K438" s="38">
        <v>0</v>
      </c>
      <c r="L438" s="39" t="s">
        <v>380</v>
      </c>
      <c r="M438" s="38">
        <v>0</v>
      </c>
      <c r="N438" s="39" t="s">
        <v>380</v>
      </c>
      <c r="O438" s="41">
        <v>0</v>
      </c>
      <c r="P438" s="38">
        <v>0</v>
      </c>
      <c r="Q438" s="38">
        <v>0</v>
      </c>
      <c r="R438" s="39" t="s">
        <v>237</v>
      </c>
    </row>
    <row r="439" spans="1:18" x14ac:dyDescent="0.3">
      <c r="A439" s="37" t="s">
        <v>378</v>
      </c>
      <c r="B439" s="37" t="s">
        <v>805</v>
      </c>
      <c r="C439" s="37" t="s">
        <v>372</v>
      </c>
      <c r="D439" s="37" t="s">
        <v>375</v>
      </c>
      <c r="E439" s="38">
        <v>0</v>
      </c>
      <c r="F439" s="39" t="s">
        <v>237</v>
      </c>
      <c r="G439" s="38">
        <v>2000</v>
      </c>
      <c r="H439" s="39" t="s">
        <v>380</v>
      </c>
      <c r="I439" s="40">
        <v>44767</v>
      </c>
      <c r="J439" s="40">
        <v>44915</v>
      </c>
      <c r="K439" s="38">
        <v>0</v>
      </c>
      <c r="L439" s="39" t="s">
        <v>380</v>
      </c>
      <c r="M439" s="38">
        <v>0</v>
      </c>
      <c r="N439" s="39" t="s">
        <v>380</v>
      </c>
      <c r="O439" s="41">
        <v>0</v>
      </c>
      <c r="P439" s="38">
        <v>0</v>
      </c>
      <c r="Q439" s="38">
        <v>0</v>
      </c>
      <c r="R439" s="39" t="s">
        <v>237</v>
      </c>
    </row>
    <row r="440" spans="1:18" x14ac:dyDescent="0.3">
      <c r="A440" s="37" t="s">
        <v>378</v>
      </c>
      <c r="B440" s="37" t="s">
        <v>806</v>
      </c>
      <c r="C440" s="37" t="s">
        <v>372</v>
      </c>
      <c r="D440" s="37" t="s">
        <v>375</v>
      </c>
      <c r="E440" s="38">
        <v>0</v>
      </c>
      <c r="F440" s="39" t="s">
        <v>237</v>
      </c>
      <c r="G440" s="38">
        <v>2000</v>
      </c>
      <c r="H440" s="39" t="s">
        <v>380</v>
      </c>
      <c r="I440" s="40">
        <v>45264</v>
      </c>
      <c r="J440" s="40">
        <v>44767</v>
      </c>
      <c r="K440" s="38">
        <v>0</v>
      </c>
      <c r="L440" s="39" t="s">
        <v>380</v>
      </c>
      <c r="M440" s="38">
        <v>0</v>
      </c>
      <c r="N440" s="39" t="s">
        <v>380</v>
      </c>
      <c r="O440" s="41">
        <v>0</v>
      </c>
      <c r="P440" s="38">
        <v>0</v>
      </c>
      <c r="Q440" s="38">
        <v>0</v>
      </c>
      <c r="R440" s="39" t="s">
        <v>237</v>
      </c>
    </row>
    <row r="441" spans="1:18" x14ac:dyDescent="0.3">
      <c r="A441" s="37" t="s">
        <v>378</v>
      </c>
      <c r="B441" s="37" t="s">
        <v>807</v>
      </c>
      <c r="C441" s="37" t="s">
        <v>372</v>
      </c>
      <c r="D441" s="37" t="s">
        <v>375</v>
      </c>
      <c r="E441" s="38">
        <v>0</v>
      </c>
      <c r="F441" s="39" t="s">
        <v>237</v>
      </c>
      <c r="G441" s="38">
        <v>3600</v>
      </c>
      <c r="H441" s="39" t="s">
        <v>380</v>
      </c>
      <c r="I441" s="40">
        <v>45420</v>
      </c>
      <c r="J441" s="40">
        <v>45432</v>
      </c>
      <c r="K441" s="38">
        <v>0</v>
      </c>
      <c r="L441" s="39" t="s">
        <v>380</v>
      </c>
      <c r="M441" s="38">
        <v>0</v>
      </c>
      <c r="N441" s="39" t="s">
        <v>380</v>
      </c>
      <c r="O441" s="41">
        <v>0</v>
      </c>
      <c r="P441" s="38">
        <v>0</v>
      </c>
      <c r="Q441" s="38">
        <v>0</v>
      </c>
      <c r="R441" s="39" t="s">
        <v>237</v>
      </c>
    </row>
    <row r="442" spans="1:18" x14ac:dyDescent="0.3">
      <c r="A442" s="37" t="s">
        <v>378</v>
      </c>
      <c r="B442" s="37" t="s">
        <v>808</v>
      </c>
      <c r="C442" s="37" t="s">
        <v>372</v>
      </c>
      <c r="D442" s="37" t="s">
        <v>375</v>
      </c>
      <c r="E442" s="38">
        <v>0</v>
      </c>
      <c r="F442" s="39" t="s">
        <v>237</v>
      </c>
      <c r="G442" s="38">
        <v>5700</v>
      </c>
      <c r="H442" s="39" t="s">
        <v>380</v>
      </c>
      <c r="I442" s="40">
        <v>44915</v>
      </c>
      <c r="J442" s="40">
        <v>45264</v>
      </c>
      <c r="K442" s="38">
        <v>0</v>
      </c>
      <c r="L442" s="39" t="s">
        <v>380</v>
      </c>
      <c r="M442" s="38">
        <v>0</v>
      </c>
      <c r="N442" s="39" t="s">
        <v>380</v>
      </c>
      <c r="O442" s="41">
        <v>0</v>
      </c>
      <c r="P442" s="38">
        <v>0</v>
      </c>
      <c r="Q442" s="38">
        <v>0</v>
      </c>
      <c r="R442" s="39" t="s">
        <v>237</v>
      </c>
    </row>
    <row r="443" spans="1:18" x14ac:dyDescent="0.3">
      <c r="A443" s="37" t="s">
        <v>378</v>
      </c>
      <c r="B443" s="37" t="s">
        <v>809</v>
      </c>
      <c r="C443" s="37" t="s">
        <v>372</v>
      </c>
      <c r="D443" s="37" t="s">
        <v>375</v>
      </c>
      <c r="E443" s="38">
        <v>0</v>
      </c>
      <c r="F443" s="39" t="s">
        <v>237</v>
      </c>
      <c r="G443" s="38">
        <v>2600</v>
      </c>
      <c r="H443" s="39" t="s">
        <v>380</v>
      </c>
      <c r="I443" s="40">
        <v>45463</v>
      </c>
      <c r="J443" s="40">
        <v>45482</v>
      </c>
      <c r="K443" s="38">
        <v>3600</v>
      </c>
      <c r="L443" s="39" t="s">
        <v>380</v>
      </c>
      <c r="M443" s="38">
        <v>3800</v>
      </c>
      <c r="N443" s="39" t="s">
        <v>380</v>
      </c>
      <c r="O443" s="41">
        <v>0</v>
      </c>
      <c r="P443" s="38">
        <v>0.6</v>
      </c>
      <c r="Q443" s="38">
        <v>0</v>
      </c>
      <c r="R443" s="39" t="s">
        <v>237</v>
      </c>
    </row>
    <row r="444" spans="1:18" x14ac:dyDescent="0.3">
      <c r="A444" s="37" t="s">
        <v>378</v>
      </c>
      <c r="B444" s="37" t="s">
        <v>810</v>
      </c>
      <c r="C444" s="37" t="s">
        <v>372</v>
      </c>
      <c r="D444" s="37" t="s">
        <v>375</v>
      </c>
      <c r="E444" s="38">
        <v>0</v>
      </c>
      <c r="F444" s="39" t="s">
        <v>237</v>
      </c>
      <c r="G444" s="38">
        <v>1700</v>
      </c>
      <c r="H444" s="39" t="s">
        <v>380</v>
      </c>
      <c r="I444" s="40">
        <v>45352</v>
      </c>
      <c r="J444" s="40">
        <v>45355</v>
      </c>
      <c r="K444" s="38">
        <v>0</v>
      </c>
      <c r="L444" s="39" t="s">
        <v>380</v>
      </c>
      <c r="M444" s="38">
        <v>0</v>
      </c>
      <c r="N444" s="39" t="s">
        <v>380</v>
      </c>
      <c r="O444" s="41">
        <v>0</v>
      </c>
      <c r="P444" s="38">
        <v>0</v>
      </c>
      <c r="Q444" s="38">
        <v>0</v>
      </c>
      <c r="R444" s="39" t="s">
        <v>237</v>
      </c>
    </row>
    <row r="445" spans="1:18" x14ac:dyDescent="0.3">
      <c r="A445" s="37" t="s">
        <v>378</v>
      </c>
      <c r="B445" s="37" t="s">
        <v>811</v>
      </c>
      <c r="C445" s="37" t="s">
        <v>372</v>
      </c>
      <c r="D445" s="37" t="s">
        <v>375</v>
      </c>
      <c r="E445" s="38">
        <v>0</v>
      </c>
      <c r="F445" s="39" t="s">
        <v>237</v>
      </c>
      <c r="G445" s="38">
        <v>2200</v>
      </c>
      <c r="H445" s="39" t="s">
        <v>380</v>
      </c>
      <c r="I445" s="40">
        <v>45483</v>
      </c>
      <c r="J445" s="40">
        <v>45483</v>
      </c>
      <c r="K445" s="38">
        <v>3600</v>
      </c>
      <c r="L445" s="39" t="s">
        <v>380</v>
      </c>
      <c r="M445" s="38">
        <v>4800</v>
      </c>
      <c r="N445" s="39" t="s">
        <v>380</v>
      </c>
      <c r="O445" s="41">
        <v>0</v>
      </c>
      <c r="P445" s="38">
        <v>0.77</v>
      </c>
      <c r="Q445" s="38">
        <v>0</v>
      </c>
      <c r="R445" s="39" t="s">
        <v>237</v>
      </c>
    </row>
    <row r="446" spans="1:18" x14ac:dyDescent="0.3">
      <c r="A446" s="37" t="s">
        <v>378</v>
      </c>
      <c r="B446" s="37" t="s">
        <v>812</v>
      </c>
      <c r="C446" s="37" t="s">
        <v>372</v>
      </c>
      <c r="D446" s="37" t="s">
        <v>375</v>
      </c>
      <c r="E446" s="38">
        <v>0</v>
      </c>
      <c r="F446" s="39" t="s">
        <v>237</v>
      </c>
      <c r="G446" s="38">
        <v>1400</v>
      </c>
      <c r="H446" s="39" t="s">
        <v>380</v>
      </c>
      <c r="I446" s="40">
        <v>45470</v>
      </c>
      <c r="J446" s="40">
        <v>45482</v>
      </c>
      <c r="K446" s="38">
        <v>3600</v>
      </c>
      <c r="L446" s="39" t="s">
        <v>380</v>
      </c>
      <c r="M446" s="38">
        <v>3800</v>
      </c>
      <c r="N446" s="39" t="s">
        <v>380</v>
      </c>
      <c r="O446" s="41">
        <v>0</v>
      </c>
      <c r="P446" s="38">
        <v>1</v>
      </c>
      <c r="Q446" s="38">
        <v>0</v>
      </c>
      <c r="R446" s="39" t="s">
        <v>237</v>
      </c>
    </row>
    <row r="447" spans="1:18" x14ac:dyDescent="0.3">
      <c r="A447" s="37" t="s">
        <v>378</v>
      </c>
      <c r="B447" s="37" t="s">
        <v>813</v>
      </c>
      <c r="C447" s="37" t="s">
        <v>372</v>
      </c>
      <c r="D447" s="37" t="s">
        <v>375</v>
      </c>
      <c r="E447" s="38">
        <v>0</v>
      </c>
      <c r="F447" s="39" t="s">
        <v>237</v>
      </c>
      <c r="G447" s="38">
        <v>0</v>
      </c>
      <c r="H447" s="39" t="s">
        <v>380</v>
      </c>
      <c r="I447" s="40">
        <v>45436</v>
      </c>
      <c r="J447" s="40">
        <v>45450</v>
      </c>
      <c r="K447" s="38">
        <v>7200</v>
      </c>
      <c r="L447" s="39" t="s">
        <v>380</v>
      </c>
      <c r="M447" s="38">
        <v>0</v>
      </c>
      <c r="N447" s="39" t="s">
        <v>380</v>
      </c>
      <c r="O447" s="41">
        <v>0</v>
      </c>
      <c r="P447" s="38">
        <v>4</v>
      </c>
      <c r="Q447" s="38">
        <v>2663.52</v>
      </c>
      <c r="R447" s="39" t="s">
        <v>237</v>
      </c>
    </row>
    <row r="448" spans="1:18" x14ac:dyDescent="0.3">
      <c r="A448" s="37" t="s">
        <v>378</v>
      </c>
      <c r="B448" s="37" t="s">
        <v>814</v>
      </c>
      <c r="C448" s="37" t="s">
        <v>372</v>
      </c>
      <c r="D448" s="37" t="s">
        <v>375</v>
      </c>
      <c r="E448" s="38">
        <v>0</v>
      </c>
      <c r="F448" s="39" t="s">
        <v>237</v>
      </c>
      <c r="G448" s="38">
        <v>1500</v>
      </c>
      <c r="H448" s="39" t="s">
        <v>380</v>
      </c>
      <c r="I448" s="40">
        <v>44915</v>
      </c>
      <c r="J448" s="40">
        <v>45264</v>
      </c>
      <c r="K448" s="38">
        <v>0</v>
      </c>
      <c r="L448" s="39" t="s">
        <v>380</v>
      </c>
      <c r="M448" s="38">
        <v>0</v>
      </c>
      <c r="N448" s="39" t="s">
        <v>380</v>
      </c>
      <c r="O448" s="41">
        <v>0</v>
      </c>
      <c r="P448" s="38">
        <v>0</v>
      </c>
      <c r="Q448" s="38">
        <v>0</v>
      </c>
      <c r="R448" s="39" t="s">
        <v>237</v>
      </c>
    </row>
    <row r="449" spans="1:18" x14ac:dyDescent="0.3">
      <c r="A449" s="37" t="s">
        <v>378</v>
      </c>
      <c r="B449" s="37" t="s">
        <v>815</v>
      </c>
      <c r="C449" s="37" t="s">
        <v>372</v>
      </c>
      <c r="D449" s="37" t="s">
        <v>375</v>
      </c>
      <c r="E449" s="38">
        <v>0</v>
      </c>
      <c r="F449" s="39" t="s">
        <v>237</v>
      </c>
      <c r="G449" s="38">
        <v>1800</v>
      </c>
      <c r="H449" s="39" t="s">
        <v>380</v>
      </c>
      <c r="I449" s="40">
        <v>44536</v>
      </c>
      <c r="J449" s="40">
        <v>45264</v>
      </c>
      <c r="K449" s="38">
        <v>0</v>
      </c>
      <c r="L449" s="39" t="s">
        <v>380</v>
      </c>
      <c r="M449" s="38">
        <v>0</v>
      </c>
      <c r="N449" s="39" t="s">
        <v>380</v>
      </c>
      <c r="O449" s="41">
        <v>0</v>
      </c>
      <c r="P449" s="38">
        <v>0</v>
      </c>
      <c r="Q449" s="38">
        <v>0</v>
      </c>
      <c r="R449" s="39" t="s">
        <v>237</v>
      </c>
    </row>
    <row r="450" spans="1:18" x14ac:dyDescent="0.3">
      <c r="A450" s="37" t="s">
        <v>378</v>
      </c>
      <c r="B450" s="37" t="s">
        <v>816</v>
      </c>
      <c r="C450" s="37" t="s">
        <v>372</v>
      </c>
      <c r="D450" s="37" t="s">
        <v>375</v>
      </c>
      <c r="E450" s="38">
        <v>0</v>
      </c>
      <c r="F450" s="39" t="s">
        <v>237</v>
      </c>
      <c r="G450" s="38">
        <v>1800</v>
      </c>
      <c r="H450" s="39" t="s">
        <v>380</v>
      </c>
      <c r="I450" s="40">
        <v>44915</v>
      </c>
      <c r="J450" s="40">
        <v>45264</v>
      </c>
      <c r="K450" s="38">
        <v>0</v>
      </c>
      <c r="L450" s="39" t="s">
        <v>380</v>
      </c>
      <c r="M450" s="38">
        <v>0</v>
      </c>
      <c r="N450" s="39" t="s">
        <v>380</v>
      </c>
      <c r="O450" s="41">
        <v>0</v>
      </c>
      <c r="P450" s="38">
        <v>0</v>
      </c>
      <c r="Q450" s="38">
        <v>0</v>
      </c>
      <c r="R450" s="39" t="s">
        <v>237</v>
      </c>
    </row>
    <row r="451" spans="1:18" x14ac:dyDescent="0.3">
      <c r="A451" s="37" t="s">
        <v>378</v>
      </c>
      <c r="B451" s="37" t="s">
        <v>817</v>
      </c>
      <c r="C451" s="37" t="s">
        <v>372</v>
      </c>
      <c r="D451" s="37" t="s">
        <v>375</v>
      </c>
      <c r="E451" s="38">
        <v>0</v>
      </c>
      <c r="F451" s="39" t="s">
        <v>237</v>
      </c>
      <c r="G451" s="38">
        <v>6000</v>
      </c>
      <c r="H451" s="39" t="s">
        <v>380</v>
      </c>
      <c r="I451" s="40">
        <v>44915</v>
      </c>
      <c r="J451" s="40">
        <v>44552</v>
      </c>
      <c r="K451" s="38">
        <v>0</v>
      </c>
      <c r="L451" s="39" t="s">
        <v>380</v>
      </c>
      <c r="M451" s="38">
        <v>0</v>
      </c>
      <c r="N451" s="39" t="s">
        <v>380</v>
      </c>
      <c r="O451" s="41">
        <v>0</v>
      </c>
      <c r="P451" s="38">
        <v>0</v>
      </c>
      <c r="Q451" s="38">
        <v>0</v>
      </c>
      <c r="R451" s="39" t="s">
        <v>237</v>
      </c>
    </row>
    <row r="452" spans="1:18" x14ac:dyDescent="0.3">
      <c r="A452" s="37" t="s">
        <v>378</v>
      </c>
      <c r="B452" s="37" t="s">
        <v>818</v>
      </c>
      <c r="C452" s="37" t="s">
        <v>372</v>
      </c>
      <c r="D452" s="37" t="s">
        <v>375</v>
      </c>
      <c r="E452" s="38">
        <v>0</v>
      </c>
      <c r="F452" s="39" t="s">
        <v>237</v>
      </c>
      <c r="G452" s="38">
        <v>0</v>
      </c>
      <c r="H452" s="39" t="s">
        <v>380</v>
      </c>
      <c r="I452" s="40">
        <v>44473</v>
      </c>
      <c r="J452" s="40"/>
      <c r="K452" s="38">
        <v>0</v>
      </c>
      <c r="L452" s="39" t="s">
        <v>380</v>
      </c>
      <c r="M452" s="38">
        <v>0</v>
      </c>
      <c r="N452" s="39" t="s">
        <v>380</v>
      </c>
      <c r="O452" s="41">
        <v>0</v>
      </c>
      <c r="P452" s="38">
        <v>0</v>
      </c>
      <c r="Q452" s="38">
        <v>0</v>
      </c>
      <c r="R452" s="39" t="s">
        <v>237</v>
      </c>
    </row>
    <row r="453" spans="1:18" x14ac:dyDescent="0.3">
      <c r="A453" s="37" t="s">
        <v>378</v>
      </c>
      <c r="B453" s="37" t="s">
        <v>819</v>
      </c>
      <c r="C453" s="37" t="s">
        <v>372</v>
      </c>
      <c r="D453" s="37" t="s">
        <v>375</v>
      </c>
      <c r="E453" s="38">
        <v>0</v>
      </c>
      <c r="F453" s="39" t="s">
        <v>237</v>
      </c>
      <c r="G453" s="38">
        <v>0</v>
      </c>
      <c r="H453" s="39" t="s">
        <v>380</v>
      </c>
      <c r="I453" s="40">
        <v>44778</v>
      </c>
      <c r="J453" s="40">
        <v>44788</v>
      </c>
      <c r="K453" s="38">
        <v>0</v>
      </c>
      <c r="L453" s="39" t="s">
        <v>380</v>
      </c>
      <c r="M453" s="38">
        <v>0</v>
      </c>
      <c r="N453" s="39" t="s">
        <v>380</v>
      </c>
      <c r="O453" s="41">
        <v>0</v>
      </c>
      <c r="P453" s="38">
        <v>0</v>
      </c>
      <c r="Q453" s="38">
        <v>0</v>
      </c>
      <c r="R453" s="39" t="s">
        <v>237</v>
      </c>
    </row>
    <row r="454" spans="1:18" x14ac:dyDescent="0.3">
      <c r="A454" s="37" t="s">
        <v>378</v>
      </c>
      <c r="B454" s="37" t="s">
        <v>820</v>
      </c>
      <c r="C454" s="37" t="s">
        <v>372</v>
      </c>
      <c r="D454" s="37" t="s">
        <v>375</v>
      </c>
      <c r="E454" s="38">
        <v>0</v>
      </c>
      <c r="F454" s="39" t="s">
        <v>237</v>
      </c>
      <c r="G454" s="38">
        <v>0</v>
      </c>
      <c r="H454" s="39" t="s">
        <v>380</v>
      </c>
      <c r="I454" s="40">
        <v>44778</v>
      </c>
      <c r="J454" s="40">
        <v>44788</v>
      </c>
      <c r="K454" s="38">
        <v>0</v>
      </c>
      <c r="L454" s="39" t="s">
        <v>380</v>
      </c>
      <c r="M454" s="38">
        <v>0</v>
      </c>
      <c r="N454" s="39" t="s">
        <v>380</v>
      </c>
      <c r="O454" s="41">
        <v>0</v>
      </c>
      <c r="P454" s="38">
        <v>0</v>
      </c>
      <c r="Q454" s="38">
        <v>0</v>
      </c>
      <c r="R454" s="39" t="s">
        <v>237</v>
      </c>
    </row>
    <row r="455" spans="1:18" x14ac:dyDescent="0.3">
      <c r="A455" s="37" t="s">
        <v>378</v>
      </c>
      <c r="B455" s="37" t="s">
        <v>821</v>
      </c>
      <c r="C455" s="37" t="s">
        <v>372</v>
      </c>
      <c r="D455" s="37" t="s">
        <v>375</v>
      </c>
      <c r="E455" s="38">
        <v>0</v>
      </c>
      <c r="F455" s="39" t="s">
        <v>237</v>
      </c>
      <c r="G455" s="38">
        <v>0</v>
      </c>
      <c r="H455" s="39" t="s">
        <v>380</v>
      </c>
      <c r="I455" s="40">
        <v>44778</v>
      </c>
      <c r="J455" s="40">
        <v>44788</v>
      </c>
      <c r="K455" s="38">
        <v>0</v>
      </c>
      <c r="L455" s="39" t="s">
        <v>380</v>
      </c>
      <c r="M455" s="38">
        <v>0</v>
      </c>
      <c r="N455" s="39" t="s">
        <v>380</v>
      </c>
      <c r="O455" s="41">
        <v>0</v>
      </c>
      <c r="P455" s="38">
        <v>0</v>
      </c>
      <c r="Q455" s="38">
        <v>0</v>
      </c>
      <c r="R455" s="39" t="s">
        <v>237</v>
      </c>
    </row>
    <row r="456" spans="1:18" x14ac:dyDescent="0.3">
      <c r="A456" s="37" t="s">
        <v>378</v>
      </c>
      <c r="B456" s="37" t="s">
        <v>822</v>
      </c>
      <c r="C456" s="37" t="s">
        <v>372</v>
      </c>
      <c r="D456" s="37" t="s">
        <v>375</v>
      </c>
      <c r="E456" s="38">
        <v>0</v>
      </c>
      <c r="F456" s="39" t="s">
        <v>237</v>
      </c>
      <c r="G456" s="38">
        <v>0</v>
      </c>
      <c r="H456" s="39" t="s">
        <v>380</v>
      </c>
      <c r="I456" s="40">
        <v>44778</v>
      </c>
      <c r="J456" s="40">
        <v>44788</v>
      </c>
      <c r="K456" s="38">
        <v>0</v>
      </c>
      <c r="L456" s="39" t="s">
        <v>380</v>
      </c>
      <c r="M456" s="38">
        <v>0</v>
      </c>
      <c r="N456" s="39" t="s">
        <v>380</v>
      </c>
      <c r="O456" s="41">
        <v>0</v>
      </c>
      <c r="P456" s="38">
        <v>0</v>
      </c>
      <c r="Q456" s="38">
        <v>0</v>
      </c>
      <c r="R456" s="39" t="s">
        <v>237</v>
      </c>
    </row>
    <row r="457" spans="1:18" x14ac:dyDescent="0.3">
      <c r="A457" s="37" t="s">
        <v>378</v>
      </c>
      <c r="B457" s="37" t="s">
        <v>823</v>
      </c>
      <c r="C457" s="37" t="s">
        <v>372</v>
      </c>
      <c r="D457" s="37" t="s">
        <v>375</v>
      </c>
      <c r="E457" s="38">
        <v>0</v>
      </c>
      <c r="F457" s="39" t="s">
        <v>237</v>
      </c>
      <c r="G457" s="38">
        <v>0</v>
      </c>
      <c r="H457" s="39" t="s">
        <v>380</v>
      </c>
      <c r="I457" s="40">
        <v>44782</v>
      </c>
      <c r="J457" s="40">
        <v>44788</v>
      </c>
      <c r="K457" s="38">
        <v>0</v>
      </c>
      <c r="L457" s="39" t="s">
        <v>380</v>
      </c>
      <c r="M457" s="38">
        <v>0</v>
      </c>
      <c r="N457" s="39" t="s">
        <v>380</v>
      </c>
      <c r="O457" s="41">
        <v>0</v>
      </c>
      <c r="P457" s="38">
        <v>0</v>
      </c>
      <c r="Q457" s="38">
        <v>0</v>
      </c>
      <c r="R457" s="39" t="s">
        <v>237</v>
      </c>
    </row>
    <row r="458" spans="1:18" x14ac:dyDescent="0.3">
      <c r="A458" s="37" t="s">
        <v>378</v>
      </c>
      <c r="B458" s="37" t="s">
        <v>1303</v>
      </c>
      <c r="C458" s="37" t="s">
        <v>372</v>
      </c>
      <c r="D458" s="37" t="s">
        <v>375</v>
      </c>
      <c r="E458" s="38">
        <v>0</v>
      </c>
      <c r="F458" s="39" t="s">
        <v>237</v>
      </c>
      <c r="G458" s="38">
        <v>0</v>
      </c>
      <c r="H458" s="39" t="s">
        <v>380</v>
      </c>
      <c r="I458" s="40">
        <v>44197</v>
      </c>
      <c r="J458" s="40">
        <v>44197</v>
      </c>
      <c r="K458" s="38">
        <v>0</v>
      </c>
      <c r="L458" s="39" t="s">
        <v>380</v>
      </c>
      <c r="M458" s="38">
        <v>0</v>
      </c>
      <c r="N458" s="39" t="s">
        <v>380</v>
      </c>
      <c r="O458" s="41">
        <v>0</v>
      </c>
      <c r="P458" s="38">
        <v>0</v>
      </c>
      <c r="Q458" s="38">
        <v>0</v>
      </c>
      <c r="R458" s="39" t="s">
        <v>237</v>
      </c>
    </row>
    <row r="459" spans="1:18" x14ac:dyDescent="0.3">
      <c r="A459" s="37" t="s">
        <v>378</v>
      </c>
      <c r="B459" s="37" t="s">
        <v>824</v>
      </c>
      <c r="C459" s="37" t="s">
        <v>372</v>
      </c>
      <c r="D459" s="37" t="s">
        <v>375</v>
      </c>
      <c r="E459" s="38">
        <v>0</v>
      </c>
      <c r="F459" s="39" t="s">
        <v>237</v>
      </c>
      <c r="G459" s="38">
        <v>0</v>
      </c>
      <c r="H459" s="39" t="s">
        <v>380</v>
      </c>
      <c r="I459" s="40">
        <v>44197</v>
      </c>
      <c r="J459" s="40">
        <v>44468</v>
      </c>
      <c r="K459" s="38">
        <v>0</v>
      </c>
      <c r="L459" s="39" t="s">
        <v>380</v>
      </c>
      <c r="M459" s="38">
        <v>0</v>
      </c>
      <c r="N459" s="39" t="s">
        <v>380</v>
      </c>
      <c r="O459" s="41">
        <v>0</v>
      </c>
      <c r="P459" s="38">
        <v>0</v>
      </c>
      <c r="Q459" s="38">
        <v>0</v>
      </c>
      <c r="R459" s="39" t="s">
        <v>237</v>
      </c>
    </row>
    <row r="460" spans="1:18" x14ac:dyDescent="0.3">
      <c r="A460" s="37" t="s">
        <v>378</v>
      </c>
      <c r="B460" s="37" t="s">
        <v>825</v>
      </c>
      <c r="C460" s="37" t="s">
        <v>372</v>
      </c>
      <c r="D460" s="37" t="s">
        <v>375</v>
      </c>
      <c r="E460" s="38">
        <v>0</v>
      </c>
      <c r="F460" s="39" t="s">
        <v>237</v>
      </c>
      <c r="G460" s="38">
        <v>0</v>
      </c>
      <c r="H460" s="39" t="s">
        <v>380</v>
      </c>
      <c r="I460" s="40">
        <v>44197</v>
      </c>
      <c r="J460" s="40">
        <v>44468</v>
      </c>
      <c r="K460" s="38">
        <v>0</v>
      </c>
      <c r="L460" s="39" t="s">
        <v>380</v>
      </c>
      <c r="M460" s="38">
        <v>0</v>
      </c>
      <c r="N460" s="39" t="s">
        <v>380</v>
      </c>
      <c r="O460" s="41">
        <v>0</v>
      </c>
      <c r="P460" s="38">
        <v>0</v>
      </c>
      <c r="Q460" s="38">
        <v>0</v>
      </c>
      <c r="R460" s="39" t="s">
        <v>237</v>
      </c>
    </row>
    <row r="461" spans="1:18" x14ac:dyDescent="0.3">
      <c r="A461" s="37" t="s">
        <v>378</v>
      </c>
      <c r="B461" s="37" t="s">
        <v>826</v>
      </c>
      <c r="C461" s="37" t="s">
        <v>372</v>
      </c>
      <c r="D461" s="37" t="s">
        <v>577</v>
      </c>
      <c r="E461" s="38">
        <v>0</v>
      </c>
      <c r="F461" s="39" t="s">
        <v>237</v>
      </c>
      <c r="G461" s="38">
        <v>56</v>
      </c>
      <c r="H461" s="39" t="s">
        <v>380</v>
      </c>
      <c r="I461" s="40">
        <v>45119</v>
      </c>
      <c r="J461" s="40">
        <v>45274</v>
      </c>
      <c r="K461" s="38">
        <v>0</v>
      </c>
      <c r="L461" s="39" t="s">
        <v>380</v>
      </c>
      <c r="M461" s="38">
        <v>0</v>
      </c>
      <c r="N461" s="39" t="s">
        <v>380</v>
      </c>
      <c r="O461" s="41">
        <v>0</v>
      </c>
      <c r="P461" s="38">
        <v>0</v>
      </c>
      <c r="Q461" s="38">
        <v>0</v>
      </c>
      <c r="R461" s="39" t="s">
        <v>237</v>
      </c>
    </row>
    <row r="462" spans="1:18" x14ac:dyDescent="0.3">
      <c r="A462" s="37" t="s">
        <v>378</v>
      </c>
      <c r="B462" s="37" t="s">
        <v>827</v>
      </c>
      <c r="C462" s="37" t="s">
        <v>372</v>
      </c>
      <c r="D462" s="37" t="s">
        <v>375</v>
      </c>
      <c r="E462" s="38">
        <v>0</v>
      </c>
      <c r="F462" s="39" t="s">
        <v>237</v>
      </c>
      <c r="G462" s="38">
        <v>0</v>
      </c>
      <c r="H462" s="39" t="s">
        <v>380</v>
      </c>
      <c r="I462" s="40">
        <v>45348</v>
      </c>
      <c r="J462" s="40">
        <v>45398</v>
      </c>
      <c r="K462" s="38">
        <v>0</v>
      </c>
      <c r="L462" s="39" t="s">
        <v>380</v>
      </c>
      <c r="M462" s="38">
        <v>0</v>
      </c>
      <c r="N462" s="39" t="s">
        <v>380</v>
      </c>
      <c r="O462" s="41">
        <v>0</v>
      </c>
      <c r="P462" s="38">
        <v>0</v>
      </c>
      <c r="Q462" s="38">
        <v>0</v>
      </c>
      <c r="R462" s="39" t="s">
        <v>237</v>
      </c>
    </row>
    <row r="463" spans="1:18" x14ac:dyDescent="0.3">
      <c r="A463" s="37" t="s">
        <v>378</v>
      </c>
      <c r="B463" s="37" t="s">
        <v>828</v>
      </c>
      <c r="C463" s="37" t="s">
        <v>372</v>
      </c>
      <c r="D463" s="37" t="s">
        <v>375</v>
      </c>
      <c r="E463" s="38">
        <v>0</v>
      </c>
      <c r="F463" s="39" t="s">
        <v>237</v>
      </c>
      <c r="G463" s="38">
        <v>0</v>
      </c>
      <c r="H463" s="39" t="s">
        <v>380</v>
      </c>
      <c r="I463" s="40">
        <v>44197</v>
      </c>
      <c r="J463" s="40">
        <v>44197</v>
      </c>
      <c r="K463" s="38">
        <v>0</v>
      </c>
      <c r="L463" s="39" t="s">
        <v>380</v>
      </c>
      <c r="M463" s="38">
        <v>0</v>
      </c>
      <c r="N463" s="39" t="s">
        <v>380</v>
      </c>
      <c r="O463" s="41">
        <v>0</v>
      </c>
      <c r="P463" s="38">
        <v>0</v>
      </c>
      <c r="Q463" s="38">
        <v>0</v>
      </c>
      <c r="R463" s="39" t="s">
        <v>237</v>
      </c>
    </row>
    <row r="464" spans="1:18" x14ac:dyDescent="0.3">
      <c r="A464" s="37" t="s">
        <v>378</v>
      </c>
      <c r="B464" s="37" t="s">
        <v>829</v>
      </c>
      <c r="C464" s="37" t="s">
        <v>372</v>
      </c>
      <c r="D464" s="37" t="s">
        <v>375</v>
      </c>
      <c r="E464" s="38">
        <v>0</v>
      </c>
      <c r="F464" s="39" t="s">
        <v>237</v>
      </c>
      <c r="G464" s="38">
        <v>0</v>
      </c>
      <c r="H464" s="39" t="s">
        <v>380</v>
      </c>
      <c r="I464" s="40">
        <v>44343</v>
      </c>
      <c r="J464" s="40">
        <v>44343</v>
      </c>
      <c r="K464" s="38">
        <v>0</v>
      </c>
      <c r="L464" s="39" t="s">
        <v>380</v>
      </c>
      <c r="M464" s="38">
        <v>0</v>
      </c>
      <c r="N464" s="39" t="s">
        <v>380</v>
      </c>
      <c r="O464" s="41">
        <v>0</v>
      </c>
      <c r="P464" s="38">
        <v>0</v>
      </c>
      <c r="Q464" s="38">
        <v>0</v>
      </c>
      <c r="R464" s="39" t="s">
        <v>237</v>
      </c>
    </row>
    <row r="465" spans="1:18" x14ac:dyDescent="0.3">
      <c r="A465" s="37" t="s">
        <v>378</v>
      </c>
      <c r="B465" s="37" t="s">
        <v>1304</v>
      </c>
      <c r="C465" s="37" t="s">
        <v>372</v>
      </c>
      <c r="D465" s="37" t="s">
        <v>375</v>
      </c>
      <c r="E465" s="38">
        <v>0</v>
      </c>
      <c r="F465" s="39" t="s">
        <v>237</v>
      </c>
      <c r="G465" s="38">
        <v>0</v>
      </c>
      <c r="H465" s="39" t="s">
        <v>380</v>
      </c>
      <c r="I465" s="40">
        <v>44197</v>
      </c>
      <c r="J465" s="40">
        <v>44468</v>
      </c>
      <c r="K465" s="38">
        <v>0</v>
      </c>
      <c r="L465" s="39" t="s">
        <v>380</v>
      </c>
      <c r="M465" s="38">
        <v>0</v>
      </c>
      <c r="N465" s="39" t="s">
        <v>380</v>
      </c>
      <c r="O465" s="41">
        <v>0</v>
      </c>
      <c r="P465" s="38">
        <v>0</v>
      </c>
      <c r="Q465" s="38">
        <v>0</v>
      </c>
      <c r="R465" s="39" t="s">
        <v>237</v>
      </c>
    </row>
    <row r="466" spans="1:18" x14ac:dyDescent="0.3">
      <c r="A466" s="37" t="s">
        <v>378</v>
      </c>
      <c r="B466" s="37" t="s">
        <v>830</v>
      </c>
      <c r="C466" s="37" t="s">
        <v>372</v>
      </c>
      <c r="D466" s="37" t="s">
        <v>375</v>
      </c>
      <c r="E466" s="38">
        <v>0</v>
      </c>
      <c r="F466" s="39" t="s">
        <v>237</v>
      </c>
      <c r="G466" s="38">
        <v>0</v>
      </c>
      <c r="H466" s="39" t="s">
        <v>380</v>
      </c>
      <c r="I466" s="40">
        <v>44343</v>
      </c>
      <c r="J466" s="40">
        <v>44343</v>
      </c>
      <c r="K466" s="38">
        <v>0</v>
      </c>
      <c r="L466" s="39" t="s">
        <v>380</v>
      </c>
      <c r="M466" s="38">
        <v>0</v>
      </c>
      <c r="N466" s="39" t="s">
        <v>380</v>
      </c>
      <c r="O466" s="41">
        <v>0</v>
      </c>
      <c r="P466" s="38">
        <v>0</v>
      </c>
      <c r="Q466" s="38">
        <v>0</v>
      </c>
      <c r="R466" s="39" t="s">
        <v>237</v>
      </c>
    </row>
    <row r="467" spans="1:18" x14ac:dyDescent="0.3">
      <c r="A467" s="37" t="s">
        <v>378</v>
      </c>
      <c r="B467" s="37" t="s">
        <v>1305</v>
      </c>
      <c r="C467" s="37" t="s">
        <v>372</v>
      </c>
      <c r="D467" s="37" t="s">
        <v>375</v>
      </c>
      <c r="E467" s="38">
        <v>0</v>
      </c>
      <c r="F467" s="39" t="s">
        <v>237</v>
      </c>
      <c r="G467" s="38">
        <v>0</v>
      </c>
      <c r="H467" s="39" t="s">
        <v>380</v>
      </c>
      <c r="I467" s="40">
        <v>44197</v>
      </c>
      <c r="J467" s="40">
        <v>44197</v>
      </c>
      <c r="K467" s="38">
        <v>0</v>
      </c>
      <c r="L467" s="39" t="s">
        <v>380</v>
      </c>
      <c r="M467" s="38">
        <v>0</v>
      </c>
      <c r="N467" s="39" t="s">
        <v>380</v>
      </c>
      <c r="O467" s="41">
        <v>0</v>
      </c>
      <c r="P467" s="38">
        <v>0</v>
      </c>
      <c r="Q467" s="38">
        <v>0</v>
      </c>
      <c r="R467" s="39" t="s">
        <v>237</v>
      </c>
    </row>
    <row r="468" spans="1:18" x14ac:dyDescent="0.3">
      <c r="A468" s="37" t="s">
        <v>378</v>
      </c>
      <c r="B468" s="37" t="s">
        <v>831</v>
      </c>
      <c r="C468" s="37" t="s">
        <v>372</v>
      </c>
      <c r="D468" s="37" t="s">
        <v>375</v>
      </c>
      <c r="E468" s="38">
        <v>0</v>
      </c>
      <c r="F468" s="39" t="s">
        <v>237</v>
      </c>
      <c r="G468" s="38">
        <v>0</v>
      </c>
      <c r="H468" s="39" t="s">
        <v>380</v>
      </c>
      <c r="I468" s="40">
        <v>45348</v>
      </c>
      <c r="J468" s="40">
        <v>45421</v>
      </c>
      <c r="K468" s="38">
        <v>0</v>
      </c>
      <c r="L468" s="39" t="s">
        <v>380</v>
      </c>
      <c r="M468" s="38">
        <v>0</v>
      </c>
      <c r="N468" s="39" t="s">
        <v>380</v>
      </c>
      <c r="O468" s="41">
        <v>0</v>
      </c>
      <c r="P468" s="38">
        <v>0</v>
      </c>
      <c r="Q468" s="38">
        <v>0</v>
      </c>
      <c r="R468" s="39" t="s">
        <v>237</v>
      </c>
    </row>
    <row r="469" spans="1:18" x14ac:dyDescent="0.3">
      <c r="A469" s="37" t="s">
        <v>378</v>
      </c>
      <c r="B469" s="37" t="s">
        <v>832</v>
      </c>
      <c r="C469" s="37" t="s">
        <v>372</v>
      </c>
      <c r="D469" s="37" t="s">
        <v>375</v>
      </c>
      <c r="E469" s="38">
        <v>0</v>
      </c>
      <c r="F469" s="39" t="s">
        <v>237</v>
      </c>
      <c r="G469" s="38">
        <v>0</v>
      </c>
      <c r="H469" s="39" t="s">
        <v>380</v>
      </c>
      <c r="I469" s="40">
        <v>45027</v>
      </c>
      <c r="J469" s="40">
        <v>45323</v>
      </c>
      <c r="K469" s="38">
        <v>0</v>
      </c>
      <c r="L469" s="39" t="s">
        <v>380</v>
      </c>
      <c r="M469" s="38">
        <v>0</v>
      </c>
      <c r="N469" s="39" t="s">
        <v>380</v>
      </c>
      <c r="O469" s="41">
        <v>0</v>
      </c>
      <c r="P469" s="38">
        <v>0</v>
      </c>
      <c r="Q469" s="38">
        <v>0</v>
      </c>
      <c r="R469" s="39" t="s">
        <v>237</v>
      </c>
    </row>
    <row r="470" spans="1:18" x14ac:dyDescent="0.3">
      <c r="A470" s="37" t="s">
        <v>378</v>
      </c>
      <c r="B470" s="37" t="s">
        <v>833</v>
      </c>
      <c r="C470" s="37" t="s">
        <v>372</v>
      </c>
      <c r="D470" s="37" t="s">
        <v>375</v>
      </c>
      <c r="E470" s="38">
        <v>0</v>
      </c>
      <c r="F470" s="39" t="s">
        <v>237</v>
      </c>
      <c r="G470" s="38">
        <v>0</v>
      </c>
      <c r="H470" s="39" t="s">
        <v>380</v>
      </c>
      <c r="I470" s="40">
        <v>44770</v>
      </c>
      <c r="J470" s="40">
        <v>44770</v>
      </c>
      <c r="K470" s="38">
        <v>0</v>
      </c>
      <c r="L470" s="39" t="s">
        <v>380</v>
      </c>
      <c r="M470" s="38">
        <v>0</v>
      </c>
      <c r="N470" s="39" t="s">
        <v>380</v>
      </c>
      <c r="O470" s="41">
        <v>0</v>
      </c>
      <c r="P470" s="38">
        <v>0</v>
      </c>
      <c r="Q470" s="38">
        <v>0</v>
      </c>
      <c r="R470" s="39" t="s">
        <v>237</v>
      </c>
    </row>
    <row r="471" spans="1:18" x14ac:dyDescent="0.3">
      <c r="A471" s="37" t="s">
        <v>378</v>
      </c>
      <c r="B471" s="37" t="s">
        <v>834</v>
      </c>
      <c r="C471" s="37" t="s">
        <v>372</v>
      </c>
      <c r="D471" s="37" t="s">
        <v>375</v>
      </c>
      <c r="E471" s="38">
        <v>0</v>
      </c>
      <c r="F471" s="39" t="s">
        <v>237</v>
      </c>
      <c r="G471" s="38">
        <v>0</v>
      </c>
      <c r="H471" s="39" t="s">
        <v>380</v>
      </c>
      <c r="I471" s="40">
        <v>44918</v>
      </c>
      <c r="J471" s="40">
        <v>45261</v>
      </c>
      <c r="K471" s="38">
        <v>0</v>
      </c>
      <c r="L471" s="39" t="s">
        <v>380</v>
      </c>
      <c r="M471" s="38">
        <v>0</v>
      </c>
      <c r="N471" s="39" t="s">
        <v>380</v>
      </c>
      <c r="O471" s="41">
        <v>0</v>
      </c>
      <c r="P471" s="38">
        <v>0</v>
      </c>
      <c r="Q471" s="38">
        <v>0</v>
      </c>
      <c r="R471" s="39" t="s">
        <v>237</v>
      </c>
    </row>
    <row r="472" spans="1:18" x14ac:dyDescent="0.3">
      <c r="A472" s="37" t="s">
        <v>378</v>
      </c>
      <c r="B472" s="37" t="s">
        <v>835</v>
      </c>
      <c r="C472" s="37" t="s">
        <v>372</v>
      </c>
      <c r="D472" s="37" t="s">
        <v>375</v>
      </c>
      <c r="E472" s="38">
        <v>0</v>
      </c>
      <c r="F472" s="39" t="s">
        <v>237</v>
      </c>
      <c r="G472" s="38">
        <v>0</v>
      </c>
      <c r="H472" s="39" t="s">
        <v>380</v>
      </c>
      <c r="I472" s="40">
        <v>44376</v>
      </c>
      <c r="J472" s="40">
        <v>44376</v>
      </c>
      <c r="K472" s="38">
        <v>0</v>
      </c>
      <c r="L472" s="39" t="s">
        <v>380</v>
      </c>
      <c r="M472" s="38">
        <v>0</v>
      </c>
      <c r="N472" s="39" t="s">
        <v>380</v>
      </c>
      <c r="O472" s="41">
        <v>0</v>
      </c>
      <c r="P472" s="38">
        <v>0</v>
      </c>
      <c r="Q472" s="38">
        <v>0</v>
      </c>
      <c r="R472" s="39" t="s">
        <v>237</v>
      </c>
    </row>
    <row r="473" spans="1:18" x14ac:dyDescent="0.3">
      <c r="A473" s="37" t="s">
        <v>378</v>
      </c>
      <c r="B473" s="37" t="s">
        <v>836</v>
      </c>
      <c r="C473" s="37" t="s">
        <v>372</v>
      </c>
      <c r="D473" s="37" t="s">
        <v>375</v>
      </c>
      <c r="E473" s="38">
        <v>0</v>
      </c>
      <c r="F473" s="39" t="s">
        <v>237</v>
      </c>
      <c r="G473" s="38">
        <v>0</v>
      </c>
      <c r="H473" s="39" t="s">
        <v>380</v>
      </c>
      <c r="I473" s="40">
        <v>44671</v>
      </c>
      <c r="J473" s="40">
        <v>44692</v>
      </c>
      <c r="K473" s="38">
        <v>0</v>
      </c>
      <c r="L473" s="39" t="s">
        <v>380</v>
      </c>
      <c r="M473" s="38">
        <v>0</v>
      </c>
      <c r="N473" s="39" t="s">
        <v>380</v>
      </c>
      <c r="O473" s="41">
        <v>0</v>
      </c>
      <c r="P473" s="38">
        <v>0</v>
      </c>
      <c r="Q473" s="38">
        <v>0</v>
      </c>
      <c r="R473" s="39" t="s">
        <v>237</v>
      </c>
    </row>
    <row r="474" spans="1:18" x14ac:dyDescent="0.3">
      <c r="A474" s="37" t="s">
        <v>378</v>
      </c>
      <c r="B474" s="37" t="s">
        <v>837</v>
      </c>
      <c r="C474" s="37" t="s">
        <v>372</v>
      </c>
      <c r="D474" s="37" t="s">
        <v>375</v>
      </c>
      <c r="E474" s="38">
        <v>0</v>
      </c>
      <c r="F474" s="39" t="s">
        <v>237</v>
      </c>
      <c r="G474" s="38">
        <v>0</v>
      </c>
      <c r="H474" s="39" t="s">
        <v>380</v>
      </c>
      <c r="I474" s="40">
        <v>45482</v>
      </c>
      <c r="J474" s="40">
        <v>45485</v>
      </c>
      <c r="K474" s="38">
        <v>1800</v>
      </c>
      <c r="L474" s="39" t="s">
        <v>380</v>
      </c>
      <c r="M474" s="38">
        <v>1800</v>
      </c>
      <c r="N474" s="39" t="s">
        <v>380</v>
      </c>
      <c r="O474" s="41">
        <v>0</v>
      </c>
      <c r="P474" s="38">
        <v>99999</v>
      </c>
      <c r="Q474" s="38">
        <v>484.48</v>
      </c>
      <c r="R474" s="39" t="s">
        <v>237</v>
      </c>
    </row>
    <row r="475" spans="1:18" x14ac:dyDescent="0.3">
      <c r="A475" s="37" t="s">
        <v>378</v>
      </c>
      <c r="B475" s="37" t="s">
        <v>838</v>
      </c>
      <c r="C475" s="37" t="s">
        <v>372</v>
      </c>
      <c r="D475" s="37" t="s">
        <v>375</v>
      </c>
      <c r="E475" s="38">
        <v>0</v>
      </c>
      <c r="F475" s="39" t="s">
        <v>237</v>
      </c>
      <c r="G475" s="38">
        <v>0</v>
      </c>
      <c r="H475" s="39" t="s">
        <v>380</v>
      </c>
      <c r="I475" s="40">
        <v>45483</v>
      </c>
      <c r="J475" s="40">
        <v>45485</v>
      </c>
      <c r="K475" s="38">
        <v>1800</v>
      </c>
      <c r="L475" s="39" t="s">
        <v>380</v>
      </c>
      <c r="M475" s="38">
        <v>1800</v>
      </c>
      <c r="N475" s="39" t="s">
        <v>380</v>
      </c>
      <c r="O475" s="41">
        <v>0</v>
      </c>
      <c r="P475" s="38">
        <v>99999</v>
      </c>
      <c r="Q475" s="38">
        <v>484.48</v>
      </c>
      <c r="R475" s="39" t="s">
        <v>237</v>
      </c>
    </row>
    <row r="476" spans="1:18" x14ac:dyDescent="0.3">
      <c r="A476" s="37" t="s">
        <v>378</v>
      </c>
      <c r="B476" s="37" t="s">
        <v>839</v>
      </c>
      <c r="C476" s="37" t="s">
        <v>372</v>
      </c>
      <c r="D476" s="37" t="s">
        <v>375</v>
      </c>
      <c r="E476" s="38">
        <v>0</v>
      </c>
      <c r="F476" s="39" t="s">
        <v>237</v>
      </c>
      <c r="G476" s="38">
        <v>0</v>
      </c>
      <c r="H476" s="39" t="s">
        <v>380</v>
      </c>
      <c r="I476" s="40">
        <v>45364</v>
      </c>
      <c r="J476" s="40">
        <v>45364</v>
      </c>
      <c r="K476" s="38">
        <v>0</v>
      </c>
      <c r="L476" s="39" t="s">
        <v>380</v>
      </c>
      <c r="M476" s="38">
        <v>0</v>
      </c>
      <c r="N476" s="39" t="s">
        <v>380</v>
      </c>
      <c r="O476" s="41">
        <v>0</v>
      </c>
      <c r="P476" s="38">
        <v>0</v>
      </c>
      <c r="Q476" s="38">
        <v>0</v>
      </c>
      <c r="R476" s="39" t="s">
        <v>237</v>
      </c>
    </row>
    <row r="477" spans="1:18" x14ac:dyDescent="0.3">
      <c r="A477" s="37" t="s">
        <v>378</v>
      </c>
      <c r="B477" s="37" t="s">
        <v>840</v>
      </c>
      <c r="C477" s="37" t="s">
        <v>372</v>
      </c>
      <c r="D477" s="37" t="s">
        <v>375</v>
      </c>
      <c r="E477" s="38">
        <v>0</v>
      </c>
      <c r="F477" s="39" t="s">
        <v>237</v>
      </c>
      <c r="G477" s="38">
        <v>0</v>
      </c>
      <c r="H477" s="39" t="s">
        <v>380</v>
      </c>
      <c r="I477" s="40">
        <v>45482</v>
      </c>
      <c r="J477" s="40">
        <v>45485</v>
      </c>
      <c r="K477" s="38">
        <v>1800</v>
      </c>
      <c r="L477" s="39" t="s">
        <v>380</v>
      </c>
      <c r="M477" s="38">
        <v>1800</v>
      </c>
      <c r="N477" s="39" t="s">
        <v>380</v>
      </c>
      <c r="O477" s="41">
        <v>0</v>
      </c>
      <c r="P477" s="38">
        <v>99999</v>
      </c>
      <c r="Q477" s="38">
        <v>484.48</v>
      </c>
      <c r="R477" s="39" t="s">
        <v>237</v>
      </c>
    </row>
    <row r="478" spans="1:18" x14ac:dyDescent="0.3">
      <c r="A478" s="37" t="s">
        <v>378</v>
      </c>
      <c r="B478" s="37" t="s">
        <v>841</v>
      </c>
      <c r="C478" s="37" t="s">
        <v>372</v>
      </c>
      <c r="D478" s="37" t="s">
        <v>375</v>
      </c>
      <c r="E478" s="38">
        <v>0</v>
      </c>
      <c r="F478" s="39" t="s">
        <v>237</v>
      </c>
      <c r="G478" s="38">
        <v>0</v>
      </c>
      <c r="H478" s="39" t="s">
        <v>380</v>
      </c>
      <c r="I478" s="40">
        <v>44523</v>
      </c>
      <c r="J478" s="40">
        <v>44523</v>
      </c>
      <c r="K478" s="38">
        <v>0</v>
      </c>
      <c r="L478" s="39" t="s">
        <v>380</v>
      </c>
      <c r="M478" s="38">
        <v>0</v>
      </c>
      <c r="N478" s="39" t="s">
        <v>380</v>
      </c>
      <c r="O478" s="41">
        <v>0</v>
      </c>
      <c r="P478" s="38">
        <v>0</v>
      </c>
      <c r="Q478" s="38">
        <v>0</v>
      </c>
      <c r="R478" s="39" t="s">
        <v>237</v>
      </c>
    </row>
    <row r="479" spans="1:18" x14ac:dyDescent="0.3">
      <c r="A479" s="37" t="s">
        <v>378</v>
      </c>
      <c r="B479" s="37" t="s">
        <v>842</v>
      </c>
      <c r="C479" s="37" t="s">
        <v>372</v>
      </c>
      <c r="D479" s="37" t="s">
        <v>375</v>
      </c>
      <c r="E479" s="38">
        <v>0</v>
      </c>
      <c r="F479" s="39" t="s">
        <v>237</v>
      </c>
      <c r="G479" s="38">
        <v>0</v>
      </c>
      <c r="H479" s="39" t="s">
        <v>380</v>
      </c>
      <c r="I479" s="40">
        <v>45218</v>
      </c>
      <c r="J479" s="40">
        <v>45223</v>
      </c>
      <c r="K479" s="38">
        <v>0</v>
      </c>
      <c r="L479" s="39" t="s">
        <v>380</v>
      </c>
      <c r="M479" s="38">
        <v>0</v>
      </c>
      <c r="N479" s="39" t="s">
        <v>380</v>
      </c>
      <c r="O479" s="41">
        <v>0</v>
      </c>
      <c r="P479" s="38">
        <v>0</v>
      </c>
      <c r="Q479" s="38">
        <v>0</v>
      </c>
      <c r="R479" s="39" t="s">
        <v>237</v>
      </c>
    </row>
    <row r="480" spans="1:18" x14ac:dyDescent="0.3">
      <c r="A480" s="37" t="s">
        <v>378</v>
      </c>
      <c r="B480" s="37" t="s">
        <v>843</v>
      </c>
      <c r="C480" s="37" t="s">
        <v>372</v>
      </c>
      <c r="D480" s="37" t="s">
        <v>375</v>
      </c>
      <c r="E480" s="38">
        <v>0</v>
      </c>
      <c r="F480" s="39" t="s">
        <v>237</v>
      </c>
      <c r="G480" s="38">
        <v>0</v>
      </c>
      <c r="H480" s="39" t="s">
        <v>380</v>
      </c>
      <c r="I480" s="40"/>
      <c r="J480" s="40">
        <v>44587</v>
      </c>
      <c r="K480" s="38">
        <v>0</v>
      </c>
      <c r="L480" s="39" t="s">
        <v>380</v>
      </c>
      <c r="M480" s="38">
        <v>0</v>
      </c>
      <c r="N480" s="39" t="s">
        <v>380</v>
      </c>
      <c r="O480" s="41">
        <v>0</v>
      </c>
      <c r="P480" s="38">
        <v>0</v>
      </c>
      <c r="Q480" s="38">
        <v>0</v>
      </c>
      <c r="R480" s="39" t="s">
        <v>237</v>
      </c>
    </row>
    <row r="481" spans="1:18" x14ac:dyDescent="0.3">
      <c r="A481" s="37" t="s">
        <v>378</v>
      </c>
      <c r="B481" s="37" t="s">
        <v>844</v>
      </c>
      <c r="C481" s="37" t="s">
        <v>372</v>
      </c>
      <c r="D481" s="37" t="s">
        <v>375</v>
      </c>
      <c r="E481" s="38">
        <v>0</v>
      </c>
      <c r="F481" s="39" t="s">
        <v>237</v>
      </c>
      <c r="G481" s="38">
        <v>0</v>
      </c>
      <c r="H481" s="39" t="s">
        <v>380</v>
      </c>
      <c r="I481" s="40">
        <v>44876</v>
      </c>
      <c r="J481" s="40">
        <v>44908</v>
      </c>
      <c r="K481" s="38">
        <v>0</v>
      </c>
      <c r="L481" s="39" t="s">
        <v>380</v>
      </c>
      <c r="M481" s="38">
        <v>0</v>
      </c>
      <c r="N481" s="39" t="s">
        <v>380</v>
      </c>
      <c r="O481" s="41">
        <v>0</v>
      </c>
      <c r="P481" s="38">
        <v>0</v>
      </c>
      <c r="Q481" s="38">
        <v>0</v>
      </c>
      <c r="R481" s="39" t="s">
        <v>237</v>
      </c>
    </row>
    <row r="482" spans="1:18" x14ac:dyDescent="0.3">
      <c r="A482" s="37" t="s">
        <v>378</v>
      </c>
      <c r="B482" s="37" t="s">
        <v>845</v>
      </c>
      <c r="C482" s="37" t="s">
        <v>372</v>
      </c>
      <c r="D482" s="37" t="s">
        <v>375</v>
      </c>
      <c r="E482" s="38">
        <v>0</v>
      </c>
      <c r="F482" s="39" t="s">
        <v>237</v>
      </c>
      <c r="G482" s="38">
        <v>0</v>
      </c>
      <c r="H482" s="39" t="s">
        <v>380</v>
      </c>
      <c r="I482" s="40">
        <v>44587</v>
      </c>
      <c r="J482" s="40">
        <v>44587</v>
      </c>
      <c r="K482" s="38">
        <v>0</v>
      </c>
      <c r="L482" s="39" t="s">
        <v>380</v>
      </c>
      <c r="M482" s="38">
        <v>0</v>
      </c>
      <c r="N482" s="39" t="s">
        <v>380</v>
      </c>
      <c r="O482" s="41">
        <v>0</v>
      </c>
      <c r="P482" s="38">
        <v>0</v>
      </c>
      <c r="Q482" s="38">
        <v>0</v>
      </c>
      <c r="R482" s="39" t="s">
        <v>237</v>
      </c>
    </row>
    <row r="483" spans="1:18" x14ac:dyDescent="0.3">
      <c r="A483" s="37" t="s">
        <v>378</v>
      </c>
      <c r="B483" s="37" t="s">
        <v>846</v>
      </c>
      <c r="C483" s="37" t="s">
        <v>372</v>
      </c>
      <c r="D483" s="37" t="s">
        <v>375</v>
      </c>
      <c r="E483" s="38">
        <v>0</v>
      </c>
      <c r="F483" s="39" t="s">
        <v>237</v>
      </c>
      <c r="G483" s="38">
        <v>0</v>
      </c>
      <c r="H483" s="39" t="s">
        <v>380</v>
      </c>
      <c r="I483" s="40">
        <v>44925</v>
      </c>
      <c r="J483" s="40">
        <v>44907</v>
      </c>
      <c r="K483" s="38">
        <v>0</v>
      </c>
      <c r="L483" s="39" t="s">
        <v>380</v>
      </c>
      <c r="M483" s="38">
        <v>0</v>
      </c>
      <c r="N483" s="39" t="s">
        <v>380</v>
      </c>
      <c r="O483" s="41">
        <v>0</v>
      </c>
      <c r="P483" s="38">
        <v>0</v>
      </c>
      <c r="Q483" s="38">
        <v>0</v>
      </c>
      <c r="R483" s="39" t="s">
        <v>237</v>
      </c>
    </row>
    <row r="484" spans="1:18" x14ac:dyDescent="0.3">
      <c r="A484" s="37" t="s">
        <v>378</v>
      </c>
      <c r="B484" s="37" t="s">
        <v>847</v>
      </c>
      <c r="C484" s="37" t="s">
        <v>372</v>
      </c>
      <c r="D484" s="37" t="s">
        <v>377</v>
      </c>
      <c r="E484" s="38">
        <v>2314.9499999999898</v>
      </c>
      <c r="F484" s="39" t="s">
        <v>237</v>
      </c>
      <c r="G484" s="38">
        <v>85.739000000000004</v>
      </c>
      <c r="H484" s="39" t="s">
        <v>374</v>
      </c>
      <c r="I484" s="40">
        <v>45506</v>
      </c>
      <c r="J484" s="40">
        <v>45502</v>
      </c>
      <c r="K484" s="38">
        <v>99.709999999999894</v>
      </c>
      <c r="L484" s="39" t="s">
        <v>374</v>
      </c>
      <c r="M484" s="38">
        <v>99.855000000000004</v>
      </c>
      <c r="N484" s="39" t="s">
        <v>374</v>
      </c>
      <c r="O484" s="41">
        <v>158</v>
      </c>
      <c r="P484" s="38">
        <v>0.7</v>
      </c>
      <c r="Q484" s="38">
        <v>1346.0799999999899</v>
      </c>
      <c r="R484" s="39" t="s">
        <v>237</v>
      </c>
    </row>
    <row r="485" spans="1:18" x14ac:dyDescent="0.3">
      <c r="A485" s="37" t="s">
        <v>378</v>
      </c>
      <c r="B485" s="37" t="s">
        <v>848</v>
      </c>
      <c r="C485" s="37" t="s">
        <v>372</v>
      </c>
      <c r="D485" s="37" t="s">
        <v>377</v>
      </c>
      <c r="E485" s="38">
        <v>1784.4</v>
      </c>
      <c r="F485" s="39" t="s">
        <v>237</v>
      </c>
      <c r="G485" s="38">
        <v>40.868000000000002</v>
      </c>
      <c r="H485" s="39" t="s">
        <v>374</v>
      </c>
      <c r="I485" s="40">
        <v>45484</v>
      </c>
      <c r="J485" s="40">
        <v>45492</v>
      </c>
      <c r="K485" s="38">
        <v>10.8279999999999</v>
      </c>
      <c r="L485" s="39" t="s">
        <v>374</v>
      </c>
      <c r="M485" s="38">
        <v>5.4139999999999899</v>
      </c>
      <c r="N485" s="39" t="s">
        <v>374</v>
      </c>
      <c r="O485" s="41">
        <v>694</v>
      </c>
      <c r="P485" s="38">
        <v>0.12</v>
      </c>
      <c r="Q485" s="38">
        <v>236.38999999999899</v>
      </c>
      <c r="R485" s="39" t="s">
        <v>237</v>
      </c>
    </row>
    <row r="486" spans="1:18" x14ac:dyDescent="0.3">
      <c r="A486" s="37" t="s">
        <v>378</v>
      </c>
      <c r="B486" s="37" t="s">
        <v>849</v>
      </c>
      <c r="C486" s="37" t="s">
        <v>372</v>
      </c>
      <c r="D486" s="37" t="s">
        <v>375</v>
      </c>
      <c r="E486" s="38">
        <v>0</v>
      </c>
      <c r="F486" s="39" t="s">
        <v>237</v>
      </c>
      <c r="G486" s="38">
        <v>0</v>
      </c>
      <c r="H486" s="39" t="s">
        <v>380</v>
      </c>
      <c r="I486" s="40">
        <v>45483</v>
      </c>
      <c r="J486" s="40">
        <v>45485</v>
      </c>
      <c r="K486" s="38">
        <v>1800</v>
      </c>
      <c r="L486" s="39" t="s">
        <v>380</v>
      </c>
      <c r="M486" s="38">
        <v>1800</v>
      </c>
      <c r="N486" s="39" t="s">
        <v>380</v>
      </c>
      <c r="O486" s="41">
        <v>0</v>
      </c>
      <c r="P486" s="38">
        <v>99999</v>
      </c>
      <c r="Q486" s="38">
        <v>484.48</v>
      </c>
      <c r="R486" s="39" t="s">
        <v>237</v>
      </c>
    </row>
    <row r="487" spans="1:18" x14ac:dyDescent="0.3">
      <c r="A487" s="37" t="s">
        <v>378</v>
      </c>
      <c r="B487" s="37" t="s">
        <v>850</v>
      </c>
      <c r="C487" s="37" t="s">
        <v>372</v>
      </c>
      <c r="D487" s="37" t="s">
        <v>375</v>
      </c>
      <c r="E487" s="38">
        <v>0</v>
      </c>
      <c r="F487" s="39" t="s">
        <v>237</v>
      </c>
      <c r="G487" s="38">
        <v>0</v>
      </c>
      <c r="H487" s="39" t="s">
        <v>380</v>
      </c>
      <c r="I487" s="40">
        <v>45484</v>
      </c>
      <c r="J487" s="40">
        <v>45485</v>
      </c>
      <c r="K487" s="38">
        <v>1800</v>
      </c>
      <c r="L487" s="39" t="s">
        <v>380</v>
      </c>
      <c r="M487" s="38">
        <v>1800</v>
      </c>
      <c r="N487" s="39" t="s">
        <v>380</v>
      </c>
      <c r="O487" s="41">
        <v>0</v>
      </c>
      <c r="P487" s="38">
        <v>99999</v>
      </c>
      <c r="Q487" s="38">
        <v>484.48</v>
      </c>
      <c r="R487" s="39" t="s">
        <v>237</v>
      </c>
    </row>
    <row r="488" spans="1:18" x14ac:dyDescent="0.3">
      <c r="A488" s="37" t="s">
        <v>378</v>
      </c>
      <c r="B488" s="37" t="s">
        <v>851</v>
      </c>
      <c r="C488" s="37" t="s">
        <v>372</v>
      </c>
      <c r="D488" s="37" t="s">
        <v>375</v>
      </c>
      <c r="E488" s="38">
        <v>0</v>
      </c>
      <c r="F488" s="39" t="s">
        <v>237</v>
      </c>
      <c r="G488" s="38">
        <v>1400</v>
      </c>
      <c r="H488" s="39" t="s">
        <v>380</v>
      </c>
      <c r="I488" s="40">
        <v>45470</v>
      </c>
      <c r="J488" s="40">
        <v>45484</v>
      </c>
      <c r="K488" s="38">
        <v>3600</v>
      </c>
      <c r="L488" s="39" t="s">
        <v>380</v>
      </c>
      <c r="M488" s="38">
        <v>3800</v>
      </c>
      <c r="N488" s="39" t="s">
        <v>380</v>
      </c>
      <c r="O488" s="41">
        <v>0</v>
      </c>
      <c r="P488" s="38">
        <v>1</v>
      </c>
      <c r="Q488" s="38">
        <v>0</v>
      </c>
      <c r="R488" s="39" t="s">
        <v>237</v>
      </c>
    </row>
    <row r="489" spans="1:18" x14ac:dyDescent="0.3">
      <c r="A489" s="37" t="s">
        <v>378</v>
      </c>
      <c r="B489" s="37" t="s">
        <v>852</v>
      </c>
      <c r="C489" s="37" t="s">
        <v>372</v>
      </c>
      <c r="D489" s="37" t="s">
        <v>375</v>
      </c>
      <c r="E489" s="38">
        <v>0</v>
      </c>
      <c r="F489" s="39" t="s">
        <v>237</v>
      </c>
      <c r="G489" s="38">
        <v>1400</v>
      </c>
      <c r="H489" s="39" t="s">
        <v>380</v>
      </c>
      <c r="I489" s="40">
        <v>45483</v>
      </c>
      <c r="J489" s="40">
        <v>45483</v>
      </c>
      <c r="K489" s="38">
        <v>3600</v>
      </c>
      <c r="L489" s="39" t="s">
        <v>380</v>
      </c>
      <c r="M489" s="38">
        <v>3800</v>
      </c>
      <c r="N489" s="39" t="s">
        <v>380</v>
      </c>
      <c r="O489" s="41">
        <v>0</v>
      </c>
      <c r="P489" s="38">
        <v>1</v>
      </c>
      <c r="Q489" s="38">
        <v>0</v>
      </c>
      <c r="R489" s="39" t="s">
        <v>237</v>
      </c>
    </row>
    <row r="490" spans="1:18" x14ac:dyDescent="0.3">
      <c r="A490" s="37" t="s">
        <v>378</v>
      </c>
      <c r="B490" s="37" t="s">
        <v>853</v>
      </c>
      <c r="C490" s="37" t="s">
        <v>372</v>
      </c>
      <c r="D490" s="37" t="s">
        <v>375</v>
      </c>
      <c r="E490" s="38">
        <v>4152.6899999999896</v>
      </c>
      <c r="F490" s="39" t="s">
        <v>237</v>
      </c>
      <c r="G490" s="38">
        <v>4563.4070000000002</v>
      </c>
      <c r="H490" s="39" t="s">
        <v>376</v>
      </c>
      <c r="I490" s="40">
        <v>45274</v>
      </c>
      <c r="J490" s="40">
        <v>45275</v>
      </c>
      <c r="K490" s="38">
        <v>0</v>
      </c>
      <c r="L490" s="39" t="s">
        <v>376</v>
      </c>
      <c r="M490" s="38">
        <v>0</v>
      </c>
      <c r="N490" s="39" t="s">
        <v>376</v>
      </c>
      <c r="O490" s="41">
        <v>99999</v>
      </c>
      <c r="P490" s="38">
        <v>0</v>
      </c>
      <c r="Q490" s="38">
        <v>0</v>
      </c>
      <c r="R490" s="39" t="s">
        <v>237</v>
      </c>
    </row>
    <row r="491" spans="1:18" x14ac:dyDescent="0.3">
      <c r="A491" s="37" t="s">
        <v>378</v>
      </c>
      <c r="B491" s="37" t="s">
        <v>1306</v>
      </c>
      <c r="C491" s="37" t="s">
        <v>372</v>
      </c>
      <c r="D491" s="37" t="s">
        <v>375</v>
      </c>
      <c r="E491" s="38">
        <v>0</v>
      </c>
      <c r="F491" s="39" t="s">
        <v>237</v>
      </c>
      <c r="G491" s="38">
        <v>0</v>
      </c>
      <c r="H491" s="39" t="s">
        <v>380</v>
      </c>
      <c r="I491" s="40">
        <v>44197</v>
      </c>
      <c r="J491" s="40">
        <v>44197</v>
      </c>
      <c r="K491" s="38">
        <v>0</v>
      </c>
      <c r="L491" s="39" t="s">
        <v>380</v>
      </c>
      <c r="M491" s="38">
        <v>0</v>
      </c>
      <c r="N491" s="39" t="s">
        <v>380</v>
      </c>
      <c r="O491" s="41">
        <v>0</v>
      </c>
      <c r="P491" s="38">
        <v>0</v>
      </c>
      <c r="Q491" s="38">
        <v>0</v>
      </c>
      <c r="R491" s="39" t="s">
        <v>237</v>
      </c>
    </row>
    <row r="492" spans="1:18" x14ac:dyDescent="0.3">
      <c r="A492" s="37" t="s">
        <v>378</v>
      </c>
      <c r="B492" s="37" t="s">
        <v>854</v>
      </c>
      <c r="C492" s="37" t="s">
        <v>372</v>
      </c>
      <c r="D492" s="37" t="s">
        <v>375</v>
      </c>
      <c r="E492" s="38">
        <v>0</v>
      </c>
      <c r="F492" s="39" t="s">
        <v>237</v>
      </c>
      <c r="G492" s="38">
        <v>0</v>
      </c>
      <c r="H492" s="39" t="s">
        <v>380</v>
      </c>
      <c r="I492" s="40">
        <v>44343</v>
      </c>
      <c r="J492" s="40">
        <v>44343</v>
      </c>
      <c r="K492" s="38">
        <v>0</v>
      </c>
      <c r="L492" s="39" t="s">
        <v>380</v>
      </c>
      <c r="M492" s="38">
        <v>0</v>
      </c>
      <c r="N492" s="39" t="s">
        <v>380</v>
      </c>
      <c r="O492" s="41">
        <v>0</v>
      </c>
      <c r="P492" s="38">
        <v>0</v>
      </c>
      <c r="Q492" s="38">
        <v>0</v>
      </c>
      <c r="R492" s="39" t="s">
        <v>237</v>
      </c>
    </row>
    <row r="493" spans="1:18" x14ac:dyDescent="0.3">
      <c r="A493" s="37" t="s">
        <v>378</v>
      </c>
      <c r="B493" s="37" t="s">
        <v>855</v>
      </c>
      <c r="C493" s="37" t="s">
        <v>372</v>
      </c>
      <c r="D493" s="37" t="s">
        <v>577</v>
      </c>
      <c r="E493" s="38">
        <v>0</v>
      </c>
      <c r="F493" s="39" t="s">
        <v>237</v>
      </c>
      <c r="G493" s="38">
        <v>0</v>
      </c>
      <c r="H493" s="39" t="s">
        <v>380</v>
      </c>
      <c r="I493" s="40">
        <v>44197</v>
      </c>
      <c r="J493" s="40">
        <v>44558</v>
      </c>
      <c r="K493" s="38">
        <v>0</v>
      </c>
      <c r="L493" s="39" t="s">
        <v>380</v>
      </c>
      <c r="M493" s="38">
        <v>0</v>
      </c>
      <c r="N493" s="39" t="s">
        <v>380</v>
      </c>
      <c r="O493" s="41">
        <v>0</v>
      </c>
      <c r="P493" s="38">
        <v>0</v>
      </c>
      <c r="Q493" s="38">
        <v>0</v>
      </c>
      <c r="R493" s="39" t="s">
        <v>237</v>
      </c>
    </row>
    <row r="494" spans="1:18" x14ac:dyDescent="0.3">
      <c r="A494" s="37" t="s">
        <v>378</v>
      </c>
      <c r="B494" s="37" t="s">
        <v>856</v>
      </c>
      <c r="C494" s="37" t="s">
        <v>372</v>
      </c>
      <c r="D494" s="37" t="s">
        <v>375</v>
      </c>
      <c r="E494" s="38">
        <v>0</v>
      </c>
      <c r="F494" s="39" t="s">
        <v>237</v>
      </c>
      <c r="G494" s="38">
        <v>0</v>
      </c>
      <c r="H494" s="39" t="s">
        <v>380</v>
      </c>
      <c r="I494" s="40">
        <v>44921</v>
      </c>
      <c r="J494" s="40">
        <v>44922</v>
      </c>
      <c r="K494" s="38">
        <v>0</v>
      </c>
      <c r="L494" s="39" t="s">
        <v>380</v>
      </c>
      <c r="M494" s="38">
        <v>0</v>
      </c>
      <c r="N494" s="39" t="s">
        <v>380</v>
      </c>
      <c r="O494" s="41">
        <v>0</v>
      </c>
      <c r="P494" s="38">
        <v>0</v>
      </c>
      <c r="Q494" s="38">
        <v>0</v>
      </c>
      <c r="R494" s="39" t="s">
        <v>237</v>
      </c>
    </row>
    <row r="495" spans="1:18" x14ac:dyDescent="0.3">
      <c r="A495" s="37" t="s">
        <v>378</v>
      </c>
      <c r="B495" s="37" t="s">
        <v>857</v>
      </c>
      <c r="C495" s="37" t="s">
        <v>372</v>
      </c>
      <c r="D495" s="37" t="s">
        <v>375</v>
      </c>
      <c r="E495" s="38">
        <v>0</v>
      </c>
      <c r="F495" s="39" t="s">
        <v>237</v>
      </c>
      <c r="G495" s="38">
        <v>0</v>
      </c>
      <c r="H495" s="39" t="s">
        <v>380</v>
      </c>
      <c r="I495" s="40">
        <v>44257</v>
      </c>
      <c r="J495" s="40">
        <v>44302</v>
      </c>
      <c r="K495" s="38">
        <v>0</v>
      </c>
      <c r="L495" s="39" t="s">
        <v>380</v>
      </c>
      <c r="M495" s="38">
        <v>0</v>
      </c>
      <c r="N495" s="39" t="s">
        <v>380</v>
      </c>
      <c r="O495" s="41">
        <v>0</v>
      </c>
      <c r="P495" s="38">
        <v>0</v>
      </c>
      <c r="Q495" s="38">
        <v>0</v>
      </c>
      <c r="R495" s="39" t="s">
        <v>237</v>
      </c>
    </row>
    <row r="496" spans="1:18" x14ac:dyDescent="0.3">
      <c r="A496" s="37" t="s">
        <v>378</v>
      </c>
      <c r="B496" s="37" t="s">
        <v>858</v>
      </c>
      <c r="C496" s="37" t="s">
        <v>372</v>
      </c>
      <c r="D496" s="37" t="s">
        <v>375</v>
      </c>
      <c r="E496" s="38">
        <v>0</v>
      </c>
      <c r="F496" s="39" t="s">
        <v>237</v>
      </c>
      <c r="G496" s="38">
        <v>0</v>
      </c>
      <c r="H496" s="39" t="s">
        <v>380</v>
      </c>
      <c r="I496" s="40">
        <v>44503</v>
      </c>
      <c r="J496" s="40">
        <v>44755</v>
      </c>
      <c r="K496" s="38">
        <v>0</v>
      </c>
      <c r="L496" s="39" t="s">
        <v>380</v>
      </c>
      <c r="M496" s="38">
        <v>0</v>
      </c>
      <c r="N496" s="39" t="s">
        <v>380</v>
      </c>
      <c r="O496" s="41">
        <v>0</v>
      </c>
      <c r="P496" s="38">
        <v>0</v>
      </c>
      <c r="Q496" s="38">
        <v>0</v>
      </c>
      <c r="R496" s="39" t="s">
        <v>237</v>
      </c>
    </row>
    <row r="497" spans="1:18" x14ac:dyDescent="0.3">
      <c r="A497" s="37" t="s">
        <v>378</v>
      </c>
      <c r="B497" s="37" t="s">
        <v>859</v>
      </c>
      <c r="C497" s="37" t="s">
        <v>372</v>
      </c>
      <c r="D497" s="37" t="s">
        <v>375</v>
      </c>
      <c r="E497" s="38">
        <v>0</v>
      </c>
      <c r="F497" s="39" t="s">
        <v>237</v>
      </c>
      <c r="G497" s="38">
        <v>0</v>
      </c>
      <c r="H497" s="39" t="s">
        <v>380</v>
      </c>
      <c r="I497" s="40">
        <v>44921</v>
      </c>
      <c r="J497" s="40">
        <v>44922</v>
      </c>
      <c r="K497" s="38">
        <v>0</v>
      </c>
      <c r="L497" s="39" t="s">
        <v>380</v>
      </c>
      <c r="M497" s="38">
        <v>0</v>
      </c>
      <c r="N497" s="39" t="s">
        <v>380</v>
      </c>
      <c r="O497" s="41">
        <v>0</v>
      </c>
      <c r="P497" s="38">
        <v>0</v>
      </c>
      <c r="Q497" s="38">
        <v>0</v>
      </c>
      <c r="R497" s="39" t="s">
        <v>237</v>
      </c>
    </row>
    <row r="498" spans="1:18" x14ac:dyDescent="0.3">
      <c r="A498" s="37" t="s">
        <v>378</v>
      </c>
      <c r="B498" s="37" t="s">
        <v>860</v>
      </c>
      <c r="C498" s="37" t="s">
        <v>372</v>
      </c>
      <c r="D498" s="37" t="s">
        <v>375</v>
      </c>
      <c r="E498" s="38">
        <v>0</v>
      </c>
      <c r="F498" s="39" t="s">
        <v>237</v>
      </c>
      <c r="G498" s="38">
        <v>0</v>
      </c>
      <c r="H498" s="39" t="s">
        <v>380</v>
      </c>
      <c r="I498" s="40">
        <v>44197</v>
      </c>
      <c r="J498" s="40">
        <v>44503</v>
      </c>
      <c r="K498" s="38">
        <v>0</v>
      </c>
      <c r="L498" s="39" t="s">
        <v>380</v>
      </c>
      <c r="M498" s="38">
        <v>0</v>
      </c>
      <c r="N498" s="39" t="s">
        <v>380</v>
      </c>
      <c r="O498" s="41">
        <v>0</v>
      </c>
      <c r="P498" s="38">
        <v>0</v>
      </c>
      <c r="Q498" s="38">
        <v>0</v>
      </c>
      <c r="R498" s="39" t="s">
        <v>237</v>
      </c>
    </row>
    <row r="499" spans="1:18" x14ac:dyDescent="0.3">
      <c r="A499" s="37" t="s">
        <v>378</v>
      </c>
      <c r="B499" s="37" t="s">
        <v>861</v>
      </c>
      <c r="C499" s="37" t="s">
        <v>372</v>
      </c>
      <c r="D499" s="37" t="s">
        <v>375</v>
      </c>
      <c r="E499" s="38">
        <v>0</v>
      </c>
      <c r="F499" s="39" t="s">
        <v>237</v>
      </c>
      <c r="G499" s="38">
        <v>0</v>
      </c>
      <c r="H499" s="39" t="s">
        <v>380</v>
      </c>
      <c r="I499" s="40">
        <v>44197</v>
      </c>
      <c r="J499" s="40">
        <v>44503</v>
      </c>
      <c r="K499" s="38">
        <v>0</v>
      </c>
      <c r="L499" s="39" t="s">
        <v>380</v>
      </c>
      <c r="M499" s="38">
        <v>0</v>
      </c>
      <c r="N499" s="39" t="s">
        <v>380</v>
      </c>
      <c r="O499" s="41">
        <v>0</v>
      </c>
      <c r="P499" s="38">
        <v>0</v>
      </c>
      <c r="Q499" s="38">
        <v>0</v>
      </c>
      <c r="R499" s="39" t="s">
        <v>237</v>
      </c>
    </row>
    <row r="500" spans="1:18" x14ac:dyDescent="0.3">
      <c r="A500" s="37" t="s">
        <v>378</v>
      </c>
      <c r="B500" s="37" t="s">
        <v>862</v>
      </c>
      <c r="C500" s="37" t="s">
        <v>372</v>
      </c>
      <c r="D500" s="37" t="s">
        <v>375</v>
      </c>
      <c r="E500" s="38">
        <v>0</v>
      </c>
      <c r="F500" s="39" t="s">
        <v>237</v>
      </c>
      <c r="G500" s="38">
        <v>0</v>
      </c>
      <c r="H500" s="39" t="s">
        <v>380</v>
      </c>
      <c r="I500" s="40">
        <v>44197</v>
      </c>
      <c r="J500" s="40">
        <v>44336</v>
      </c>
      <c r="K500" s="38">
        <v>0</v>
      </c>
      <c r="L500" s="39" t="s">
        <v>380</v>
      </c>
      <c r="M500" s="38">
        <v>0</v>
      </c>
      <c r="N500" s="39" t="s">
        <v>380</v>
      </c>
      <c r="O500" s="41">
        <v>0</v>
      </c>
      <c r="P500" s="38">
        <v>0</v>
      </c>
      <c r="Q500" s="38">
        <v>0</v>
      </c>
      <c r="R500" s="39" t="s">
        <v>237</v>
      </c>
    </row>
    <row r="501" spans="1:18" x14ac:dyDescent="0.3">
      <c r="A501" s="37" t="s">
        <v>378</v>
      </c>
      <c r="B501" s="37" t="s">
        <v>863</v>
      </c>
      <c r="C501" s="37" t="s">
        <v>372</v>
      </c>
      <c r="D501" s="37" t="s">
        <v>375</v>
      </c>
      <c r="E501" s="38">
        <v>0</v>
      </c>
      <c r="F501" s="39" t="s">
        <v>237</v>
      </c>
      <c r="G501" s="38">
        <v>0</v>
      </c>
      <c r="H501" s="39" t="s">
        <v>380</v>
      </c>
      <c r="I501" s="40">
        <v>44197</v>
      </c>
      <c r="J501" s="40">
        <v>44503</v>
      </c>
      <c r="K501" s="38">
        <v>0</v>
      </c>
      <c r="L501" s="39" t="s">
        <v>380</v>
      </c>
      <c r="M501" s="38">
        <v>0</v>
      </c>
      <c r="N501" s="39" t="s">
        <v>380</v>
      </c>
      <c r="O501" s="41">
        <v>0</v>
      </c>
      <c r="P501" s="38">
        <v>0</v>
      </c>
      <c r="Q501" s="38">
        <v>0</v>
      </c>
      <c r="R501" s="39" t="s">
        <v>237</v>
      </c>
    </row>
    <row r="502" spans="1:18" x14ac:dyDescent="0.3">
      <c r="A502" s="37" t="s">
        <v>378</v>
      </c>
      <c r="B502" s="37" t="s">
        <v>864</v>
      </c>
      <c r="C502" s="37" t="s">
        <v>372</v>
      </c>
      <c r="D502" s="37" t="s">
        <v>375</v>
      </c>
      <c r="E502" s="38">
        <v>0</v>
      </c>
      <c r="F502" s="39" t="s">
        <v>237</v>
      </c>
      <c r="G502" s="38">
        <v>0</v>
      </c>
      <c r="H502" s="39" t="s">
        <v>380</v>
      </c>
      <c r="I502" s="40">
        <v>44197</v>
      </c>
      <c r="J502" s="40">
        <v>44503</v>
      </c>
      <c r="K502" s="38">
        <v>0</v>
      </c>
      <c r="L502" s="39" t="s">
        <v>380</v>
      </c>
      <c r="M502" s="38">
        <v>0</v>
      </c>
      <c r="N502" s="39" t="s">
        <v>380</v>
      </c>
      <c r="O502" s="41">
        <v>0</v>
      </c>
      <c r="P502" s="38">
        <v>0</v>
      </c>
      <c r="Q502" s="38">
        <v>0</v>
      </c>
      <c r="R502" s="39" t="s">
        <v>237</v>
      </c>
    </row>
    <row r="503" spans="1:18" x14ac:dyDescent="0.3">
      <c r="A503" s="37" t="s">
        <v>378</v>
      </c>
      <c r="B503" s="37" t="s">
        <v>865</v>
      </c>
      <c r="C503" s="37" t="s">
        <v>372</v>
      </c>
      <c r="D503" s="37" t="s">
        <v>375</v>
      </c>
      <c r="E503" s="38">
        <v>0</v>
      </c>
      <c r="F503" s="39" t="s">
        <v>237</v>
      </c>
      <c r="G503" s="38">
        <v>0</v>
      </c>
      <c r="H503" s="39" t="s">
        <v>380</v>
      </c>
      <c r="I503" s="40">
        <v>44288</v>
      </c>
      <c r="J503" s="40">
        <v>44288</v>
      </c>
      <c r="K503" s="38">
        <v>0</v>
      </c>
      <c r="L503" s="39" t="s">
        <v>380</v>
      </c>
      <c r="M503" s="38">
        <v>0</v>
      </c>
      <c r="N503" s="39" t="s">
        <v>380</v>
      </c>
      <c r="O503" s="41">
        <v>0</v>
      </c>
      <c r="P503" s="38">
        <v>0</v>
      </c>
      <c r="Q503" s="38">
        <v>0</v>
      </c>
      <c r="R503" s="39" t="s">
        <v>237</v>
      </c>
    </row>
    <row r="504" spans="1:18" x14ac:dyDescent="0.3">
      <c r="A504" s="37" t="s">
        <v>378</v>
      </c>
      <c r="B504" s="37" t="s">
        <v>866</v>
      </c>
      <c r="C504" s="37" t="s">
        <v>372</v>
      </c>
      <c r="D504" s="37" t="s">
        <v>375</v>
      </c>
      <c r="E504" s="38">
        <v>0</v>
      </c>
      <c r="F504" s="39" t="s">
        <v>237</v>
      </c>
      <c r="G504" s="38">
        <v>0</v>
      </c>
      <c r="H504" s="39" t="s">
        <v>380</v>
      </c>
      <c r="I504" s="40">
        <v>44280</v>
      </c>
      <c r="J504" s="40">
        <v>44280</v>
      </c>
      <c r="K504" s="38">
        <v>0</v>
      </c>
      <c r="L504" s="39" t="s">
        <v>380</v>
      </c>
      <c r="M504" s="38">
        <v>0</v>
      </c>
      <c r="N504" s="39" t="s">
        <v>380</v>
      </c>
      <c r="O504" s="41">
        <v>0</v>
      </c>
      <c r="P504" s="38">
        <v>0</v>
      </c>
      <c r="Q504" s="38">
        <v>0</v>
      </c>
      <c r="R504" s="39" t="s">
        <v>237</v>
      </c>
    </row>
    <row r="505" spans="1:18" x14ac:dyDescent="0.3">
      <c r="A505" s="37" t="s">
        <v>378</v>
      </c>
      <c r="B505" s="37" t="s">
        <v>867</v>
      </c>
      <c r="C505" s="37" t="s">
        <v>372</v>
      </c>
      <c r="D505" s="37" t="s">
        <v>375</v>
      </c>
      <c r="E505" s="38">
        <v>0</v>
      </c>
      <c r="F505" s="39" t="s">
        <v>237</v>
      </c>
      <c r="G505" s="38">
        <v>0</v>
      </c>
      <c r="H505" s="39" t="s">
        <v>380</v>
      </c>
      <c r="I505" s="40">
        <v>44284</v>
      </c>
      <c r="J505" s="40">
        <v>44285</v>
      </c>
      <c r="K505" s="38">
        <v>0</v>
      </c>
      <c r="L505" s="39" t="s">
        <v>380</v>
      </c>
      <c r="M505" s="38">
        <v>0</v>
      </c>
      <c r="N505" s="39" t="s">
        <v>380</v>
      </c>
      <c r="O505" s="41">
        <v>0</v>
      </c>
      <c r="P505" s="38">
        <v>0</v>
      </c>
      <c r="Q505" s="38">
        <v>0</v>
      </c>
      <c r="R505" s="39" t="s">
        <v>237</v>
      </c>
    </row>
    <row r="506" spans="1:18" x14ac:dyDescent="0.3">
      <c r="A506" s="37" t="s">
        <v>378</v>
      </c>
      <c r="B506" s="37" t="s">
        <v>868</v>
      </c>
      <c r="C506" s="37" t="s">
        <v>372</v>
      </c>
      <c r="D506" s="37" t="s">
        <v>375</v>
      </c>
      <c r="E506" s="38">
        <v>0</v>
      </c>
      <c r="F506" s="39" t="s">
        <v>237</v>
      </c>
      <c r="G506" s="38">
        <v>0</v>
      </c>
      <c r="H506" s="39" t="s">
        <v>380</v>
      </c>
      <c r="I506" s="40">
        <v>44938</v>
      </c>
      <c r="J506" s="40">
        <v>44980</v>
      </c>
      <c r="K506" s="38">
        <v>0</v>
      </c>
      <c r="L506" s="39" t="s">
        <v>380</v>
      </c>
      <c r="M506" s="38">
        <v>0</v>
      </c>
      <c r="N506" s="39" t="s">
        <v>380</v>
      </c>
      <c r="O506" s="41">
        <v>0</v>
      </c>
      <c r="P506" s="38">
        <v>0</v>
      </c>
      <c r="Q506" s="38">
        <v>0</v>
      </c>
      <c r="R506" s="39" t="s">
        <v>237</v>
      </c>
    </row>
    <row r="507" spans="1:18" x14ac:dyDescent="0.3">
      <c r="A507" s="37" t="s">
        <v>378</v>
      </c>
      <c r="B507" s="37" t="s">
        <v>869</v>
      </c>
      <c r="C507" s="37" t="s">
        <v>372</v>
      </c>
      <c r="D507" s="37" t="s">
        <v>375</v>
      </c>
      <c r="E507" s="38">
        <v>0</v>
      </c>
      <c r="F507" s="39" t="s">
        <v>237</v>
      </c>
      <c r="G507" s="38">
        <v>0</v>
      </c>
      <c r="H507" s="39" t="s">
        <v>380</v>
      </c>
      <c r="I507" s="40">
        <v>44812</v>
      </c>
      <c r="J507" s="40">
        <v>44813</v>
      </c>
      <c r="K507" s="38">
        <v>0</v>
      </c>
      <c r="L507" s="39" t="s">
        <v>380</v>
      </c>
      <c r="M507" s="38">
        <v>0</v>
      </c>
      <c r="N507" s="39" t="s">
        <v>380</v>
      </c>
      <c r="O507" s="41">
        <v>0</v>
      </c>
      <c r="P507" s="38">
        <v>0</v>
      </c>
      <c r="Q507" s="38">
        <v>0</v>
      </c>
      <c r="R507" s="39" t="s">
        <v>237</v>
      </c>
    </row>
    <row r="508" spans="1:18" x14ac:dyDescent="0.3">
      <c r="A508" s="37" t="s">
        <v>378</v>
      </c>
      <c r="B508" s="37" t="s">
        <v>870</v>
      </c>
      <c r="C508" s="37" t="s">
        <v>372</v>
      </c>
      <c r="D508" s="37" t="s">
        <v>375</v>
      </c>
      <c r="E508" s="38">
        <v>0</v>
      </c>
      <c r="F508" s="39" t="s">
        <v>237</v>
      </c>
      <c r="G508" s="38">
        <v>0</v>
      </c>
      <c r="H508" s="39" t="s">
        <v>380</v>
      </c>
      <c r="I508" s="40">
        <v>45203</v>
      </c>
      <c r="J508" s="40">
        <v>45382</v>
      </c>
      <c r="K508" s="38">
        <v>0</v>
      </c>
      <c r="L508" s="39" t="s">
        <v>380</v>
      </c>
      <c r="M508" s="38">
        <v>0</v>
      </c>
      <c r="N508" s="39" t="s">
        <v>380</v>
      </c>
      <c r="O508" s="41">
        <v>0</v>
      </c>
      <c r="P508" s="38">
        <v>0</v>
      </c>
      <c r="Q508" s="38">
        <v>0</v>
      </c>
      <c r="R508" s="39" t="s">
        <v>237</v>
      </c>
    </row>
    <row r="509" spans="1:18" x14ac:dyDescent="0.3">
      <c r="A509" s="37" t="s">
        <v>378</v>
      </c>
      <c r="B509" s="37" t="s">
        <v>871</v>
      </c>
      <c r="C509" s="37" t="s">
        <v>372</v>
      </c>
      <c r="D509" s="37" t="s">
        <v>375</v>
      </c>
      <c r="E509" s="38">
        <v>2088</v>
      </c>
      <c r="F509" s="39" t="s">
        <v>237</v>
      </c>
      <c r="G509" s="38">
        <v>7200</v>
      </c>
      <c r="H509" s="39" t="s">
        <v>380</v>
      </c>
      <c r="I509" s="40">
        <v>45295</v>
      </c>
      <c r="J509" s="40">
        <v>45012</v>
      </c>
      <c r="K509" s="38">
        <v>46800</v>
      </c>
      <c r="L509" s="39" t="s">
        <v>380</v>
      </c>
      <c r="M509" s="38">
        <v>54000</v>
      </c>
      <c r="N509" s="39" t="s">
        <v>380</v>
      </c>
      <c r="O509" s="41">
        <v>14</v>
      </c>
      <c r="P509" s="38">
        <v>26</v>
      </c>
      <c r="Q509" s="38">
        <v>13368</v>
      </c>
      <c r="R509" s="39" t="s">
        <v>237</v>
      </c>
    </row>
    <row r="510" spans="1:18" x14ac:dyDescent="0.3">
      <c r="A510" s="37" t="s">
        <v>378</v>
      </c>
      <c r="B510" s="37" t="s">
        <v>872</v>
      </c>
      <c r="C510" s="37" t="s">
        <v>372</v>
      </c>
      <c r="D510" s="37" t="s">
        <v>377</v>
      </c>
      <c r="E510" s="38">
        <v>0</v>
      </c>
      <c r="F510" s="39" t="s">
        <v>237</v>
      </c>
      <c r="G510" s="38">
        <v>0</v>
      </c>
      <c r="H510" s="39" t="s">
        <v>374</v>
      </c>
      <c r="I510" s="40">
        <v>44197</v>
      </c>
      <c r="J510" s="40">
        <v>44755</v>
      </c>
      <c r="K510" s="38">
        <v>0</v>
      </c>
      <c r="L510" s="39" t="s">
        <v>374</v>
      </c>
      <c r="M510" s="38">
        <v>0</v>
      </c>
      <c r="N510" s="39" t="s">
        <v>374</v>
      </c>
      <c r="O510" s="41">
        <v>0</v>
      </c>
      <c r="P510" s="38">
        <v>0</v>
      </c>
      <c r="Q510" s="38">
        <v>0</v>
      </c>
      <c r="R510" s="39" t="s">
        <v>237</v>
      </c>
    </row>
    <row r="511" spans="1:18" x14ac:dyDescent="0.3">
      <c r="A511" s="37" t="s">
        <v>378</v>
      </c>
      <c r="B511" s="37" t="s">
        <v>1307</v>
      </c>
      <c r="C511" s="37" t="s">
        <v>372</v>
      </c>
      <c r="D511" s="37" t="s">
        <v>375</v>
      </c>
      <c r="E511" s="38">
        <v>0</v>
      </c>
      <c r="F511" s="39" t="s">
        <v>237</v>
      </c>
      <c r="G511" s="38">
        <v>0</v>
      </c>
      <c r="H511" s="39" t="s">
        <v>380</v>
      </c>
      <c r="I511" s="40">
        <v>44197</v>
      </c>
      <c r="J511" s="40">
        <v>44197</v>
      </c>
      <c r="K511" s="38">
        <v>0</v>
      </c>
      <c r="L511" s="39" t="s">
        <v>380</v>
      </c>
      <c r="M511" s="38">
        <v>0</v>
      </c>
      <c r="N511" s="39" t="s">
        <v>380</v>
      </c>
      <c r="O511" s="41">
        <v>0</v>
      </c>
      <c r="P511" s="38">
        <v>0</v>
      </c>
      <c r="Q511" s="38">
        <v>0</v>
      </c>
      <c r="R511" s="39" t="s">
        <v>237</v>
      </c>
    </row>
    <row r="512" spans="1:18" x14ac:dyDescent="0.3">
      <c r="A512" s="37" t="s">
        <v>378</v>
      </c>
      <c r="B512" s="37" t="s">
        <v>1308</v>
      </c>
      <c r="C512" s="37" t="s">
        <v>372</v>
      </c>
      <c r="D512" s="37" t="s">
        <v>375</v>
      </c>
      <c r="E512" s="38">
        <v>0</v>
      </c>
      <c r="F512" s="39" t="s">
        <v>237</v>
      </c>
      <c r="G512" s="38">
        <v>0</v>
      </c>
      <c r="H512" s="39" t="s">
        <v>380</v>
      </c>
      <c r="I512" s="40">
        <v>44197</v>
      </c>
      <c r="J512" s="40">
        <v>44197</v>
      </c>
      <c r="K512" s="38">
        <v>0</v>
      </c>
      <c r="L512" s="39" t="s">
        <v>380</v>
      </c>
      <c r="M512" s="38">
        <v>0</v>
      </c>
      <c r="N512" s="39" t="s">
        <v>380</v>
      </c>
      <c r="O512" s="41">
        <v>0</v>
      </c>
      <c r="P512" s="38">
        <v>0</v>
      </c>
      <c r="Q512" s="38">
        <v>0</v>
      </c>
      <c r="R512" s="39" t="s">
        <v>237</v>
      </c>
    </row>
    <row r="513" spans="1:18" x14ac:dyDescent="0.3">
      <c r="A513" s="37" t="s">
        <v>378</v>
      </c>
      <c r="B513" s="37" t="s">
        <v>873</v>
      </c>
      <c r="C513" s="37" t="s">
        <v>372</v>
      </c>
      <c r="D513" s="37" t="s">
        <v>375</v>
      </c>
      <c r="E513" s="38">
        <v>0</v>
      </c>
      <c r="F513" s="39" t="s">
        <v>237</v>
      </c>
      <c r="G513" s="38">
        <v>0</v>
      </c>
      <c r="H513" s="39" t="s">
        <v>380</v>
      </c>
      <c r="I513" s="40">
        <v>45320</v>
      </c>
      <c r="J513" s="40">
        <v>45320</v>
      </c>
      <c r="K513" s="38">
        <v>0</v>
      </c>
      <c r="L513" s="39" t="s">
        <v>380</v>
      </c>
      <c r="M513" s="38">
        <v>0</v>
      </c>
      <c r="N513" s="39" t="s">
        <v>380</v>
      </c>
      <c r="O513" s="41">
        <v>0</v>
      </c>
      <c r="P513" s="38">
        <v>0</v>
      </c>
      <c r="Q513" s="38">
        <v>0</v>
      </c>
      <c r="R513" s="39" t="s">
        <v>237</v>
      </c>
    </row>
    <row r="514" spans="1:18" x14ac:dyDescent="0.3">
      <c r="A514" s="37" t="s">
        <v>378</v>
      </c>
      <c r="B514" s="37" t="s">
        <v>874</v>
      </c>
      <c r="C514" s="37" t="s">
        <v>372</v>
      </c>
      <c r="D514" s="37" t="s">
        <v>375</v>
      </c>
      <c r="E514" s="38">
        <v>0</v>
      </c>
      <c r="F514" s="39" t="s">
        <v>237</v>
      </c>
      <c r="G514" s="38">
        <v>0</v>
      </c>
      <c r="H514" s="39" t="s">
        <v>380</v>
      </c>
      <c r="I514" s="40">
        <v>44385</v>
      </c>
      <c r="J514" s="40">
        <v>44385</v>
      </c>
      <c r="K514" s="38">
        <v>0</v>
      </c>
      <c r="L514" s="39" t="s">
        <v>380</v>
      </c>
      <c r="M514" s="38">
        <v>0</v>
      </c>
      <c r="N514" s="39" t="s">
        <v>380</v>
      </c>
      <c r="O514" s="41">
        <v>0</v>
      </c>
      <c r="P514" s="38">
        <v>0</v>
      </c>
      <c r="Q514" s="38">
        <v>0</v>
      </c>
      <c r="R514" s="39" t="s">
        <v>237</v>
      </c>
    </row>
    <row r="515" spans="1:18" x14ac:dyDescent="0.3">
      <c r="A515" s="37" t="s">
        <v>378</v>
      </c>
      <c r="B515" s="37" t="s">
        <v>875</v>
      </c>
      <c r="C515" s="37" t="s">
        <v>372</v>
      </c>
      <c r="D515" s="37" t="s">
        <v>375</v>
      </c>
      <c r="E515" s="38">
        <v>0</v>
      </c>
      <c r="F515" s="39" t="s">
        <v>237</v>
      </c>
      <c r="G515" s="38">
        <v>0</v>
      </c>
      <c r="H515" s="39" t="s">
        <v>380</v>
      </c>
      <c r="I515" s="40">
        <v>44889</v>
      </c>
      <c r="J515" s="40">
        <v>44925</v>
      </c>
      <c r="K515" s="38">
        <v>0</v>
      </c>
      <c r="L515" s="39" t="s">
        <v>380</v>
      </c>
      <c r="M515" s="38">
        <v>0</v>
      </c>
      <c r="N515" s="39" t="s">
        <v>380</v>
      </c>
      <c r="O515" s="41">
        <v>0</v>
      </c>
      <c r="P515" s="38">
        <v>0</v>
      </c>
      <c r="Q515" s="38">
        <v>0</v>
      </c>
      <c r="R515" s="39" t="s">
        <v>237</v>
      </c>
    </row>
    <row r="516" spans="1:18" x14ac:dyDescent="0.3">
      <c r="A516" s="37" t="s">
        <v>378</v>
      </c>
      <c r="B516" s="37" t="s">
        <v>876</v>
      </c>
      <c r="C516" s="37" t="s">
        <v>372</v>
      </c>
      <c r="D516" s="37" t="s">
        <v>375</v>
      </c>
      <c r="E516" s="38">
        <v>0</v>
      </c>
      <c r="F516" s="39" t="s">
        <v>237</v>
      </c>
      <c r="G516" s="38">
        <v>0</v>
      </c>
      <c r="H516" s="39" t="s">
        <v>380</v>
      </c>
      <c r="I516" s="40">
        <v>44251</v>
      </c>
      <c r="J516" s="40">
        <v>44252</v>
      </c>
      <c r="K516" s="38">
        <v>0</v>
      </c>
      <c r="L516" s="39" t="s">
        <v>380</v>
      </c>
      <c r="M516" s="38">
        <v>0</v>
      </c>
      <c r="N516" s="39" t="s">
        <v>380</v>
      </c>
      <c r="O516" s="41">
        <v>0</v>
      </c>
      <c r="P516" s="38">
        <v>0</v>
      </c>
      <c r="Q516" s="38">
        <v>0</v>
      </c>
      <c r="R516" s="39" t="s">
        <v>237</v>
      </c>
    </row>
    <row r="517" spans="1:18" x14ac:dyDescent="0.3">
      <c r="A517" s="37" t="s">
        <v>378</v>
      </c>
      <c r="B517" s="37" t="s">
        <v>877</v>
      </c>
      <c r="C517" s="37" t="s">
        <v>372</v>
      </c>
      <c r="D517" s="37" t="s">
        <v>375</v>
      </c>
      <c r="E517" s="38">
        <v>0</v>
      </c>
      <c r="F517" s="39" t="s">
        <v>237</v>
      </c>
      <c r="G517" s="38">
        <v>0</v>
      </c>
      <c r="H517" s="39" t="s">
        <v>380</v>
      </c>
      <c r="I517" s="40">
        <v>44197</v>
      </c>
      <c r="J517" s="40">
        <v>44197</v>
      </c>
      <c r="K517" s="38">
        <v>0</v>
      </c>
      <c r="L517" s="39" t="s">
        <v>380</v>
      </c>
      <c r="M517" s="38">
        <v>0</v>
      </c>
      <c r="N517" s="39" t="s">
        <v>380</v>
      </c>
      <c r="O517" s="41">
        <v>0</v>
      </c>
      <c r="P517" s="38">
        <v>0</v>
      </c>
      <c r="Q517" s="38">
        <v>0</v>
      </c>
      <c r="R517" s="39" t="s">
        <v>237</v>
      </c>
    </row>
    <row r="518" spans="1:18" x14ac:dyDescent="0.3">
      <c r="A518" s="37" t="s">
        <v>378</v>
      </c>
      <c r="B518" s="37" t="s">
        <v>878</v>
      </c>
      <c r="C518" s="37" t="s">
        <v>372</v>
      </c>
      <c r="D518" s="37" t="s">
        <v>375</v>
      </c>
      <c r="E518" s="38">
        <v>0</v>
      </c>
      <c r="F518" s="39" t="s">
        <v>237</v>
      </c>
      <c r="G518" s="38">
        <v>0</v>
      </c>
      <c r="H518" s="39" t="s">
        <v>380</v>
      </c>
      <c r="I518" s="40">
        <v>44251</v>
      </c>
      <c r="J518" s="40">
        <v>44252</v>
      </c>
      <c r="K518" s="38">
        <v>0</v>
      </c>
      <c r="L518" s="39" t="s">
        <v>380</v>
      </c>
      <c r="M518" s="38">
        <v>0</v>
      </c>
      <c r="N518" s="39" t="s">
        <v>380</v>
      </c>
      <c r="O518" s="41">
        <v>0</v>
      </c>
      <c r="P518" s="38">
        <v>0</v>
      </c>
      <c r="Q518" s="38">
        <v>0</v>
      </c>
      <c r="R518" s="39" t="s">
        <v>237</v>
      </c>
    </row>
    <row r="519" spans="1:18" x14ac:dyDescent="0.3">
      <c r="A519" s="37" t="s">
        <v>378</v>
      </c>
      <c r="B519" s="37" t="s">
        <v>1182</v>
      </c>
      <c r="C519" s="37" t="s">
        <v>372</v>
      </c>
      <c r="D519" s="37" t="s">
        <v>375</v>
      </c>
      <c r="E519" s="38">
        <v>0</v>
      </c>
      <c r="F519" s="39" t="s">
        <v>237</v>
      </c>
      <c r="G519" s="38">
        <v>0</v>
      </c>
      <c r="H519" s="39" t="s">
        <v>380</v>
      </c>
      <c r="I519" s="40">
        <v>44251</v>
      </c>
      <c r="J519" s="40">
        <v>44252</v>
      </c>
      <c r="K519" s="38">
        <v>0</v>
      </c>
      <c r="L519" s="39" t="s">
        <v>380</v>
      </c>
      <c r="M519" s="38">
        <v>0</v>
      </c>
      <c r="N519" s="39" t="s">
        <v>380</v>
      </c>
      <c r="O519" s="41">
        <v>0</v>
      </c>
      <c r="P519" s="38">
        <v>0</v>
      </c>
      <c r="Q519" s="38">
        <v>0</v>
      </c>
      <c r="R519" s="39" t="s">
        <v>237</v>
      </c>
    </row>
    <row r="520" spans="1:18" x14ac:dyDescent="0.3">
      <c r="A520" s="37" t="s">
        <v>378</v>
      </c>
      <c r="B520" s="37" t="s">
        <v>879</v>
      </c>
      <c r="C520" s="37" t="s">
        <v>372</v>
      </c>
      <c r="D520" s="37" t="s">
        <v>375</v>
      </c>
      <c r="E520" s="38">
        <v>3541.78</v>
      </c>
      <c r="F520" s="39" t="s">
        <v>237</v>
      </c>
      <c r="G520" s="38">
        <v>42000</v>
      </c>
      <c r="H520" s="39" t="s">
        <v>380</v>
      </c>
      <c r="I520" s="40">
        <v>45525</v>
      </c>
      <c r="J520" s="40">
        <v>45489</v>
      </c>
      <c r="K520" s="38">
        <v>126000</v>
      </c>
      <c r="L520" s="39" t="s">
        <v>380</v>
      </c>
      <c r="M520" s="38">
        <v>126000</v>
      </c>
      <c r="N520" s="39" t="s">
        <v>380</v>
      </c>
      <c r="O520" s="41">
        <v>31</v>
      </c>
      <c r="P520" s="38">
        <v>3.08</v>
      </c>
      <c r="Q520" s="38">
        <v>10613</v>
      </c>
      <c r="R520" s="39" t="s">
        <v>237</v>
      </c>
    </row>
    <row r="521" spans="1:18" x14ac:dyDescent="0.3">
      <c r="A521" s="37" t="s">
        <v>378</v>
      </c>
      <c r="B521" s="37" t="s">
        <v>1309</v>
      </c>
      <c r="C521" s="37" t="s">
        <v>372</v>
      </c>
      <c r="D521" s="37" t="s">
        <v>375</v>
      </c>
      <c r="E521" s="38">
        <v>0</v>
      </c>
      <c r="F521" s="39" t="s">
        <v>237</v>
      </c>
      <c r="G521" s="38">
        <v>0</v>
      </c>
      <c r="H521" s="39" t="s">
        <v>380</v>
      </c>
      <c r="I521" s="40">
        <v>44197</v>
      </c>
      <c r="J521" s="40">
        <v>44197</v>
      </c>
      <c r="K521" s="38">
        <v>0</v>
      </c>
      <c r="L521" s="39" t="s">
        <v>380</v>
      </c>
      <c r="M521" s="38">
        <v>0</v>
      </c>
      <c r="N521" s="39" t="s">
        <v>380</v>
      </c>
      <c r="O521" s="41">
        <v>0</v>
      </c>
      <c r="P521" s="38">
        <v>0</v>
      </c>
      <c r="Q521" s="38">
        <v>0</v>
      </c>
      <c r="R521" s="39" t="s">
        <v>237</v>
      </c>
    </row>
    <row r="522" spans="1:18" x14ac:dyDescent="0.3">
      <c r="A522" s="37" t="s">
        <v>378</v>
      </c>
      <c r="B522" s="37" t="s">
        <v>1310</v>
      </c>
      <c r="C522" s="37" t="s">
        <v>372</v>
      </c>
      <c r="D522" s="37" t="s">
        <v>375</v>
      </c>
      <c r="E522" s="38">
        <v>0</v>
      </c>
      <c r="F522" s="39" t="s">
        <v>237</v>
      </c>
      <c r="G522" s="38">
        <v>0</v>
      </c>
      <c r="H522" s="39" t="s">
        <v>380</v>
      </c>
      <c r="I522" s="40">
        <v>44197</v>
      </c>
      <c r="J522" s="40">
        <v>44197</v>
      </c>
      <c r="K522" s="38">
        <v>0</v>
      </c>
      <c r="L522" s="39" t="s">
        <v>380</v>
      </c>
      <c r="M522" s="38">
        <v>0</v>
      </c>
      <c r="N522" s="39" t="s">
        <v>380</v>
      </c>
      <c r="O522" s="41">
        <v>0</v>
      </c>
      <c r="P522" s="38">
        <v>0</v>
      </c>
      <c r="Q522" s="38">
        <v>0</v>
      </c>
      <c r="R522" s="39" t="s">
        <v>237</v>
      </c>
    </row>
    <row r="523" spans="1:18" x14ac:dyDescent="0.3">
      <c r="A523" s="37" t="s">
        <v>378</v>
      </c>
      <c r="B523" s="37" t="s">
        <v>880</v>
      </c>
      <c r="C523" s="37" t="s">
        <v>372</v>
      </c>
      <c r="D523" s="37" t="s">
        <v>377</v>
      </c>
      <c r="E523" s="38">
        <v>4256.9899999999898</v>
      </c>
      <c r="F523" s="39" t="s">
        <v>237</v>
      </c>
      <c r="G523" s="38">
        <v>85.775999999999897</v>
      </c>
      <c r="H523" s="39" t="s">
        <v>374</v>
      </c>
      <c r="I523" s="40">
        <v>45531</v>
      </c>
      <c r="J523" s="40">
        <v>45531</v>
      </c>
      <c r="K523" s="38">
        <v>46.212000000000003</v>
      </c>
      <c r="L523" s="39" t="s">
        <v>374</v>
      </c>
      <c r="M523" s="38">
        <v>73.263999999999896</v>
      </c>
      <c r="N523" s="39" t="s">
        <v>374</v>
      </c>
      <c r="O523" s="41">
        <v>402</v>
      </c>
      <c r="P523" s="38">
        <v>0.31</v>
      </c>
      <c r="Q523" s="38">
        <v>974.34</v>
      </c>
      <c r="R523" s="39" t="s">
        <v>237</v>
      </c>
    </row>
    <row r="524" spans="1:18" x14ac:dyDescent="0.3">
      <c r="A524" s="37" t="s">
        <v>378</v>
      </c>
      <c r="B524" s="37" t="s">
        <v>881</v>
      </c>
      <c r="C524" s="37" t="s">
        <v>372</v>
      </c>
      <c r="D524" s="37" t="s">
        <v>375</v>
      </c>
      <c r="E524" s="38">
        <v>0</v>
      </c>
      <c r="F524" s="39" t="s">
        <v>237</v>
      </c>
      <c r="G524" s="38">
        <v>0</v>
      </c>
      <c r="H524" s="39" t="s">
        <v>380</v>
      </c>
      <c r="I524" s="40">
        <v>44778</v>
      </c>
      <c r="J524" s="40">
        <v>44788</v>
      </c>
      <c r="K524" s="38">
        <v>0</v>
      </c>
      <c r="L524" s="39" t="s">
        <v>380</v>
      </c>
      <c r="M524" s="38">
        <v>0</v>
      </c>
      <c r="N524" s="39" t="s">
        <v>380</v>
      </c>
      <c r="O524" s="41">
        <v>0</v>
      </c>
      <c r="P524" s="38">
        <v>0</v>
      </c>
      <c r="Q524" s="38">
        <v>0</v>
      </c>
      <c r="R524" s="39" t="s">
        <v>237</v>
      </c>
    </row>
    <row r="525" spans="1:18" x14ac:dyDescent="0.3">
      <c r="A525" s="37" t="s">
        <v>378</v>
      </c>
      <c r="B525" s="37" t="s">
        <v>882</v>
      </c>
      <c r="C525" s="37" t="s">
        <v>372</v>
      </c>
      <c r="D525" s="37" t="s">
        <v>375</v>
      </c>
      <c r="E525" s="38">
        <v>0</v>
      </c>
      <c r="F525" s="39" t="s">
        <v>237</v>
      </c>
      <c r="G525" s="38">
        <v>0</v>
      </c>
      <c r="H525" s="39" t="s">
        <v>380</v>
      </c>
      <c r="I525" s="40">
        <v>44287</v>
      </c>
      <c r="J525" s="40">
        <v>44496</v>
      </c>
      <c r="K525" s="38">
        <v>0</v>
      </c>
      <c r="L525" s="39" t="s">
        <v>380</v>
      </c>
      <c r="M525" s="38">
        <v>0</v>
      </c>
      <c r="N525" s="39" t="s">
        <v>380</v>
      </c>
      <c r="O525" s="41">
        <v>0</v>
      </c>
      <c r="P525" s="38">
        <v>0</v>
      </c>
      <c r="Q525" s="38">
        <v>0</v>
      </c>
      <c r="R525" s="39" t="s">
        <v>237</v>
      </c>
    </row>
    <row r="526" spans="1:18" x14ac:dyDescent="0.3">
      <c r="A526" s="37" t="s">
        <v>378</v>
      </c>
      <c r="B526" s="37" t="s">
        <v>883</v>
      </c>
      <c r="C526" s="37" t="s">
        <v>372</v>
      </c>
      <c r="D526" s="37" t="s">
        <v>375</v>
      </c>
      <c r="E526" s="38">
        <v>0</v>
      </c>
      <c r="F526" s="39" t="s">
        <v>237</v>
      </c>
      <c r="G526" s="38">
        <v>0</v>
      </c>
      <c r="H526" s="39" t="s">
        <v>380</v>
      </c>
      <c r="I526" s="40">
        <v>44925</v>
      </c>
      <c r="J526" s="40">
        <v>44925</v>
      </c>
      <c r="K526" s="38">
        <v>0</v>
      </c>
      <c r="L526" s="39" t="s">
        <v>380</v>
      </c>
      <c r="M526" s="38">
        <v>0</v>
      </c>
      <c r="N526" s="39" t="s">
        <v>380</v>
      </c>
      <c r="O526" s="41">
        <v>0</v>
      </c>
      <c r="P526" s="38">
        <v>0</v>
      </c>
      <c r="Q526" s="38">
        <v>0</v>
      </c>
      <c r="R526" s="39" t="s">
        <v>237</v>
      </c>
    </row>
    <row r="527" spans="1:18" x14ac:dyDescent="0.3">
      <c r="A527" s="37" t="s">
        <v>378</v>
      </c>
      <c r="B527" s="37" t="s">
        <v>884</v>
      </c>
      <c r="C527" s="37" t="s">
        <v>372</v>
      </c>
      <c r="D527" s="37" t="s">
        <v>375</v>
      </c>
      <c r="E527" s="38">
        <v>0</v>
      </c>
      <c r="F527" s="39" t="s">
        <v>237</v>
      </c>
      <c r="G527" s="38">
        <v>0</v>
      </c>
      <c r="H527" s="39" t="s">
        <v>380</v>
      </c>
      <c r="I527" s="40">
        <v>44925</v>
      </c>
      <c r="J527" s="40">
        <v>44916</v>
      </c>
      <c r="K527" s="38">
        <v>0</v>
      </c>
      <c r="L527" s="39" t="s">
        <v>380</v>
      </c>
      <c r="M527" s="38">
        <v>0</v>
      </c>
      <c r="N527" s="39" t="s">
        <v>380</v>
      </c>
      <c r="O527" s="41">
        <v>0</v>
      </c>
      <c r="P527" s="38">
        <v>0</v>
      </c>
      <c r="Q527" s="38">
        <v>0</v>
      </c>
      <c r="R527" s="39" t="s">
        <v>237</v>
      </c>
    </row>
    <row r="528" spans="1:18" x14ac:dyDescent="0.3">
      <c r="A528" s="37" t="s">
        <v>378</v>
      </c>
      <c r="B528" s="37" t="s">
        <v>885</v>
      </c>
      <c r="C528" s="37" t="s">
        <v>372</v>
      </c>
      <c r="D528" s="37" t="s">
        <v>375</v>
      </c>
      <c r="E528" s="38">
        <v>0</v>
      </c>
      <c r="F528" s="39" t="s">
        <v>237</v>
      </c>
      <c r="G528" s="38">
        <v>0</v>
      </c>
      <c r="H528" s="39" t="s">
        <v>380</v>
      </c>
      <c r="I528" s="40">
        <v>44925</v>
      </c>
      <c r="J528" s="40">
        <v>44875</v>
      </c>
      <c r="K528" s="38">
        <v>0</v>
      </c>
      <c r="L528" s="39" t="s">
        <v>380</v>
      </c>
      <c r="M528" s="38">
        <v>0</v>
      </c>
      <c r="N528" s="39" t="s">
        <v>380</v>
      </c>
      <c r="O528" s="41">
        <v>0</v>
      </c>
      <c r="P528" s="38">
        <v>0</v>
      </c>
      <c r="Q528" s="38">
        <v>0</v>
      </c>
      <c r="R528" s="39" t="s">
        <v>237</v>
      </c>
    </row>
    <row r="529" spans="1:18" x14ac:dyDescent="0.3">
      <c r="A529" s="37" t="s">
        <v>378</v>
      </c>
      <c r="B529" s="37" t="s">
        <v>886</v>
      </c>
      <c r="C529" s="37" t="s">
        <v>372</v>
      </c>
      <c r="D529" s="37" t="s">
        <v>375</v>
      </c>
      <c r="E529" s="38">
        <v>5595.6</v>
      </c>
      <c r="F529" s="39" t="s">
        <v>237</v>
      </c>
      <c r="G529" s="38">
        <v>23315</v>
      </c>
      <c r="H529" s="39" t="s">
        <v>380</v>
      </c>
      <c r="I529" s="40">
        <v>45499</v>
      </c>
      <c r="J529" s="40">
        <v>45502</v>
      </c>
      <c r="K529" s="38">
        <v>242335</v>
      </c>
      <c r="L529" s="39" t="s">
        <v>380</v>
      </c>
      <c r="M529" s="38">
        <v>264024</v>
      </c>
      <c r="N529" s="39" t="s">
        <v>380</v>
      </c>
      <c r="O529" s="41">
        <v>14</v>
      </c>
      <c r="P529" s="38">
        <v>12.31</v>
      </c>
      <c r="Q529" s="38">
        <v>35998.389999999898</v>
      </c>
      <c r="R529" s="39" t="s">
        <v>237</v>
      </c>
    </row>
    <row r="530" spans="1:18" x14ac:dyDescent="0.3">
      <c r="A530" s="37" t="s">
        <v>378</v>
      </c>
      <c r="B530" s="37" t="s">
        <v>887</v>
      </c>
      <c r="C530" s="37" t="s">
        <v>372</v>
      </c>
      <c r="D530" s="37" t="s">
        <v>375</v>
      </c>
      <c r="E530" s="38">
        <v>0</v>
      </c>
      <c r="F530" s="39" t="s">
        <v>237</v>
      </c>
      <c r="G530" s="38">
        <v>600</v>
      </c>
      <c r="H530" s="39" t="s">
        <v>380</v>
      </c>
      <c r="I530" s="40">
        <v>45264</v>
      </c>
      <c r="J530" s="40">
        <v>44757</v>
      </c>
      <c r="K530" s="38">
        <v>0</v>
      </c>
      <c r="L530" s="39" t="s">
        <v>380</v>
      </c>
      <c r="M530" s="38">
        <v>0</v>
      </c>
      <c r="N530" s="39" t="s">
        <v>380</v>
      </c>
      <c r="O530" s="41">
        <v>0</v>
      </c>
      <c r="P530" s="38">
        <v>0</v>
      </c>
      <c r="Q530" s="38">
        <v>0</v>
      </c>
      <c r="R530" s="39" t="s">
        <v>237</v>
      </c>
    </row>
    <row r="531" spans="1:18" x14ac:dyDescent="0.3">
      <c r="A531" s="37" t="s">
        <v>378</v>
      </c>
      <c r="B531" s="37" t="s">
        <v>1173</v>
      </c>
      <c r="C531" s="37" t="s">
        <v>372</v>
      </c>
      <c r="D531" s="37" t="s">
        <v>375</v>
      </c>
      <c r="E531" s="38">
        <v>4892.1599999999899</v>
      </c>
      <c r="F531" s="39" t="s">
        <v>237</v>
      </c>
      <c r="G531" s="38">
        <v>10192</v>
      </c>
      <c r="H531" s="39" t="s">
        <v>380</v>
      </c>
      <c r="I531" s="40">
        <v>45471</v>
      </c>
      <c r="J531" s="40">
        <v>45517</v>
      </c>
      <c r="K531" s="38">
        <v>25480</v>
      </c>
      <c r="L531" s="39" t="s">
        <v>380</v>
      </c>
      <c r="M531" s="38">
        <v>35672</v>
      </c>
      <c r="N531" s="39" t="s">
        <v>380</v>
      </c>
      <c r="O531" s="41">
        <v>37</v>
      </c>
      <c r="P531" s="38">
        <v>2</v>
      </c>
      <c r="Q531" s="38">
        <v>12077.52</v>
      </c>
      <c r="R531" s="39" t="s">
        <v>237</v>
      </c>
    </row>
    <row r="532" spans="1:18" x14ac:dyDescent="0.3">
      <c r="A532" s="37" t="s">
        <v>378</v>
      </c>
      <c r="B532" s="37" t="s">
        <v>888</v>
      </c>
      <c r="C532" s="37" t="s">
        <v>372</v>
      </c>
      <c r="D532" s="37" t="s">
        <v>375</v>
      </c>
      <c r="E532" s="38">
        <v>87.5</v>
      </c>
      <c r="F532" s="39" t="s">
        <v>237</v>
      </c>
      <c r="G532" s="38">
        <v>8750</v>
      </c>
      <c r="H532" s="39" t="s">
        <v>380</v>
      </c>
      <c r="I532" s="40">
        <v>45274</v>
      </c>
      <c r="J532" s="40">
        <v>44503</v>
      </c>
      <c r="K532" s="38">
        <v>0</v>
      </c>
      <c r="L532" s="39" t="s">
        <v>380</v>
      </c>
      <c r="M532" s="38">
        <v>0</v>
      </c>
      <c r="N532" s="39" t="s">
        <v>380</v>
      </c>
      <c r="O532" s="41">
        <v>99999</v>
      </c>
      <c r="P532" s="38">
        <v>0</v>
      </c>
      <c r="Q532" s="38">
        <v>0</v>
      </c>
      <c r="R532" s="39" t="s">
        <v>237</v>
      </c>
    </row>
    <row r="533" spans="1:18" x14ac:dyDescent="0.3">
      <c r="A533" s="37" t="s">
        <v>378</v>
      </c>
      <c r="B533" s="37" t="s">
        <v>889</v>
      </c>
      <c r="C533" s="37" t="s">
        <v>372</v>
      </c>
      <c r="D533" s="37" t="s">
        <v>375</v>
      </c>
      <c r="E533" s="38">
        <v>0</v>
      </c>
      <c r="F533" s="39" t="s">
        <v>237</v>
      </c>
      <c r="G533" s="38">
        <v>0</v>
      </c>
      <c r="H533" s="39" t="s">
        <v>380</v>
      </c>
      <c r="I533" s="40">
        <v>44312</v>
      </c>
      <c r="J533" s="40">
        <v>44312</v>
      </c>
      <c r="K533" s="38">
        <v>0</v>
      </c>
      <c r="L533" s="39" t="s">
        <v>380</v>
      </c>
      <c r="M533" s="38">
        <v>0</v>
      </c>
      <c r="N533" s="39" t="s">
        <v>380</v>
      </c>
      <c r="O533" s="41">
        <v>0</v>
      </c>
      <c r="P533" s="38">
        <v>0</v>
      </c>
      <c r="Q533" s="38">
        <v>0</v>
      </c>
      <c r="R533" s="39" t="s">
        <v>237</v>
      </c>
    </row>
    <row r="534" spans="1:18" x14ac:dyDescent="0.3">
      <c r="A534" s="37" t="s">
        <v>378</v>
      </c>
      <c r="B534" s="37" t="s">
        <v>890</v>
      </c>
      <c r="C534" s="37" t="s">
        <v>372</v>
      </c>
      <c r="D534" s="37" t="s">
        <v>375</v>
      </c>
      <c r="E534" s="38">
        <v>10733.33</v>
      </c>
      <c r="F534" s="39" t="s">
        <v>237</v>
      </c>
      <c r="G534" s="38">
        <v>25200</v>
      </c>
      <c r="H534" s="39" t="s">
        <v>380</v>
      </c>
      <c r="I534" s="40">
        <v>45531</v>
      </c>
      <c r="J534" s="40">
        <v>45436</v>
      </c>
      <c r="K534" s="38">
        <v>0</v>
      </c>
      <c r="L534" s="39" t="s">
        <v>380</v>
      </c>
      <c r="M534" s="38">
        <v>25200</v>
      </c>
      <c r="N534" s="39" t="s">
        <v>380</v>
      </c>
      <c r="O534" s="41">
        <v>99999</v>
      </c>
      <c r="P534" s="38">
        <v>0</v>
      </c>
      <c r="Q534" s="38">
        <v>0</v>
      </c>
      <c r="R534" s="39" t="s">
        <v>237</v>
      </c>
    </row>
    <row r="535" spans="1:18" x14ac:dyDescent="0.3">
      <c r="A535" s="37" t="s">
        <v>378</v>
      </c>
      <c r="B535" s="37" t="s">
        <v>891</v>
      </c>
      <c r="C535" s="37" t="s">
        <v>372</v>
      </c>
      <c r="D535" s="37" t="s">
        <v>375</v>
      </c>
      <c r="E535" s="38">
        <v>28280</v>
      </c>
      <c r="F535" s="39" t="s">
        <v>237</v>
      </c>
      <c r="G535" s="38">
        <v>70700</v>
      </c>
      <c r="H535" s="39" t="s">
        <v>380</v>
      </c>
      <c r="I535" s="40"/>
      <c r="J535" s="40">
        <v>45533</v>
      </c>
      <c r="K535" s="38">
        <v>263200</v>
      </c>
      <c r="L535" s="39" t="s">
        <v>380</v>
      </c>
      <c r="M535" s="38">
        <v>85400</v>
      </c>
      <c r="N535" s="39" t="s">
        <v>380</v>
      </c>
      <c r="O535" s="41">
        <v>25</v>
      </c>
      <c r="P535" s="38">
        <v>1.57</v>
      </c>
      <c r="Q535" s="38">
        <v>104720</v>
      </c>
      <c r="R535" s="39" t="s">
        <v>237</v>
      </c>
    </row>
    <row r="536" spans="1:18" x14ac:dyDescent="0.3">
      <c r="A536" s="37" t="s">
        <v>378</v>
      </c>
      <c r="B536" s="37" t="s">
        <v>892</v>
      </c>
      <c r="C536" s="37" t="s">
        <v>372</v>
      </c>
      <c r="D536" s="37" t="s">
        <v>377</v>
      </c>
      <c r="E536" s="38">
        <v>253363.14</v>
      </c>
      <c r="F536" s="39" t="s">
        <v>237</v>
      </c>
      <c r="G536" s="38">
        <v>39007.891000000003</v>
      </c>
      <c r="H536" s="39" t="s">
        <v>374</v>
      </c>
      <c r="I536" s="40">
        <v>45519</v>
      </c>
      <c r="J536" s="40">
        <v>44966</v>
      </c>
      <c r="K536" s="38">
        <v>251668.861999999</v>
      </c>
      <c r="L536" s="39" t="s">
        <v>374</v>
      </c>
      <c r="M536" s="38">
        <v>213909</v>
      </c>
      <c r="N536" s="39" t="s">
        <v>374</v>
      </c>
      <c r="O536" s="41">
        <v>28</v>
      </c>
      <c r="P536" s="38">
        <v>2.08</v>
      </c>
      <c r="Q536" s="38">
        <v>822415.72999999905</v>
      </c>
      <c r="R536" s="39" t="s">
        <v>237</v>
      </c>
    </row>
    <row r="537" spans="1:18" x14ac:dyDescent="0.3">
      <c r="A537" s="37" t="s">
        <v>378</v>
      </c>
      <c r="B537" s="37" t="s">
        <v>893</v>
      </c>
      <c r="C537" s="37" t="s">
        <v>372</v>
      </c>
      <c r="D537" s="37" t="s">
        <v>375</v>
      </c>
      <c r="E537" s="38">
        <v>0</v>
      </c>
      <c r="F537" s="39" t="s">
        <v>237</v>
      </c>
      <c r="G537" s="38">
        <v>0</v>
      </c>
      <c r="H537" s="39" t="s">
        <v>380</v>
      </c>
      <c r="I537" s="40">
        <v>44644</v>
      </c>
      <c r="J537" s="40">
        <v>44650</v>
      </c>
      <c r="K537" s="38">
        <v>0</v>
      </c>
      <c r="L537" s="39" t="s">
        <v>380</v>
      </c>
      <c r="M537" s="38">
        <v>0</v>
      </c>
      <c r="N537" s="39" t="s">
        <v>380</v>
      </c>
      <c r="O537" s="41">
        <v>0</v>
      </c>
      <c r="P537" s="38">
        <v>0</v>
      </c>
      <c r="Q537" s="38">
        <v>0</v>
      </c>
      <c r="R537" s="39" t="s">
        <v>237</v>
      </c>
    </row>
    <row r="538" spans="1:18" x14ac:dyDescent="0.3">
      <c r="A538" s="37" t="s">
        <v>378</v>
      </c>
      <c r="B538" s="37" t="s">
        <v>894</v>
      </c>
      <c r="C538" s="37" t="s">
        <v>372</v>
      </c>
      <c r="D538" s="37" t="s">
        <v>377</v>
      </c>
      <c r="E538" s="38">
        <v>0</v>
      </c>
      <c r="F538" s="39" t="s">
        <v>237</v>
      </c>
      <c r="G538" s="38">
        <v>0</v>
      </c>
      <c r="H538" s="39" t="s">
        <v>374</v>
      </c>
      <c r="I538" s="40">
        <v>44197</v>
      </c>
      <c r="J538" s="40">
        <v>44755</v>
      </c>
      <c r="K538" s="38">
        <v>0</v>
      </c>
      <c r="L538" s="39" t="s">
        <v>374</v>
      </c>
      <c r="M538" s="38">
        <v>0</v>
      </c>
      <c r="N538" s="39" t="s">
        <v>374</v>
      </c>
      <c r="O538" s="41">
        <v>0</v>
      </c>
      <c r="P538" s="38">
        <v>0</v>
      </c>
      <c r="Q538" s="38">
        <v>0</v>
      </c>
      <c r="R538" s="39" t="s">
        <v>237</v>
      </c>
    </row>
    <row r="539" spans="1:18" x14ac:dyDescent="0.3">
      <c r="A539" s="37" t="s">
        <v>378</v>
      </c>
      <c r="B539" s="37" t="s">
        <v>895</v>
      </c>
      <c r="C539" s="37" t="s">
        <v>372</v>
      </c>
      <c r="D539" s="37" t="s">
        <v>375</v>
      </c>
      <c r="E539" s="38">
        <v>9597.2800000000007</v>
      </c>
      <c r="F539" s="39" t="s">
        <v>237</v>
      </c>
      <c r="G539" s="38">
        <v>50512</v>
      </c>
      <c r="H539" s="39" t="s">
        <v>380</v>
      </c>
      <c r="I539" s="40">
        <v>45491</v>
      </c>
      <c r="J539" s="40">
        <v>45532</v>
      </c>
      <c r="K539" s="38">
        <v>283976</v>
      </c>
      <c r="L539" s="39" t="s">
        <v>380</v>
      </c>
      <c r="M539" s="38">
        <v>123200</v>
      </c>
      <c r="N539" s="39" t="s">
        <v>380</v>
      </c>
      <c r="O539" s="41">
        <v>16</v>
      </c>
      <c r="P539" s="38">
        <v>1.76</v>
      </c>
      <c r="Q539" s="38">
        <v>53955.44</v>
      </c>
      <c r="R539" s="39" t="s">
        <v>237</v>
      </c>
    </row>
    <row r="540" spans="1:18" x14ac:dyDescent="0.3">
      <c r="A540" s="37" t="s">
        <v>378</v>
      </c>
      <c r="B540" s="37" t="s">
        <v>896</v>
      </c>
      <c r="C540" s="37" t="s">
        <v>372</v>
      </c>
      <c r="D540" s="37" t="s">
        <v>377</v>
      </c>
      <c r="E540" s="38">
        <v>0</v>
      </c>
      <c r="F540" s="39" t="s">
        <v>237</v>
      </c>
      <c r="G540" s="38">
        <v>0</v>
      </c>
      <c r="H540" s="39" t="s">
        <v>374</v>
      </c>
      <c r="I540" s="40">
        <v>44197</v>
      </c>
      <c r="J540" s="40">
        <v>44755</v>
      </c>
      <c r="K540" s="38">
        <v>0</v>
      </c>
      <c r="L540" s="39" t="s">
        <v>374</v>
      </c>
      <c r="M540" s="38">
        <v>0</v>
      </c>
      <c r="N540" s="39" t="s">
        <v>374</v>
      </c>
      <c r="O540" s="41">
        <v>0</v>
      </c>
      <c r="P540" s="38">
        <v>0</v>
      </c>
      <c r="Q540" s="38">
        <v>0</v>
      </c>
      <c r="R540" s="39" t="s">
        <v>237</v>
      </c>
    </row>
    <row r="541" spans="1:18" x14ac:dyDescent="0.3">
      <c r="A541" s="37" t="s">
        <v>378</v>
      </c>
      <c r="B541" s="37" t="s">
        <v>897</v>
      </c>
      <c r="C541" s="37" t="s">
        <v>372</v>
      </c>
      <c r="D541" s="37" t="s">
        <v>375</v>
      </c>
      <c r="E541" s="38">
        <v>0</v>
      </c>
      <c r="F541" s="39" t="s">
        <v>237</v>
      </c>
      <c r="G541" s="38">
        <v>0</v>
      </c>
      <c r="H541" s="39" t="s">
        <v>380</v>
      </c>
      <c r="I541" s="40">
        <v>44365</v>
      </c>
      <c r="J541" s="40"/>
      <c r="K541" s="38">
        <v>0</v>
      </c>
      <c r="L541" s="39" t="s">
        <v>380</v>
      </c>
      <c r="M541" s="38">
        <v>0</v>
      </c>
      <c r="N541" s="39" t="s">
        <v>380</v>
      </c>
      <c r="O541" s="41">
        <v>0</v>
      </c>
      <c r="P541" s="38">
        <v>0</v>
      </c>
      <c r="Q541" s="38">
        <v>0</v>
      </c>
      <c r="R541" s="39" t="s">
        <v>237</v>
      </c>
    </row>
    <row r="542" spans="1:18" x14ac:dyDescent="0.3">
      <c r="A542" s="37" t="s">
        <v>378</v>
      </c>
      <c r="B542" s="37" t="s">
        <v>898</v>
      </c>
      <c r="C542" s="37" t="s">
        <v>372</v>
      </c>
      <c r="D542" s="37" t="s">
        <v>375</v>
      </c>
      <c r="E542" s="38">
        <v>0</v>
      </c>
      <c r="F542" s="39" t="s">
        <v>237</v>
      </c>
      <c r="G542" s="38">
        <v>0</v>
      </c>
      <c r="H542" s="39" t="s">
        <v>380</v>
      </c>
      <c r="I542" s="40">
        <v>44741</v>
      </c>
      <c r="J542" s="40">
        <v>44741</v>
      </c>
      <c r="K542" s="38">
        <v>0</v>
      </c>
      <c r="L542" s="39" t="s">
        <v>380</v>
      </c>
      <c r="M542" s="38">
        <v>0</v>
      </c>
      <c r="N542" s="39" t="s">
        <v>380</v>
      </c>
      <c r="O542" s="41">
        <v>0</v>
      </c>
      <c r="P542" s="38">
        <v>0</v>
      </c>
      <c r="Q542" s="38">
        <v>0</v>
      </c>
      <c r="R542" s="39" t="s">
        <v>237</v>
      </c>
    </row>
    <row r="543" spans="1:18" x14ac:dyDescent="0.3">
      <c r="A543" s="37" t="s">
        <v>378</v>
      </c>
      <c r="B543" s="37" t="s">
        <v>899</v>
      </c>
      <c r="C543" s="37" t="s">
        <v>372</v>
      </c>
      <c r="D543" s="37" t="s">
        <v>375</v>
      </c>
      <c r="E543" s="38">
        <v>0</v>
      </c>
      <c r="F543" s="39" t="s">
        <v>237</v>
      </c>
      <c r="G543" s="38">
        <v>0</v>
      </c>
      <c r="H543" s="39" t="s">
        <v>380</v>
      </c>
      <c r="I543" s="40">
        <v>44615</v>
      </c>
      <c r="J543" s="40">
        <v>44915</v>
      </c>
      <c r="K543" s="38">
        <v>0</v>
      </c>
      <c r="L543" s="39" t="s">
        <v>380</v>
      </c>
      <c r="M543" s="38">
        <v>0</v>
      </c>
      <c r="N543" s="39" t="s">
        <v>380</v>
      </c>
      <c r="O543" s="41">
        <v>0</v>
      </c>
      <c r="P543" s="38">
        <v>0</v>
      </c>
      <c r="Q543" s="38">
        <v>0</v>
      </c>
      <c r="R543" s="39" t="s">
        <v>237</v>
      </c>
    </row>
    <row r="544" spans="1:18" x14ac:dyDescent="0.3">
      <c r="A544" s="37" t="s">
        <v>378</v>
      </c>
      <c r="B544" s="37" t="s">
        <v>900</v>
      </c>
      <c r="C544" s="37" t="s">
        <v>372</v>
      </c>
      <c r="D544" s="37" t="s">
        <v>375</v>
      </c>
      <c r="E544" s="38">
        <v>0</v>
      </c>
      <c r="F544" s="39" t="s">
        <v>237</v>
      </c>
      <c r="G544" s="38">
        <v>0</v>
      </c>
      <c r="H544" s="39" t="s">
        <v>380</v>
      </c>
      <c r="I544" s="40">
        <v>44827</v>
      </c>
      <c r="J544" s="40">
        <v>44824</v>
      </c>
      <c r="K544" s="38">
        <v>0</v>
      </c>
      <c r="L544" s="39" t="s">
        <v>380</v>
      </c>
      <c r="M544" s="38">
        <v>0</v>
      </c>
      <c r="N544" s="39" t="s">
        <v>380</v>
      </c>
      <c r="O544" s="41">
        <v>0</v>
      </c>
      <c r="P544" s="38">
        <v>0</v>
      </c>
      <c r="Q544" s="38">
        <v>0</v>
      </c>
      <c r="R544" s="39" t="s">
        <v>237</v>
      </c>
    </row>
    <row r="545" spans="1:18" x14ac:dyDescent="0.3">
      <c r="A545" s="37" t="s">
        <v>378</v>
      </c>
      <c r="B545" s="37" t="s">
        <v>901</v>
      </c>
      <c r="C545" s="37" t="s">
        <v>372</v>
      </c>
      <c r="D545" s="37" t="s">
        <v>375</v>
      </c>
      <c r="E545" s="38">
        <v>0</v>
      </c>
      <c r="F545" s="39" t="s">
        <v>237</v>
      </c>
      <c r="G545" s="38">
        <v>0</v>
      </c>
      <c r="H545" s="39" t="s">
        <v>380</v>
      </c>
      <c r="I545" s="40">
        <v>44720</v>
      </c>
      <c r="J545" s="40">
        <v>44824</v>
      </c>
      <c r="K545" s="38">
        <v>0</v>
      </c>
      <c r="L545" s="39" t="s">
        <v>380</v>
      </c>
      <c r="M545" s="38">
        <v>0</v>
      </c>
      <c r="N545" s="39" t="s">
        <v>380</v>
      </c>
      <c r="O545" s="41">
        <v>0</v>
      </c>
      <c r="P545" s="38">
        <v>0</v>
      </c>
      <c r="Q545" s="38">
        <v>0</v>
      </c>
      <c r="R545" s="39" t="s">
        <v>237</v>
      </c>
    </row>
    <row r="546" spans="1:18" x14ac:dyDescent="0.3">
      <c r="A546" s="37" t="s">
        <v>378</v>
      </c>
      <c r="B546" s="37" t="s">
        <v>902</v>
      </c>
      <c r="C546" s="37" t="s">
        <v>372</v>
      </c>
      <c r="D546" s="37" t="s">
        <v>375</v>
      </c>
      <c r="E546" s="38">
        <v>877.74</v>
      </c>
      <c r="F546" s="39" t="s">
        <v>237</v>
      </c>
      <c r="G546" s="38">
        <v>8500</v>
      </c>
      <c r="H546" s="39" t="s">
        <v>380</v>
      </c>
      <c r="I546" s="40">
        <v>45381</v>
      </c>
      <c r="J546" s="40">
        <v>45519</v>
      </c>
      <c r="K546" s="38">
        <v>14000</v>
      </c>
      <c r="L546" s="39" t="s">
        <v>380</v>
      </c>
      <c r="M546" s="38">
        <v>0</v>
      </c>
      <c r="N546" s="39" t="s">
        <v>380</v>
      </c>
      <c r="O546" s="41">
        <v>56</v>
      </c>
      <c r="P546" s="38">
        <v>0.84</v>
      </c>
      <c r="Q546" s="38">
        <v>1445.68</v>
      </c>
      <c r="R546" s="39" t="s">
        <v>237</v>
      </c>
    </row>
    <row r="547" spans="1:18" x14ac:dyDescent="0.3">
      <c r="A547" s="37" t="s">
        <v>378</v>
      </c>
      <c r="B547" s="37" t="s">
        <v>903</v>
      </c>
      <c r="C547" s="37" t="s">
        <v>372</v>
      </c>
      <c r="D547" s="37" t="s">
        <v>377</v>
      </c>
      <c r="E547" s="38">
        <v>1261.74</v>
      </c>
      <c r="F547" s="39" t="s">
        <v>237</v>
      </c>
      <c r="G547" s="38">
        <v>30.774000000000001</v>
      </c>
      <c r="H547" s="39" t="s">
        <v>374</v>
      </c>
      <c r="I547" s="40">
        <v>45513</v>
      </c>
      <c r="J547" s="40">
        <v>45513</v>
      </c>
      <c r="K547" s="38">
        <v>10.827</v>
      </c>
      <c r="L547" s="39" t="s">
        <v>374</v>
      </c>
      <c r="M547" s="38">
        <v>10.827</v>
      </c>
      <c r="N547" s="39" t="s">
        <v>374</v>
      </c>
      <c r="O547" s="41">
        <v>99999</v>
      </c>
      <c r="P547" s="38">
        <v>0</v>
      </c>
      <c r="Q547" s="38">
        <v>0</v>
      </c>
      <c r="R547" s="39" t="s">
        <v>237</v>
      </c>
    </row>
    <row r="548" spans="1:18" x14ac:dyDescent="0.3">
      <c r="A548" s="37" t="s">
        <v>378</v>
      </c>
      <c r="B548" s="37" t="s">
        <v>904</v>
      </c>
      <c r="C548" s="37" t="s">
        <v>372</v>
      </c>
      <c r="D548" s="37" t="s">
        <v>375</v>
      </c>
      <c r="E548" s="38">
        <v>0</v>
      </c>
      <c r="F548" s="39" t="s">
        <v>237</v>
      </c>
      <c r="G548" s="38">
        <v>0</v>
      </c>
      <c r="H548" s="39" t="s">
        <v>380</v>
      </c>
      <c r="I548" s="40">
        <v>44223</v>
      </c>
      <c r="J548" s="40">
        <v>44228</v>
      </c>
      <c r="K548" s="38">
        <v>0</v>
      </c>
      <c r="L548" s="39" t="s">
        <v>380</v>
      </c>
      <c r="M548" s="38">
        <v>0</v>
      </c>
      <c r="N548" s="39" t="s">
        <v>380</v>
      </c>
      <c r="O548" s="41">
        <v>0</v>
      </c>
      <c r="P548" s="38">
        <v>0</v>
      </c>
      <c r="Q548" s="38">
        <v>0</v>
      </c>
      <c r="R548" s="39" t="s">
        <v>237</v>
      </c>
    </row>
    <row r="549" spans="1:18" x14ac:dyDescent="0.3">
      <c r="A549" s="37" t="s">
        <v>378</v>
      </c>
      <c r="B549" s="37" t="s">
        <v>905</v>
      </c>
      <c r="C549" s="37" t="s">
        <v>372</v>
      </c>
      <c r="D549" s="37" t="s">
        <v>375</v>
      </c>
      <c r="E549" s="38">
        <v>0</v>
      </c>
      <c r="F549" s="39" t="s">
        <v>237</v>
      </c>
      <c r="G549" s="38">
        <v>0</v>
      </c>
      <c r="H549" s="39" t="s">
        <v>380</v>
      </c>
      <c r="I549" s="40">
        <v>44469</v>
      </c>
      <c r="J549" s="40">
        <v>44469</v>
      </c>
      <c r="K549" s="38">
        <v>0</v>
      </c>
      <c r="L549" s="39" t="s">
        <v>380</v>
      </c>
      <c r="M549" s="38">
        <v>0</v>
      </c>
      <c r="N549" s="39" t="s">
        <v>380</v>
      </c>
      <c r="O549" s="41">
        <v>0</v>
      </c>
      <c r="P549" s="38">
        <v>0</v>
      </c>
      <c r="Q549" s="38">
        <v>0</v>
      </c>
      <c r="R549" s="39" t="s">
        <v>237</v>
      </c>
    </row>
    <row r="550" spans="1:18" x14ac:dyDescent="0.3">
      <c r="A550" s="37" t="s">
        <v>378</v>
      </c>
      <c r="B550" s="37" t="s">
        <v>906</v>
      </c>
      <c r="C550" s="37" t="s">
        <v>372</v>
      </c>
      <c r="D550" s="37" t="s">
        <v>375</v>
      </c>
      <c r="E550" s="38">
        <v>0</v>
      </c>
      <c r="F550" s="39" t="s">
        <v>237</v>
      </c>
      <c r="G550" s="38">
        <v>0</v>
      </c>
      <c r="H550" s="39" t="s">
        <v>380</v>
      </c>
      <c r="I550" s="40">
        <v>45453</v>
      </c>
      <c r="J550" s="40">
        <v>45456</v>
      </c>
      <c r="K550" s="38">
        <v>8400</v>
      </c>
      <c r="L550" s="39" t="s">
        <v>380</v>
      </c>
      <c r="M550" s="38">
        <v>8400</v>
      </c>
      <c r="N550" s="39" t="s">
        <v>380</v>
      </c>
      <c r="O550" s="41">
        <v>0</v>
      </c>
      <c r="P550" s="38">
        <v>99999</v>
      </c>
      <c r="Q550" s="38">
        <v>653.63999999999896</v>
      </c>
      <c r="R550" s="39" t="s">
        <v>237</v>
      </c>
    </row>
    <row r="551" spans="1:18" x14ac:dyDescent="0.3">
      <c r="A551" s="37" t="s">
        <v>378</v>
      </c>
      <c r="B551" s="37" t="s">
        <v>907</v>
      </c>
      <c r="C551" s="37" t="s">
        <v>372</v>
      </c>
      <c r="D551" s="37" t="s">
        <v>375</v>
      </c>
      <c r="E551" s="38">
        <v>0</v>
      </c>
      <c r="F551" s="39" t="s">
        <v>237</v>
      </c>
      <c r="G551" s="38">
        <v>0</v>
      </c>
      <c r="H551" s="39" t="s">
        <v>380</v>
      </c>
      <c r="I551" s="40">
        <v>44197</v>
      </c>
      <c r="J551" s="40">
        <v>44755</v>
      </c>
      <c r="K551" s="38">
        <v>0</v>
      </c>
      <c r="L551" s="39" t="s">
        <v>380</v>
      </c>
      <c r="M551" s="38">
        <v>0</v>
      </c>
      <c r="N551" s="39" t="s">
        <v>380</v>
      </c>
      <c r="O551" s="41">
        <v>0</v>
      </c>
      <c r="P551" s="38">
        <v>0</v>
      </c>
      <c r="Q551" s="38">
        <v>0</v>
      </c>
      <c r="R551" s="39" t="s">
        <v>237</v>
      </c>
    </row>
    <row r="552" spans="1:18" x14ac:dyDescent="0.3">
      <c r="A552" s="37" t="s">
        <v>378</v>
      </c>
      <c r="B552" s="37" t="s">
        <v>908</v>
      </c>
      <c r="C552" s="37" t="s">
        <v>372</v>
      </c>
      <c r="D552" s="37" t="s">
        <v>375</v>
      </c>
      <c r="E552" s="38">
        <v>0</v>
      </c>
      <c r="F552" s="39" t="s">
        <v>237</v>
      </c>
      <c r="G552" s="38">
        <v>0</v>
      </c>
      <c r="H552" s="39" t="s">
        <v>380</v>
      </c>
      <c r="I552" s="40">
        <v>44197</v>
      </c>
      <c r="J552" s="40">
        <v>44755</v>
      </c>
      <c r="K552" s="38">
        <v>0</v>
      </c>
      <c r="L552" s="39" t="s">
        <v>380</v>
      </c>
      <c r="M552" s="38">
        <v>0</v>
      </c>
      <c r="N552" s="39" t="s">
        <v>380</v>
      </c>
      <c r="O552" s="41">
        <v>0</v>
      </c>
      <c r="P552" s="38">
        <v>0</v>
      </c>
      <c r="Q552" s="38">
        <v>0</v>
      </c>
      <c r="R552" s="39" t="s">
        <v>237</v>
      </c>
    </row>
    <row r="553" spans="1:18" x14ac:dyDescent="0.3">
      <c r="A553" s="37" t="s">
        <v>378</v>
      </c>
      <c r="B553" s="37" t="s">
        <v>909</v>
      </c>
      <c r="C553" s="37" t="s">
        <v>372</v>
      </c>
      <c r="D553" s="37" t="s">
        <v>375</v>
      </c>
      <c r="E553" s="38">
        <v>0</v>
      </c>
      <c r="F553" s="39" t="s">
        <v>237</v>
      </c>
      <c r="G553" s="38">
        <v>0</v>
      </c>
      <c r="H553" s="39" t="s">
        <v>380</v>
      </c>
      <c r="I553" s="40">
        <v>44197</v>
      </c>
      <c r="J553" s="40">
        <v>44755</v>
      </c>
      <c r="K553" s="38">
        <v>0</v>
      </c>
      <c r="L553" s="39" t="s">
        <v>380</v>
      </c>
      <c r="M553" s="38">
        <v>0</v>
      </c>
      <c r="N553" s="39" t="s">
        <v>380</v>
      </c>
      <c r="O553" s="41">
        <v>0</v>
      </c>
      <c r="P553" s="38">
        <v>0</v>
      </c>
      <c r="Q553" s="38">
        <v>0</v>
      </c>
      <c r="R553" s="39" t="s">
        <v>237</v>
      </c>
    </row>
    <row r="554" spans="1:18" x14ac:dyDescent="0.3">
      <c r="A554" s="37" t="s">
        <v>378</v>
      </c>
      <c r="B554" s="37" t="s">
        <v>910</v>
      </c>
      <c r="C554" s="37" t="s">
        <v>372</v>
      </c>
      <c r="D554" s="37" t="s">
        <v>375</v>
      </c>
      <c r="E554" s="38">
        <v>0</v>
      </c>
      <c r="F554" s="39" t="s">
        <v>237</v>
      </c>
      <c r="G554" s="38">
        <v>0</v>
      </c>
      <c r="H554" s="39" t="s">
        <v>380</v>
      </c>
      <c r="I554" s="40">
        <v>44197</v>
      </c>
      <c r="J554" s="40">
        <v>44755</v>
      </c>
      <c r="K554" s="38">
        <v>0</v>
      </c>
      <c r="L554" s="39" t="s">
        <v>380</v>
      </c>
      <c r="M554" s="38">
        <v>0</v>
      </c>
      <c r="N554" s="39" t="s">
        <v>380</v>
      </c>
      <c r="O554" s="41">
        <v>0</v>
      </c>
      <c r="P554" s="38">
        <v>0</v>
      </c>
      <c r="Q554" s="38">
        <v>0</v>
      </c>
      <c r="R554" s="39" t="s">
        <v>237</v>
      </c>
    </row>
    <row r="555" spans="1:18" x14ac:dyDescent="0.3">
      <c r="A555" s="37" t="s">
        <v>378</v>
      </c>
      <c r="B555" s="37" t="s">
        <v>911</v>
      </c>
      <c r="C555" s="37" t="s">
        <v>372</v>
      </c>
      <c r="D555" s="37" t="s">
        <v>375</v>
      </c>
      <c r="E555" s="38">
        <v>0</v>
      </c>
      <c r="F555" s="39" t="s">
        <v>237</v>
      </c>
      <c r="G555" s="38">
        <v>0</v>
      </c>
      <c r="H555" s="39" t="s">
        <v>380</v>
      </c>
      <c r="I555" s="40">
        <v>44524</v>
      </c>
      <c r="J555" s="40">
        <v>44915</v>
      </c>
      <c r="K555" s="38">
        <v>0</v>
      </c>
      <c r="L555" s="39" t="s">
        <v>380</v>
      </c>
      <c r="M555" s="38">
        <v>0</v>
      </c>
      <c r="N555" s="39" t="s">
        <v>380</v>
      </c>
      <c r="O555" s="41">
        <v>0</v>
      </c>
      <c r="P555" s="38">
        <v>0</v>
      </c>
      <c r="Q555" s="38">
        <v>0</v>
      </c>
      <c r="R555" s="39" t="s">
        <v>237</v>
      </c>
    </row>
    <row r="556" spans="1:18" x14ac:dyDescent="0.3">
      <c r="A556" s="37" t="s">
        <v>378</v>
      </c>
      <c r="B556" s="37" t="s">
        <v>912</v>
      </c>
      <c r="C556" s="37" t="s">
        <v>372</v>
      </c>
      <c r="D556" s="37" t="s">
        <v>375</v>
      </c>
      <c r="E556" s="38">
        <v>0</v>
      </c>
      <c r="F556" s="39" t="s">
        <v>237</v>
      </c>
      <c r="G556" s="38">
        <v>0</v>
      </c>
      <c r="H556" s="39" t="s">
        <v>380</v>
      </c>
      <c r="I556" s="40">
        <v>44921</v>
      </c>
      <c r="J556" s="40">
        <v>44922</v>
      </c>
      <c r="K556" s="38">
        <v>0</v>
      </c>
      <c r="L556" s="39" t="s">
        <v>380</v>
      </c>
      <c r="M556" s="38">
        <v>0</v>
      </c>
      <c r="N556" s="39" t="s">
        <v>380</v>
      </c>
      <c r="O556" s="41">
        <v>0</v>
      </c>
      <c r="P556" s="38">
        <v>0</v>
      </c>
      <c r="Q556" s="38">
        <v>0</v>
      </c>
      <c r="R556" s="39" t="s">
        <v>237</v>
      </c>
    </row>
    <row r="557" spans="1:18" x14ac:dyDescent="0.3">
      <c r="A557" s="37" t="s">
        <v>378</v>
      </c>
      <c r="B557" s="37" t="s">
        <v>913</v>
      </c>
      <c r="C557" s="37" t="s">
        <v>372</v>
      </c>
      <c r="D557" s="37" t="s">
        <v>375</v>
      </c>
      <c r="E557" s="38">
        <v>0</v>
      </c>
      <c r="F557" s="39" t="s">
        <v>237</v>
      </c>
      <c r="G557" s="38">
        <v>0</v>
      </c>
      <c r="H557" s="39" t="s">
        <v>380</v>
      </c>
      <c r="I557" s="40">
        <v>44741</v>
      </c>
      <c r="J557" s="40">
        <v>44741</v>
      </c>
      <c r="K557" s="38">
        <v>0</v>
      </c>
      <c r="L557" s="39" t="s">
        <v>380</v>
      </c>
      <c r="M557" s="38">
        <v>0</v>
      </c>
      <c r="N557" s="39" t="s">
        <v>380</v>
      </c>
      <c r="O557" s="41">
        <v>0</v>
      </c>
      <c r="P557" s="38">
        <v>0</v>
      </c>
      <c r="Q557" s="38">
        <v>0</v>
      </c>
      <c r="R557" s="39" t="s">
        <v>237</v>
      </c>
    </row>
    <row r="558" spans="1:18" x14ac:dyDescent="0.3">
      <c r="A558" s="37" t="s">
        <v>378</v>
      </c>
      <c r="B558" s="37" t="s">
        <v>914</v>
      </c>
      <c r="C558" s="37" t="s">
        <v>372</v>
      </c>
      <c r="D558" s="37" t="s">
        <v>375</v>
      </c>
      <c r="E558" s="38">
        <v>0</v>
      </c>
      <c r="F558" s="39" t="s">
        <v>237</v>
      </c>
      <c r="G558" s="38">
        <v>0</v>
      </c>
      <c r="H558" s="39" t="s">
        <v>380</v>
      </c>
      <c r="I558" s="40">
        <v>44921</v>
      </c>
      <c r="J558" s="40">
        <v>44922</v>
      </c>
      <c r="K558" s="38">
        <v>0</v>
      </c>
      <c r="L558" s="39" t="s">
        <v>380</v>
      </c>
      <c r="M558" s="38">
        <v>0</v>
      </c>
      <c r="N558" s="39" t="s">
        <v>380</v>
      </c>
      <c r="O558" s="41">
        <v>0</v>
      </c>
      <c r="P558" s="38">
        <v>0</v>
      </c>
      <c r="Q558" s="38">
        <v>0</v>
      </c>
      <c r="R558" s="39" t="s">
        <v>237</v>
      </c>
    </row>
    <row r="559" spans="1:18" x14ac:dyDescent="0.3">
      <c r="A559" s="37" t="s">
        <v>378</v>
      </c>
      <c r="B559" s="37" t="s">
        <v>915</v>
      </c>
      <c r="C559" s="37" t="s">
        <v>372</v>
      </c>
      <c r="D559" s="37" t="s">
        <v>375</v>
      </c>
      <c r="E559" s="38">
        <v>0</v>
      </c>
      <c r="F559" s="39" t="s">
        <v>237</v>
      </c>
      <c r="G559" s="38">
        <v>0</v>
      </c>
      <c r="H559" s="39" t="s">
        <v>380</v>
      </c>
      <c r="I559" s="40">
        <v>44558</v>
      </c>
      <c r="J559" s="40">
        <v>44915</v>
      </c>
      <c r="K559" s="38">
        <v>0</v>
      </c>
      <c r="L559" s="39" t="s">
        <v>380</v>
      </c>
      <c r="M559" s="38">
        <v>0</v>
      </c>
      <c r="N559" s="39" t="s">
        <v>380</v>
      </c>
      <c r="O559" s="41">
        <v>0</v>
      </c>
      <c r="P559" s="38">
        <v>0</v>
      </c>
      <c r="Q559" s="38">
        <v>0</v>
      </c>
      <c r="R559" s="39" t="s">
        <v>237</v>
      </c>
    </row>
    <row r="560" spans="1:18" x14ac:dyDescent="0.3">
      <c r="A560" s="37" t="s">
        <v>378</v>
      </c>
      <c r="B560" s="37" t="s">
        <v>916</v>
      </c>
      <c r="C560" s="37" t="s">
        <v>372</v>
      </c>
      <c r="D560" s="37" t="s">
        <v>375</v>
      </c>
      <c r="E560" s="38">
        <v>979.23</v>
      </c>
      <c r="F560" s="39" t="s">
        <v>237</v>
      </c>
      <c r="G560" s="38">
        <v>4663</v>
      </c>
      <c r="H560" s="39" t="s">
        <v>380</v>
      </c>
      <c r="I560" s="40">
        <v>45377</v>
      </c>
      <c r="J560" s="40">
        <v>45484</v>
      </c>
      <c r="K560" s="38">
        <v>2200</v>
      </c>
      <c r="L560" s="39" t="s">
        <v>380</v>
      </c>
      <c r="M560" s="38">
        <v>0</v>
      </c>
      <c r="N560" s="39" t="s">
        <v>380</v>
      </c>
      <c r="O560" s="41">
        <v>195</v>
      </c>
      <c r="P560" s="38">
        <v>0.38</v>
      </c>
      <c r="Q560" s="38">
        <v>462</v>
      </c>
      <c r="R560" s="39" t="s">
        <v>237</v>
      </c>
    </row>
    <row r="561" spans="1:18" x14ac:dyDescent="0.3">
      <c r="A561" s="37" t="s">
        <v>378</v>
      </c>
      <c r="B561" s="37" t="s">
        <v>917</v>
      </c>
      <c r="C561" s="37" t="s">
        <v>372</v>
      </c>
      <c r="D561" s="37" t="s">
        <v>375</v>
      </c>
      <c r="E561" s="38">
        <v>4320</v>
      </c>
      <c r="F561" s="39" t="s">
        <v>237</v>
      </c>
      <c r="G561" s="38">
        <v>21600</v>
      </c>
      <c r="H561" s="39" t="s">
        <v>380</v>
      </c>
      <c r="I561" s="40">
        <v>45530</v>
      </c>
      <c r="J561" s="40">
        <v>45530</v>
      </c>
      <c r="K561" s="38">
        <v>27000</v>
      </c>
      <c r="L561" s="39" t="s">
        <v>380</v>
      </c>
      <c r="M561" s="38">
        <v>48600</v>
      </c>
      <c r="N561" s="39" t="s">
        <v>380</v>
      </c>
      <c r="O561" s="41">
        <v>74</v>
      </c>
      <c r="P561" s="38">
        <v>5</v>
      </c>
      <c r="Q561" s="38">
        <v>5400</v>
      </c>
      <c r="R561" s="39" t="s">
        <v>237</v>
      </c>
    </row>
    <row r="562" spans="1:18" x14ac:dyDescent="0.3">
      <c r="A562" s="37" t="s">
        <v>378</v>
      </c>
      <c r="B562" s="37" t="s">
        <v>918</v>
      </c>
      <c r="C562" s="37" t="s">
        <v>372</v>
      </c>
      <c r="D562" s="37" t="s">
        <v>375</v>
      </c>
      <c r="E562" s="38">
        <v>1108.8</v>
      </c>
      <c r="F562" s="39" t="s">
        <v>237</v>
      </c>
      <c r="G562" s="38">
        <v>3360</v>
      </c>
      <c r="H562" s="39" t="s">
        <v>380</v>
      </c>
      <c r="I562" s="40">
        <v>45154</v>
      </c>
      <c r="J562" s="40">
        <v>45415</v>
      </c>
      <c r="K562" s="38">
        <v>0</v>
      </c>
      <c r="L562" s="39" t="s">
        <v>380</v>
      </c>
      <c r="M562" s="38">
        <v>0</v>
      </c>
      <c r="N562" s="39" t="s">
        <v>380</v>
      </c>
      <c r="O562" s="41">
        <v>99999</v>
      </c>
      <c r="P562" s="38">
        <v>0</v>
      </c>
      <c r="Q562" s="38">
        <v>0</v>
      </c>
      <c r="R562" s="39" t="s">
        <v>237</v>
      </c>
    </row>
    <row r="563" spans="1:18" x14ac:dyDescent="0.3">
      <c r="A563" s="37" t="s">
        <v>378</v>
      </c>
      <c r="B563" s="37" t="s">
        <v>919</v>
      </c>
      <c r="C563" s="37" t="s">
        <v>372</v>
      </c>
      <c r="D563" s="37" t="s">
        <v>377</v>
      </c>
      <c r="E563" s="38">
        <v>3653.98</v>
      </c>
      <c r="F563" s="39" t="s">
        <v>237</v>
      </c>
      <c r="G563" s="38">
        <v>57.816000000000003</v>
      </c>
      <c r="H563" s="39" t="s">
        <v>374</v>
      </c>
      <c r="I563" s="40">
        <v>44894</v>
      </c>
      <c r="J563" s="40">
        <v>45264</v>
      </c>
      <c r="K563" s="38">
        <v>0</v>
      </c>
      <c r="L563" s="39" t="s">
        <v>374</v>
      </c>
      <c r="M563" s="38">
        <v>0</v>
      </c>
      <c r="N563" s="39" t="s">
        <v>374</v>
      </c>
      <c r="O563" s="41">
        <v>99999</v>
      </c>
      <c r="P563" s="38">
        <v>0</v>
      </c>
      <c r="Q563" s="38">
        <v>0</v>
      </c>
      <c r="R563" s="39" t="s">
        <v>237</v>
      </c>
    </row>
    <row r="564" spans="1:18" x14ac:dyDescent="0.3">
      <c r="A564" s="37" t="s">
        <v>378</v>
      </c>
      <c r="B564" s="37" t="s">
        <v>920</v>
      </c>
      <c r="C564" s="37" t="s">
        <v>372</v>
      </c>
      <c r="D564" s="37" t="s">
        <v>375</v>
      </c>
      <c r="E564" s="38">
        <v>0</v>
      </c>
      <c r="F564" s="39" t="s">
        <v>237</v>
      </c>
      <c r="G564" s="38">
        <v>0</v>
      </c>
      <c r="H564" s="39" t="s">
        <v>380</v>
      </c>
      <c r="I564" s="40">
        <v>44644</v>
      </c>
      <c r="J564" s="40">
        <v>44649</v>
      </c>
      <c r="K564" s="38">
        <v>0</v>
      </c>
      <c r="L564" s="39" t="s">
        <v>380</v>
      </c>
      <c r="M564" s="38">
        <v>0</v>
      </c>
      <c r="N564" s="39" t="s">
        <v>380</v>
      </c>
      <c r="O564" s="41">
        <v>0</v>
      </c>
      <c r="P564" s="38">
        <v>0</v>
      </c>
      <c r="Q564" s="38">
        <v>0</v>
      </c>
      <c r="R564" s="39" t="s">
        <v>237</v>
      </c>
    </row>
    <row r="565" spans="1:18" x14ac:dyDescent="0.3">
      <c r="A565" s="37" t="s">
        <v>378</v>
      </c>
      <c r="B565" s="37" t="s">
        <v>921</v>
      </c>
      <c r="C565" s="37" t="s">
        <v>372</v>
      </c>
      <c r="D565" s="37" t="s">
        <v>375</v>
      </c>
      <c r="E565" s="38">
        <v>0</v>
      </c>
      <c r="F565" s="39" t="s">
        <v>237</v>
      </c>
      <c r="G565" s="38">
        <v>0</v>
      </c>
      <c r="H565" s="39" t="s">
        <v>380</v>
      </c>
      <c r="I565" s="40">
        <v>44644</v>
      </c>
      <c r="J565" s="40">
        <v>44649</v>
      </c>
      <c r="K565" s="38">
        <v>0</v>
      </c>
      <c r="L565" s="39" t="s">
        <v>380</v>
      </c>
      <c r="M565" s="38">
        <v>0</v>
      </c>
      <c r="N565" s="39" t="s">
        <v>380</v>
      </c>
      <c r="O565" s="41">
        <v>0</v>
      </c>
      <c r="P565" s="38">
        <v>0</v>
      </c>
      <c r="Q565" s="38">
        <v>0</v>
      </c>
      <c r="R565" s="39" t="s">
        <v>237</v>
      </c>
    </row>
    <row r="566" spans="1:18" x14ac:dyDescent="0.3">
      <c r="A566" s="37" t="s">
        <v>378</v>
      </c>
      <c r="B566" s="37" t="s">
        <v>1339</v>
      </c>
      <c r="C566" s="37" t="s">
        <v>372</v>
      </c>
      <c r="D566" s="37" t="s">
        <v>375</v>
      </c>
      <c r="E566" s="38">
        <v>0</v>
      </c>
      <c r="F566" s="39" t="s">
        <v>237</v>
      </c>
      <c r="G566" s="38">
        <v>0</v>
      </c>
      <c r="H566" s="39" t="s">
        <v>380</v>
      </c>
      <c r="I566" s="40"/>
      <c r="J566" s="40"/>
      <c r="K566" s="38">
        <v>1405</v>
      </c>
      <c r="L566" s="39" t="s">
        <v>380</v>
      </c>
      <c r="M566" s="38">
        <v>1405</v>
      </c>
      <c r="N566" s="39" t="s">
        <v>380</v>
      </c>
      <c r="O566" s="41">
        <v>0</v>
      </c>
      <c r="P566" s="38">
        <v>99999</v>
      </c>
      <c r="Q566" s="38">
        <v>210.75</v>
      </c>
      <c r="R566" s="39" t="s">
        <v>237</v>
      </c>
    </row>
    <row r="567" spans="1:18" x14ac:dyDescent="0.3">
      <c r="A567" s="37" t="s">
        <v>378</v>
      </c>
      <c r="B567" s="37" t="s">
        <v>922</v>
      </c>
      <c r="C567" s="37" t="s">
        <v>372</v>
      </c>
      <c r="D567" s="37" t="s">
        <v>375</v>
      </c>
      <c r="E567" s="38">
        <v>79155.899999999907</v>
      </c>
      <c r="F567" s="39" t="s">
        <v>237</v>
      </c>
      <c r="G567" s="38">
        <v>416610</v>
      </c>
      <c r="H567" s="39" t="s">
        <v>380</v>
      </c>
      <c r="I567" s="40">
        <v>45498</v>
      </c>
      <c r="J567" s="40">
        <v>45530</v>
      </c>
      <c r="K567" s="38">
        <v>2338740</v>
      </c>
      <c r="L567" s="39" t="s">
        <v>380</v>
      </c>
      <c r="M567" s="38">
        <v>2706750</v>
      </c>
      <c r="N567" s="39" t="s">
        <v>380</v>
      </c>
      <c r="O567" s="41">
        <v>18</v>
      </c>
      <c r="P567" s="38">
        <v>6.41</v>
      </c>
      <c r="Q567" s="38">
        <v>408450.59999999899</v>
      </c>
      <c r="R567" s="39" t="s">
        <v>237</v>
      </c>
    </row>
    <row r="568" spans="1:18" x14ac:dyDescent="0.3">
      <c r="A568" s="37" t="s">
        <v>378</v>
      </c>
      <c r="B568" s="37" t="s">
        <v>923</v>
      </c>
      <c r="C568" s="37" t="s">
        <v>372</v>
      </c>
      <c r="D568" s="37" t="s">
        <v>375</v>
      </c>
      <c r="E568" s="38">
        <v>0</v>
      </c>
      <c r="F568" s="39" t="s">
        <v>237</v>
      </c>
      <c r="G568" s="38">
        <v>0</v>
      </c>
      <c r="H568" s="39" t="s">
        <v>380</v>
      </c>
      <c r="I568" s="40">
        <v>44677</v>
      </c>
      <c r="J568" s="40">
        <v>44678</v>
      </c>
      <c r="K568" s="38">
        <v>0</v>
      </c>
      <c r="L568" s="39" t="s">
        <v>380</v>
      </c>
      <c r="M568" s="38">
        <v>0</v>
      </c>
      <c r="N568" s="39" t="s">
        <v>380</v>
      </c>
      <c r="O568" s="41">
        <v>0</v>
      </c>
      <c r="P568" s="38">
        <v>0</v>
      </c>
      <c r="Q568" s="38">
        <v>0</v>
      </c>
      <c r="R568" s="39" t="s">
        <v>237</v>
      </c>
    </row>
    <row r="569" spans="1:18" x14ac:dyDescent="0.3">
      <c r="A569" s="37" t="s">
        <v>378</v>
      </c>
      <c r="B569" s="37" t="s">
        <v>924</v>
      </c>
      <c r="C569" s="37" t="s">
        <v>372</v>
      </c>
      <c r="D569" s="37" t="s">
        <v>375</v>
      </c>
      <c r="E569" s="38">
        <v>0</v>
      </c>
      <c r="F569" s="39" t="s">
        <v>237</v>
      </c>
      <c r="G569" s="38">
        <v>0</v>
      </c>
      <c r="H569" s="39" t="s">
        <v>380</v>
      </c>
      <c r="I569" s="40">
        <v>44266</v>
      </c>
      <c r="J569" s="40">
        <v>44270</v>
      </c>
      <c r="K569" s="38">
        <v>0</v>
      </c>
      <c r="L569" s="39" t="s">
        <v>380</v>
      </c>
      <c r="M569" s="38">
        <v>0</v>
      </c>
      <c r="N569" s="39" t="s">
        <v>380</v>
      </c>
      <c r="O569" s="41">
        <v>0</v>
      </c>
      <c r="P569" s="38">
        <v>0</v>
      </c>
      <c r="Q569" s="38">
        <v>0</v>
      </c>
      <c r="R569" s="39" t="s">
        <v>237</v>
      </c>
    </row>
    <row r="570" spans="1:18" x14ac:dyDescent="0.3">
      <c r="A570" s="37" t="s">
        <v>378</v>
      </c>
      <c r="B570" s="37" t="s">
        <v>925</v>
      </c>
      <c r="C570" s="37" t="s">
        <v>372</v>
      </c>
      <c r="D570" s="37" t="s">
        <v>375</v>
      </c>
      <c r="E570" s="38">
        <v>0</v>
      </c>
      <c r="F570" s="39" t="s">
        <v>237</v>
      </c>
      <c r="G570" s="38">
        <v>0</v>
      </c>
      <c r="H570" s="39" t="s">
        <v>380</v>
      </c>
      <c r="I570" s="40">
        <v>44644</v>
      </c>
      <c r="J570" s="40">
        <v>44650</v>
      </c>
      <c r="K570" s="38">
        <v>0</v>
      </c>
      <c r="L570" s="39" t="s">
        <v>380</v>
      </c>
      <c r="M570" s="38">
        <v>0</v>
      </c>
      <c r="N570" s="39" t="s">
        <v>380</v>
      </c>
      <c r="O570" s="41">
        <v>0</v>
      </c>
      <c r="P570" s="38">
        <v>0</v>
      </c>
      <c r="Q570" s="38">
        <v>0</v>
      </c>
      <c r="R570" s="39" t="s">
        <v>237</v>
      </c>
    </row>
    <row r="571" spans="1:18" x14ac:dyDescent="0.3">
      <c r="A571" s="37" t="s">
        <v>378</v>
      </c>
      <c r="B571" s="37" t="s">
        <v>926</v>
      </c>
      <c r="C571" s="37" t="s">
        <v>372</v>
      </c>
      <c r="D571" s="37" t="s">
        <v>377</v>
      </c>
      <c r="E571" s="38">
        <v>0</v>
      </c>
      <c r="F571" s="39" t="s">
        <v>237</v>
      </c>
      <c r="G571" s="38">
        <v>0</v>
      </c>
      <c r="H571" s="39" t="s">
        <v>374</v>
      </c>
      <c r="I571" s="40">
        <v>44197</v>
      </c>
      <c r="J571" s="40">
        <v>45015</v>
      </c>
      <c r="K571" s="38">
        <v>0</v>
      </c>
      <c r="L571" s="39" t="s">
        <v>374</v>
      </c>
      <c r="M571" s="38">
        <v>0</v>
      </c>
      <c r="N571" s="39" t="s">
        <v>374</v>
      </c>
      <c r="O571" s="41">
        <v>0</v>
      </c>
      <c r="P571" s="38">
        <v>0</v>
      </c>
      <c r="Q571" s="38">
        <v>0</v>
      </c>
      <c r="R571" s="39" t="s">
        <v>237</v>
      </c>
    </row>
    <row r="572" spans="1:18" x14ac:dyDescent="0.3">
      <c r="A572" s="37" t="s">
        <v>378</v>
      </c>
      <c r="B572" s="37" t="s">
        <v>927</v>
      </c>
      <c r="C572" s="37" t="s">
        <v>372</v>
      </c>
      <c r="D572" s="37" t="s">
        <v>375</v>
      </c>
      <c r="E572" s="38">
        <v>0</v>
      </c>
      <c r="F572" s="39" t="s">
        <v>237</v>
      </c>
      <c r="G572" s="38">
        <v>0</v>
      </c>
      <c r="H572" s="39" t="s">
        <v>380</v>
      </c>
      <c r="I572" s="40">
        <v>44644</v>
      </c>
      <c r="J572" s="40">
        <v>44650</v>
      </c>
      <c r="K572" s="38">
        <v>0</v>
      </c>
      <c r="L572" s="39" t="s">
        <v>380</v>
      </c>
      <c r="M572" s="38">
        <v>0</v>
      </c>
      <c r="N572" s="39" t="s">
        <v>380</v>
      </c>
      <c r="O572" s="41">
        <v>0</v>
      </c>
      <c r="P572" s="38">
        <v>0</v>
      </c>
      <c r="Q572" s="38">
        <v>0</v>
      </c>
      <c r="R572" s="39" t="s">
        <v>237</v>
      </c>
    </row>
    <row r="573" spans="1:18" x14ac:dyDescent="0.3">
      <c r="A573" s="37" t="s">
        <v>378</v>
      </c>
      <c r="B573" s="37" t="s">
        <v>928</v>
      </c>
      <c r="C573" s="37" t="s">
        <v>372</v>
      </c>
      <c r="D573" s="37" t="s">
        <v>375</v>
      </c>
      <c r="E573" s="38">
        <v>0</v>
      </c>
      <c r="F573" s="39" t="s">
        <v>237</v>
      </c>
      <c r="G573" s="38">
        <v>0</v>
      </c>
      <c r="H573" s="39" t="s">
        <v>380</v>
      </c>
      <c r="I573" s="40">
        <v>45378</v>
      </c>
      <c r="J573" s="40">
        <v>45378</v>
      </c>
      <c r="K573" s="38">
        <v>0</v>
      </c>
      <c r="L573" s="39" t="s">
        <v>380</v>
      </c>
      <c r="M573" s="38">
        <v>0</v>
      </c>
      <c r="N573" s="39" t="s">
        <v>380</v>
      </c>
      <c r="O573" s="41">
        <v>0</v>
      </c>
      <c r="P573" s="38">
        <v>0</v>
      </c>
      <c r="Q573" s="38">
        <v>0</v>
      </c>
      <c r="R573" s="39" t="s">
        <v>237</v>
      </c>
    </row>
    <row r="574" spans="1:18" x14ac:dyDescent="0.3">
      <c r="A574" s="37" t="s">
        <v>378</v>
      </c>
      <c r="B574" s="37" t="s">
        <v>929</v>
      </c>
      <c r="C574" s="37" t="s">
        <v>372</v>
      </c>
      <c r="D574" s="37" t="s">
        <v>375</v>
      </c>
      <c r="E574" s="38">
        <v>0</v>
      </c>
      <c r="F574" s="39" t="s">
        <v>237</v>
      </c>
      <c r="G574" s="38">
        <v>0</v>
      </c>
      <c r="H574" s="39" t="s">
        <v>380</v>
      </c>
      <c r="I574" s="40">
        <v>44922</v>
      </c>
      <c r="J574" s="40">
        <v>45373</v>
      </c>
      <c r="K574" s="38">
        <v>0</v>
      </c>
      <c r="L574" s="39" t="s">
        <v>380</v>
      </c>
      <c r="M574" s="38">
        <v>0</v>
      </c>
      <c r="N574" s="39" t="s">
        <v>380</v>
      </c>
      <c r="O574" s="41">
        <v>0</v>
      </c>
      <c r="P574" s="38">
        <v>0</v>
      </c>
      <c r="Q574" s="38">
        <v>0</v>
      </c>
      <c r="R574" s="39" t="s">
        <v>237</v>
      </c>
    </row>
    <row r="575" spans="1:18" x14ac:dyDescent="0.3">
      <c r="A575" s="37" t="s">
        <v>378</v>
      </c>
      <c r="B575" s="37" t="s">
        <v>930</v>
      </c>
      <c r="C575" s="37" t="s">
        <v>372</v>
      </c>
      <c r="D575" s="37" t="s">
        <v>375</v>
      </c>
      <c r="E575" s="38">
        <v>0</v>
      </c>
      <c r="F575" s="39" t="s">
        <v>237</v>
      </c>
      <c r="G575" s="38">
        <v>0</v>
      </c>
      <c r="H575" s="39" t="s">
        <v>380</v>
      </c>
      <c r="I575" s="40">
        <v>44692</v>
      </c>
      <c r="J575" s="40">
        <v>44692</v>
      </c>
      <c r="K575" s="38">
        <v>0</v>
      </c>
      <c r="L575" s="39" t="s">
        <v>380</v>
      </c>
      <c r="M575" s="38">
        <v>0</v>
      </c>
      <c r="N575" s="39" t="s">
        <v>380</v>
      </c>
      <c r="O575" s="41">
        <v>0</v>
      </c>
      <c r="P575" s="38">
        <v>0</v>
      </c>
      <c r="Q575" s="38">
        <v>0</v>
      </c>
      <c r="R575" s="39" t="s">
        <v>237</v>
      </c>
    </row>
    <row r="576" spans="1:18" x14ac:dyDescent="0.3">
      <c r="A576" s="37" t="s">
        <v>378</v>
      </c>
      <c r="B576" s="37" t="s">
        <v>931</v>
      </c>
      <c r="C576" s="37" t="s">
        <v>372</v>
      </c>
      <c r="D576" s="37" t="s">
        <v>375</v>
      </c>
      <c r="E576" s="38">
        <v>0</v>
      </c>
      <c r="F576" s="39" t="s">
        <v>237</v>
      </c>
      <c r="G576" s="38">
        <v>0</v>
      </c>
      <c r="H576" s="39" t="s">
        <v>380</v>
      </c>
      <c r="I576" s="40">
        <v>44692</v>
      </c>
      <c r="J576" s="40">
        <v>44692</v>
      </c>
      <c r="K576" s="38">
        <v>0</v>
      </c>
      <c r="L576" s="39" t="s">
        <v>380</v>
      </c>
      <c r="M576" s="38">
        <v>0</v>
      </c>
      <c r="N576" s="39" t="s">
        <v>380</v>
      </c>
      <c r="O576" s="41">
        <v>0</v>
      </c>
      <c r="P576" s="38">
        <v>0</v>
      </c>
      <c r="Q576" s="38">
        <v>0</v>
      </c>
      <c r="R576" s="39" t="s">
        <v>237</v>
      </c>
    </row>
    <row r="577" spans="1:18" x14ac:dyDescent="0.3">
      <c r="A577" s="37" t="s">
        <v>378</v>
      </c>
      <c r="B577" s="37" t="s">
        <v>932</v>
      </c>
      <c r="C577" s="37" t="s">
        <v>372</v>
      </c>
      <c r="D577" s="37" t="s">
        <v>375</v>
      </c>
      <c r="E577" s="38">
        <v>0</v>
      </c>
      <c r="F577" s="39" t="s">
        <v>237</v>
      </c>
      <c r="G577" s="38">
        <v>0</v>
      </c>
      <c r="H577" s="39" t="s">
        <v>380</v>
      </c>
      <c r="I577" s="40">
        <v>44695</v>
      </c>
      <c r="J577" s="40">
        <v>45070</v>
      </c>
      <c r="K577" s="38">
        <v>0</v>
      </c>
      <c r="L577" s="39" t="s">
        <v>380</v>
      </c>
      <c r="M577" s="38">
        <v>0</v>
      </c>
      <c r="N577" s="39" t="s">
        <v>380</v>
      </c>
      <c r="O577" s="41">
        <v>0</v>
      </c>
      <c r="P577" s="38">
        <v>0</v>
      </c>
      <c r="Q577" s="38">
        <v>0</v>
      </c>
      <c r="R577" s="39" t="s">
        <v>237</v>
      </c>
    </row>
    <row r="578" spans="1:18" x14ac:dyDescent="0.3">
      <c r="A578" s="37" t="s">
        <v>378</v>
      </c>
      <c r="B578" s="37" t="s">
        <v>933</v>
      </c>
      <c r="C578" s="37" t="s">
        <v>372</v>
      </c>
      <c r="D578" s="37" t="s">
        <v>375</v>
      </c>
      <c r="E578" s="38">
        <v>0</v>
      </c>
      <c r="F578" s="39" t="s">
        <v>237</v>
      </c>
      <c r="G578" s="38">
        <v>0</v>
      </c>
      <c r="H578" s="39" t="s">
        <v>380</v>
      </c>
      <c r="I578" s="40">
        <v>44698</v>
      </c>
      <c r="J578" s="40">
        <v>45070</v>
      </c>
      <c r="K578" s="38">
        <v>0</v>
      </c>
      <c r="L578" s="39" t="s">
        <v>380</v>
      </c>
      <c r="M578" s="38">
        <v>0</v>
      </c>
      <c r="N578" s="39" t="s">
        <v>380</v>
      </c>
      <c r="O578" s="41">
        <v>0</v>
      </c>
      <c r="P578" s="38">
        <v>0</v>
      </c>
      <c r="Q578" s="38">
        <v>0</v>
      </c>
      <c r="R578" s="39" t="s">
        <v>237</v>
      </c>
    </row>
    <row r="579" spans="1:18" x14ac:dyDescent="0.3">
      <c r="A579" s="37" t="s">
        <v>378</v>
      </c>
      <c r="B579" s="37" t="s">
        <v>934</v>
      </c>
      <c r="C579" s="37" t="s">
        <v>372</v>
      </c>
      <c r="D579" s="37" t="s">
        <v>375</v>
      </c>
      <c r="E579" s="38">
        <v>0</v>
      </c>
      <c r="F579" s="39" t="s">
        <v>237</v>
      </c>
      <c r="G579" s="38">
        <v>0</v>
      </c>
      <c r="H579" s="39" t="s">
        <v>380</v>
      </c>
      <c r="I579" s="40">
        <v>44462</v>
      </c>
      <c r="J579" s="40">
        <v>44767</v>
      </c>
      <c r="K579" s="38">
        <v>0</v>
      </c>
      <c r="L579" s="39" t="s">
        <v>380</v>
      </c>
      <c r="M579" s="38">
        <v>0</v>
      </c>
      <c r="N579" s="39" t="s">
        <v>380</v>
      </c>
      <c r="O579" s="41">
        <v>0</v>
      </c>
      <c r="P579" s="38">
        <v>0</v>
      </c>
      <c r="Q579" s="38">
        <v>0</v>
      </c>
      <c r="R579" s="39" t="s">
        <v>237</v>
      </c>
    </row>
    <row r="580" spans="1:18" x14ac:dyDescent="0.3">
      <c r="A580" s="37" t="s">
        <v>378</v>
      </c>
      <c r="B580" s="37" t="s">
        <v>935</v>
      </c>
      <c r="C580" s="37" t="s">
        <v>372</v>
      </c>
      <c r="D580" s="37" t="s">
        <v>375</v>
      </c>
      <c r="E580" s="38">
        <v>176188.32</v>
      </c>
      <c r="F580" s="39" t="s">
        <v>237</v>
      </c>
      <c r="G580" s="38">
        <v>533904</v>
      </c>
      <c r="H580" s="39" t="s">
        <v>380</v>
      </c>
      <c r="I580" s="40">
        <v>45506</v>
      </c>
      <c r="J580" s="40">
        <v>45532</v>
      </c>
      <c r="K580" s="38">
        <v>1680336</v>
      </c>
      <c r="L580" s="39" t="s">
        <v>380</v>
      </c>
      <c r="M580" s="38">
        <v>1844640</v>
      </c>
      <c r="N580" s="39" t="s">
        <v>380</v>
      </c>
      <c r="O580" s="41">
        <v>34</v>
      </c>
      <c r="P580" s="38">
        <v>3.35</v>
      </c>
      <c r="Q580" s="38">
        <v>470914.08</v>
      </c>
      <c r="R580" s="39" t="s">
        <v>237</v>
      </c>
    </row>
    <row r="581" spans="1:18" x14ac:dyDescent="0.3">
      <c r="A581" s="37" t="s">
        <v>378</v>
      </c>
      <c r="B581" s="37" t="s">
        <v>936</v>
      </c>
      <c r="C581" s="37" t="s">
        <v>372</v>
      </c>
      <c r="D581" s="37" t="s">
        <v>377</v>
      </c>
      <c r="E581" s="38">
        <v>76943.520000000004</v>
      </c>
      <c r="F581" s="39" t="s">
        <v>237</v>
      </c>
      <c r="G581" s="38">
        <v>13903.108</v>
      </c>
      <c r="H581" s="39" t="s">
        <v>374</v>
      </c>
      <c r="I581" s="40">
        <v>45534</v>
      </c>
      <c r="J581" s="40">
        <v>45534</v>
      </c>
      <c r="K581" s="38">
        <v>47631.898000000001</v>
      </c>
      <c r="L581" s="39" t="s">
        <v>374</v>
      </c>
      <c r="M581" s="38">
        <v>50747.449999999903</v>
      </c>
      <c r="N581" s="39" t="s">
        <v>374</v>
      </c>
      <c r="O581" s="41">
        <v>53</v>
      </c>
      <c r="P581" s="38">
        <v>2.33</v>
      </c>
      <c r="Q581" s="38">
        <v>133982.149999999</v>
      </c>
      <c r="R581" s="39" t="s">
        <v>237</v>
      </c>
    </row>
    <row r="582" spans="1:18" x14ac:dyDescent="0.3">
      <c r="A582" s="37" t="s">
        <v>378</v>
      </c>
      <c r="B582" s="37" t="s">
        <v>937</v>
      </c>
      <c r="C582" s="37" t="s">
        <v>372</v>
      </c>
      <c r="D582" s="37" t="s">
        <v>375</v>
      </c>
      <c r="E582" s="38">
        <v>0</v>
      </c>
      <c r="F582" s="39" t="s">
        <v>237</v>
      </c>
      <c r="G582" s="38">
        <v>0</v>
      </c>
      <c r="H582" s="39" t="s">
        <v>380</v>
      </c>
      <c r="I582" s="40">
        <v>44512</v>
      </c>
      <c r="J582" s="40">
        <v>44516</v>
      </c>
      <c r="K582" s="38">
        <v>0</v>
      </c>
      <c r="L582" s="39" t="s">
        <v>380</v>
      </c>
      <c r="M582" s="38">
        <v>0</v>
      </c>
      <c r="N582" s="39" t="s">
        <v>380</v>
      </c>
      <c r="O582" s="41">
        <v>0</v>
      </c>
      <c r="P582" s="38">
        <v>0</v>
      </c>
      <c r="Q582" s="38">
        <v>0</v>
      </c>
      <c r="R582" s="39" t="s">
        <v>237</v>
      </c>
    </row>
    <row r="583" spans="1:18" x14ac:dyDescent="0.3">
      <c r="A583" s="37" t="s">
        <v>378</v>
      </c>
      <c r="B583" s="37" t="s">
        <v>938</v>
      </c>
      <c r="C583" s="37" t="s">
        <v>372</v>
      </c>
      <c r="D583" s="37" t="s">
        <v>377</v>
      </c>
      <c r="E583" s="38">
        <v>6236.8</v>
      </c>
      <c r="F583" s="39" t="s">
        <v>237</v>
      </c>
      <c r="G583" s="38">
        <v>173.182999999999</v>
      </c>
      <c r="H583" s="39" t="s">
        <v>374</v>
      </c>
      <c r="I583" s="40">
        <v>45531</v>
      </c>
      <c r="J583" s="40">
        <v>45532</v>
      </c>
      <c r="K583" s="38">
        <v>872.52800000000002</v>
      </c>
      <c r="L583" s="39" t="s">
        <v>374</v>
      </c>
      <c r="M583" s="38">
        <v>735.39999999999895</v>
      </c>
      <c r="N583" s="39" t="s">
        <v>374</v>
      </c>
      <c r="O583" s="41">
        <v>37</v>
      </c>
      <c r="P583" s="38">
        <v>1.56</v>
      </c>
      <c r="Q583" s="38">
        <v>15713.889999999899</v>
      </c>
      <c r="R583" s="39" t="s">
        <v>237</v>
      </c>
    </row>
    <row r="584" spans="1:18" x14ac:dyDescent="0.3">
      <c r="A584" s="37" t="s">
        <v>378</v>
      </c>
      <c r="B584" s="37" t="s">
        <v>939</v>
      </c>
      <c r="C584" s="37" t="s">
        <v>372</v>
      </c>
      <c r="D584" s="37" t="s">
        <v>375</v>
      </c>
      <c r="E584" s="38">
        <v>0</v>
      </c>
      <c r="F584" s="39" t="s">
        <v>237</v>
      </c>
      <c r="G584" s="38">
        <v>0</v>
      </c>
      <c r="H584" s="39" t="s">
        <v>380</v>
      </c>
      <c r="I584" s="40">
        <v>44915</v>
      </c>
      <c r="J584" s="40">
        <v>45070</v>
      </c>
      <c r="K584" s="38">
        <v>0</v>
      </c>
      <c r="L584" s="39" t="s">
        <v>380</v>
      </c>
      <c r="M584" s="38">
        <v>0</v>
      </c>
      <c r="N584" s="39" t="s">
        <v>380</v>
      </c>
      <c r="O584" s="41">
        <v>0</v>
      </c>
      <c r="P584" s="38">
        <v>0</v>
      </c>
      <c r="Q584" s="38">
        <v>0</v>
      </c>
      <c r="R584" s="39" t="s">
        <v>237</v>
      </c>
    </row>
    <row r="585" spans="1:18" x14ac:dyDescent="0.3">
      <c r="A585" s="37" t="s">
        <v>378</v>
      </c>
      <c r="B585" s="37" t="s">
        <v>940</v>
      </c>
      <c r="C585" s="37" t="s">
        <v>372</v>
      </c>
      <c r="D585" s="37" t="s">
        <v>375</v>
      </c>
      <c r="E585" s="38">
        <v>0</v>
      </c>
      <c r="F585" s="39" t="s">
        <v>237</v>
      </c>
      <c r="G585" s="38">
        <v>0</v>
      </c>
      <c r="H585" s="39" t="s">
        <v>380</v>
      </c>
      <c r="I585" s="40">
        <v>45176</v>
      </c>
      <c r="J585" s="40">
        <v>45176</v>
      </c>
      <c r="K585" s="38">
        <v>0</v>
      </c>
      <c r="L585" s="39" t="s">
        <v>380</v>
      </c>
      <c r="M585" s="38">
        <v>0</v>
      </c>
      <c r="N585" s="39" t="s">
        <v>380</v>
      </c>
      <c r="O585" s="41">
        <v>0</v>
      </c>
      <c r="P585" s="38">
        <v>0</v>
      </c>
      <c r="Q585" s="38">
        <v>0</v>
      </c>
      <c r="R585" s="39" t="s">
        <v>237</v>
      </c>
    </row>
    <row r="586" spans="1:18" x14ac:dyDescent="0.3">
      <c r="A586" s="37" t="s">
        <v>378</v>
      </c>
      <c r="B586" s="37" t="s">
        <v>941</v>
      </c>
      <c r="C586" s="37" t="s">
        <v>372</v>
      </c>
      <c r="D586" s="37" t="s">
        <v>375</v>
      </c>
      <c r="E586" s="38">
        <v>12960</v>
      </c>
      <c r="F586" s="39" t="s">
        <v>237</v>
      </c>
      <c r="G586" s="38">
        <v>27000</v>
      </c>
      <c r="H586" s="39" t="s">
        <v>380</v>
      </c>
      <c r="I586" s="40">
        <v>45502</v>
      </c>
      <c r="J586" s="40">
        <v>45497</v>
      </c>
      <c r="K586" s="38">
        <v>243000</v>
      </c>
      <c r="L586" s="39" t="s">
        <v>380</v>
      </c>
      <c r="M586" s="38">
        <v>235800</v>
      </c>
      <c r="N586" s="39" t="s">
        <v>380</v>
      </c>
      <c r="O586" s="41">
        <v>15</v>
      </c>
      <c r="P586" s="38">
        <v>4.8600000000000003</v>
      </c>
      <c r="Q586" s="38">
        <v>77130</v>
      </c>
      <c r="R586" s="39" t="s">
        <v>237</v>
      </c>
    </row>
    <row r="587" spans="1:18" x14ac:dyDescent="0.3">
      <c r="A587" s="37" t="s">
        <v>378</v>
      </c>
      <c r="B587" s="37" t="s">
        <v>942</v>
      </c>
      <c r="C587" s="37" t="s">
        <v>372</v>
      </c>
      <c r="D587" s="37" t="s">
        <v>375</v>
      </c>
      <c r="E587" s="38">
        <v>0</v>
      </c>
      <c r="F587" s="39" t="s">
        <v>237</v>
      </c>
      <c r="G587" s="38">
        <v>0</v>
      </c>
      <c r="H587" s="39" t="s">
        <v>380</v>
      </c>
      <c r="I587" s="40">
        <v>44226</v>
      </c>
      <c r="J587" s="40">
        <v>44319</v>
      </c>
      <c r="K587" s="38">
        <v>0</v>
      </c>
      <c r="L587" s="39" t="s">
        <v>380</v>
      </c>
      <c r="M587" s="38">
        <v>0</v>
      </c>
      <c r="N587" s="39" t="s">
        <v>380</v>
      </c>
      <c r="O587" s="41">
        <v>0</v>
      </c>
      <c r="P587" s="38">
        <v>0</v>
      </c>
      <c r="Q587" s="38">
        <v>0</v>
      </c>
      <c r="R587" s="39" t="s">
        <v>237</v>
      </c>
    </row>
    <row r="588" spans="1:18" x14ac:dyDescent="0.3">
      <c r="A588" s="37" t="s">
        <v>378</v>
      </c>
      <c r="B588" s="37" t="s">
        <v>943</v>
      </c>
      <c r="C588" s="37" t="s">
        <v>372</v>
      </c>
      <c r="D588" s="37" t="s">
        <v>375</v>
      </c>
      <c r="E588" s="38">
        <v>0</v>
      </c>
      <c r="F588" s="39" t="s">
        <v>237</v>
      </c>
      <c r="G588" s="38">
        <v>0</v>
      </c>
      <c r="H588" s="39" t="s">
        <v>380</v>
      </c>
      <c r="I588" s="40">
        <v>44197</v>
      </c>
      <c r="J588" s="40">
        <v>45070</v>
      </c>
      <c r="K588" s="38">
        <v>0</v>
      </c>
      <c r="L588" s="39" t="s">
        <v>380</v>
      </c>
      <c r="M588" s="38">
        <v>0</v>
      </c>
      <c r="N588" s="39" t="s">
        <v>380</v>
      </c>
      <c r="O588" s="41">
        <v>0</v>
      </c>
      <c r="P588" s="38">
        <v>0</v>
      </c>
      <c r="Q588" s="38">
        <v>0</v>
      </c>
      <c r="R588" s="39" t="s">
        <v>237</v>
      </c>
    </row>
    <row r="589" spans="1:18" x14ac:dyDescent="0.3">
      <c r="A589" s="37" t="s">
        <v>378</v>
      </c>
      <c r="B589" s="37" t="s">
        <v>944</v>
      </c>
      <c r="C589" s="37" t="s">
        <v>372</v>
      </c>
      <c r="D589" s="37" t="s">
        <v>375</v>
      </c>
      <c r="E589" s="38">
        <v>0</v>
      </c>
      <c r="F589" s="39" t="s">
        <v>237</v>
      </c>
      <c r="G589" s="38">
        <v>0</v>
      </c>
      <c r="H589" s="39" t="s">
        <v>380</v>
      </c>
      <c r="I589" s="40">
        <v>44453</v>
      </c>
      <c r="J589" s="40">
        <v>44915</v>
      </c>
      <c r="K589" s="38">
        <v>0</v>
      </c>
      <c r="L589" s="39" t="s">
        <v>380</v>
      </c>
      <c r="M589" s="38">
        <v>0</v>
      </c>
      <c r="N589" s="39" t="s">
        <v>380</v>
      </c>
      <c r="O589" s="41">
        <v>0</v>
      </c>
      <c r="P589" s="38">
        <v>0</v>
      </c>
      <c r="Q589" s="38">
        <v>0</v>
      </c>
      <c r="R589" s="39" t="s">
        <v>237</v>
      </c>
    </row>
    <row r="590" spans="1:18" x14ac:dyDescent="0.3">
      <c r="A590" s="37" t="s">
        <v>378</v>
      </c>
      <c r="B590" s="37" t="s">
        <v>1142</v>
      </c>
      <c r="C590" s="37" t="s">
        <v>372</v>
      </c>
      <c r="D590" s="37" t="s">
        <v>375</v>
      </c>
      <c r="E590" s="38">
        <v>0</v>
      </c>
      <c r="F590" s="39" t="s">
        <v>237</v>
      </c>
      <c r="G590" s="38">
        <v>0</v>
      </c>
      <c r="H590" s="39" t="s">
        <v>380</v>
      </c>
      <c r="I590" s="40">
        <v>44523</v>
      </c>
      <c r="J590" s="40">
        <v>44530</v>
      </c>
      <c r="K590" s="38">
        <v>0</v>
      </c>
      <c r="L590" s="39" t="s">
        <v>380</v>
      </c>
      <c r="M590" s="38">
        <v>0</v>
      </c>
      <c r="N590" s="39" t="s">
        <v>380</v>
      </c>
      <c r="O590" s="41">
        <v>0</v>
      </c>
      <c r="P590" s="38">
        <v>0</v>
      </c>
      <c r="Q590" s="38">
        <v>0</v>
      </c>
      <c r="R590" s="39" t="s">
        <v>237</v>
      </c>
    </row>
    <row r="591" spans="1:18" x14ac:dyDescent="0.3">
      <c r="A591" s="37" t="s">
        <v>378</v>
      </c>
      <c r="B591" s="37" t="s">
        <v>945</v>
      </c>
      <c r="C591" s="37" t="s">
        <v>372</v>
      </c>
      <c r="D591" s="37" t="s">
        <v>375</v>
      </c>
      <c r="E591" s="38">
        <v>0</v>
      </c>
      <c r="F591" s="39" t="s">
        <v>237</v>
      </c>
      <c r="G591" s="38">
        <v>0</v>
      </c>
      <c r="H591" s="39" t="s">
        <v>380</v>
      </c>
      <c r="I591" s="40">
        <v>44197</v>
      </c>
      <c r="J591" s="40">
        <v>44915</v>
      </c>
      <c r="K591" s="38">
        <v>0</v>
      </c>
      <c r="L591" s="39" t="s">
        <v>380</v>
      </c>
      <c r="M591" s="38">
        <v>0</v>
      </c>
      <c r="N591" s="39" t="s">
        <v>380</v>
      </c>
      <c r="O591" s="41">
        <v>0</v>
      </c>
      <c r="P591" s="38">
        <v>0</v>
      </c>
      <c r="Q591" s="38">
        <v>0</v>
      </c>
      <c r="R591" s="39" t="s">
        <v>237</v>
      </c>
    </row>
    <row r="592" spans="1:18" x14ac:dyDescent="0.3">
      <c r="A592" s="37" t="s">
        <v>378</v>
      </c>
      <c r="B592" s="37" t="s">
        <v>1311</v>
      </c>
      <c r="C592" s="37" t="s">
        <v>372</v>
      </c>
      <c r="D592" s="37" t="s">
        <v>375</v>
      </c>
      <c r="E592" s="38">
        <v>0</v>
      </c>
      <c r="F592" s="39" t="s">
        <v>237</v>
      </c>
      <c r="G592" s="38">
        <v>0</v>
      </c>
      <c r="H592" s="39" t="s">
        <v>380</v>
      </c>
      <c r="I592" s="40">
        <v>45457</v>
      </c>
      <c r="J592" s="40">
        <v>45457</v>
      </c>
      <c r="K592" s="38">
        <v>1080</v>
      </c>
      <c r="L592" s="39" t="s">
        <v>380</v>
      </c>
      <c r="M592" s="38">
        <v>1080</v>
      </c>
      <c r="N592" s="39" t="s">
        <v>380</v>
      </c>
      <c r="O592" s="41">
        <v>0</v>
      </c>
      <c r="P592" s="38">
        <v>99999</v>
      </c>
      <c r="Q592" s="38">
        <v>172.8</v>
      </c>
      <c r="R592" s="39" t="s">
        <v>237</v>
      </c>
    </row>
    <row r="593" spans="1:18" x14ac:dyDescent="0.3">
      <c r="A593" s="37" t="s">
        <v>378</v>
      </c>
      <c r="B593" s="37" t="s">
        <v>1312</v>
      </c>
      <c r="C593" s="37" t="s">
        <v>372</v>
      </c>
      <c r="D593" s="37" t="s">
        <v>375</v>
      </c>
      <c r="E593" s="38">
        <v>260</v>
      </c>
      <c r="F593" s="39" t="s">
        <v>237</v>
      </c>
      <c r="G593" s="38">
        <v>1000</v>
      </c>
      <c r="H593" s="39" t="s">
        <v>380</v>
      </c>
      <c r="I593" s="40">
        <v>45454</v>
      </c>
      <c r="J593" s="40">
        <v>45454</v>
      </c>
      <c r="K593" s="38">
        <v>2076</v>
      </c>
      <c r="L593" s="39" t="s">
        <v>380</v>
      </c>
      <c r="M593" s="38">
        <v>2076</v>
      </c>
      <c r="N593" s="39" t="s">
        <v>380</v>
      </c>
      <c r="O593" s="41">
        <v>46</v>
      </c>
      <c r="P593" s="38">
        <v>2.08</v>
      </c>
      <c r="Q593" s="38">
        <v>519</v>
      </c>
      <c r="R593" s="39" t="s">
        <v>237</v>
      </c>
    </row>
    <row r="594" spans="1:18" x14ac:dyDescent="0.3">
      <c r="A594" s="37" t="s">
        <v>378</v>
      </c>
      <c r="B594" s="37" t="s">
        <v>946</v>
      </c>
      <c r="C594" s="37" t="s">
        <v>372</v>
      </c>
      <c r="D594" s="37" t="s">
        <v>375</v>
      </c>
      <c r="E594" s="38">
        <v>0</v>
      </c>
      <c r="F594" s="39" t="s">
        <v>237</v>
      </c>
      <c r="G594" s="38">
        <v>0</v>
      </c>
      <c r="H594" s="39" t="s">
        <v>380</v>
      </c>
      <c r="I594" s="40">
        <v>45496</v>
      </c>
      <c r="J594" s="40">
        <v>45513</v>
      </c>
      <c r="K594" s="38">
        <v>6500</v>
      </c>
      <c r="L594" s="39" t="s">
        <v>380</v>
      </c>
      <c r="M594" s="38">
        <v>3500</v>
      </c>
      <c r="N594" s="39" t="s">
        <v>380</v>
      </c>
      <c r="O594" s="41">
        <v>0</v>
      </c>
      <c r="P594" s="38">
        <v>2.74</v>
      </c>
      <c r="Q594" s="38">
        <v>5850</v>
      </c>
      <c r="R594" s="39" t="s">
        <v>237</v>
      </c>
    </row>
    <row r="595" spans="1:18" x14ac:dyDescent="0.3">
      <c r="A595" s="37" t="s">
        <v>378</v>
      </c>
      <c r="B595" s="37" t="s">
        <v>1249</v>
      </c>
      <c r="C595" s="37" t="s">
        <v>372</v>
      </c>
      <c r="D595" s="37" t="s">
        <v>375</v>
      </c>
      <c r="E595" s="38">
        <v>0</v>
      </c>
      <c r="F595" s="39" t="s">
        <v>237</v>
      </c>
      <c r="G595" s="38">
        <v>0</v>
      </c>
      <c r="H595" s="39" t="s">
        <v>380</v>
      </c>
      <c r="I595" s="40">
        <v>44529</v>
      </c>
      <c r="J595" s="40">
        <v>44546</v>
      </c>
      <c r="K595" s="38">
        <v>0</v>
      </c>
      <c r="L595" s="39" t="s">
        <v>380</v>
      </c>
      <c r="M595" s="38">
        <v>0</v>
      </c>
      <c r="N595" s="39" t="s">
        <v>380</v>
      </c>
      <c r="O595" s="41">
        <v>0</v>
      </c>
      <c r="P595" s="38">
        <v>0</v>
      </c>
      <c r="Q595" s="38">
        <v>0</v>
      </c>
      <c r="R595" s="39" t="s">
        <v>237</v>
      </c>
    </row>
    <row r="596" spans="1:18" x14ac:dyDescent="0.3">
      <c r="A596" s="37" t="s">
        <v>378</v>
      </c>
      <c r="B596" s="37" t="s">
        <v>1214</v>
      </c>
      <c r="C596" s="37" t="s">
        <v>372</v>
      </c>
      <c r="D596" s="37" t="s">
        <v>375</v>
      </c>
      <c r="E596" s="38">
        <v>0</v>
      </c>
      <c r="F596" s="39" t="s">
        <v>237</v>
      </c>
      <c r="G596" s="38">
        <v>0</v>
      </c>
      <c r="H596" s="39" t="s">
        <v>380</v>
      </c>
      <c r="I596" s="40">
        <v>44529</v>
      </c>
      <c r="J596" s="40">
        <v>44546</v>
      </c>
      <c r="K596" s="38">
        <v>0</v>
      </c>
      <c r="L596" s="39" t="s">
        <v>380</v>
      </c>
      <c r="M596" s="38">
        <v>0</v>
      </c>
      <c r="N596" s="39" t="s">
        <v>380</v>
      </c>
      <c r="O596" s="41">
        <v>0</v>
      </c>
      <c r="P596" s="38">
        <v>0</v>
      </c>
      <c r="Q596" s="38">
        <v>0</v>
      </c>
      <c r="R596" s="39" t="s">
        <v>237</v>
      </c>
    </row>
    <row r="597" spans="1:18" x14ac:dyDescent="0.3">
      <c r="A597" s="37" t="s">
        <v>378</v>
      </c>
      <c r="B597" s="37" t="s">
        <v>947</v>
      </c>
      <c r="C597" s="37" t="s">
        <v>372</v>
      </c>
      <c r="D597" s="37" t="s">
        <v>375</v>
      </c>
      <c r="E597" s="38">
        <v>4018</v>
      </c>
      <c r="F597" s="39" t="s">
        <v>237</v>
      </c>
      <c r="G597" s="38">
        <v>14350</v>
      </c>
      <c r="H597" s="39" t="s">
        <v>380</v>
      </c>
      <c r="I597" s="40">
        <v>44700</v>
      </c>
      <c r="J597" s="40">
        <v>45264</v>
      </c>
      <c r="K597" s="38">
        <v>0</v>
      </c>
      <c r="L597" s="39" t="s">
        <v>380</v>
      </c>
      <c r="M597" s="38">
        <v>0</v>
      </c>
      <c r="N597" s="39" t="s">
        <v>380</v>
      </c>
      <c r="O597" s="41">
        <v>99999</v>
      </c>
      <c r="P597" s="38">
        <v>0</v>
      </c>
      <c r="Q597" s="38">
        <v>0</v>
      </c>
      <c r="R597" s="39" t="s">
        <v>237</v>
      </c>
    </row>
    <row r="598" spans="1:18" x14ac:dyDescent="0.3">
      <c r="A598" s="37" t="s">
        <v>378</v>
      </c>
      <c r="B598" s="37" t="s">
        <v>948</v>
      </c>
      <c r="C598" s="37" t="s">
        <v>372</v>
      </c>
      <c r="D598" s="37" t="s">
        <v>375</v>
      </c>
      <c r="E598" s="38">
        <v>0</v>
      </c>
      <c r="F598" s="39" t="s">
        <v>237</v>
      </c>
      <c r="G598" s="38">
        <v>0</v>
      </c>
      <c r="H598" s="39" t="s">
        <v>380</v>
      </c>
      <c r="I598" s="40">
        <v>44700</v>
      </c>
      <c r="J598" s="40">
        <v>44796</v>
      </c>
      <c r="K598" s="38">
        <v>0</v>
      </c>
      <c r="L598" s="39" t="s">
        <v>380</v>
      </c>
      <c r="M598" s="38">
        <v>0</v>
      </c>
      <c r="N598" s="39" t="s">
        <v>380</v>
      </c>
      <c r="O598" s="41">
        <v>0</v>
      </c>
      <c r="P598" s="38">
        <v>0</v>
      </c>
      <c r="Q598" s="38">
        <v>0</v>
      </c>
      <c r="R598" s="39" t="s">
        <v>237</v>
      </c>
    </row>
    <row r="599" spans="1:18" x14ac:dyDescent="0.3">
      <c r="A599" s="37" t="s">
        <v>378</v>
      </c>
      <c r="B599" s="37" t="s">
        <v>949</v>
      </c>
      <c r="C599" s="37" t="s">
        <v>372</v>
      </c>
      <c r="D599" s="37" t="s">
        <v>375</v>
      </c>
      <c r="E599" s="38">
        <v>4176</v>
      </c>
      <c r="F599" s="39" t="s">
        <v>237</v>
      </c>
      <c r="G599" s="38">
        <v>14400</v>
      </c>
      <c r="H599" s="39" t="s">
        <v>380</v>
      </c>
      <c r="I599" s="40">
        <v>45504</v>
      </c>
      <c r="J599" s="40">
        <v>45517</v>
      </c>
      <c r="K599" s="38">
        <v>56160</v>
      </c>
      <c r="L599" s="39" t="s">
        <v>380</v>
      </c>
      <c r="M599" s="38">
        <v>70560</v>
      </c>
      <c r="N599" s="39" t="s">
        <v>380</v>
      </c>
      <c r="O599" s="41">
        <v>24</v>
      </c>
      <c r="P599" s="38">
        <v>3.47</v>
      </c>
      <c r="Q599" s="38">
        <v>16084.799999999899</v>
      </c>
      <c r="R599" s="39" t="s">
        <v>237</v>
      </c>
    </row>
    <row r="600" spans="1:18" x14ac:dyDescent="0.3">
      <c r="A600" s="37" t="s">
        <v>378</v>
      </c>
      <c r="B600" s="37" t="s">
        <v>950</v>
      </c>
      <c r="C600" s="37" t="s">
        <v>372</v>
      </c>
      <c r="D600" s="37" t="s">
        <v>375</v>
      </c>
      <c r="E600" s="38">
        <v>11.75</v>
      </c>
      <c r="F600" s="39" t="s">
        <v>237</v>
      </c>
      <c r="G600" s="38">
        <v>120</v>
      </c>
      <c r="H600" s="39" t="s">
        <v>380</v>
      </c>
      <c r="I600" s="40">
        <v>45230</v>
      </c>
      <c r="J600" s="40">
        <v>45260</v>
      </c>
      <c r="K600" s="38">
        <v>0</v>
      </c>
      <c r="L600" s="39" t="s">
        <v>380</v>
      </c>
      <c r="M600" s="38">
        <v>0</v>
      </c>
      <c r="N600" s="39" t="s">
        <v>380</v>
      </c>
      <c r="O600" s="41">
        <v>99999</v>
      </c>
      <c r="P600" s="38">
        <v>0</v>
      </c>
      <c r="Q600" s="38">
        <v>0</v>
      </c>
      <c r="R600" s="39" t="s">
        <v>237</v>
      </c>
    </row>
    <row r="601" spans="1:18" x14ac:dyDescent="0.3">
      <c r="A601" s="37" t="s">
        <v>378</v>
      </c>
      <c r="B601" s="37" t="s">
        <v>951</v>
      </c>
      <c r="C601" s="37" t="s">
        <v>372</v>
      </c>
      <c r="D601" s="37" t="s">
        <v>375</v>
      </c>
      <c r="E601" s="38">
        <v>0</v>
      </c>
      <c r="F601" s="39" t="s">
        <v>237</v>
      </c>
      <c r="G601" s="38">
        <v>0</v>
      </c>
      <c r="H601" s="39" t="s">
        <v>380</v>
      </c>
      <c r="I601" s="40">
        <v>45365</v>
      </c>
      <c r="J601" s="40">
        <v>45365</v>
      </c>
      <c r="K601" s="38">
        <v>0</v>
      </c>
      <c r="L601" s="39" t="s">
        <v>380</v>
      </c>
      <c r="M601" s="38">
        <v>0</v>
      </c>
      <c r="N601" s="39" t="s">
        <v>380</v>
      </c>
      <c r="O601" s="41">
        <v>0</v>
      </c>
      <c r="P601" s="38">
        <v>0</v>
      </c>
      <c r="Q601" s="38">
        <v>0</v>
      </c>
      <c r="R601" s="39" t="s">
        <v>237</v>
      </c>
    </row>
    <row r="602" spans="1:18" x14ac:dyDescent="0.3">
      <c r="A602" s="37" t="s">
        <v>378</v>
      </c>
      <c r="B602" s="37" t="s">
        <v>952</v>
      </c>
      <c r="C602" s="37" t="s">
        <v>372</v>
      </c>
      <c r="D602" s="37" t="s">
        <v>375</v>
      </c>
      <c r="E602" s="38">
        <v>0</v>
      </c>
      <c r="F602" s="39" t="s">
        <v>237</v>
      </c>
      <c r="G602" s="38">
        <v>0</v>
      </c>
      <c r="H602" s="39" t="s">
        <v>380</v>
      </c>
      <c r="I602" s="40">
        <v>44295</v>
      </c>
      <c r="J602" s="40">
        <v>44502</v>
      </c>
      <c r="K602" s="38">
        <v>0</v>
      </c>
      <c r="L602" s="39" t="s">
        <v>380</v>
      </c>
      <c r="M602" s="38">
        <v>0</v>
      </c>
      <c r="N602" s="39" t="s">
        <v>380</v>
      </c>
      <c r="O602" s="41">
        <v>0</v>
      </c>
      <c r="P602" s="38">
        <v>0</v>
      </c>
      <c r="Q602" s="38">
        <v>0</v>
      </c>
      <c r="R602" s="39" t="s">
        <v>237</v>
      </c>
    </row>
    <row r="603" spans="1:18" x14ac:dyDescent="0.3">
      <c r="A603" s="37" t="s">
        <v>378</v>
      </c>
      <c r="B603" s="37" t="s">
        <v>953</v>
      </c>
      <c r="C603" s="37" t="s">
        <v>372</v>
      </c>
      <c r="D603" s="37" t="s">
        <v>375</v>
      </c>
      <c r="E603" s="38">
        <v>213.08</v>
      </c>
      <c r="F603" s="39" t="s">
        <v>237</v>
      </c>
      <c r="G603" s="38">
        <v>2243</v>
      </c>
      <c r="H603" s="39" t="s">
        <v>380</v>
      </c>
      <c r="I603" s="40">
        <v>45353</v>
      </c>
      <c r="J603" s="40">
        <v>45365</v>
      </c>
      <c r="K603" s="38">
        <v>0</v>
      </c>
      <c r="L603" s="39" t="s">
        <v>380</v>
      </c>
      <c r="M603" s="38">
        <v>0</v>
      </c>
      <c r="N603" s="39" t="s">
        <v>380</v>
      </c>
      <c r="O603" s="41">
        <v>99999</v>
      </c>
      <c r="P603" s="38">
        <v>0</v>
      </c>
      <c r="Q603" s="38">
        <v>0</v>
      </c>
      <c r="R603" s="39" t="s">
        <v>237</v>
      </c>
    </row>
    <row r="604" spans="1:18" x14ac:dyDescent="0.3">
      <c r="A604" s="37" t="s">
        <v>378</v>
      </c>
      <c r="B604" s="37" t="s">
        <v>954</v>
      </c>
      <c r="C604" s="37" t="s">
        <v>372</v>
      </c>
      <c r="D604" s="37" t="s">
        <v>375</v>
      </c>
      <c r="E604" s="38">
        <v>0</v>
      </c>
      <c r="F604" s="39" t="s">
        <v>237</v>
      </c>
      <c r="G604" s="38">
        <v>0</v>
      </c>
      <c r="H604" s="39" t="s">
        <v>380</v>
      </c>
      <c r="I604" s="40">
        <v>44197</v>
      </c>
      <c r="J604" s="40">
        <v>44249</v>
      </c>
      <c r="K604" s="38">
        <v>0</v>
      </c>
      <c r="L604" s="39" t="s">
        <v>380</v>
      </c>
      <c r="M604" s="38">
        <v>0</v>
      </c>
      <c r="N604" s="39" t="s">
        <v>380</v>
      </c>
      <c r="O604" s="41">
        <v>0</v>
      </c>
      <c r="P604" s="38">
        <v>0</v>
      </c>
      <c r="Q604" s="38">
        <v>0</v>
      </c>
      <c r="R604" s="39" t="s">
        <v>237</v>
      </c>
    </row>
    <row r="605" spans="1:18" x14ac:dyDescent="0.3">
      <c r="A605" s="37" t="s">
        <v>378</v>
      </c>
      <c r="B605" s="37" t="s">
        <v>955</v>
      </c>
      <c r="C605" s="37" t="s">
        <v>372</v>
      </c>
      <c r="D605" s="37" t="s">
        <v>375</v>
      </c>
      <c r="E605" s="38">
        <v>643.75</v>
      </c>
      <c r="F605" s="39" t="s">
        <v>237</v>
      </c>
      <c r="G605" s="38">
        <v>9467</v>
      </c>
      <c r="H605" s="39" t="s">
        <v>380</v>
      </c>
      <c r="I605" s="40">
        <v>45534</v>
      </c>
      <c r="J605" s="40">
        <v>45534</v>
      </c>
      <c r="K605" s="38">
        <v>12403</v>
      </c>
      <c r="L605" s="39" t="s">
        <v>380</v>
      </c>
      <c r="M605" s="38">
        <v>7970</v>
      </c>
      <c r="N605" s="39" t="s">
        <v>380</v>
      </c>
      <c r="O605" s="41">
        <v>196</v>
      </c>
      <c r="P605" s="38">
        <v>0.37</v>
      </c>
      <c r="Q605" s="38">
        <v>301.44999999999902</v>
      </c>
      <c r="R605" s="39" t="s">
        <v>237</v>
      </c>
    </row>
    <row r="606" spans="1:18" x14ac:dyDescent="0.3">
      <c r="A606" s="37" t="s">
        <v>378</v>
      </c>
      <c r="B606" s="37" t="s">
        <v>956</v>
      </c>
      <c r="C606" s="37" t="s">
        <v>372</v>
      </c>
      <c r="D606" s="37" t="s">
        <v>375</v>
      </c>
      <c r="E606" s="38">
        <v>0</v>
      </c>
      <c r="F606" s="39" t="s">
        <v>237</v>
      </c>
      <c r="G606" s="38">
        <v>0</v>
      </c>
      <c r="H606" s="39" t="s">
        <v>380</v>
      </c>
      <c r="I606" s="40">
        <v>44312</v>
      </c>
      <c r="J606" s="40">
        <v>44326</v>
      </c>
      <c r="K606" s="38">
        <v>0</v>
      </c>
      <c r="L606" s="39" t="s">
        <v>380</v>
      </c>
      <c r="M606" s="38">
        <v>0</v>
      </c>
      <c r="N606" s="39" t="s">
        <v>380</v>
      </c>
      <c r="O606" s="41">
        <v>0</v>
      </c>
      <c r="P606" s="38">
        <v>0</v>
      </c>
      <c r="Q606" s="38">
        <v>0</v>
      </c>
      <c r="R606" s="39" t="s">
        <v>237</v>
      </c>
    </row>
    <row r="607" spans="1:18" x14ac:dyDescent="0.3">
      <c r="A607" s="37" t="s">
        <v>378</v>
      </c>
      <c r="B607" s="37" t="s">
        <v>957</v>
      </c>
      <c r="C607" s="37" t="s">
        <v>372</v>
      </c>
      <c r="D607" s="37" t="s">
        <v>375</v>
      </c>
      <c r="E607" s="38">
        <v>0</v>
      </c>
      <c r="F607" s="39" t="s">
        <v>237</v>
      </c>
      <c r="G607" s="38">
        <v>0</v>
      </c>
      <c r="H607" s="39" t="s">
        <v>380</v>
      </c>
      <c r="I607" s="40">
        <v>44921</v>
      </c>
      <c r="J607" s="40">
        <v>44922</v>
      </c>
      <c r="K607" s="38">
        <v>0</v>
      </c>
      <c r="L607" s="39" t="s">
        <v>380</v>
      </c>
      <c r="M607" s="38">
        <v>0</v>
      </c>
      <c r="N607" s="39" t="s">
        <v>380</v>
      </c>
      <c r="O607" s="41">
        <v>0</v>
      </c>
      <c r="P607" s="38">
        <v>0</v>
      </c>
      <c r="Q607" s="38">
        <v>0</v>
      </c>
      <c r="R607" s="39" t="s">
        <v>237</v>
      </c>
    </row>
    <row r="608" spans="1:18" x14ac:dyDescent="0.3">
      <c r="A608" s="37" t="s">
        <v>378</v>
      </c>
      <c r="B608" s="37" t="s">
        <v>958</v>
      </c>
      <c r="C608" s="37" t="s">
        <v>372</v>
      </c>
      <c r="D608" s="37" t="s">
        <v>377</v>
      </c>
      <c r="E608" s="38">
        <v>0</v>
      </c>
      <c r="F608" s="39" t="s">
        <v>237</v>
      </c>
      <c r="G608" s="38">
        <v>0</v>
      </c>
      <c r="H608" s="39" t="s">
        <v>374</v>
      </c>
      <c r="I608" s="40">
        <v>44552</v>
      </c>
      <c r="J608" s="40">
        <v>45070</v>
      </c>
      <c r="K608" s="38">
        <v>0</v>
      </c>
      <c r="L608" s="39" t="s">
        <v>374</v>
      </c>
      <c r="M608" s="38">
        <v>0</v>
      </c>
      <c r="N608" s="39" t="s">
        <v>374</v>
      </c>
      <c r="O608" s="41">
        <v>0</v>
      </c>
      <c r="P608" s="38">
        <v>0</v>
      </c>
      <c r="Q608" s="38">
        <v>0</v>
      </c>
      <c r="R608" s="39" t="s">
        <v>237</v>
      </c>
    </row>
    <row r="609" spans="1:18" x14ac:dyDescent="0.3">
      <c r="A609" s="37" t="s">
        <v>378</v>
      </c>
      <c r="B609" s="37" t="s">
        <v>959</v>
      </c>
      <c r="C609" s="37" t="s">
        <v>372</v>
      </c>
      <c r="D609" s="37" t="s">
        <v>377</v>
      </c>
      <c r="E609" s="38">
        <v>26561.06</v>
      </c>
      <c r="F609" s="39" t="s">
        <v>237</v>
      </c>
      <c r="G609" s="38">
        <v>5027.8879999999899</v>
      </c>
      <c r="H609" s="39" t="s">
        <v>374</v>
      </c>
      <c r="I609" s="40">
        <v>45510</v>
      </c>
      <c r="J609" s="40">
        <v>45496</v>
      </c>
      <c r="K609" s="38">
        <v>1021.684</v>
      </c>
      <c r="L609" s="39" t="s">
        <v>374</v>
      </c>
      <c r="M609" s="38">
        <v>3658.5999999999899</v>
      </c>
      <c r="N609" s="39" t="s">
        <v>374</v>
      </c>
      <c r="O609" s="41">
        <v>1205</v>
      </c>
      <c r="P609" s="38">
        <v>0.12</v>
      </c>
      <c r="Q609" s="38">
        <v>2028.68</v>
      </c>
      <c r="R609" s="39" t="s">
        <v>237</v>
      </c>
    </row>
    <row r="610" spans="1:18" x14ac:dyDescent="0.3">
      <c r="A610" s="37" t="s">
        <v>378</v>
      </c>
      <c r="B610" s="37" t="s">
        <v>960</v>
      </c>
      <c r="C610" s="37" t="s">
        <v>372</v>
      </c>
      <c r="D610" s="37" t="s">
        <v>375</v>
      </c>
      <c r="E610" s="38">
        <v>0</v>
      </c>
      <c r="F610" s="39" t="s">
        <v>237</v>
      </c>
      <c r="G610" s="38">
        <v>0</v>
      </c>
      <c r="H610" s="39" t="s">
        <v>380</v>
      </c>
      <c r="I610" s="40">
        <v>44979</v>
      </c>
      <c r="J610" s="40">
        <v>44986</v>
      </c>
      <c r="K610" s="38">
        <v>0</v>
      </c>
      <c r="L610" s="39" t="s">
        <v>380</v>
      </c>
      <c r="M610" s="38">
        <v>0</v>
      </c>
      <c r="N610" s="39" t="s">
        <v>380</v>
      </c>
      <c r="O610" s="41">
        <v>0</v>
      </c>
      <c r="P610" s="38">
        <v>0</v>
      </c>
      <c r="Q610" s="38">
        <v>0</v>
      </c>
      <c r="R610" s="39" t="s">
        <v>237</v>
      </c>
    </row>
    <row r="611" spans="1:18" x14ac:dyDescent="0.3">
      <c r="A611" s="37" t="s">
        <v>378</v>
      </c>
      <c r="B611" s="37" t="s">
        <v>961</v>
      </c>
      <c r="C611" s="37" t="s">
        <v>372</v>
      </c>
      <c r="D611" s="37" t="s">
        <v>375</v>
      </c>
      <c r="E611" s="38">
        <v>0</v>
      </c>
      <c r="F611" s="39" t="s">
        <v>237</v>
      </c>
      <c r="G611" s="38">
        <v>0</v>
      </c>
      <c r="H611" s="39" t="s">
        <v>380</v>
      </c>
      <c r="I611" s="40">
        <v>44980</v>
      </c>
      <c r="J611" s="40">
        <v>44984</v>
      </c>
      <c r="K611" s="38">
        <v>0</v>
      </c>
      <c r="L611" s="39" t="s">
        <v>380</v>
      </c>
      <c r="M611" s="38">
        <v>0</v>
      </c>
      <c r="N611" s="39" t="s">
        <v>380</v>
      </c>
      <c r="O611" s="41">
        <v>0</v>
      </c>
      <c r="P611" s="38">
        <v>0</v>
      </c>
      <c r="Q611" s="38">
        <v>0</v>
      </c>
      <c r="R611" s="39" t="s">
        <v>237</v>
      </c>
    </row>
    <row r="612" spans="1:18" x14ac:dyDescent="0.3">
      <c r="A612" s="37" t="s">
        <v>378</v>
      </c>
      <c r="B612" s="37" t="s">
        <v>962</v>
      </c>
      <c r="C612" s="37" t="s">
        <v>372</v>
      </c>
      <c r="D612" s="37" t="s">
        <v>375</v>
      </c>
      <c r="E612" s="38">
        <v>0</v>
      </c>
      <c r="F612" s="39" t="s">
        <v>237</v>
      </c>
      <c r="G612" s="38">
        <v>0</v>
      </c>
      <c r="H612" s="39" t="s">
        <v>380</v>
      </c>
      <c r="I612" s="40">
        <v>44925</v>
      </c>
      <c r="J612" s="40">
        <v>44903</v>
      </c>
      <c r="K612" s="38">
        <v>0</v>
      </c>
      <c r="L612" s="39" t="s">
        <v>380</v>
      </c>
      <c r="M612" s="38">
        <v>0</v>
      </c>
      <c r="N612" s="39" t="s">
        <v>380</v>
      </c>
      <c r="O612" s="41">
        <v>0</v>
      </c>
      <c r="P612" s="38">
        <v>0</v>
      </c>
      <c r="Q612" s="38">
        <v>0</v>
      </c>
      <c r="R612" s="39" t="s">
        <v>237</v>
      </c>
    </row>
    <row r="613" spans="1:18" x14ac:dyDescent="0.3">
      <c r="A613" s="37" t="s">
        <v>378</v>
      </c>
      <c r="B613" s="37" t="s">
        <v>963</v>
      </c>
      <c r="C613" s="37" t="s">
        <v>372</v>
      </c>
      <c r="D613" s="37" t="s">
        <v>375</v>
      </c>
      <c r="E613" s="38">
        <v>0</v>
      </c>
      <c r="F613" s="39" t="s">
        <v>237</v>
      </c>
      <c r="G613" s="38">
        <v>0</v>
      </c>
      <c r="H613" s="39" t="s">
        <v>380</v>
      </c>
      <c r="I613" s="40">
        <v>44925</v>
      </c>
      <c r="J613" s="40">
        <v>44907</v>
      </c>
      <c r="K613" s="38">
        <v>0</v>
      </c>
      <c r="L613" s="39" t="s">
        <v>380</v>
      </c>
      <c r="M613" s="38">
        <v>0</v>
      </c>
      <c r="N613" s="39" t="s">
        <v>380</v>
      </c>
      <c r="O613" s="41">
        <v>0</v>
      </c>
      <c r="P613" s="38">
        <v>0</v>
      </c>
      <c r="Q613" s="38">
        <v>0</v>
      </c>
      <c r="R613" s="39" t="s">
        <v>237</v>
      </c>
    </row>
    <row r="614" spans="1:18" x14ac:dyDescent="0.3">
      <c r="A614" s="37" t="s">
        <v>378</v>
      </c>
      <c r="B614" s="37" t="s">
        <v>964</v>
      </c>
      <c r="C614" s="37" t="s">
        <v>372</v>
      </c>
      <c r="D614" s="37" t="s">
        <v>375</v>
      </c>
      <c r="E614" s="38">
        <v>2088</v>
      </c>
      <c r="F614" s="39" t="s">
        <v>237</v>
      </c>
      <c r="G614" s="38">
        <v>7200</v>
      </c>
      <c r="H614" s="39" t="s">
        <v>380</v>
      </c>
      <c r="I614" s="40">
        <v>45532</v>
      </c>
      <c r="J614" s="40"/>
      <c r="K614" s="38">
        <v>0</v>
      </c>
      <c r="L614" s="39" t="s">
        <v>380</v>
      </c>
      <c r="M614" s="38">
        <v>7200</v>
      </c>
      <c r="N614" s="39" t="s">
        <v>380</v>
      </c>
      <c r="O614" s="41">
        <v>99999</v>
      </c>
      <c r="P614" s="38">
        <v>0</v>
      </c>
      <c r="Q614" s="38">
        <v>0</v>
      </c>
      <c r="R614" s="39" t="s">
        <v>237</v>
      </c>
    </row>
    <row r="615" spans="1:18" x14ac:dyDescent="0.3">
      <c r="A615" s="37" t="s">
        <v>378</v>
      </c>
      <c r="B615" s="37" t="s">
        <v>965</v>
      </c>
      <c r="C615" s="37" t="s">
        <v>372</v>
      </c>
      <c r="D615" s="37" t="s">
        <v>375</v>
      </c>
      <c r="E615" s="38">
        <v>0</v>
      </c>
      <c r="F615" s="39" t="s">
        <v>237</v>
      </c>
      <c r="G615" s="38">
        <v>0</v>
      </c>
      <c r="H615" s="39" t="s">
        <v>380</v>
      </c>
      <c r="I615" s="40">
        <v>44985</v>
      </c>
      <c r="J615" s="40">
        <v>44986</v>
      </c>
      <c r="K615" s="38">
        <v>0</v>
      </c>
      <c r="L615" s="39" t="s">
        <v>380</v>
      </c>
      <c r="M615" s="38">
        <v>0</v>
      </c>
      <c r="N615" s="39" t="s">
        <v>380</v>
      </c>
      <c r="O615" s="41">
        <v>0</v>
      </c>
      <c r="P615" s="38">
        <v>0</v>
      </c>
      <c r="Q615" s="38">
        <v>0</v>
      </c>
      <c r="R615" s="39" t="s">
        <v>237</v>
      </c>
    </row>
    <row r="616" spans="1:18" x14ac:dyDescent="0.3">
      <c r="A616" s="37" t="s">
        <v>378</v>
      </c>
      <c r="B616" s="37" t="s">
        <v>966</v>
      </c>
      <c r="C616" s="37" t="s">
        <v>372</v>
      </c>
      <c r="D616" s="37" t="s">
        <v>375</v>
      </c>
      <c r="E616" s="38">
        <v>0</v>
      </c>
      <c r="F616" s="39" t="s">
        <v>237</v>
      </c>
      <c r="G616" s="38">
        <v>0</v>
      </c>
      <c r="H616" s="39" t="s">
        <v>380</v>
      </c>
      <c r="I616" s="40">
        <v>44307</v>
      </c>
      <c r="J616" s="40">
        <v>44468</v>
      </c>
      <c r="K616" s="38">
        <v>0</v>
      </c>
      <c r="L616" s="39" t="s">
        <v>380</v>
      </c>
      <c r="M616" s="38">
        <v>0</v>
      </c>
      <c r="N616" s="39" t="s">
        <v>380</v>
      </c>
      <c r="O616" s="41">
        <v>0</v>
      </c>
      <c r="P616" s="38">
        <v>0</v>
      </c>
      <c r="Q616" s="38">
        <v>0</v>
      </c>
      <c r="R616" s="39" t="s">
        <v>237</v>
      </c>
    </row>
    <row r="617" spans="1:18" x14ac:dyDescent="0.3">
      <c r="A617" s="37" t="s">
        <v>378</v>
      </c>
      <c r="B617" s="37" t="s">
        <v>967</v>
      </c>
      <c r="C617" s="37" t="s">
        <v>372</v>
      </c>
      <c r="D617" s="37" t="s">
        <v>375</v>
      </c>
      <c r="E617" s="38">
        <v>0</v>
      </c>
      <c r="F617" s="39" t="s">
        <v>237</v>
      </c>
      <c r="G617" s="38">
        <v>0</v>
      </c>
      <c r="H617" s="39" t="s">
        <v>380</v>
      </c>
      <c r="I617" s="40">
        <v>44272</v>
      </c>
      <c r="J617" s="40">
        <v>44497</v>
      </c>
      <c r="K617" s="38">
        <v>0</v>
      </c>
      <c r="L617" s="39" t="s">
        <v>380</v>
      </c>
      <c r="M617" s="38">
        <v>0</v>
      </c>
      <c r="N617" s="39" t="s">
        <v>380</v>
      </c>
      <c r="O617" s="41">
        <v>0</v>
      </c>
      <c r="P617" s="38">
        <v>0</v>
      </c>
      <c r="Q617" s="38">
        <v>0</v>
      </c>
      <c r="R617" s="39" t="s">
        <v>237</v>
      </c>
    </row>
    <row r="618" spans="1:18" x14ac:dyDescent="0.3">
      <c r="A618" s="37" t="s">
        <v>378</v>
      </c>
      <c r="B618" s="37" t="s">
        <v>1354</v>
      </c>
      <c r="C618" s="37" t="s">
        <v>372</v>
      </c>
      <c r="D618" s="37" t="s">
        <v>377</v>
      </c>
      <c r="E618" s="38">
        <v>8716.1200000000008</v>
      </c>
      <c r="F618" s="39" t="s">
        <v>237</v>
      </c>
      <c r="G618" s="38">
        <v>362.89999999999901</v>
      </c>
      <c r="H618" s="39" t="s">
        <v>374</v>
      </c>
      <c r="I618" s="40">
        <v>45475</v>
      </c>
      <c r="J618" s="40"/>
      <c r="K618" s="38">
        <v>2009.173</v>
      </c>
      <c r="L618" s="39" t="s">
        <v>374</v>
      </c>
      <c r="M618" s="38">
        <v>1987.7</v>
      </c>
      <c r="N618" s="39" t="s">
        <v>374</v>
      </c>
      <c r="O618" s="41">
        <v>33</v>
      </c>
      <c r="P618" s="38">
        <v>1.74</v>
      </c>
      <c r="Q618" s="38">
        <v>24547.5099999999</v>
      </c>
      <c r="R618" s="39" t="s">
        <v>237</v>
      </c>
    </row>
    <row r="619" spans="1:18" x14ac:dyDescent="0.3">
      <c r="A619" s="37" t="s">
        <v>378</v>
      </c>
      <c r="B619" s="37" t="s">
        <v>1329</v>
      </c>
      <c r="C619" s="37" t="s">
        <v>372</v>
      </c>
      <c r="D619" s="37" t="s">
        <v>375</v>
      </c>
      <c r="E619" s="38">
        <v>2016</v>
      </c>
      <c r="F619" s="39" t="s">
        <v>237</v>
      </c>
      <c r="G619" s="38">
        <v>1800</v>
      </c>
      <c r="H619" s="39" t="s">
        <v>380</v>
      </c>
      <c r="I619" s="40">
        <v>44319</v>
      </c>
      <c r="J619" s="40">
        <v>44322</v>
      </c>
      <c r="K619" s="38">
        <v>142262</v>
      </c>
      <c r="L619" s="39" t="s">
        <v>380</v>
      </c>
      <c r="M619" s="38">
        <v>122116</v>
      </c>
      <c r="N619" s="39" t="s">
        <v>380</v>
      </c>
      <c r="O619" s="41">
        <v>1</v>
      </c>
      <c r="P619" s="38">
        <v>5.74</v>
      </c>
      <c r="Q619" s="38">
        <v>127832.32000000001</v>
      </c>
      <c r="R619" s="39" t="s">
        <v>237</v>
      </c>
    </row>
    <row r="620" spans="1:18" x14ac:dyDescent="0.3">
      <c r="A620" s="37" t="s">
        <v>378</v>
      </c>
      <c r="B620" s="37" t="s">
        <v>968</v>
      </c>
      <c r="C620" s="37" t="s">
        <v>372</v>
      </c>
      <c r="D620" s="37" t="s">
        <v>375</v>
      </c>
      <c r="E620" s="38">
        <v>0</v>
      </c>
      <c r="F620" s="39" t="s">
        <v>237</v>
      </c>
      <c r="G620" s="38">
        <v>0</v>
      </c>
      <c r="H620" s="39" t="s">
        <v>380</v>
      </c>
      <c r="I620" s="40">
        <v>44921</v>
      </c>
      <c r="J620" s="40">
        <v>44922</v>
      </c>
      <c r="K620" s="38">
        <v>0</v>
      </c>
      <c r="L620" s="39" t="s">
        <v>380</v>
      </c>
      <c r="M620" s="38">
        <v>0</v>
      </c>
      <c r="N620" s="39" t="s">
        <v>380</v>
      </c>
      <c r="O620" s="41">
        <v>0</v>
      </c>
      <c r="P620" s="38">
        <v>0</v>
      </c>
      <c r="Q620" s="38">
        <v>0</v>
      </c>
      <c r="R620" s="39" t="s">
        <v>237</v>
      </c>
    </row>
    <row r="621" spans="1:18" x14ac:dyDescent="0.3">
      <c r="A621" s="37" t="s">
        <v>378</v>
      </c>
      <c r="B621" s="37" t="s">
        <v>969</v>
      </c>
      <c r="C621" s="37" t="s">
        <v>372</v>
      </c>
      <c r="D621" s="37" t="s">
        <v>375</v>
      </c>
      <c r="E621" s="38">
        <v>0</v>
      </c>
      <c r="F621" s="39" t="s">
        <v>237</v>
      </c>
      <c r="G621" s="38">
        <v>0</v>
      </c>
      <c r="H621" s="39" t="s">
        <v>380</v>
      </c>
      <c r="I621" s="40">
        <v>44327</v>
      </c>
      <c r="J621" s="40">
        <v>44335</v>
      </c>
      <c r="K621" s="38">
        <v>0</v>
      </c>
      <c r="L621" s="39" t="s">
        <v>380</v>
      </c>
      <c r="M621" s="38">
        <v>0</v>
      </c>
      <c r="N621" s="39" t="s">
        <v>380</v>
      </c>
      <c r="O621" s="41">
        <v>0</v>
      </c>
      <c r="P621" s="38">
        <v>0</v>
      </c>
      <c r="Q621" s="38">
        <v>0</v>
      </c>
      <c r="R621" s="39" t="s">
        <v>237</v>
      </c>
    </row>
    <row r="622" spans="1:18" x14ac:dyDescent="0.3">
      <c r="A622" s="37" t="s">
        <v>378</v>
      </c>
      <c r="B622" s="37" t="s">
        <v>970</v>
      </c>
      <c r="C622" s="37" t="s">
        <v>372</v>
      </c>
      <c r="D622" s="37" t="s">
        <v>375</v>
      </c>
      <c r="E622" s="38">
        <v>0</v>
      </c>
      <c r="F622" s="39" t="s">
        <v>237</v>
      </c>
      <c r="G622" s="38">
        <v>0</v>
      </c>
      <c r="H622" s="39" t="s">
        <v>380</v>
      </c>
      <c r="I622" s="40">
        <v>44735</v>
      </c>
      <c r="J622" s="40">
        <v>44735</v>
      </c>
      <c r="K622" s="38">
        <v>0</v>
      </c>
      <c r="L622" s="39" t="s">
        <v>380</v>
      </c>
      <c r="M622" s="38">
        <v>0</v>
      </c>
      <c r="N622" s="39" t="s">
        <v>380</v>
      </c>
      <c r="O622" s="41">
        <v>0</v>
      </c>
      <c r="P622" s="38">
        <v>0</v>
      </c>
      <c r="Q622" s="38">
        <v>0</v>
      </c>
      <c r="R622" s="39" t="s">
        <v>237</v>
      </c>
    </row>
    <row r="623" spans="1:18" x14ac:dyDescent="0.3">
      <c r="A623" s="37" t="s">
        <v>378</v>
      </c>
      <c r="B623" s="37" t="s">
        <v>971</v>
      </c>
      <c r="C623" s="37" t="s">
        <v>372</v>
      </c>
      <c r="D623" s="37" t="s">
        <v>375</v>
      </c>
      <c r="E623" s="38">
        <v>0</v>
      </c>
      <c r="F623" s="39" t="s">
        <v>237</v>
      </c>
      <c r="G623" s="38">
        <v>0</v>
      </c>
      <c r="H623" s="39" t="s">
        <v>380</v>
      </c>
      <c r="I623" s="40">
        <v>44355</v>
      </c>
      <c r="J623" s="40">
        <v>44376</v>
      </c>
      <c r="K623" s="38">
        <v>0</v>
      </c>
      <c r="L623" s="39" t="s">
        <v>380</v>
      </c>
      <c r="M623" s="38">
        <v>0</v>
      </c>
      <c r="N623" s="39" t="s">
        <v>380</v>
      </c>
      <c r="O623" s="41">
        <v>0</v>
      </c>
      <c r="P623" s="38">
        <v>0</v>
      </c>
      <c r="Q623" s="38">
        <v>0</v>
      </c>
      <c r="R623" s="39" t="s">
        <v>237</v>
      </c>
    </row>
    <row r="624" spans="1:18" x14ac:dyDescent="0.3">
      <c r="A624" s="37" t="s">
        <v>378</v>
      </c>
      <c r="B624" s="37" t="s">
        <v>972</v>
      </c>
      <c r="C624" s="37" t="s">
        <v>372</v>
      </c>
      <c r="D624" s="37" t="s">
        <v>375</v>
      </c>
      <c r="E624" s="38">
        <v>0</v>
      </c>
      <c r="F624" s="39" t="s">
        <v>237</v>
      </c>
      <c r="G624" s="38">
        <v>0</v>
      </c>
      <c r="H624" s="39" t="s">
        <v>380</v>
      </c>
      <c r="I624" s="40">
        <v>44355</v>
      </c>
      <c r="J624" s="40">
        <v>44376</v>
      </c>
      <c r="K624" s="38">
        <v>0</v>
      </c>
      <c r="L624" s="39" t="s">
        <v>380</v>
      </c>
      <c r="M624" s="38">
        <v>0</v>
      </c>
      <c r="N624" s="39" t="s">
        <v>380</v>
      </c>
      <c r="O624" s="41">
        <v>0</v>
      </c>
      <c r="P624" s="38">
        <v>0</v>
      </c>
      <c r="Q624" s="38">
        <v>0</v>
      </c>
      <c r="R624" s="39" t="s">
        <v>237</v>
      </c>
    </row>
    <row r="625" spans="1:18" x14ac:dyDescent="0.3">
      <c r="A625" s="37" t="s">
        <v>378</v>
      </c>
      <c r="B625" s="37" t="s">
        <v>973</v>
      </c>
      <c r="C625" s="37" t="s">
        <v>372</v>
      </c>
      <c r="D625" s="37" t="s">
        <v>375</v>
      </c>
      <c r="E625" s="38">
        <v>0</v>
      </c>
      <c r="F625" s="39" t="s">
        <v>237</v>
      </c>
      <c r="G625" s="38">
        <v>0</v>
      </c>
      <c r="H625" s="39" t="s">
        <v>380</v>
      </c>
      <c r="I625" s="40">
        <v>44356</v>
      </c>
      <c r="J625" s="40">
        <v>44376</v>
      </c>
      <c r="K625" s="38">
        <v>0</v>
      </c>
      <c r="L625" s="39" t="s">
        <v>380</v>
      </c>
      <c r="M625" s="38">
        <v>0</v>
      </c>
      <c r="N625" s="39" t="s">
        <v>380</v>
      </c>
      <c r="O625" s="41">
        <v>0</v>
      </c>
      <c r="P625" s="38">
        <v>0</v>
      </c>
      <c r="Q625" s="38">
        <v>0</v>
      </c>
      <c r="R625" s="39" t="s">
        <v>237</v>
      </c>
    </row>
    <row r="626" spans="1:18" x14ac:dyDescent="0.3">
      <c r="A626" s="37" t="s">
        <v>378</v>
      </c>
      <c r="B626" s="37" t="s">
        <v>974</v>
      </c>
      <c r="C626" s="37" t="s">
        <v>372</v>
      </c>
      <c r="D626" s="37" t="s">
        <v>375</v>
      </c>
      <c r="E626" s="38">
        <v>0</v>
      </c>
      <c r="F626" s="39" t="s">
        <v>237</v>
      </c>
      <c r="G626" s="38">
        <v>0</v>
      </c>
      <c r="H626" s="39" t="s">
        <v>380</v>
      </c>
      <c r="I626" s="40">
        <v>44349</v>
      </c>
      <c r="J626" s="40">
        <v>44362</v>
      </c>
      <c r="K626" s="38">
        <v>0</v>
      </c>
      <c r="L626" s="39" t="s">
        <v>380</v>
      </c>
      <c r="M626" s="38">
        <v>0</v>
      </c>
      <c r="N626" s="39" t="s">
        <v>380</v>
      </c>
      <c r="O626" s="41">
        <v>0</v>
      </c>
      <c r="P626" s="38">
        <v>0</v>
      </c>
      <c r="Q626" s="38">
        <v>0</v>
      </c>
      <c r="R626" s="39" t="s">
        <v>237</v>
      </c>
    </row>
    <row r="627" spans="1:18" x14ac:dyDescent="0.3">
      <c r="A627" s="37" t="s">
        <v>378</v>
      </c>
      <c r="B627" s="37" t="s">
        <v>975</v>
      </c>
      <c r="C627" s="37" t="s">
        <v>372</v>
      </c>
      <c r="D627" s="37" t="s">
        <v>375</v>
      </c>
      <c r="E627" s="38">
        <v>0</v>
      </c>
      <c r="F627" s="39" t="s">
        <v>237</v>
      </c>
      <c r="G627" s="38">
        <v>0</v>
      </c>
      <c r="H627" s="39" t="s">
        <v>380</v>
      </c>
      <c r="I627" s="40">
        <v>44522</v>
      </c>
      <c r="J627" s="40">
        <v>44522</v>
      </c>
      <c r="K627" s="38">
        <v>0</v>
      </c>
      <c r="L627" s="39" t="s">
        <v>380</v>
      </c>
      <c r="M627" s="38">
        <v>0</v>
      </c>
      <c r="N627" s="39" t="s">
        <v>380</v>
      </c>
      <c r="O627" s="41">
        <v>0</v>
      </c>
      <c r="P627" s="38">
        <v>0</v>
      </c>
      <c r="Q627" s="38">
        <v>0</v>
      </c>
      <c r="R627" s="39" t="s">
        <v>237</v>
      </c>
    </row>
    <row r="628" spans="1:18" x14ac:dyDescent="0.3">
      <c r="A628" s="37" t="s">
        <v>378</v>
      </c>
      <c r="B628" s="37" t="s">
        <v>976</v>
      </c>
      <c r="C628" s="37" t="s">
        <v>372</v>
      </c>
      <c r="D628" s="37" t="s">
        <v>375</v>
      </c>
      <c r="E628" s="38">
        <v>0</v>
      </c>
      <c r="F628" s="39" t="s">
        <v>237</v>
      </c>
      <c r="G628" s="38">
        <v>0</v>
      </c>
      <c r="H628" s="39" t="s">
        <v>380</v>
      </c>
      <c r="I628" s="40">
        <v>44522</v>
      </c>
      <c r="J628" s="40">
        <v>44522</v>
      </c>
      <c r="K628" s="38">
        <v>0</v>
      </c>
      <c r="L628" s="39" t="s">
        <v>380</v>
      </c>
      <c r="M628" s="38">
        <v>0</v>
      </c>
      <c r="N628" s="39" t="s">
        <v>380</v>
      </c>
      <c r="O628" s="41">
        <v>0</v>
      </c>
      <c r="P628" s="38">
        <v>0</v>
      </c>
      <c r="Q628" s="38">
        <v>0</v>
      </c>
      <c r="R628" s="39" t="s">
        <v>237</v>
      </c>
    </row>
    <row r="629" spans="1:18" x14ac:dyDescent="0.3">
      <c r="A629" s="37" t="s">
        <v>378</v>
      </c>
      <c r="B629" s="37" t="s">
        <v>977</v>
      </c>
      <c r="C629" s="37" t="s">
        <v>372</v>
      </c>
      <c r="D629" s="37" t="s">
        <v>375</v>
      </c>
      <c r="E629" s="38">
        <v>0</v>
      </c>
      <c r="F629" s="39" t="s">
        <v>237</v>
      </c>
      <c r="G629" s="38">
        <v>0</v>
      </c>
      <c r="H629" s="39" t="s">
        <v>380</v>
      </c>
      <c r="I629" s="40">
        <v>44522</v>
      </c>
      <c r="J629" s="40">
        <v>44522</v>
      </c>
      <c r="K629" s="38">
        <v>0</v>
      </c>
      <c r="L629" s="39" t="s">
        <v>380</v>
      </c>
      <c r="M629" s="38">
        <v>0</v>
      </c>
      <c r="N629" s="39" t="s">
        <v>380</v>
      </c>
      <c r="O629" s="41">
        <v>0</v>
      </c>
      <c r="P629" s="38">
        <v>0</v>
      </c>
      <c r="Q629" s="38">
        <v>0</v>
      </c>
      <c r="R629" s="39" t="s">
        <v>237</v>
      </c>
    </row>
    <row r="630" spans="1:18" x14ac:dyDescent="0.3">
      <c r="A630" s="37" t="s">
        <v>378</v>
      </c>
      <c r="B630" s="37" t="s">
        <v>978</v>
      </c>
      <c r="C630" s="37" t="s">
        <v>372</v>
      </c>
      <c r="D630" s="37" t="s">
        <v>375</v>
      </c>
      <c r="E630" s="38">
        <v>0</v>
      </c>
      <c r="F630" s="39" t="s">
        <v>237</v>
      </c>
      <c r="G630" s="38">
        <v>0</v>
      </c>
      <c r="H630" s="39" t="s">
        <v>380</v>
      </c>
      <c r="I630" s="40">
        <v>44522</v>
      </c>
      <c r="J630" s="40">
        <v>44522</v>
      </c>
      <c r="K630" s="38">
        <v>0</v>
      </c>
      <c r="L630" s="39" t="s">
        <v>380</v>
      </c>
      <c r="M630" s="38">
        <v>0</v>
      </c>
      <c r="N630" s="39" t="s">
        <v>380</v>
      </c>
      <c r="O630" s="41">
        <v>0</v>
      </c>
      <c r="P630" s="38">
        <v>0</v>
      </c>
      <c r="Q630" s="38">
        <v>0</v>
      </c>
      <c r="R630" s="39" t="s">
        <v>237</v>
      </c>
    </row>
    <row r="631" spans="1:18" x14ac:dyDescent="0.3">
      <c r="A631" s="37" t="s">
        <v>378</v>
      </c>
      <c r="B631" s="37" t="s">
        <v>979</v>
      </c>
      <c r="C631" s="37" t="s">
        <v>372</v>
      </c>
      <c r="D631" s="37" t="s">
        <v>375</v>
      </c>
      <c r="E631" s="38">
        <v>0</v>
      </c>
      <c r="F631" s="39" t="s">
        <v>237</v>
      </c>
      <c r="G631" s="38">
        <v>0</v>
      </c>
      <c r="H631" s="39" t="s">
        <v>380</v>
      </c>
      <c r="I631" s="40">
        <v>44522</v>
      </c>
      <c r="J631" s="40">
        <v>44522</v>
      </c>
      <c r="K631" s="38">
        <v>0</v>
      </c>
      <c r="L631" s="39" t="s">
        <v>380</v>
      </c>
      <c r="M631" s="38">
        <v>0</v>
      </c>
      <c r="N631" s="39" t="s">
        <v>380</v>
      </c>
      <c r="O631" s="41">
        <v>0</v>
      </c>
      <c r="P631" s="38">
        <v>0</v>
      </c>
      <c r="Q631" s="38">
        <v>0</v>
      </c>
      <c r="R631" s="39" t="s">
        <v>237</v>
      </c>
    </row>
    <row r="632" spans="1:18" x14ac:dyDescent="0.3">
      <c r="A632" s="37" t="s">
        <v>378</v>
      </c>
      <c r="B632" s="37" t="s">
        <v>980</v>
      </c>
      <c r="C632" s="37" t="s">
        <v>372</v>
      </c>
      <c r="D632" s="37" t="s">
        <v>375</v>
      </c>
      <c r="E632" s="38">
        <v>0</v>
      </c>
      <c r="F632" s="39" t="s">
        <v>237</v>
      </c>
      <c r="G632" s="38">
        <v>0</v>
      </c>
      <c r="H632" s="39" t="s">
        <v>380</v>
      </c>
      <c r="I632" s="40">
        <v>44522</v>
      </c>
      <c r="J632" s="40">
        <v>44522</v>
      </c>
      <c r="K632" s="38">
        <v>0</v>
      </c>
      <c r="L632" s="39" t="s">
        <v>380</v>
      </c>
      <c r="M632" s="38">
        <v>0</v>
      </c>
      <c r="N632" s="39" t="s">
        <v>380</v>
      </c>
      <c r="O632" s="41">
        <v>0</v>
      </c>
      <c r="P632" s="38">
        <v>0</v>
      </c>
      <c r="Q632" s="38">
        <v>0</v>
      </c>
      <c r="R632" s="39" t="s">
        <v>237</v>
      </c>
    </row>
    <row r="633" spans="1:18" x14ac:dyDescent="0.3">
      <c r="A633" s="37" t="s">
        <v>378</v>
      </c>
      <c r="B633" s="37" t="s">
        <v>981</v>
      </c>
      <c r="C633" s="37" t="s">
        <v>372</v>
      </c>
      <c r="D633" s="37" t="s">
        <v>375</v>
      </c>
      <c r="E633" s="38">
        <v>0</v>
      </c>
      <c r="F633" s="39" t="s">
        <v>237</v>
      </c>
      <c r="G633" s="38">
        <v>0</v>
      </c>
      <c r="H633" s="39" t="s">
        <v>380</v>
      </c>
      <c r="I633" s="40">
        <v>44522</v>
      </c>
      <c r="J633" s="40">
        <v>44522</v>
      </c>
      <c r="K633" s="38">
        <v>0</v>
      </c>
      <c r="L633" s="39" t="s">
        <v>380</v>
      </c>
      <c r="M633" s="38">
        <v>0</v>
      </c>
      <c r="N633" s="39" t="s">
        <v>380</v>
      </c>
      <c r="O633" s="41">
        <v>0</v>
      </c>
      <c r="P633" s="38">
        <v>0</v>
      </c>
      <c r="Q633" s="38">
        <v>0</v>
      </c>
      <c r="R633" s="39" t="s">
        <v>237</v>
      </c>
    </row>
    <row r="634" spans="1:18" x14ac:dyDescent="0.3">
      <c r="A634" s="37" t="s">
        <v>378</v>
      </c>
      <c r="B634" s="37" t="s">
        <v>982</v>
      </c>
      <c r="C634" s="37" t="s">
        <v>372</v>
      </c>
      <c r="D634" s="37" t="s">
        <v>375</v>
      </c>
      <c r="E634" s="38">
        <v>0</v>
      </c>
      <c r="F634" s="39" t="s">
        <v>237</v>
      </c>
      <c r="G634" s="38">
        <v>0</v>
      </c>
      <c r="H634" s="39" t="s">
        <v>380</v>
      </c>
      <c r="I634" s="40">
        <v>44522</v>
      </c>
      <c r="J634" s="40">
        <v>44522</v>
      </c>
      <c r="K634" s="38">
        <v>0</v>
      </c>
      <c r="L634" s="39" t="s">
        <v>380</v>
      </c>
      <c r="M634" s="38">
        <v>0</v>
      </c>
      <c r="N634" s="39" t="s">
        <v>380</v>
      </c>
      <c r="O634" s="41">
        <v>0</v>
      </c>
      <c r="P634" s="38">
        <v>0</v>
      </c>
      <c r="Q634" s="38">
        <v>0</v>
      </c>
      <c r="R634" s="39" t="s">
        <v>237</v>
      </c>
    </row>
    <row r="635" spans="1:18" x14ac:dyDescent="0.3">
      <c r="A635" s="37" t="s">
        <v>378</v>
      </c>
      <c r="B635" s="37" t="s">
        <v>983</v>
      </c>
      <c r="C635" s="37" t="s">
        <v>372</v>
      </c>
      <c r="D635" s="37" t="s">
        <v>375</v>
      </c>
      <c r="E635" s="38">
        <v>0</v>
      </c>
      <c r="F635" s="39" t="s">
        <v>237</v>
      </c>
      <c r="G635" s="38">
        <v>0</v>
      </c>
      <c r="H635" s="39" t="s">
        <v>380</v>
      </c>
      <c r="I635" s="40">
        <v>44522</v>
      </c>
      <c r="J635" s="40">
        <v>44522</v>
      </c>
      <c r="K635" s="38">
        <v>0</v>
      </c>
      <c r="L635" s="39" t="s">
        <v>380</v>
      </c>
      <c r="M635" s="38">
        <v>0</v>
      </c>
      <c r="N635" s="39" t="s">
        <v>380</v>
      </c>
      <c r="O635" s="41">
        <v>0</v>
      </c>
      <c r="P635" s="38">
        <v>0</v>
      </c>
      <c r="Q635" s="38">
        <v>0</v>
      </c>
      <c r="R635" s="39" t="s">
        <v>237</v>
      </c>
    </row>
    <row r="636" spans="1:18" x14ac:dyDescent="0.3">
      <c r="A636" s="37" t="s">
        <v>378</v>
      </c>
      <c r="B636" s="37" t="s">
        <v>984</v>
      </c>
      <c r="C636" s="37" t="s">
        <v>372</v>
      </c>
      <c r="D636" s="37" t="s">
        <v>375</v>
      </c>
      <c r="E636" s="38">
        <v>0</v>
      </c>
      <c r="F636" s="39" t="s">
        <v>237</v>
      </c>
      <c r="G636" s="38">
        <v>0</v>
      </c>
      <c r="H636" s="39" t="s">
        <v>380</v>
      </c>
      <c r="I636" s="40">
        <v>44522</v>
      </c>
      <c r="J636" s="40">
        <v>44522</v>
      </c>
      <c r="K636" s="38">
        <v>0</v>
      </c>
      <c r="L636" s="39" t="s">
        <v>380</v>
      </c>
      <c r="M636" s="38">
        <v>0</v>
      </c>
      <c r="N636" s="39" t="s">
        <v>380</v>
      </c>
      <c r="O636" s="41">
        <v>0</v>
      </c>
      <c r="P636" s="38">
        <v>0</v>
      </c>
      <c r="Q636" s="38">
        <v>0</v>
      </c>
      <c r="R636" s="39" t="s">
        <v>237</v>
      </c>
    </row>
    <row r="637" spans="1:18" x14ac:dyDescent="0.3">
      <c r="A637" s="37" t="s">
        <v>378</v>
      </c>
      <c r="B637" s="37" t="s">
        <v>985</v>
      </c>
      <c r="C637" s="37" t="s">
        <v>372</v>
      </c>
      <c r="D637" s="37" t="s">
        <v>375</v>
      </c>
      <c r="E637" s="38">
        <v>0</v>
      </c>
      <c r="F637" s="39" t="s">
        <v>237</v>
      </c>
      <c r="G637" s="38">
        <v>0</v>
      </c>
      <c r="H637" s="39" t="s">
        <v>380</v>
      </c>
      <c r="I637" s="40">
        <v>44356</v>
      </c>
      <c r="J637" s="40">
        <v>44376</v>
      </c>
      <c r="K637" s="38">
        <v>0</v>
      </c>
      <c r="L637" s="39" t="s">
        <v>380</v>
      </c>
      <c r="M637" s="38">
        <v>0</v>
      </c>
      <c r="N637" s="39" t="s">
        <v>380</v>
      </c>
      <c r="O637" s="41">
        <v>0</v>
      </c>
      <c r="P637" s="38">
        <v>0</v>
      </c>
      <c r="Q637" s="38">
        <v>0</v>
      </c>
      <c r="R637" s="39" t="s">
        <v>237</v>
      </c>
    </row>
    <row r="638" spans="1:18" x14ac:dyDescent="0.3">
      <c r="A638" s="37" t="s">
        <v>378</v>
      </c>
      <c r="B638" s="37" t="s">
        <v>986</v>
      </c>
      <c r="C638" s="37" t="s">
        <v>372</v>
      </c>
      <c r="D638" s="37" t="s">
        <v>375</v>
      </c>
      <c r="E638" s="38">
        <v>0</v>
      </c>
      <c r="F638" s="39" t="s">
        <v>237</v>
      </c>
      <c r="G638" s="38">
        <v>0</v>
      </c>
      <c r="H638" s="39" t="s">
        <v>380</v>
      </c>
      <c r="I638" s="40">
        <v>44356</v>
      </c>
      <c r="J638" s="40">
        <v>44376</v>
      </c>
      <c r="K638" s="38">
        <v>0</v>
      </c>
      <c r="L638" s="39" t="s">
        <v>380</v>
      </c>
      <c r="M638" s="38">
        <v>0</v>
      </c>
      <c r="N638" s="39" t="s">
        <v>380</v>
      </c>
      <c r="O638" s="41">
        <v>0</v>
      </c>
      <c r="P638" s="38">
        <v>0</v>
      </c>
      <c r="Q638" s="38">
        <v>0</v>
      </c>
      <c r="R638" s="39" t="s">
        <v>237</v>
      </c>
    </row>
    <row r="639" spans="1:18" x14ac:dyDescent="0.3">
      <c r="A639" s="37" t="s">
        <v>378</v>
      </c>
      <c r="B639" s="37" t="s">
        <v>987</v>
      </c>
      <c r="C639" s="37" t="s">
        <v>372</v>
      </c>
      <c r="D639" s="37" t="s">
        <v>375</v>
      </c>
      <c r="E639" s="38">
        <v>0</v>
      </c>
      <c r="F639" s="39" t="s">
        <v>237</v>
      </c>
      <c r="G639" s="38">
        <v>0</v>
      </c>
      <c r="H639" s="39" t="s">
        <v>380</v>
      </c>
      <c r="I639" s="40">
        <v>44364</v>
      </c>
      <c r="J639" s="40">
        <v>44376</v>
      </c>
      <c r="K639" s="38">
        <v>0</v>
      </c>
      <c r="L639" s="39" t="s">
        <v>380</v>
      </c>
      <c r="M639" s="38">
        <v>0</v>
      </c>
      <c r="N639" s="39" t="s">
        <v>380</v>
      </c>
      <c r="O639" s="41">
        <v>0</v>
      </c>
      <c r="P639" s="38">
        <v>0</v>
      </c>
      <c r="Q639" s="38">
        <v>0</v>
      </c>
      <c r="R639" s="39" t="s">
        <v>237</v>
      </c>
    </row>
    <row r="640" spans="1:18" x14ac:dyDescent="0.3">
      <c r="A640" s="37" t="s">
        <v>378</v>
      </c>
      <c r="B640" s="37" t="s">
        <v>988</v>
      </c>
      <c r="C640" s="37" t="s">
        <v>372</v>
      </c>
      <c r="D640" s="37" t="s">
        <v>375</v>
      </c>
      <c r="E640" s="38">
        <v>0</v>
      </c>
      <c r="F640" s="39" t="s">
        <v>237</v>
      </c>
      <c r="G640" s="38">
        <v>0</v>
      </c>
      <c r="H640" s="39" t="s">
        <v>380</v>
      </c>
      <c r="I640" s="40">
        <v>44356</v>
      </c>
      <c r="J640" s="40">
        <v>44376</v>
      </c>
      <c r="K640" s="38">
        <v>0</v>
      </c>
      <c r="L640" s="39" t="s">
        <v>380</v>
      </c>
      <c r="M640" s="38">
        <v>0</v>
      </c>
      <c r="N640" s="39" t="s">
        <v>380</v>
      </c>
      <c r="O640" s="41">
        <v>0</v>
      </c>
      <c r="P640" s="38">
        <v>0</v>
      </c>
      <c r="Q640" s="38">
        <v>0</v>
      </c>
      <c r="R640" s="39" t="s">
        <v>237</v>
      </c>
    </row>
    <row r="641" spans="1:18" x14ac:dyDescent="0.3">
      <c r="A641" s="37" t="s">
        <v>378</v>
      </c>
      <c r="B641" s="37" t="s">
        <v>989</v>
      </c>
      <c r="C641" s="37" t="s">
        <v>372</v>
      </c>
      <c r="D641" s="37" t="s">
        <v>375</v>
      </c>
      <c r="E641" s="38">
        <v>0</v>
      </c>
      <c r="F641" s="39" t="s">
        <v>237</v>
      </c>
      <c r="G641" s="38">
        <v>0</v>
      </c>
      <c r="H641" s="39" t="s">
        <v>380</v>
      </c>
      <c r="I641" s="40">
        <v>44364</v>
      </c>
      <c r="J641" s="40">
        <v>44376</v>
      </c>
      <c r="K641" s="38">
        <v>0</v>
      </c>
      <c r="L641" s="39" t="s">
        <v>380</v>
      </c>
      <c r="M641" s="38">
        <v>0</v>
      </c>
      <c r="N641" s="39" t="s">
        <v>380</v>
      </c>
      <c r="O641" s="41">
        <v>0</v>
      </c>
      <c r="P641" s="38">
        <v>0</v>
      </c>
      <c r="Q641" s="38">
        <v>0</v>
      </c>
      <c r="R641" s="39" t="s">
        <v>237</v>
      </c>
    </row>
    <row r="642" spans="1:18" x14ac:dyDescent="0.3">
      <c r="A642" s="37" t="s">
        <v>378</v>
      </c>
      <c r="B642" s="37" t="s">
        <v>990</v>
      </c>
      <c r="C642" s="37" t="s">
        <v>372</v>
      </c>
      <c r="D642" s="37" t="s">
        <v>375</v>
      </c>
      <c r="E642" s="38">
        <v>0</v>
      </c>
      <c r="F642" s="39" t="s">
        <v>237</v>
      </c>
      <c r="G642" s="38">
        <v>0</v>
      </c>
      <c r="H642" s="39" t="s">
        <v>380</v>
      </c>
      <c r="I642" s="40">
        <v>44364</v>
      </c>
      <c r="J642" s="40">
        <v>44376</v>
      </c>
      <c r="K642" s="38">
        <v>0</v>
      </c>
      <c r="L642" s="39" t="s">
        <v>380</v>
      </c>
      <c r="M642" s="38">
        <v>0</v>
      </c>
      <c r="N642" s="39" t="s">
        <v>380</v>
      </c>
      <c r="O642" s="41">
        <v>0</v>
      </c>
      <c r="P642" s="38">
        <v>0</v>
      </c>
      <c r="Q642" s="38">
        <v>0</v>
      </c>
      <c r="R642" s="39" t="s">
        <v>237</v>
      </c>
    </row>
    <row r="643" spans="1:18" x14ac:dyDescent="0.3">
      <c r="A643" s="37" t="s">
        <v>378</v>
      </c>
      <c r="B643" s="37" t="s">
        <v>991</v>
      </c>
      <c r="C643" s="37" t="s">
        <v>372</v>
      </c>
      <c r="D643" s="37" t="s">
        <v>375</v>
      </c>
      <c r="E643" s="38">
        <v>0</v>
      </c>
      <c r="F643" s="39" t="s">
        <v>237</v>
      </c>
      <c r="G643" s="38">
        <v>0</v>
      </c>
      <c r="H643" s="39" t="s">
        <v>380</v>
      </c>
      <c r="I643" s="40">
        <v>44364</v>
      </c>
      <c r="J643" s="40">
        <v>44376</v>
      </c>
      <c r="K643" s="38">
        <v>0</v>
      </c>
      <c r="L643" s="39" t="s">
        <v>380</v>
      </c>
      <c r="M643" s="38">
        <v>0</v>
      </c>
      <c r="N643" s="39" t="s">
        <v>380</v>
      </c>
      <c r="O643" s="41">
        <v>0</v>
      </c>
      <c r="P643" s="38">
        <v>0</v>
      </c>
      <c r="Q643" s="38">
        <v>0</v>
      </c>
      <c r="R643" s="39" t="s">
        <v>237</v>
      </c>
    </row>
    <row r="644" spans="1:18" x14ac:dyDescent="0.3">
      <c r="A644" s="37" t="s">
        <v>378</v>
      </c>
      <c r="B644" s="37" t="s">
        <v>992</v>
      </c>
      <c r="C644" s="37" t="s">
        <v>372</v>
      </c>
      <c r="D644" s="37" t="s">
        <v>375</v>
      </c>
      <c r="E644" s="38">
        <v>0</v>
      </c>
      <c r="F644" s="39" t="s">
        <v>237</v>
      </c>
      <c r="G644" s="38">
        <v>0</v>
      </c>
      <c r="H644" s="39" t="s">
        <v>380</v>
      </c>
      <c r="I644" s="40">
        <v>44391</v>
      </c>
      <c r="J644" s="40">
        <v>44391</v>
      </c>
      <c r="K644" s="38">
        <v>0</v>
      </c>
      <c r="L644" s="39" t="s">
        <v>380</v>
      </c>
      <c r="M644" s="38">
        <v>0</v>
      </c>
      <c r="N644" s="39" t="s">
        <v>380</v>
      </c>
      <c r="O644" s="41">
        <v>0</v>
      </c>
      <c r="P644" s="38">
        <v>0</v>
      </c>
      <c r="Q644" s="38">
        <v>0</v>
      </c>
      <c r="R644" s="39" t="s">
        <v>237</v>
      </c>
    </row>
    <row r="645" spans="1:18" x14ac:dyDescent="0.3">
      <c r="A645" s="37" t="s">
        <v>378</v>
      </c>
      <c r="B645" s="37" t="s">
        <v>993</v>
      </c>
      <c r="C645" s="37" t="s">
        <v>372</v>
      </c>
      <c r="D645" s="37" t="s">
        <v>375</v>
      </c>
      <c r="E645" s="38">
        <v>0</v>
      </c>
      <c r="F645" s="39" t="s">
        <v>237</v>
      </c>
      <c r="G645" s="38">
        <v>0</v>
      </c>
      <c r="H645" s="39" t="s">
        <v>380</v>
      </c>
      <c r="I645" s="40">
        <v>44385</v>
      </c>
      <c r="J645" s="40">
        <v>44385</v>
      </c>
      <c r="K645" s="38">
        <v>0</v>
      </c>
      <c r="L645" s="39" t="s">
        <v>380</v>
      </c>
      <c r="M645" s="38">
        <v>0</v>
      </c>
      <c r="N645" s="39" t="s">
        <v>380</v>
      </c>
      <c r="O645" s="41">
        <v>0</v>
      </c>
      <c r="P645" s="38">
        <v>0</v>
      </c>
      <c r="Q645" s="38">
        <v>0</v>
      </c>
      <c r="R645" s="39" t="s">
        <v>237</v>
      </c>
    </row>
    <row r="646" spans="1:18" x14ac:dyDescent="0.3">
      <c r="A646" s="37" t="s">
        <v>378</v>
      </c>
      <c r="B646" s="37" t="s">
        <v>994</v>
      </c>
      <c r="C646" s="37" t="s">
        <v>372</v>
      </c>
      <c r="D646" s="37" t="s">
        <v>375</v>
      </c>
      <c r="E646" s="38">
        <v>0</v>
      </c>
      <c r="F646" s="39" t="s">
        <v>237</v>
      </c>
      <c r="G646" s="38">
        <v>0</v>
      </c>
      <c r="H646" s="39" t="s">
        <v>380</v>
      </c>
      <c r="I646" s="40">
        <v>44385</v>
      </c>
      <c r="J646" s="40">
        <v>44385</v>
      </c>
      <c r="K646" s="38">
        <v>0</v>
      </c>
      <c r="L646" s="39" t="s">
        <v>380</v>
      </c>
      <c r="M646" s="38">
        <v>0</v>
      </c>
      <c r="N646" s="39" t="s">
        <v>380</v>
      </c>
      <c r="O646" s="41">
        <v>0</v>
      </c>
      <c r="P646" s="38">
        <v>0</v>
      </c>
      <c r="Q646" s="38">
        <v>0</v>
      </c>
      <c r="R646" s="39" t="s">
        <v>237</v>
      </c>
    </row>
    <row r="647" spans="1:18" x14ac:dyDescent="0.3">
      <c r="A647" s="37" t="s">
        <v>378</v>
      </c>
      <c r="B647" s="37" t="s">
        <v>995</v>
      </c>
      <c r="C647" s="37" t="s">
        <v>372</v>
      </c>
      <c r="D647" s="37" t="s">
        <v>375</v>
      </c>
      <c r="E647" s="38">
        <v>34132</v>
      </c>
      <c r="F647" s="39" t="s">
        <v>237</v>
      </c>
      <c r="G647" s="38">
        <v>97520</v>
      </c>
      <c r="H647" s="39" t="s">
        <v>380</v>
      </c>
      <c r="I647" s="40">
        <v>45532</v>
      </c>
      <c r="J647" s="40">
        <v>45533</v>
      </c>
      <c r="K647" s="38">
        <v>263220</v>
      </c>
      <c r="L647" s="39" t="s">
        <v>380</v>
      </c>
      <c r="M647" s="38">
        <v>272320</v>
      </c>
      <c r="N647" s="39" t="s">
        <v>380</v>
      </c>
      <c r="O647" s="41">
        <v>36</v>
      </c>
      <c r="P647" s="38">
        <v>3.39</v>
      </c>
      <c r="Q647" s="38">
        <v>86848</v>
      </c>
      <c r="R647" s="39" t="s">
        <v>237</v>
      </c>
    </row>
    <row r="648" spans="1:18" x14ac:dyDescent="0.3">
      <c r="A648" s="37" t="s">
        <v>378</v>
      </c>
      <c r="B648" s="37" t="s">
        <v>996</v>
      </c>
      <c r="C648" s="37" t="s">
        <v>372</v>
      </c>
      <c r="D648" s="37" t="s">
        <v>375</v>
      </c>
      <c r="E648" s="38">
        <v>0</v>
      </c>
      <c r="F648" s="39" t="s">
        <v>237</v>
      </c>
      <c r="G648" s="38">
        <v>0</v>
      </c>
      <c r="H648" s="39" t="s">
        <v>380</v>
      </c>
      <c r="I648" s="40">
        <v>44545</v>
      </c>
      <c r="J648" s="40">
        <v>44551</v>
      </c>
      <c r="K648" s="38">
        <v>0</v>
      </c>
      <c r="L648" s="39" t="s">
        <v>380</v>
      </c>
      <c r="M648" s="38">
        <v>0</v>
      </c>
      <c r="N648" s="39" t="s">
        <v>380</v>
      </c>
      <c r="O648" s="41">
        <v>0</v>
      </c>
      <c r="P648" s="38">
        <v>0</v>
      </c>
      <c r="Q648" s="38">
        <v>0</v>
      </c>
      <c r="R648" s="39" t="s">
        <v>237</v>
      </c>
    </row>
    <row r="649" spans="1:18" x14ac:dyDescent="0.3">
      <c r="A649" s="37" t="s">
        <v>378</v>
      </c>
      <c r="B649" s="37" t="s">
        <v>997</v>
      </c>
      <c r="C649" s="37" t="s">
        <v>372</v>
      </c>
      <c r="D649" s="37" t="s">
        <v>375</v>
      </c>
      <c r="E649" s="38">
        <v>0</v>
      </c>
      <c r="F649" s="39" t="s">
        <v>237</v>
      </c>
      <c r="G649" s="38">
        <v>0</v>
      </c>
      <c r="H649" s="39" t="s">
        <v>380</v>
      </c>
      <c r="I649" s="40">
        <v>44425</v>
      </c>
      <c r="J649" s="40">
        <v>44602</v>
      </c>
      <c r="K649" s="38">
        <v>0</v>
      </c>
      <c r="L649" s="39" t="s">
        <v>380</v>
      </c>
      <c r="M649" s="38">
        <v>0</v>
      </c>
      <c r="N649" s="39" t="s">
        <v>380</v>
      </c>
      <c r="O649" s="41">
        <v>0</v>
      </c>
      <c r="P649" s="38">
        <v>0</v>
      </c>
      <c r="Q649" s="38">
        <v>0</v>
      </c>
      <c r="R649" s="39" t="s">
        <v>237</v>
      </c>
    </row>
    <row r="650" spans="1:18" x14ac:dyDescent="0.3">
      <c r="A650" s="37" t="s">
        <v>378</v>
      </c>
      <c r="B650" s="37" t="s">
        <v>998</v>
      </c>
      <c r="C650" s="37" t="s">
        <v>372</v>
      </c>
      <c r="D650" s="37" t="s">
        <v>375</v>
      </c>
      <c r="E650" s="38">
        <v>0</v>
      </c>
      <c r="F650" s="39" t="s">
        <v>237</v>
      </c>
      <c r="G650" s="38">
        <v>0</v>
      </c>
      <c r="H650" s="39" t="s">
        <v>380</v>
      </c>
      <c r="I650" s="40">
        <v>44565</v>
      </c>
      <c r="J650" s="40">
        <v>45103</v>
      </c>
      <c r="K650" s="38">
        <v>0</v>
      </c>
      <c r="L650" s="39" t="s">
        <v>380</v>
      </c>
      <c r="M650" s="38">
        <v>0</v>
      </c>
      <c r="N650" s="39" t="s">
        <v>380</v>
      </c>
      <c r="O650" s="41">
        <v>0</v>
      </c>
      <c r="P650" s="38">
        <v>0</v>
      </c>
      <c r="Q650" s="38">
        <v>0</v>
      </c>
      <c r="R650" s="39" t="s">
        <v>237</v>
      </c>
    </row>
    <row r="651" spans="1:18" x14ac:dyDescent="0.3">
      <c r="A651" s="37" t="s">
        <v>378</v>
      </c>
      <c r="B651" s="37" t="s">
        <v>999</v>
      </c>
      <c r="C651" s="37" t="s">
        <v>372</v>
      </c>
      <c r="D651" s="37" t="s">
        <v>377</v>
      </c>
      <c r="E651" s="38">
        <v>0</v>
      </c>
      <c r="F651" s="39" t="s">
        <v>237</v>
      </c>
      <c r="G651" s="38">
        <v>0</v>
      </c>
      <c r="H651" s="39" t="s">
        <v>374</v>
      </c>
      <c r="I651" s="40">
        <v>44986</v>
      </c>
      <c r="J651" s="40">
        <v>45264</v>
      </c>
      <c r="K651" s="38">
        <v>0</v>
      </c>
      <c r="L651" s="39" t="s">
        <v>374</v>
      </c>
      <c r="M651" s="38">
        <v>0</v>
      </c>
      <c r="N651" s="39" t="s">
        <v>374</v>
      </c>
      <c r="O651" s="41">
        <v>0</v>
      </c>
      <c r="P651" s="38">
        <v>0</v>
      </c>
      <c r="Q651" s="38">
        <v>0</v>
      </c>
      <c r="R651" s="39" t="s">
        <v>237</v>
      </c>
    </row>
    <row r="652" spans="1:18" x14ac:dyDescent="0.3">
      <c r="A652" s="37" t="s">
        <v>378</v>
      </c>
      <c r="B652" s="37" t="s">
        <v>1000</v>
      </c>
      <c r="C652" s="37" t="s">
        <v>372</v>
      </c>
      <c r="D652" s="37" t="s">
        <v>377</v>
      </c>
      <c r="E652" s="38">
        <v>39794.76</v>
      </c>
      <c r="F652" s="39" t="s">
        <v>237</v>
      </c>
      <c r="G652" s="38">
        <v>6148.9840000000004</v>
      </c>
      <c r="H652" s="39" t="s">
        <v>374</v>
      </c>
      <c r="I652" s="40">
        <v>45479</v>
      </c>
      <c r="J652" s="40"/>
      <c r="K652" s="38">
        <v>18879.432000000001</v>
      </c>
      <c r="L652" s="39" t="s">
        <v>374</v>
      </c>
      <c r="M652" s="38">
        <v>20410.9019999999</v>
      </c>
      <c r="N652" s="39" t="s">
        <v>374</v>
      </c>
      <c r="O652" s="41">
        <v>58</v>
      </c>
      <c r="P652" s="38">
        <v>1.75</v>
      </c>
      <c r="Q652" s="38">
        <v>62903.32</v>
      </c>
      <c r="R652" s="39" t="s">
        <v>237</v>
      </c>
    </row>
    <row r="653" spans="1:18" x14ac:dyDescent="0.3">
      <c r="A653" s="37" t="s">
        <v>378</v>
      </c>
      <c r="B653" s="37" t="s">
        <v>1001</v>
      </c>
      <c r="C653" s="37" t="s">
        <v>372</v>
      </c>
      <c r="D653" s="37" t="s">
        <v>377</v>
      </c>
      <c r="E653" s="38">
        <v>1450.01</v>
      </c>
      <c r="F653" s="39" t="s">
        <v>237</v>
      </c>
      <c r="G653" s="38">
        <v>25</v>
      </c>
      <c r="H653" s="39" t="s">
        <v>374</v>
      </c>
      <c r="I653" s="40">
        <v>44720</v>
      </c>
      <c r="J653" s="40">
        <v>45274</v>
      </c>
      <c r="K653" s="38">
        <v>0</v>
      </c>
      <c r="L653" s="39" t="s">
        <v>374</v>
      </c>
      <c r="M653" s="38">
        <v>0</v>
      </c>
      <c r="N653" s="39" t="s">
        <v>374</v>
      </c>
      <c r="O653" s="41">
        <v>99999</v>
      </c>
      <c r="P653" s="38">
        <v>0</v>
      </c>
      <c r="Q653" s="38">
        <v>0</v>
      </c>
      <c r="R653" s="39" t="s">
        <v>237</v>
      </c>
    </row>
    <row r="654" spans="1:18" x14ac:dyDescent="0.3">
      <c r="A654" s="37" t="s">
        <v>378</v>
      </c>
      <c r="B654" s="37" t="s">
        <v>1002</v>
      </c>
      <c r="C654" s="37" t="s">
        <v>372</v>
      </c>
      <c r="D654" s="37" t="s">
        <v>375</v>
      </c>
      <c r="E654" s="38">
        <v>0</v>
      </c>
      <c r="F654" s="39" t="s">
        <v>237</v>
      </c>
      <c r="G654" s="38">
        <v>0</v>
      </c>
      <c r="H654" s="39" t="s">
        <v>380</v>
      </c>
      <c r="I654" s="40">
        <v>45471</v>
      </c>
      <c r="J654" s="40">
        <v>45524</v>
      </c>
      <c r="K654" s="38">
        <v>75600</v>
      </c>
      <c r="L654" s="39" t="s">
        <v>380</v>
      </c>
      <c r="M654" s="38">
        <v>75600</v>
      </c>
      <c r="N654" s="39" t="s">
        <v>380</v>
      </c>
      <c r="O654" s="41">
        <v>0</v>
      </c>
      <c r="P654" s="38">
        <v>4</v>
      </c>
      <c r="Q654" s="38">
        <v>17010</v>
      </c>
      <c r="R654" s="39" t="s">
        <v>237</v>
      </c>
    </row>
    <row r="655" spans="1:18" x14ac:dyDescent="0.3">
      <c r="A655" s="37" t="s">
        <v>378</v>
      </c>
      <c r="B655" s="37" t="s">
        <v>1003</v>
      </c>
      <c r="C655" s="37" t="s">
        <v>372</v>
      </c>
      <c r="D655" s="37" t="s">
        <v>375</v>
      </c>
      <c r="E655" s="38">
        <v>0</v>
      </c>
      <c r="F655" s="39" t="s">
        <v>237</v>
      </c>
      <c r="G655" s="38">
        <v>0</v>
      </c>
      <c r="H655" s="39" t="s">
        <v>380</v>
      </c>
      <c r="I655" s="40">
        <v>44438</v>
      </c>
      <c r="J655" s="40">
        <v>44440</v>
      </c>
      <c r="K655" s="38">
        <v>0</v>
      </c>
      <c r="L655" s="39" t="s">
        <v>380</v>
      </c>
      <c r="M655" s="38">
        <v>0</v>
      </c>
      <c r="N655" s="39" t="s">
        <v>380</v>
      </c>
      <c r="O655" s="41">
        <v>0</v>
      </c>
      <c r="P655" s="38">
        <v>0</v>
      </c>
      <c r="Q655" s="38">
        <v>0</v>
      </c>
      <c r="R655" s="39" t="s">
        <v>237</v>
      </c>
    </row>
    <row r="656" spans="1:18" x14ac:dyDescent="0.3">
      <c r="A656" s="37" t="s">
        <v>378</v>
      </c>
      <c r="B656" s="37" t="s">
        <v>1004</v>
      </c>
      <c r="C656" s="37" t="s">
        <v>372</v>
      </c>
      <c r="D656" s="37" t="s">
        <v>375</v>
      </c>
      <c r="E656" s="38">
        <v>0</v>
      </c>
      <c r="F656" s="39" t="s">
        <v>237</v>
      </c>
      <c r="G656" s="38">
        <v>0</v>
      </c>
      <c r="H656" s="39" t="s">
        <v>380</v>
      </c>
      <c r="I656" s="40">
        <v>44445</v>
      </c>
      <c r="J656" s="40">
        <v>44482</v>
      </c>
      <c r="K656" s="38">
        <v>0</v>
      </c>
      <c r="L656" s="39" t="s">
        <v>380</v>
      </c>
      <c r="M656" s="38">
        <v>0</v>
      </c>
      <c r="N656" s="39" t="s">
        <v>380</v>
      </c>
      <c r="O656" s="41">
        <v>0</v>
      </c>
      <c r="P656" s="38">
        <v>0</v>
      </c>
      <c r="Q656" s="38">
        <v>0</v>
      </c>
      <c r="R656" s="39" t="s">
        <v>237</v>
      </c>
    </row>
    <row r="657" spans="1:18" x14ac:dyDescent="0.3">
      <c r="A657" s="37" t="s">
        <v>378</v>
      </c>
      <c r="B657" s="37" t="s">
        <v>1005</v>
      </c>
      <c r="C657" s="37" t="s">
        <v>372</v>
      </c>
      <c r="D657" s="37" t="s">
        <v>375</v>
      </c>
      <c r="E657" s="38">
        <v>0</v>
      </c>
      <c r="F657" s="39" t="s">
        <v>237</v>
      </c>
      <c r="G657" s="38">
        <v>0</v>
      </c>
      <c r="H657" s="39" t="s">
        <v>380</v>
      </c>
      <c r="I657" s="40">
        <v>44441</v>
      </c>
      <c r="J657" s="40">
        <v>44452</v>
      </c>
      <c r="K657" s="38">
        <v>0</v>
      </c>
      <c r="L657" s="39" t="s">
        <v>380</v>
      </c>
      <c r="M657" s="38">
        <v>0</v>
      </c>
      <c r="N657" s="39" t="s">
        <v>380</v>
      </c>
      <c r="O657" s="41">
        <v>0</v>
      </c>
      <c r="P657" s="38">
        <v>0</v>
      </c>
      <c r="Q657" s="38">
        <v>0</v>
      </c>
      <c r="R657" s="39" t="s">
        <v>237</v>
      </c>
    </row>
    <row r="658" spans="1:18" x14ac:dyDescent="0.3">
      <c r="A658" s="37" t="s">
        <v>378</v>
      </c>
      <c r="B658" s="37" t="s">
        <v>1006</v>
      </c>
      <c r="C658" s="37" t="s">
        <v>372</v>
      </c>
      <c r="D658" s="37" t="s">
        <v>375</v>
      </c>
      <c r="E658" s="38">
        <v>0</v>
      </c>
      <c r="F658" s="39" t="s">
        <v>237</v>
      </c>
      <c r="G658" s="38">
        <v>0</v>
      </c>
      <c r="H658" s="39" t="s">
        <v>380</v>
      </c>
      <c r="I658" s="40">
        <v>44435</v>
      </c>
      <c r="J658" s="40">
        <v>44440</v>
      </c>
      <c r="K658" s="38">
        <v>0</v>
      </c>
      <c r="L658" s="39" t="s">
        <v>380</v>
      </c>
      <c r="M658" s="38">
        <v>0</v>
      </c>
      <c r="N658" s="39" t="s">
        <v>380</v>
      </c>
      <c r="O658" s="41">
        <v>0</v>
      </c>
      <c r="P658" s="38">
        <v>0</v>
      </c>
      <c r="Q658" s="38">
        <v>0</v>
      </c>
      <c r="R658" s="39" t="s">
        <v>237</v>
      </c>
    </row>
    <row r="659" spans="1:18" x14ac:dyDescent="0.3">
      <c r="A659" s="37" t="s">
        <v>378</v>
      </c>
      <c r="B659" s="37" t="s">
        <v>1007</v>
      </c>
      <c r="C659" s="37" t="s">
        <v>372</v>
      </c>
      <c r="D659" s="37" t="s">
        <v>375</v>
      </c>
      <c r="E659" s="38">
        <v>0</v>
      </c>
      <c r="F659" s="39" t="s">
        <v>237</v>
      </c>
      <c r="G659" s="38">
        <v>0</v>
      </c>
      <c r="H659" s="39" t="s">
        <v>380</v>
      </c>
      <c r="I659" s="40">
        <v>44524</v>
      </c>
      <c r="J659" s="40">
        <v>44596</v>
      </c>
      <c r="K659" s="38">
        <v>0</v>
      </c>
      <c r="L659" s="39" t="s">
        <v>380</v>
      </c>
      <c r="M659" s="38">
        <v>0</v>
      </c>
      <c r="N659" s="39" t="s">
        <v>380</v>
      </c>
      <c r="O659" s="41">
        <v>0</v>
      </c>
      <c r="P659" s="38">
        <v>0</v>
      </c>
      <c r="Q659" s="38">
        <v>0</v>
      </c>
      <c r="R659" s="39" t="s">
        <v>237</v>
      </c>
    </row>
    <row r="660" spans="1:18" x14ac:dyDescent="0.3">
      <c r="A660" s="37" t="s">
        <v>378</v>
      </c>
      <c r="B660" s="37" t="s">
        <v>1008</v>
      </c>
      <c r="C660" s="37" t="s">
        <v>372</v>
      </c>
      <c r="D660" s="37" t="s">
        <v>375</v>
      </c>
      <c r="E660" s="38">
        <v>0</v>
      </c>
      <c r="F660" s="39" t="s">
        <v>237</v>
      </c>
      <c r="G660" s="38">
        <v>0</v>
      </c>
      <c r="H660" s="39" t="s">
        <v>380</v>
      </c>
      <c r="I660" s="40">
        <v>44448</v>
      </c>
      <c r="J660" s="40">
        <v>45369</v>
      </c>
      <c r="K660" s="38">
        <v>0</v>
      </c>
      <c r="L660" s="39" t="s">
        <v>380</v>
      </c>
      <c r="M660" s="38">
        <v>0</v>
      </c>
      <c r="N660" s="39" t="s">
        <v>380</v>
      </c>
      <c r="O660" s="41">
        <v>0</v>
      </c>
      <c r="P660" s="38">
        <v>0</v>
      </c>
      <c r="Q660" s="38">
        <v>0</v>
      </c>
      <c r="R660" s="39" t="s">
        <v>237</v>
      </c>
    </row>
    <row r="661" spans="1:18" x14ac:dyDescent="0.3">
      <c r="A661" s="37" t="s">
        <v>378</v>
      </c>
      <c r="B661" s="37" t="s">
        <v>1009</v>
      </c>
      <c r="C661" s="37" t="s">
        <v>372</v>
      </c>
      <c r="D661" s="37" t="s">
        <v>375</v>
      </c>
      <c r="E661" s="38">
        <v>0</v>
      </c>
      <c r="F661" s="39" t="s">
        <v>237</v>
      </c>
      <c r="G661" s="38">
        <v>0</v>
      </c>
      <c r="H661" s="39" t="s">
        <v>380</v>
      </c>
      <c r="I661" s="40">
        <v>44448</v>
      </c>
      <c r="J661" s="40">
        <v>44523</v>
      </c>
      <c r="K661" s="38">
        <v>0</v>
      </c>
      <c r="L661" s="39" t="s">
        <v>380</v>
      </c>
      <c r="M661" s="38">
        <v>0</v>
      </c>
      <c r="N661" s="39" t="s">
        <v>380</v>
      </c>
      <c r="O661" s="41">
        <v>0</v>
      </c>
      <c r="P661" s="38">
        <v>0</v>
      </c>
      <c r="Q661" s="38">
        <v>0</v>
      </c>
      <c r="R661" s="39" t="s">
        <v>237</v>
      </c>
    </row>
    <row r="662" spans="1:18" x14ac:dyDescent="0.3">
      <c r="A662" s="37" t="s">
        <v>378</v>
      </c>
      <c r="B662" s="37" t="s">
        <v>1010</v>
      </c>
      <c r="C662" s="37" t="s">
        <v>372</v>
      </c>
      <c r="D662" s="37" t="s">
        <v>375</v>
      </c>
      <c r="E662" s="38">
        <v>0</v>
      </c>
      <c r="F662" s="39" t="s">
        <v>237</v>
      </c>
      <c r="G662" s="38">
        <v>0</v>
      </c>
      <c r="H662" s="39" t="s">
        <v>380</v>
      </c>
      <c r="I662" s="40">
        <v>44464</v>
      </c>
      <c r="J662" s="40">
        <v>44487</v>
      </c>
      <c r="K662" s="38">
        <v>0</v>
      </c>
      <c r="L662" s="39" t="s">
        <v>380</v>
      </c>
      <c r="M662" s="38">
        <v>0</v>
      </c>
      <c r="N662" s="39" t="s">
        <v>380</v>
      </c>
      <c r="O662" s="41">
        <v>0</v>
      </c>
      <c r="P662" s="38">
        <v>0</v>
      </c>
      <c r="Q662" s="38">
        <v>0</v>
      </c>
      <c r="R662" s="39" t="s">
        <v>237</v>
      </c>
    </row>
    <row r="663" spans="1:18" x14ac:dyDescent="0.3">
      <c r="A663" s="37" t="s">
        <v>378</v>
      </c>
      <c r="B663" s="37" t="s">
        <v>1011</v>
      </c>
      <c r="C663" s="37" t="s">
        <v>372</v>
      </c>
      <c r="D663" s="37" t="s">
        <v>375</v>
      </c>
      <c r="E663" s="38">
        <v>0</v>
      </c>
      <c r="F663" s="39" t="s">
        <v>237</v>
      </c>
      <c r="G663" s="38">
        <v>0</v>
      </c>
      <c r="H663" s="39" t="s">
        <v>380</v>
      </c>
      <c r="I663" s="40">
        <v>44697</v>
      </c>
      <c r="J663" s="40">
        <v>44708</v>
      </c>
      <c r="K663" s="38">
        <v>0</v>
      </c>
      <c r="L663" s="39" t="s">
        <v>380</v>
      </c>
      <c r="M663" s="38">
        <v>0</v>
      </c>
      <c r="N663" s="39" t="s">
        <v>380</v>
      </c>
      <c r="O663" s="41">
        <v>0</v>
      </c>
      <c r="P663" s="38">
        <v>0</v>
      </c>
      <c r="Q663" s="38">
        <v>0</v>
      </c>
      <c r="R663" s="39" t="s">
        <v>237</v>
      </c>
    </row>
    <row r="664" spans="1:18" x14ac:dyDescent="0.3">
      <c r="A664" s="37" t="s">
        <v>378</v>
      </c>
      <c r="B664" s="37" t="s">
        <v>1012</v>
      </c>
      <c r="C664" s="37" t="s">
        <v>372</v>
      </c>
      <c r="D664" s="37" t="s">
        <v>375</v>
      </c>
      <c r="E664" s="38">
        <v>0</v>
      </c>
      <c r="F664" s="39" t="s">
        <v>237</v>
      </c>
      <c r="G664" s="38">
        <v>0</v>
      </c>
      <c r="H664" s="39" t="s">
        <v>380</v>
      </c>
      <c r="I664" s="40">
        <v>44448</v>
      </c>
      <c r="J664" s="40">
        <v>44453</v>
      </c>
      <c r="K664" s="38">
        <v>0</v>
      </c>
      <c r="L664" s="39" t="s">
        <v>380</v>
      </c>
      <c r="M664" s="38">
        <v>0</v>
      </c>
      <c r="N664" s="39" t="s">
        <v>380</v>
      </c>
      <c r="O664" s="41">
        <v>0</v>
      </c>
      <c r="P664" s="38">
        <v>0</v>
      </c>
      <c r="Q664" s="38">
        <v>0</v>
      </c>
      <c r="R664" s="39" t="s">
        <v>237</v>
      </c>
    </row>
    <row r="665" spans="1:18" x14ac:dyDescent="0.3">
      <c r="A665" s="37" t="s">
        <v>378</v>
      </c>
      <c r="B665" s="37" t="s">
        <v>1013</v>
      </c>
      <c r="C665" s="37" t="s">
        <v>372</v>
      </c>
      <c r="D665" s="37" t="s">
        <v>375</v>
      </c>
      <c r="E665" s="38">
        <v>4968</v>
      </c>
      <c r="F665" s="39" t="s">
        <v>237</v>
      </c>
      <c r="G665" s="38">
        <v>31050</v>
      </c>
      <c r="H665" s="39" t="s">
        <v>380</v>
      </c>
      <c r="I665" s="40">
        <v>45527</v>
      </c>
      <c r="J665" s="40">
        <v>45533</v>
      </c>
      <c r="K665" s="38">
        <v>94300</v>
      </c>
      <c r="L665" s="39" t="s">
        <v>380</v>
      </c>
      <c r="M665" s="38">
        <v>96600</v>
      </c>
      <c r="N665" s="39" t="s">
        <v>380</v>
      </c>
      <c r="O665" s="41">
        <v>40</v>
      </c>
      <c r="P665" s="38">
        <v>2.33</v>
      </c>
      <c r="Q665" s="38">
        <v>11455.36</v>
      </c>
      <c r="R665" s="39" t="s">
        <v>237</v>
      </c>
    </row>
    <row r="666" spans="1:18" x14ac:dyDescent="0.3">
      <c r="A666" s="37" t="s">
        <v>378</v>
      </c>
      <c r="B666" s="37" t="s">
        <v>1014</v>
      </c>
      <c r="C666" s="37" t="s">
        <v>372</v>
      </c>
      <c r="D666" s="37" t="s">
        <v>375</v>
      </c>
      <c r="E666" s="38">
        <v>0</v>
      </c>
      <c r="F666" s="39" t="s">
        <v>237</v>
      </c>
      <c r="G666" s="38">
        <v>0</v>
      </c>
      <c r="H666" s="39" t="s">
        <v>380</v>
      </c>
      <c r="I666" s="40">
        <v>44476</v>
      </c>
      <c r="J666" s="40">
        <v>44476</v>
      </c>
      <c r="K666" s="38">
        <v>0</v>
      </c>
      <c r="L666" s="39" t="s">
        <v>380</v>
      </c>
      <c r="M666" s="38">
        <v>0</v>
      </c>
      <c r="N666" s="39" t="s">
        <v>380</v>
      </c>
      <c r="O666" s="41">
        <v>0</v>
      </c>
      <c r="P666" s="38">
        <v>0</v>
      </c>
      <c r="Q666" s="38">
        <v>0</v>
      </c>
      <c r="R666" s="39" t="s">
        <v>237</v>
      </c>
    </row>
    <row r="667" spans="1:18" x14ac:dyDescent="0.3">
      <c r="A667" s="37" t="s">
        <v>378</v>
      </c>
      <c r="B667" s="37" t="s">
        <v>1330</v>
      </c>
      <c r="C667" s="37" t="s">
        <v>372</v>
      </c>
      <c r="D667" s="37" t="s">
        <v>375</v>
      </c>
      <c r="E667" s="38">
        <v>41442.82</v>
      </c>
      <c r="F667" s="39" t="s">
        <v>237</v>
      </c>
      <c r="G667" s="38">
        <v>78194</v>
      </c>
      <c r="H667" s="39" t="s">
        <v>380</v>
      </c>
      <c r="I667" s="40">
        <v>45523</v>
      </c>
      <c r="J667" s="40">
        <v>45523</v>
      </c>
      <c r="K667" s="38">
        <v>118878</v>
      </c>
      <c r="L667" s="39" t="s">
        <v>380</v>
      </c>
      <c r="M667" s="38">
        <v>148112</v>
      </c>
      <c r="N667" s="39" t="s">
        <v>380</v>
      </c>
      <c r="O667" s="41">
        <v>63</v>
      </c>
      <c r="P667" s="38">
        <v>2.83</v>
      </c>
      <c r="Q667" s="38">
        <v>60182.559999999903</v>
      </c>
      <c r="R667" s="39" t="s">
        <v>237</v>
      </c>
    </row>
    <row r="668" spans="1:18" x14ac:dyDescent="0.3">
      <c r="A668" s="37" t="s">
        <v>378</v>
      </c>
      <c r="B668" s="37" t="s">
        <v>1331</v>
      </c>
      <c r="C668" s="37" t="s">
        <v>372</v>
      </c>
      <c r="D668" s="37" t="s">
        <v>375</v>
      </c>
      <c r="E668" s="38">
        <v>53425.919999999896</v>
      </c>
      <c r="F668" s="39" t="s">
        <v>237</v>
      </c>
      <c r="G668" s="38">
        <v>55652</v>
      </c>
      <c r="H668" s="39" t="s">
        <v>380</v>
      </c>
      <c r="I668" s="40">
        <v>45534</v>
      </c>
      <c r="J668" s="40">
        <v>45463</v>
      </c>
      <c r="K668" s="38">
        <v>76526</v>
      </c>
      <c r="L668" s="39" t="s">
        <v>380</v>
      </c>
      <c r="M668" s="38">
        <v>96538</v>
      </c>
      <c r="N668" s="39" t="s">
        <v>380</v>
      </c>
      <c r="O668" s="41">
        <v>74</v>
      </c>
      <c r="P668" s="38">
        <v>2.1800000000000002</v>
      </c>
      <c r="Q668" s="38">
        <v>66751.279999999897</v>
      </c>
      <c r="R668" s="39" t="s">
        <v>237</v>
      </c>
    </row>
    <row r="669" spans="1:18" x14ac:dyDescent="0.3">
      <c r="A669" s="37" t="s">
        <v>378</v>
      </c>
      <c r="B669" s="37" t="s">
        <v>1015</v>
      </c>
      <c r="C669" s="37" t="s">
        <v>372</v>
      </c>
      <c r="D669" s="37" t="s">
        <v>375</v>
      </c>
      <c r="E669" s="38">
        <v>0</v>
      </c>
      <c r="F669" s="39" t="s">
        <v>237</v>
      </c>
      <c r="G669" s="38">
        <v>0</v>
      </c>
      <c r="H669" s="39" t="s">
        <v>380</v>
      </c>
      <c r="I669" s="40">
        <v>44487</v>
      </c>
      <c r="J669" s="40">
        <v>44547</v>
      </c>
      <c r="K669" s="38">
        <v>0</v>
      </c>
      <c r="L669" s="39" t="s">
        <v>380</v>
      </c>
      <c r="M669" s="38">
        <v>0</v>
      </c>
      <c r="N669" s="39" t="s">
        <v>380</v>
      </c>
      <c r="O669" s="41">
        <v>0</v>
      </c>
      <c r="P669" s="38">
        <v>0</v>
      </c>
      <c r="Q669" s="38">
        <v>0</v>
      </c>
      <c r="R669" s="39" t="s">
        <v>237</v>
      </c>
    </row>
    <row r="670" spans="1:18" x14ac:dyDescent="0.3">
      <c r="A670" s="37" t="s">
        <v>378</v>
      </c>
      <c r="B670" s="37" t="s">
        <v>1016</v>
      </c>
      <c r="C670" s="37" t="s">
        <v>372</v>
      </c>
      <c r="D670" s="37" t="s">
        <v>375</v>
      </c>
      <c r="E670" s="38">
        <v>435.19999999999902</v>
      </c>
      <c r="F670" s="39" t="s">
        <v>237</v>
      </c>
      <c r="G670" s="38">
        <v>5120</v>
      </c>
      <c r="H670" s="39" t="s">
        <v>380</v>
      </c>
      <c r="I670" s="40">
        <v>44991</v>
      </c>
      <c r="J670" s="40">
        <v>44985</v>
      </c>
      <c r="K670" s="38">
        <v>0</v>
      </c>
      <c r="L670" s="39" t="s">
        <v>380</v>
      </c>
      <c r="M670" s="38">
        <v>0</v>
      </c>
      <c r="N670" s="39" t="s">
        <v>380</v>
      </c>
      <c r="O670" s="41">
        <v>99999</v>
      </c>
      <c r="P670" s="38">
        <v>0</v>
      </c>
      <c r="Q670" s="38">
        <v>0</v>
      </c>
      <c r="R670" s="39" t="s">
        <v>237</v>
      </c>
    </row>
    <row r="671" spans="1:18" x14ac:dyDescent="0.3">
      <c r="A671" s="37" t="s">
        <v>378</v>
      </c>
      <c r="B671" s="37" t="s">
        <v>1017</v>
      </c>
      <c r="C671" s="37" t="s">
        <v>372</v>
      </c>
      <c r="D671" s="37" t="s">
        <v>375</v>
      </c>
      <c r="E671" s="38">
        <v>0</v>
      </c>
      <c r="F671" s="39" t="s">
        <v>237</v>
      </c>
      <c r="G671" s="38">
        <v>0</v>
      </c>
      <c r="H671" s="39" t="s">
        <v>380</v>
      </c>
      <c r="I671" s="40">
        <v>44491</v>
      </c>
      <c r="J671" s="40">
        <v>44495</v>
      </c>
      <c r="K671" s="38">
        <v>0</v>
      </c>
      <c r="L671" s="39" t="s">
        <v>380</v>
      </c>
      <c r="M671" s="38">
        <v>0</v>
      </c>
      <c r="N671" s="39" t="s">
        <v>380</v>
      </c>
      <c r="O671" s="41">
        <v>0</v>
      </c>
      <c r="P671" s="38">
        <v>0</v>
      </c>
      <c r="Q671" s="38">
        <v>0</v>
      </c>
      <c r="R671" s="39" t="s">
        <v>237</v>
      </c>
    </row>
    <row r="672" spans="1:18" x14ac:dyDescent="0.3">
      <c r="A672" s="37" t="s">
        <v>378</v>
      </c>
      <c r="B672" s="37" t="s">
        <v>1018</v>
      </c>
      <c r="C672" s="37" t="s">
        <v>372</v>
      </c>
      <c r="D672" s="37" t="s">
        <v>377</v>
      </c>
      <c r="E672" s="38">
        <v>11782.719999999899</v>
      </c>
      <c r="F672" s="39" t="s">
        <v>237</v>
      </c>
      <c r="G672" s="38">
        <v>362.44799999999901</v>
      </c>
      <c r="H672" s="39" t="s">
        <v>374</v>
      </c>
      <c r="I672" s="40">
        <v>45491</v>
      </c>
      <c r="J672" s="40"/>
      <c r="K672" s="38">
        <v>379.36500000000001</v>
      </c>
      <c r="L672" s="39" t="s">
        <v>374</v>
      </c>
      <c r="M672" s="38">
        <v>405.33699999999902</v>
      </c>
      <c r="N672" s="39" t="s">
        <v>374</v>
      </c>
      <c r="O672" s="41">
        <v>149</v>
      </c>
      <c r="P672" s="38">
        <v>0.67</v>
      </c>
      <c r="Q672" s="38">
        <v>7283.93</v>
      </c>
      <c r="R672" s="39" t="s">
        <v>237</v>
      </c>
    </row>
    <row r="673" spans="1:18" x14ac:dyDescent="0.3">
      <c r="A673" s="37" t="s">
        <v>378</v>
      </c>
      <c r="B673" s="37" t="s">
        <v>1019</v>
      </c>
      <c r="C673" s="37" t="s">
        <v>372</v>
      </c>
      <c r="D673" s="37" t="s">
        <v>375</v>
      </c>
      <c r="E673" s="38">
        <v>1627.96</v>
      </c>
      <c r="F673" s="39" t="s">
        <v>237</v>
      </c>
      <c r="G673" s="38">
        <v>14920</v>
      </c>
      <c r="H673" s="39" t="s">
        <v>380</v>
      </c>
      <c r="I673" s="40">
        <v>45418</v>
      </c>
      <c r="J673" s="40">
        <v>45419</v>
      </c>
      <c r="K673" s="38">
        <v>0</v>
      </c>
      <c r="L673" s="39" t="s">
        <v>380</v>
      </c>
      <c r="M673" s="38">
        <v>0</v>
      </c>
      <c r="N673" s="39" t="s">
        <v>380</v>
      </c>
      <c r="O673" s="41">
        <v>99999</v>
      </c>
      <c r="P673" s="38">
        <v>0</v>
      </c>
      <c r="Q673" s="38">
        <v>0</v>
      </c>
      <c r="R673" s="39" t="s">
        <v>237</v>
      </c>
    </row>
    <row r="674" spans="1:18" x14ac:dyDescent="0.3">
      <c r="A674" s="37" t="s">
        <v>378</v>
      </c>
      <c r="B674" s="37" t="s">
        <v>1020</v>
      </c>
      <c r="C674" s="37" t="s">
        <v>372</v>
      </c>
      <c r="D674" s="37" t="s">
        <v>375</v>
      </c>
      <c r="E674" s="38">
        <v>0</v>
      </c>
      <c r="F674" s="39" t="s">
        <v>237</v>
      </c>
      <c r="G674" s="38">
        <v>0</v>
      </c>
      <c r="H674" s="39" t="s">
        <v>380</v>
      </c>
      <c r="I674" s="40">
        <v>45432</v>
      </c>
      <c r="J674" s="40">
        <v>45432</v>
      </c>
      <c r="K674" s="38">
        <v>0</v>
      </c>
      <c r="L674" s="39" t="s">
        <v>380</v>
      </c>
      <c r="M674" s="38">
        <v>0</v>
      </c>
      <c r="N674" s="39" t="s">
        <v>380</v>
      </c>
      <c r="O674" s="41">
        <v>0</v>
      </c>
      <c r="P674" s="38">
        <v>0</v>
      </c>
      <c r="Q674" s="38">
        <v>0</v>
      </c>
      <c r="R674" s="39" t="s">
        <v>237</v>
      </c>
    </row>
    <row r="675" spans="1:18" x14ac:dyDescent="0.3">
      <c r="A675" s="37" t="s">
        <v>378</v>
      </c>
      <c r="B675" s="37" t="s">
        <v>1021</v>
      </c>
      <c r="C675" s="37" t="s">
        <v>372</v>
      </c>
      <c r="D675" s="37" t="s">
        <v>375</v>
      </c>
      <c r="E675" s="38">
        <v>0</v>
      </c>
      <c r="F675" s="39" t="s">
        <v>237</v>
      </c>
      <c r="G675" s="38">
        <v>0</v>
      </c>
      <c r="H675" s="39" t="s">
        <v>380</v>
      </c>
      <c r="I675" s="40">
        <v>44579</v>
      </c>
      <c r="J675" s="40">
        <v>45421</v>
      </c>
      <c r="K675" s="38">
        <v>0</v>
      </c>
      <c r="L675" s="39" t="s">
        <v>380</v>
      </c>
      <c r="M675" s="38">
        <v>0</v>
      </c>
      <c r="N675" s="39" t="s">
        <v>380</v>
      </c>
      <c r="O675" s="41">
        <v>0</v>
      </c>
      <c r="P675" s="38">
        <v>0</v>
      </c>
      <c r="Q675" s="38">
        <v>0</v>
      </c>
      <c r="R675" s="39" t="s">
        <v>237</v>
      </c>
    </row>
    <row r="676" spans="1:18" x14ac:dyDescent="0.3">
      <c r="A676" s="37" t="s">
        <v>378</v>
      </c>
      <c r="B676" s="37" t="s">
        <v>1022</v>
      </c>
      <c r="C676" s="37" t="s">
        <v>372</v>
      </c>
      <c r="D676" s="37" t="s">
        <v>375</v>
      </c>
      <c r="E676" s="38">
        <v>0</v>
      </c>
      <c r="F676" s="39" t="s">
        <v>237</v>
      </c>
      <c r="G676" s="38">
        <v>0</v>
      </c>
      <c r="H676" s="39" t="s">
        <v>380</v>
      </c>
      <c r="I676" s="40">
        <v>44512</v>
      </c>
      <c r="J676" s="40">
        <v>44516</v>
      </c>
      <c r="K676" s="38">
        <v>0</v>
      </c>
      <c r="L676" s="39" t="s">
        <v>380</v>
      </c>
      <c r="M676" s="38">
        <v>0</v>
      </c>
      <c r="N676" s="39" t="s">
        <v>380</v>
      </c>
      <c r="O676" s="41">
        <v>0</v>
      </c>
      <c r="P676" s="38">
        <v>0</v>
      </c>
      <c r="Q676" s="38">
        <v>0</v>
      </c>
      <c r="R676" s="39" t="s">
        <v>237</v>
      </c>
    </row>
    <row r="677" spans="1:18" x14ac:dyDescent="0.3">
      <c r="A677" s="37" t="s">
        <v>378</v>
      </c>
      <c r="B677" s="37" t="s">
        <v>1023</v>
      </c>
      <c r="C677" s="37" t="s">
        <v>372</v>
      </c>
      <c r="D677" s="37" t="s">
        <v>375</v>
      </c>
      <c r="E677" s="38">
        <v>0</v>
      </c>
      <c r="F677" s="39" t="s">
        <v>237</v>
      </c>
      <c r="G677" s="38">
        <v>0</v>
      </c>
      <c r="H677" s="39" t="s">
        <v>380</v>
      </c>
      <c r="I677" s="40">
        <v>44512</v>
      </c>
      <c r="J677" s="40">
        <v>44516</v>
      </c>
      <c r="K677" s="38">
        <v>0</v>
      </c>
      <c r="L677" s="39" t="s">
        <v>380</v>
      </c>
      <c r="M677" s="38">
        <v>0</v>
      </c>
      <c r="N677" s="39" t="s">
        <v>380</v>
      </c>
      <c r="O677" s="41">
        <v>0</v>
      </c>
      <c r="P677" s="38">
        <v>0</v>
      </c>
      <c r="Q677" s="38">
        <v>0</v>
      </c>
      <c r="R677" s="39" t="s">
        <v>237</v>
      </c>
    </row>
    <row r="678" spans="1:18" x14ac:dyDescent="0.3">
      <c r="A678" s="37" t="s">
        <v>378</v>
      </c>
      <c r="B678" s="37" t="s">
        <v>1024</v>
      </c>
      <c r="C678" s="37" t="s">
        <v>372</v>
      </c>
      <c r="D678" s="37" t="s">
        <v>375</v>
      </c>
      <c r="E678" s="38">
        <v>0</v>
      </c>
      <c r="F678" s="39" t="s">
        <v>237</v>
      </c>
      <c r="G678" s="38">
        <v>0</v>
      </c>
      <c r="H678" s="39" t="s">
        <v>380</v>
      </c>
      <c r="I678" s="40">
        <v>44516</v>
      </c>
      <c r="J678" s="40">
        <v>44603</v>
      </c>
      <c r="K678" s="38">
        <v>0</v>
      </c>
      <c r="L678" s="39" t="s">
        <v>380</v>
      </c>
      <c r="M678" s="38">
        <v>0</v>
      </c>
      <c r="N678" s="39" t="s">
        <v>380</v>
      </c>
      <c r="O678" s="41">
        <v>0</v>
      </c>
      <c r="P678" s="38">
        <v>0</v>
      </c>
      <c r="Q678" s="38">
        <v>0</v>
      </c>
      <c r="R678" s="39" t="s">
        <v>237</v>
      </c>
    </row>
    <row r="679" spans="1:18" x14ac:dyDescent="0.3">
      <c r="A679" s="37" t="s">
        <v>378</v>
      </c>
      <c r="B679" s="37" t="s">
        <v>1025</v>
      </c>
      <c r="C679" s="37" t="s">
        <v>372</v>
      </c>
      <c r="D679" s="37" t="s">
        <v>375</v>
      </c>
      <c r="E679" s="38">
        <v>135.63</v>
      </c>
      <c r="F679" s="39" t="s">
        <v>237</v>
      </c>
      <c r="G679" s="38">
        <v>2000</v>
      </c>
      <c r="H679" s="39" t="s">
        <v>380</v>
      </c>
      <c r="I679" s="40">
        <v>45397</v>
      </c>
      <c r="J679" s="40">
        <v>45523</v>
      </c>
      <c r="K679" s="38">
        <v>4000</v>
      </c>
      <c r="L679" s="39" t="s">
        <v>380</v>
      </c>
      <c r="M679" s="38">
        <v>0</v>
      </c>
      <c r="N679" s="39" t="s">
        <v>380</v>
      </c>
      <c r="O679" s="41">
        <v>46</v>
      </c>
      <c r="P679" s="38">
        <v>1</v>
      </c>
      <c r="Q679" s="38">
        <v>271.27999999999901</v>
      </c>
      <c r="R679" s="39" t="s">
        <v>237</v>
      </c>
    </row>
    <row r="680" spans="1:18" x14ac:dyDescent="0.3">
      <c r="A680" s="37" t="s">
        <v>378</v>
      </c>
      <c r="B680" s="37" t="s">
        <v>1026</v>
      </c>
      <c r="C680" s="37" t="s">
        <v>372</v>
      </c>
      <c r="D680" s="37" t="s">
        <v>375</v>
      </c>
      <c r="E680" s="38">
        <v>0</v>
      </c>
      <c r="F680" s="39" t="s">
        <v>237</v>
      </c>
      <c r="G680" s="38">
        <v>0</v>
      </c>
      <c r="H680" s="39" t="s">
        <v>380</v>
      </c>
      <c r="I680" s="40">
        <v>44524</v>
      </c>
      <c r="J680" s="40">
        <v>44524</v>
      </c>
      <c r="K680" s="38">
        <v>0</v>
      </c>
      <c r="L680" s="39" t="s">
        <v>380</v>
      </c>
      <c r="M680" s="38">
        <v>0</v>
      </c>
      <c r="N680" s="39" t="s">
        <v>380</v>
      </c>
      <c r="O680" s="41">
        <v>0</v>
      </c>
      <c r="P680" s="38">
        <v>0</v>
      </c>
      <c r="Q680" s="38">
        <v>0</v>
      </c>
      <c r="R680" s="39" t="s">
        <v>237</v>
      </c>
    </row>
    <row r="681" spans="1:18" x14ac:dyDescent="0.3">
      <c r="A681" s="37" t="s">
        <v>378</v>
      </c>
      <c r="B681" s="37" t="s">
        <v>1027</v>
      </c>
      <c r="C681" s="37" t="s">
        <v>372</v>
      </c>
      <c r="D681" s="37" t="s">
        <v>375</v>
      </c>
      <c r="E681" s="38">
        <v>0</v>
      </c>
      <c r="F681" s="39" t="s">
        <v>237</v>
      </c>
      <c r="G681" s="38">
        <v>0</v>
      </c>
      <c r="H681" s="39" t="s">
        <v>380</v>
      </c>
      <c r="I681" s="40">
        <v>45132</v>
      </c>
      <c r="J681" s="40">
        <v>45132</v>
      </c>
      <c r="K681" s="38">
        <v>0</v>
      </c>
      <c r="L681" s="39" t="s">
        <v>380</v>
      </c>
      <c r="M681" s="38">
        <v>0</v>
      </c>
      <c r="N681" s="39" t="s">
        <v>380</v>
      </c>
      <c r="O681" s="41">
        <v>0</v>
      </c>
      <c r="P681" s="38">
        <v>0</v>
      </c>
      <c r="Q681" s="38">
        <v>0</v>
      </c>
      <c r="R681" s="39" t="s">
        <v>237</v>
      </c>
    </row>
    <row r="682" spans="1:18" x14ac:dyDescent="0.3">
      <c r="A682" s="37" t="s">
        <v>378</v>
      </c>
      <c r="B682" s="37" t="s">
        <v>1028</v>
      </c>
      <c r="C682" s="37" t="s">
        <v>372</v>
      </c>
      <c r="D682" s="37" t="s">
        <v>375</v>
      </c>
      <c r="E682" s="38">
        <v>0</v>
      </c>
      <c r="F682" s="39" t="s">
        <v>237</v>
      </c>
      <c r="G682" s="38">
        <v>0</v>
      </c>
      <c r="H682" s="39" t="s">
        <v>380</v>
      </c>
      <c r="I682" s="40">
        <v>44524</v>
      </c>
      <c r="J682" s="40">
        <v>45230</v>
      </c>
      <c r="K682" s="38">
        <v>0</v>
      </c>
      <c r="L682" s="39" t="s">
        <v>380</v>
      </c>
      <c r="M682" s="38">
        <v>0</v>
      </c>
      <c r="N682" s="39" t="s">
        <v>380</v>
      </c>
      <c r="O682" s="41">
        <v>0</v>
      </c>
      <c r="P682" s="38">
        <v>0</v>
      </c>
      <c r="Q682" s="38">
        <v>0</v>
      </c>
      <c r="R682" s="39" t="s">
        <v>237</v>
      </c>
    </row>
    <row r="683" spans="1:18" x14ac:dyDescent="0.3">
      <c r="A683" s="37" t="s">
        <v>378</v>
      </c>
      <c r="B683" s="37" t="s">
        <v>1029</v>
      </c>
      <c r="C683" s="37" t="s">
        <v>372</v>
      </c>
      <c r="D683" s="37" t="s">
        <v>375</v>
      </c>
      <c r="E683" s="38">
        <v>0</v>
      </c>
      <c r="F683" s="39" t="s">
        <v>237</v>
      </c>
      <c r="G683" s="38">
        <v>0</v>
      </c>
      <c r="H683" s="39" t="s">
        <v>380</v>
      </c>
      <c r="I683" s="40">
        <v>44539</v>
      </c>
      <c r="J683" s="40">
        <v>44543</v>
      </c>
      <c r="K683" s="38">
        <v>0</v>
      </c>
      <c r="L683" s="39" t="s">
        <v>380</v>
      </c>
      <c r="M683" s="38">
        <v>0</v>
      </c>
      <c r="N683" s="39" t="s">
        <v>380</v>
      </c>
      <c r="O683" s="41">
        <v>0</v>
      </c>
      <c r="P683" s="38">
        <v>0</v>
      </c>
      <c r="Q683" s="38">
        <v>0</v>
      </c>
      <c r="R683" s="39" t="s">
        <v>237</v>
      </c>
    </row>
    <row r="684" spans="1:18" x14ac:dyDescent="0.3">
      <c r="A684" s="37" t="s">
        <v>378</v>
      </c>
      <c r="B684" s="37" t="s">
        <v>1030</v>
      </c>
      <c r="C684" s="37" t="s">
        <v>372</v>
      </c>
      <c r="D684" s="37" t="s">
        <v>375</v>
      </c>
      <c r="E684" s="38">
        <v>0</v>
      </c>
      <c r="F684" s="39" t="s">
        <v>237</v>
      </c>
      <c r="G684" s="38">
        <v>0</v>
      </c>
      <c r="H684" s="39" t="s">
        <v>380</v>
      </c>
      <c r="I684" s="40">
        <v>44566</v>
      </c>
      <c r="J684" s="40">
        <v>44571</v>
      </c>
      <c r="K684" s="38">
        <v>0</v>
      </c>
      <c r="L684" s="39" t="s">
        <v>380</v>
      </c>
      <c r="M684" s="38">
        <v>0</v>
      </c>
      <c r="N684" s="39" t="s">
        <v>380</v>
      </c>
      <c r="O684" s="41">
        <v>0</v>
      </c>
      <c r="P684" s="38">
        <v>0</v>
      </c>
      <c r="Q684" s="38">
        <v>0</v>
      </c>
      <c r="R684" s="39" t="s">
        <v>237</v>
      </c>
    </row>
    <row r="685" spans="1:18" x14ac:dyDescent="0.3">
      <c r="A685" s="37" t="s">
        <v>378</v>
      </c>
      <c r="B685" s="37" t="s">
        <v>1031</v>
      </c>
      <c r="C685" s="37" t="s">
        <v>372</v>
      </c>
      <c r="D685" s="37" t="s">
        <v>375</v>
      </c>
      <c r="E685" s="38">
        <v>90882</v>
      </c>
      <c r="F685" s="39" t="s">
        <v>237</v>
      </c>
      <c r="G685" s="38">
        <v>534600</v>
      </c>
      <c r="H685" s="39" t="s">
        <v>380</v>
      </c>
      <c r="I685" s="40"/>
      <c r="J685" s="40">
        <v>45512</v>
      </c>
      <c r="K685" s="38">
        <v>3483405</v>
      </c>
      <c r="L685" s="39" t="s">
        <v>380</v>
      </c>
      <c r="M685" s="38">
        <v>3888405</v>
      </c>
      <c r="N685" s="39" t="s">
        <v>380</v>
      </c>
      <c r="O685" s="41">
        <v>17</v>
      </c>
      <c r="P685" s="38">
        <v>9.23</v>
      </c>
      <c r="Q685" s="38">
        <v>483314.84999999899</v>
      </c>
      <c r="R685" s="39" t="s">
        <v>237</v>
      </c>
    </row>
    <row r="686" spans="1:18" x14ac:dyDescent="0.3">
      <c r="A686" s="37" t="s">
        <v>378</v>
      </c>
      <c r="B686" s="37" t="s">
        <v>1032</v>
      </c>
      <c r="C686" s="37" t="s">
        <v>372</v>
      </c>
      <c r="D686" s="37" t="s">
        <v>375</v>
      </c>
      <c r="E686" s="38">
        <v>0</v>
      </c>
      <c r="F686" s="39" t="s">
        <v>237</v>
      </c>
      <c r="G686" s="38">
        <v>0</v>
      </c>
      <c r="H686" s="39" t="s">
        <v>380</v>
      </c>
      <c r="I686" s="40">
        <v>45328</v>
      </c>
      <c r="J686" s="40">
        <v>45328</v>
      </c>
      <c r="K686" s="38">
        <v>0</v>
      </c>
      <c r="L686" s="39" t="s">
        <v>380</v>
      </c>
      <c r="M686" s="38">
        <v>0</v>
      </c>
      <c r="N686" s="39" t="s">
        <v>380</v>
      </c>
      <c r="O686" s="41">
        <v>0</v>
      </c>
      <c r="P686" s="38">
        <v>0</v>
      </c>
      <c r="Q686" s="38">
        <v>0</v>
      </c>
      <c r="R686" s="39" t="s">
        <v>237</v>
      </c>
    </row>
    <row r="687" spans="1:18" x14ac:dyDescent="0.3">
      <c r="A687" s="37" t="s">
        <v>378</v>
      </c>
      <c r="B687" s="37" t="s">
        <v>1033</v>
      </c>
      <c r="C687" s="37" t="s">
        <v>372</v>
      </c>
      <c r="D687" s="37" t="s">
        <v>375</v>
      </c>
      <c r="E687" s="38">
        <v>0</v>
      </c>
      <c r="F687" s="39" t="s">
        <v>237</v>
      </c>
      <c r="G687" s="38">
        <v>0</v>
      </c>
      <c r="H687" s="39" t="s">
        <v>380</v>
      </c>
      <c r="I687" s="40">
        <v>44595</v>
      </c>
      <c r="J687" s="40">
        <v>44608</v>
      </c>
      <c r="K687" s="38">
        <v>0</v>
      </c>
      <c r="L687" s="39" t="s">
        <v>380</v>
      </c>
      <c r="M687" s="38">
        <v>0</v>
      </c>
      <c r="N687" s="39" t="s">
        <v>380</v>
      </c>
      <c r="O687" s="41">
        <v>0</v>
      </c>
      <c r="P687" s="38">
        <v>0</v>
      </c>
      <c r="Q687" s="38">
        <v>0</v>
      </c>
      <c r="R687" s="39" t="s">
        <v>237</v>
      </c>
    </row>
    <row r="688" spans="1:18" x14ac:dyDescent="0.3">
      <c r="A688" s="37" t="s">
        <v>378</v>
      </c>
      <c r="B688" s="37" t="s">
        <v>1034</v>
      </c>
      <c r="C688" s="37" t="s">
        <v>372</v>
      </c>
      <c r="D688" s="37" t="s">
        <v>375</v>
      </c>
      <c r="E688" s="38">
        <v>2100</v>
      </c>
      <c r="F688" s="39" t="s">
        <v>237</v>
      </c>
      <c r="G688" s="38">
        <v>14000</v>
      </c>
      <c r="H688" s="39" t="s">
        <v>380</v>
      </c>
      <c r="I688" s="40">
        <v>44575</v>
      </c>
      <c r="J688" s="40">
        <v>44579</v>
      </c>
      <c r="K688" s="38">
        <v>0</v>
      </c>
      <c r="L688" s="39" t="s">
        <v>380</v>
      </c>
      <c r="M688" s="38">
        <v>0</v>
      </c>
      <c r="N688" s="39" t="s">
        <v>380</v>
      </c>
      <c r="O688" s="41">
        <v>99999</v>
      </c>
      <c r="P688" s="38">
        <v>0</v>
      </c>
      <c r="Q688" s="38">
        <v>0</v>
      </c>
      <c r="R688" s="39" t="s">
        <v>237</v>
      </c>
    </row>
    <row r="689" spans="1:18" x14ac:dyDescent="0.3">
      <c r="A689" s="37" t="s">
        <v>378</v>
      </c>
      <c r="B689" s="37" t="s">
        <v>1035</v>
      </c>
      <c r="C689" s="37" t="s">
        <v>372</v>
      </c>
      <c r="D689" s="37" t="s">
        <v>375</v>
      </c>
      <c r="E689" s="38">
        <v>0</v>
      </c>
      <c r="F689" s="39" t="s">
        <v>237</v>
      </c>
      <c r="G689" s="38">
        <v>0</v>
      </c>
      <c r="H689" s="39" t="s">
        <v>380</v>
      </c>
      <c r="I689" s="40">
        <v>44638</v>
      </c>
      <c r="J689" s="40">
        <v>44652</v>
      </c>
      <c r="K689" s="38">
        <v>0</v>
      </c>
      <c r="L689" s="39" t="s">
        <v>380</v>
      </c>
      <c r="M689" s="38">
        <v>0</v>
      </c>
      <c r="N689" s="39" t="s">
        <v>380</v>
      </c>
      <c r="O689" s="41">
        <v>0</v>
      </c>
      <c r="P689" s="38">
        <v>0</v>
      </c>
      <c r="Q689" s="38">
        <v>0</v>
      </c>
      <c r="R689" s="39" t="s">
        <v>237</v>
      </c>
    </row>
    <row r="690" spans="1:18" x14ac:dyDescent="0.3">
      <c r="A690" s="37" t="s">
        <v>378</v>
      </c>
      <c r="B690" s="37" t="s">
        <v>1036</v>
      </c>
      <c r="C690" s="37" t="s">
        <v>372</v>
      </c>
      <c r="D690" s="37" t="s">
        <v>375</v>
      </c>
      <c r="E690" s="38">
        <v>95974.86</v>
      </c>
      <c r="F690" s="39" t="s">
        <v>237</v>
      </c>
      <c r="G690" s="38">
        <v>417282</v>
      </c>
      <c r="H690" s="39" t="s">
        <v>380</v>
      </c>
      <c r="I690" s="40"/>
      <c r="J690" s="40">
        <v>45533</v>
      </c>
      <c r="K690" s="38">
        <v>885048</v>
      </c>
      <c r="L690" s="39" t="s">
        <v>380</v>
      </c>
      <c r="M690" s="38">
        <v>863928</v>
      </c>
      <c r="N690" s="39" t="s">
        <v>380</v>
      </c>
      <c r="O690" s="41">
        <v>42</v>
      </c>
      <c r="P690" s="38">
        <v>1.89</v>
      </c>
      <c r="Q690" s="38">
        <v>209304</v>
      </c>
      <c r="R690" s="39" t="s">
        <v>237</v>
      </c>
    </row>
    <row r="691" spans="1:18" x14ac:dyDescent="0.3">
      <c r="A691" s="37" t="s">
        <v>378</v>
      </c>
      <c r="B691" s="37" t="s">
        <v>1037</v>
      </c>
      <c r="C691" s="37" t="s">
        <v>372</v>
      </c>
      <c r="D691" s="37" t="s">
        <v>375</v>
      </c>
      <c r="E691" s="38">
        <v>3360</v>
      </c>
      <c r="F691" s="39" t="s">
        <v>237</v>
      </c>
      <c r="G691" s="38">
        <v>22400</v>
      </c>
      <c r="H691" s="39" t="s">
        <v>380</v>
      </c>
      <c r="I691" s="40">
        <v>44586</v>
      </c>
      <c r="J691" s="40">
        <v>44622</v>
      </c>
      <c r="K691" s="38">
        <v>0</v>
      </c>
      <c r="L691" s="39" t="s">
        <v>380</v>
      </c>
      <c r="M691" s="38">
        <v>0</v>
      </c>
      <c r="N691" s="39" t="s">
        <v>380</v>
      </c>
      <c r="O691" s="41">
        <v>99999</v>
      </c>
      <c r="P691" s="38">
        <v>0</v>
      </c>
      <c r="Q691" s="38">
        <v>0</v>
      </c>
      <c r="R691" s="39" t="s">
        <v>237</v>
      </c>
    </row>
    <row r="692" spans="1:18" x14ac:dyDescent="0.3">
      <c r="A692" s="37" t="s">
        <v>378</v>
      </c>
      <c r="B692" s="37" t="s">
        <v>1038</v>
      </c>
      <c r="C692" s="37" t="s">
        <v>372</v>
      </c>
      <c r="D692" s="37" t="s">
        <v>375</v>
      </c>
      <c r="E692" s="38">
        <v>0</v>
      </c>
      <c r="F692" s="39" t="s">
        <v>237</v>
      </c>
      <c r="G692" s="38">
        <v>0</v>
      </c>
      <c r="H692" s="39" t="s">
        <v>380</v>
      </c>
      <c r="I692" s="40">
        <v>44586</v>
      </c>
      <c r="J692" s="40">
        <v>44627</v>
      </c>
      <c r="K692" s="38">
        <v>0</v>
      </c>
      <c r="L692" s="39" t="s">
        <v>380</v>
      </c>
      <c r="M692" s="38">
        <v>0</v>
      </c>
      <c r="N692" s="39" t="s">
        <v>380</v>
      </c>
      <c r="O692" s="41">
        <v>0</v>
      </c>
      <c r="P692" s="38">
        <v>0</v>
      </c>
      <c r="Q692" s="38">
        <v>0</v>
      </c>
      <c r="R692" s="39" t="s">
        <v>237</v>
      </c>
    </row>
    <row r="693" spans="1:18" x14ac:dyDescent="0.3">
      <c r="A693" s="37" t="s">
        <v>378</v>
      </c>
      <c r="B693" s="37" t="s">
        <v>1039</v>
      </c>
      <c r="C693" s="37" t="s">
        <v>372</v>
      </c>
      <c r="D693" s="37" t="s">
        <v>377</v>
      </c>
      <c r="E693" s="38">
        <v>34724.699999999903</v>
      </c>
      <c r="F693" s="39" t="s">
        <v>237</v>
      </c>
      <c r="G693" s="38">
        <v>192915</v>
      </c>
      <c r="H693" s="39" t="s">
        <v>380</v>
      </c>
      <c r="I693" s="40">
        <v>45281</v>
      </c>
      <c r="J693" s="40">
        <v>45320</v>
      </c>
      <c r="K693" s="38">
        <v>976069</v>
      </c>
      <c r="L693" s="39" t="s">
        <v>380</v>
      </c>
      <c r="M693" s="38">
        <v>1056750</v>
      </c>
      <c r="N693" s="39" t="s">
        <v>380</v>
      </c>
      <c r="O693" s="41">
        <v>19</v>
      </c>
      <c r="P693" s="38">
        <v>6.69</v>
      </c>
      <c r="Q693" s="38">
        <v>172172.679999999</v>
      </c>
      <c r="R693" s="39" t="s">
        <v>237</v>
      </c>
    </row>
    <row r="694" spans="1:18" x14ac:dyDescent="0.3">
      <c r="A694" s="37" t="s">
        <v>378</v>
      </c>
      <c r="B694" s="37" t="s">
        <v>1040</v>
      </c>
      <c r="C694" s="37" t="s">
        <v>372</v>
      </c>
      <c r="D694" s="37" t="s">
        <v>375</v>
      </c>
      <c r="E694" s="38">
        <v>0</v>
      </c>
      <c r="F694" s="39" t="s">
        <v>237</v>
      </c>
      <c r="G694" s="38">
        <v>0</v>
      </c>
      <c r="H694" s="39" t="s">
        <v>380</v>
      </c>
      <c r="I694" s="40">
        <v>44602</v>
      </c>
      <c r="J694" s="40">
        <v>44657</v>
      </c>
      <c r="K694" s="38">
        <v>0</v>
      </c>
      <c r="L694" s="39" t="s">
        <v>380</v>
      </c>
      <c r="M694" s="38">
        <v>0</v>
      </c>
      <c r="N694" s="39" t="s">
        <v>380</v>
      </c>
      <c r="O694" s="41">
        <v>0</v>
      </c>
      <c r="P694" s="38">
        <v>0</v>
      </c>
      <c r="Q694" s="38">
        <v>0</v>
      </c>
      <c r="R694" s="39" t="s">
        <v>237</v>
      </c>
    </row>
    <row r="695" spans="1:18" x14ac:dyDescent="0.3">
      <c r="A695" s="37" t="s">
        <v>378</v>
      </c>
      <c r="B695" s="37" t="s">
        <v>1041</v>
      </c>
      <c r="C695" s="37" t="s">
        <v>372</v>
      </c>
      <c r="D695" s="37" t="s">
        <v>375</v>
      </c>
      <c r="E695" s="38">
        <v>0</v>
      </c>
      <c r="F695" s="39" t="s">
        <v>237</v>
      </c>
      <c r="G695" s="38">
        <v>0</v>
      </c>
      <c r="H695" s="39" t="s">
        <v>380</v>
      </c>
      <c r="I695" s="40">
        <v>44645</v>
      </c>
      <c r="J695" s="40">
        <v>44706</v>
      </c>
      <c r="K695" s="38">
        <v>0</v>
      </c>
      <c r="L695" s="39" t="s">
        <v>380</v>
      </c>
      <c r="M695" s="38">
        <v>0</v>
      </c>
      <c r="N695" s="39" t="s">
        <v>380</v>
      </c>
      <c r="O695" s="41">
        <v>0</v>
      </c>
      <c r="P695" s="38">
        <v>0</v>
      </c>
      <c r="Q695" s="38">
        <v>0</v>
      </c>
      <c r="R695" s="39" t="s">
        <v>237</v>
      </c>
    </row>
    <row r="696" spans="1:18" x14ac:dyDescent="0.3">
      <c r="A696" s="37" t="s">
        <v>378</v>
      </c>
      <c r="B696" s="37" t="s">
        <v>1042</v>
      </c>
      <c r="C696" s="37" t="s">
        <v>372</v>
      </c>
      <c r="D696" s="37" t="s">
        <v>375</v>
      </c>
      <c r="E696" s="38">
        <v>0</v>
      </c>
      <c r="F696" s="39" t="s">
        <v>237</v>
      </c>
      <c r="G696" s="38">
        <v>25728</v>
      </c>
      <c r="H696" s="39" t="s">
        <v>380</v>
      </c>
      <c r="I696" s="40">
        <v>44763</v>
      </c>
      <c r="J696" s="40">
        <v>44915</v>
      </c>
      <c r="K696" s="38">
        <v>0</v>
      </c>
      <c r="L696" s="39" t="s">
        <v>380</v>
      </c>
      <c r="M696" s="38">
        <v>0</v>
      </c>
      <c r="N696" s="39" t="s">
        <v>380</v>
      </c>
      <c r="O696" s="41">
        <v>0</v>
      </c>
      <c r="P696" s="38">
        <v>0</v>
      </c>
      <c r="Q696" s="38">
        <v>0</v>
      </c>
      <c r="R696" s="39" t="s">
        <v>237</v>
      </c>
    </row>
    <row r="697" spans="1:18" x14ac:dyDescent="0.3">
      <c r="A697" s="37" t="s">
        <v>378</v>
      </c>
      <c r="B697" s="37" t="s">
        <v>1043</v>
      </c>
      <c r="C697" s="37" t="s">
        <v>372</v>
      </c>
      <c r="D697" s="37" t="s">
        <v>375</v>
      </c>
      <c r="E697" s="38">
        <v>0</v>
      </c>
      <c r="F697" s="39" t="s">
        <v>237</v>
      </c>
      <c r="G697" s="38">
        <v>0</v>
      </c>
      <c r="H697" s="39" t="s">
        <v>380</v>
      </c>
      <c r="I697" s="40">
        <v>44882</v>
      </c>
      <c r="J697" s="40">
        <v>44882</v>
      </c>
      <c r="K697" s="38">
        <v>0</v>
      </c>
      <c r="L697" s="39" t="s">
        <v>380</v>
      </c>
      <c r="M697" s="38">
        <v>0</v>
      </c>
      <c r="N697" s="39" t="s">
        <v>380</v>
      </c>
      <c r="O697" s="41">
        <v>0</v>
      </c>
      <c r="P697" s="38">
        <v>0</v>
      </c>
      <c r="Q697" s="38">
        <v>0</v>
      </c>
      <c r="R697" s="39" t="s">
        <v>237</v>
      </c>
    </row>
    <row r="698" spans="1:18" x14ac:dyDescent="0.3">
      <c r="A698" s="37" t="s">
        <v>378</v>
      </c>
      <c r="B698" s="37" t="s">
        <v>1044</v>
      </c>
      <c r="C698" s="37" t="s">
        <v>372</v>
      </c>
      <c r="D698" s="37" t="s">
        <v>375</v>
      </c>
      <c r="E698" s="38">
        <v>0</v>
      </c>
      <c r="F698" s="39" t="s">
        <v>237</v>
      </c>
      <c r="G698" s="38">
        <v>0</v>
      </c>
      <c r="H698" s="39" t="s">
        <v>380</v>
      </c>
      <c r="I698" s="40">
        <v>44790</v>
      </c>
      <c r="J698" s="40">
        <v>44915</v>
      </c>
      <c r="K698" s="38">
        <v>0</v>
      </c>
      <c r="L698" s="39" t="s">
        <v>380</v>
      </c>
      <c r="M698" s="38">
        <v>0</v>
      </c>
      <c r="N698" s="39" t="s">
        <v>380</v>
      </c>
      <c r="O698" s="41">
        <v>0</v>
      </c>
      <c r="P698" s="38">
        <v>0</v>
      </c>
      <c r="Q698" s="38">
        <v>0</v>
      </c>
      <c r="R698" s="39" t="s">
        <v>237</v>
      </c>
    </row>
    <row r="699" spans="1:18" x14ac:dyDescent="0.3">
      <c r="A699" s="37" t="s">
        <v>378</v>
      </c>
      <c r="B699" s="37" t="s">
        <v>1045</v>
      </c>
      <c r="C699" s="37" t="s">
        <v>372</v>
      </c>
      <c r="D699" s="37" t="s">
        <v>375</v>
      </c>
      <c r="E699" s="38">
        <v>0</v>
      </c>
      <c r="F699" s="39" t="s">
        <v>237</v>
      </c>
      <c r="G699" s="38">
        <v>23520</v>
      </c>
      <c r="H699" s="39" t="s">
        <v>380</v>
      </c>
      <c r="I699" s="40">
        <v>44763</v>
      </c>
      <c r="J699" s="40">
        <v>44915</v>
      </c>
      <c r="K699" s="38">
        <v>0</v>
      </c>
      <c r="L699" s="39" t="s">
        <v>380</v>
      </c>
      <c r="M699" s="38">
        <v>0</v>
      </c>
      <c r="N699" s="39" t="s">
        <v>380</v>
      </c>
      <c r="O699" s="41">
        <v>0</v>
      </c>
      <c r="P699" s="38">
        <v>0</v>
      </c>
      <c r="Q699" s="38">
        <v>0</v>
      </c>
      <c r="R699" s="39" t="s">
        <v>237</v>
      </c>
    </row>
    <row r="700" spans="1:18" x14ac:dyDescent="0.3">
      <c r="A700" s="37" t="s">
        <v>378</v>
      </c>
      <c r="B700" s="37" t="s">
        <v>1046</v>
      </c>
      <c r="C700" s="37" t="s">
        <v>372</v>
      </c>
      <c r="D700" s="37" t="s">
        <v>375</v>
      </c>
      <c r="E700" s="38">
        <v>0</v>
      </c>
      <c r="F700" s="39" t="s">
        <v>237</v>
      </c>
      <c r="G700" s="38">
        <v>4617</v>
      </c>
      <c r="H700" s="39" t="s">
        <v>380</v>
      </c>
      <c r="I700" s="40">
        <v>44915</v>
      </c>
      <c r="J700" s="40">
        <v>44805</v>
      </c>
      <c r="K700" s="38">
        <v>0</v>
      </c>
      <c r="L700" s="39" t="s">
        <v>380</v>
      </c>
      <c r="M700" s="38">
        <v>0</v>
      </c>
      <c r="N700" s="39" t="s">
        <v>380</v>
      </c>
      <c r="O700" s="41">
        <v>0</v>
      </c>
      <c r="P700" s="38">
        <v>0</v>
      </c>
      <c r="Q700" s="38">
        <v>0</v>
      </c>
      <c r="R700" s="39" t="s">
        <v>237</v>
      </c>
    </row>
    <row r="701" spans="1:18" x14ac:dyDescent="0.3">
      <c r="A701" s="37" t="s">
        <v>378</v>
      </c>
      <c r="B701" s="37" t="s">
        <v>1047</v>
      </c>
      <c r="C701" s="37" t="s">
        <v>372</v>
      </c>
      <c r="D701" s="37" t="s">
        <v>375</v>
      </c>
      <c r="E701" s="38">
        <v>0</v>
      </c>
      <c r="F701" s="39" t="s">
        <v>237</v>
      </c>
      <c r="G701" s="38">
        <v>0</v>
      </c>
      <c r="H701" s="39" t="s">
        <v>380</v>
      </c>
      <c r="I701" s="40">
        <v>44650</v>
      </c>
      <c r="J701" s="40">
        <v>44652</v>
      </c>
      <c r="K701" s="38">
        <v>0</v>
      </c>
      <c r="L701" s="39" t="s">
        <v>380</v>
      </c>
      <c r="M701" s="38">
        <v>0</v>
      </c>
      <c r="N701" s="39" t="s">
        <v>380</v>
      </c>
      <c r="O701" s="41">
        <v>0</v>
      </c>
      <c r="P701" s="38">
        <v>0</v>
      </c>
      <c r="Q701" s="38">
        <v>0</v>
      </c>
      <c r="R701" s="39" t="s">
        <v>237</v>
      </c>
    </row>
    <row r="702" spans="1:18" x14ac:dyDescent="0.3">
      <c r="A702" s="37" t="s">
        <v>378</v>
      </c>
      <c r="B702" s="37" t="s">
        <v>1048</v>
      </c>
      <c r="C702" s="37" t="s">
        <v>372</v>
      </c>
      <c r="D702" s="37" t="s">
        <v>375</v>
      </c>
      <c r="E702" s="38">
        <v>0</v>
      </c>
      <c r="F702" s="39" t="s">
        <v>237</v>
      </c>
      <c r="G702" s="38">
        <v>0</v>
      </c>
      <c r="H702" s="39" t="s">
        <v>380</v>
      </c>
      <c r="I702" s="40">
        <v>44676</v>
      </c>
      <c r="J702" s="40">
        <v>44677</v>
      </c>
      <c r="K702" s="38">
        <v>0</v>
      </c>
      <c r="L702" s="39" t="s">
        <v>380</v>
      </c>
      <c r="M702" s="38">
        <v>0</v>
      </c>
      <c r="N702" s="39" t="s">
        <v>380</v>
      </c>
      <c r="O702" s="41">
        <v>0</v>
      </c>
      <c r="P702" s="38">
        <v>0</v>
      </c>
      <c r="Q702" s="38">
        <v>0</v>
      </c>
      <c r="R702" s="39" t="s">
        <v>237</v>
      </c>
    </row>
    <row r="703" spans="1:18" x14ac:dyDescent="0.3">
      <c r="A703" s="37" t="s">
        <v>378</v>
      </c>
      <c r="B703" s="37" t="s">
        <v>1049</v>
      </c>
      <c r="C703" s="37" t="s">
        <v>372</v>
      </c>
      <c r="D703" s="37" t="s">
        <v>375</v>
      </c>
      <c r="E703" s="38">
        <v>0</v>
      </c>
      <c r="F703" s="39" t="s">
        <v>237</v>
      </c>
      <c r="G703" s="38">
        <v>0</v>
      </c>
      <c r="H703" s="39" t="s">
        <v>380</v>
      </c>
      <c r="I703" s="40">
        <v>44790</v>
      </c>
      <c r="J703" s="40">
        <v>44790</v>
      </c>
      <c r="K703" s="38">
        <v>0</v>
      </c>
      <c r="L703" s="39" t="s">
        <v>380</v>
      </c>
      <c r="M703" s="38">
        <v>0</v>
      </c>
      <c r="N703" s="39" t="s">
        <v>380</v>
      </c>
      <c r="O703" s="41">
        <v>0</v>
      </c>
      <c r="P703" s="38">
        <v>0</v>
      </c>
      <c r="Q703" s="38">
        <v>0</v>
      </c>
      <c r="R703" s="39" t="s">
        <v>237</v>
      </c>
    </row>
    <row r="704" spans="1:18" x14ac:dyDescent="0.3">
      <c r="A704" s="37" t="s">
        <v>378</v>
      </c>
      <c r="B704" s="37" t="s">
        <v>1050</v>
      </c>
      <c r="C704" s="37" t="s">
        <v>372</v>
      </c>
      <c r="D704" s="37" t="s">
        <v>375</v>
      </c>
      <c r="E704" s="38">
        <v>0</v>
      </c>
      <c r="F704" s="39" t="s">
        <v>237</v>
      </c>
      <c r="G704" s="38">
        <v>0</v>
      </c>
      <c r="H704" s="39" t="s">
        <v>380</v>
      </c>
      <c r="I704" s="40">
        <v>45152</v>
      </c>
      <c r="J704" s="40">
        <v>45152</v>
      </c>
      <c r="K704" s="38">
        <v>0</v>
      </c>
      <c r="L704" s="39" t="s">
        <v>380</v>
      </c>
      <c r="M704" s="38">
        <v>0</v>
      </c>
      <c r="N704" s="39" t="s">
        <v>380</v>
      </c>
      <c r="O704" s="41">
        <v>0</v>
      </c>
      <c r="P704" s="38">
        <v>0</v>
      </c>
      <c r="Q704" s="38">
        <v>0</v>
      </c>
      <c r="R704" s="39" t="s">
        <v>237</v>
      </c>
    </row>
    <row r="705" spans="1:18" x14ac:dyDescent="0.3">
      <c r="A705" s="37" t="s">
        <v>378</v>
      </c>
      <c r="B705" s="37" t="s">
        <v>1051</v>
      </c>
      <c r="C705" s="37" t="s">
        <v>372</v>
      </c>
      <c r="D705" s="37" t="s">
        <v>375</v>
      </c>
      <c r="E705" s="38">
        <v>0</v>
      </c>
      <c r="F705" s="39" t="s">
        <v>237</v>
      </c>
      <c r="G705" s="38">
        <v>0</v>
      </c>
      <c r="H705" s="39" t="s">
        <v>380</v>
      </c>
      <c r="I705" s="40">
        <v>45138</v>
      </c>
      <c r="J705" s="40">
        <v>45141</v>
      </c>
      <c r="K705" s="38">
        <v>0</v>
      </c>
      <c r="L705" s="39" t="s">
        <v>380</v>
      </c>
      <c r="M705" s="38">
        <v>0</v>
      </c>
      <c r="N705" s="39" t="s">
        <v>380</v>
      </c>
      <c r="O705" s="41">
        <v>0</v>
      </c>
      <c r="P705" s="38">
        <v>0</v>
      </c>
      <c r="Q705" s="38">
        <v>0</v>
      </c>
      <c r="R705" s="39" t="s">
        <v>237</v>
      </c>
    </row>
    <row r="706" spans="1:18" x14ac:dyDescent="0.3">
      <c r="A706" s="37" t="s">
        <v>378</v>
      </c>
      <c r="B706" s="37" t="s">
        <v>1052</v>
      </c>
      <c r="C706" s="37" t="s">
        <v>372</v>
      </c>
      <c r="D706" s="37" t="s">
        <v>375</v>
      </c>
      <c r="E706" s="38">
        <v>0</v>
      </c>
      <c r="F706" s="39" t="s">
        <v>237</v>
      </c>
      <c r="G706" s="38">
        <v>0</v>
      </c>
      <c r="H706" s="39" t="s">
        <v>380</v>
      </c>
      <c r="I706" s="40">
        <v>45180</v>
      </c>
      <c r="J706" s="40">
        <v>45181</v>
      </c>
      <c r="K706" s="38">
        <v>0</v>
      </c>
      <c r="L706" s="39" t="s">
        <v>380</v>
      </c>
      <c r="M706" s="38">
        <v>0</v>
      </c>
      <c r="N706" s="39" t="s">
        <v>380</v>
      </c>
      <c r="O706" s="41">
        <v>0</v>
      </c>
      <c r="P706" s="38">
        <v>0</v>
      </c>
      <c r="Q706" s="38">
        <v>0</v>
      </c>
      <c r="R706" s="39" t="s">
        <v>237</v>
      </c>
    </row>
    <row r="707" spans="1:18" x14ac:dyDescent="0.3">
      <c r="A707" s="37" t="s">
        <v>378</v>
      </c>
      <c r="B707" s="37" t="s">
        <v>1053</v>
      </c>
      <c r="C707" s="37" t="s">
        <v>372</v>
      </c>
      <c r="D707" s="37" t="s">
        <v>375</v>
      </c>
      <c r="E707" s="38">
        <v>3969.3</v>
      </c>
      <c r="F707" s="39" t="s">
        <v>237</v>
      </c>
      <c r="G707" s="38">
        <v>13231</v>
      </c>
      <c r="H707" s="39" t="s">
        <v>380</v>
      </c>
      <c r="I707" s="40">
        <v>45534</v>
      </c>
      <c r="J707" s="40">
        <v>45531</v>
      </c>
      <c r="K707" s="38">
        <v>114456</v>
      </c>
      <c r="L707" s="39" t="s">
        <v>380</v>
      </c>
      <c r="M707" s="38">
        <v>76615</v>
      </c>
      <c r="N707" s="39" t="s">
        <v>380</v>
      </c>
      <c r="O707" s="41">
        <v>11</v>
      </c>
      <c r="P707" s="38">
        <v>2.89</v>
      </c>
      <c r="Q707" s="38">
        <v>34035.839999999902</v>
      </c>
      <c r="R707" s="39" t="s">
        <v>237</v>
      </c>
    </row>
    <row r="708" spans="1:18" x14ac:dyDescent="0.3">
      <c r="A708" s="37" t="s">
        <v>378</v>
      </c>
      <c r="B708" s="37" t="s">
        <v>1054</v>
      </c>
      <c r="C708" s="37" t="s">
        <v>372</v>
      </c>
      <c r="D708" s="37" t="s">
        <v>375</v>
      </c>
      <c r="E708" s="38">
        <v>5472</v>
      </c>
      <c r="F708" s="39" t="s">
        <v>237</v>
      </c>
      <c r="G708" s="38">
        <v>18240</v>
      </c>
      <c r="H708" s="39" t="s">
        <v>380</v>
      </c>
      <c r="I708" s="40">
        <v>45534</v>
      </c>
      <c r="J708" s="40">
        <v>45534</v>
      </c>
      <c r="K708" s="38">
        <v>19595</v>
      </c>
      <c r="L708" s="39" t="s">
        <v>380</v>
      </c>
      <c r="M708" s="38">
        <v>-13</v>
      </c>
      <c r="N708" s="39" t="s">
        <v>380</v>
      </c>
      <c r="O708" s="41">
        <v>86</v>
      </c>
      <c r="P708" s="38">
        <v>0.7</v>
      </c>
      <c r="Q708" s="38">
        <v>5882.3999999999896</v>
      </c>
      <c r="R708" s="39" t="s">
        <v>237</v>
      </c>
    </row>
    <row r="709" spans="1:18" x14ac:dyDescent="0.3">
      <c r="A709" s="37" t="s">
        <v>378</v>
      </c>
      <c r="B709" s="37" t="s">
        <v>1055</v>
      </c>
      <c r="C709" s="37" t="s">
        <v>372</v>
      </c>
      <c r="D709" s="37" t="s">
        <v>375</v>
      </c>
      <c r="E709" s="38">
        <v>10807.2</v>
      </c>
      <c r="F709" s="39" t="s">
        <v>237</v>
      </c>
      <c r="G709" s="38">
        <v>36024</v>
      </c>
      <c r="H709" s="39" t="s">
        <v>380</v>
      </c>
      <c r="I709" s="40">
        <v>45534</v>
      </c>
      <c r="J709" s="40">
        <v>45534</v>
      </c>
      <c r="K709" s="38">
        <v>-22800</v>
      </c>
      <c r="L709" s="39" t="s">
        <v>380</v>
      </c>
      <c r="M709" s="38">
        <v>13224</v>
      </c>
      <c r="N709" s="39" t="s">
        <v>380</v>
      </c>
      <c r="O709" s="41">
        <v>433</v>
      </c>
      <c r="P709" s="38">
        <v>0.42</v>
      </c>
      <c r="Q709" s="38">
        <v>2295.5999999999899</v>
      </c>
      <c r="R709" s="39" t="s">
        <v>237</v>
      </c>
    </row>
    <row r="710" spans="1:18" x14ac:dyDescent="0.3">
      <c r="A710" s="37" t="s">
        <v>378</v>
      </c>
      <c r="B710" s="37" t="s">
        <v>1056</v>
      </c>
      <c r="C710" s="37" t="s">
        <v>372</v>
      </c>
      <c r="D710" s="37" t="s">
        <v>375</v>
      </c>
      <c r="E710" s="38">
        <v>9329.76</v>
      </c>
      <c r="F710" s="39" t="s">
        <v>237</v>
      </c>
      <c r="G710" s="38">
        <v>30096</v>
      </c>
      <c r="H710" s="39" t="s">
        <v>380</v>
      </c>
      <c r="I710" s="40">
        <v>45524</v>
      </c>
      <c r="J710" s="40">
        <v>45524</v>
      </c>
      <c r="K710" s="38">
        <v>-10944</v>
      </c>
      <c r="L710" s="39" t="s">
        <v>380</v>
      </c>
      <c r="M710" s="38">
        <v>13680</v>
      </c>
      <c r="N710" s="39" t="s">
        <v>380</v>
      </c>
      <c r="O710" s="41">
        <v>134</v>
      </c>
      <c r="P710" s="38">
        <v>0.77</v>
      </c>
      <c r="Q710" s="38">
        <v>6411.3599999999897</v>
      </c>
      <c r="R710" s="39" t="s">
        <v>237</v>
      </c>
    </row>
    <row r="711" spans="1:18" x14ac:dyDescent="0.3">
      <c r="A711" s="37" t="s">
        <v>378</v>
      </c>
      <c r="B711" s="37" t="s">
        <v>1057</v>
      </c>
      <c r="C711" s="37" t="s">
        <v>372</v>
      </c>
      <c r="D711" s="37" t="s">
        <v>375</v>
      </c>
      <c r="E711" s="38">
        <v>5745.6</v>
      </c>
      <c r="F711" s="39" t="s">
        <v>237</v>
      </c>
      <c r="G711" s="38">
        <v>19152</v>
      </c>
      <c r="H711" s="39" t="s">
        <v>380</v>
      </c>
      <c r="I711" s="40">
        <v>45524</v>
      </c>
      <c r="J711" s="40">
        <v>45524</v>
      </c>
      <c r="K711" s="38">
        <v>-9120</v>
      </c>
      <c r="L711" s="39" t="s">
        <v>380</v>
      </c>
      <c r="M711" s="38">
        <v>-19152</v>
      </c>
      <c r="N711" s="39" t="s">
        <v>380</v>
      </c>
      <c r="O711" s="41">
        <v>179</v>
      </c>
      <c r="P711" s="38">
        <v>0.44</v>
      </c>
      <c r="Q711" s="38">
        <v>2954.88</v>
      </c>
      <c r="R711" s="39" t="s">
        <v>237</v>
      </c>
    </row>
    <row r="712" spans="1:18" x14ac:dyDescent="0.3">
      <c r="A712" s="37" t="s">
        <v>378</v>
      </c>
      <c r="B712" s="37" t="s">
        <v>1058</v>
      </c>
      <c r="C712" s="37" t="s">
        <v>372</v>
      </c>
      <c r="D712" s="37" t="s">
        <v>375</v>
      </c>
      <c r="E712" s="38">
        <v>0</v>
      </c>
      <c r="F712" s="39" t="s">
        <v>237</v>
      </c>
      <c r="G712" s="38">
        <v>0</v>
      </c>
      <c r="H712" s="39" t="s">
        <v>380</v>
      </c>
      <c r="I712" s="40">
        <v>45240</v>
      </c>
      <c r="J712" s="40">
        <v>45327</v>
      </c>
      <c r="K712" s="38">
        <v>0</v>
      </c>
      <c r="L712" s="39" t="s">
        <v>380</v>
      </c>
      <c r="M712" s="38">
        <v>0</v>
      </c>
      <c r="N712" s="39" t="s">
        <v>380</v>
      </c>
      <c r="O712" s="41">
        <v>0</v>
      </c>
      <c r="P712" s="38">
        <v>0</v>
      </c>
      <c r="Q712" s="38">
        <v>0</v>
      </c>
      <c r="R712" s="39" t="s">
        <v>237</v>
      </c>
    </row>
    <row r="713" spans="1:18" x14ac:dyDescent="0.3">
      <c r="A713" s="37" t="s">
        <v>378</v>
      </c>
      <c r="B713" s="37" t="s">
        <v>1059</v>
      </c>
      <c r="C713" s="37" t="s">
        <v>372</v>
      </c>
      <c r="D713" s="37" t="s">
        <v>375</v>
      </c>
      <c r="E713" s="38">
        <v>0</v>
      </c>
      <c r="F713" s="39" t="s">
        <v>237</v>
      </c>
      <c r="G713" s="38">
        <v>0</v>
      </c>
      <c r="H713" s="39" t="s">
        <v>380</v>
      </c>
      <c r="I713" s="40">
        <v>45240</v>
      </c>
      <c r="J713" s="40">
        <v>45327</v>
      </c>
      <c r="K713" s="38">
        <v>0</v>
      </c>
      <c r="L713" s="39" t="s">
        <v>380</v>
      </c>
      <c r="M713" s="38">
        <v>0</v>
      </c>
      <c r="N713" s="39" t="s">
        <v>380</v>
      </c>
      <c r="O713" s="41">
        <v>0</v>
      </c>
      <c r="P713" s="38">
        <v>0</v>
      </c>
      <c r="Q713" s="38">
        <v>0</v>
      </c>
      <c r="R713" s="39" t="s">
        <v>237</v>
      </c>
    </row>
    <row r="714" spans="1:18" x14ac:dyDescent="0.3">
      <c r="A714" s="37" t="s">
        <v>378</v>
      </c>
      <c r="B714" s="37" t="s">
        <v>1060</v>
      </c>
      <c r="C714" s="37" t="s">
        <v>372</v>
      </c>
      <c r="D714" s="37" t="s">
        <v>375</v>
      </c>
      <c r="E714" s="38">
        <v>0</v>
      </c>
      <c r="F714" s="39" t="s">
        <v>237</v>
      </c>
      <c r="G714" s="38">
        <v>0</v>
      </c>
      <c r="H714" s="39" t="s">
        <v>380</v>
      </c>
      <c r="I714" s="40">
        <v>44897</v>
      </c>
      <c r="J714" s="40">
        <v>45327</v>
      </c>
      <c r="K714" s="38">
        <v>0</v>
      </c>
      <c r="L714" s="39" t="s">
        <v>380</v>
      </c>
      <c r="M714" s="38">
        <v>0</v>
      </c>
      <c r="N714" s="39" t="s">
        <v>380</v>
      </c>
      <c r="O714" s="41">
        <v>0</v>
      </c>
      <c r="P714" s="38">
        <v>0</v>
      </c>
      <c r="Q714" s="38">
        <v>0</v>
      </c>
      <c r="R714" s="39" t="s">
        <v>237</v>
      </c>
    </row>
    <row r="715" spans="1:18" x14ac:dyDescent="0.3">
      <c r="A715" s="37" t="s">
        <v>378</v>
      </c>
      <c r="B715" s="37" t="s">
        <v>1061</v>
      </c>
      <c r="C715" s="37" t="s">
        <v>372</v>
      </c>
      <c r="D715" s="37" t="s">
        <v>375</v>
      </c>
      <c r="E715" s="38">
        <v>3524.5799999999899</v>
      </c>
      <c r="F715" s="39" t="s">
        <v>237</v>
      </c>
      <c r="G715" s="38">
        <v>68790</v>
      </c>
      <c r="H715" s="39" t="s">
        <v>380</v>
      </c>
      <c r="I715" s="40">
        <v>45534</v>
      </c>
      <c r="J715" s="40">
        <v>45534</v>
      </c>
      <c r="K715" s="38">
        <v>175698</v>
      </c>
      <c r="L715" s="39" t="s">
        <v>380</v>
      </c>
      <c r="M715" s="38">
        <v>160034</v>
      </c>
      <c r="N715" s="39" t="s">
        <v>380</v>
      </c>
      <c r="O715" s="41">
        <v>98</v>
      </c>
      <c r="P715" s="38">
        <v>0.99</v>
      </c>
      <c r="Q715" s="38">
        <v>3323.36</v>
      </c>
      <c r="R715" s="39" t="s">
        <v>237</v>
      </c>
    </row>
    <row r="716" spans="1:18" x14ac:dyDescent="0.3">
      <c r="A716" s="37" t="s">
        <v>378</v>
      </c>
      <c r="B716" s="37" t="s">
        <v>1062</v>
      </c>
      <c r="C716" s="37" t="s">
        <v>372</v>
      </c>
      <c r="D716" s="37" t="s">
        <v>375</v>
      </c>
      <c r="E716" s="38">
        <v>5778.93</v>
      </c>
      <c r="F716" s="39" t="s">
        <v>237</v>
      </c>
      <c r="G716" s="38">
        <v>72610</v>
      </c>
      <c r="H716" s="39" t="s">
        <v>380</v>
      </c>
      <c r="I716" s="40">
        <v>45528</v>
      </c>
      <c r="J716" s="40">
        <v>45443</v>
      </c>
      <c r="K716" s="38">
        <v>0</v>
      </c>
      <c r="L716" s="39" t="s">
        <v>380</v>
      </c>
      <c r="M716" s="38">
        <v>30000</v>
      </c>
      <c r="N716" s="39" t="s">
        <v>380</v>
      </c>
      <c r="O716" s="41">
        <v>99999</v>
      </c>
      <c r="P716" s="38">
        <v>0</v>
      </c>
      <c r="Q716" s="38">
        <v>0</v>
      </c>
      <c r="R716" s="39" t="s">
        <v>237</v>
      </c>
    </row>
    <row r="717" spans="1:18" x14ac:dyDescent="0.3">
      <c r="A717" s="37" t="s">
        <v>378</v>
      </c>
      <c r="B717" s="37" t="s">
        <v>1063</v>
      </c>
      <c r="C717" s="37" t="s">
        <v>372</v>
      </c>
      <c r="D717" s="37" t="s">
        <v>375</v>
      </c>
      <c r="E717" s="38">
        <v>478.3</v>
      </c>
      <c r="F717" s="39" t="s">
        <v>237</v>
      </c>
      <c r="G717" s="38">
        <v>9566</v>
      </c>
      <c r="H717" s="39" t="s">
        <v>380</v>
      </c>
      <c r="I717" s="40">
        <v>45519</v>
      </c>
      <c r="J717" s="40">
        <v>45520</v>
      </c>
      <c r="K717" s="38">
        <v>87868</v>
      </c>
      <c r="L717" s="39" t="s">
        <v>380</v>
      </c>
      <c r="M717" s="38">
        <v>43934</v>
      </c>
      <c r="N717" s="39" t="s">
        <v>380</v>
      </c>
      <c r="O717" s="41">
        <v>20</v>
      </c>
      <c r="P717" s="38">
        <v>1.39</v>
      </c>
      <c r="Q717" s="38">
        <v>2196.6999999999898</v>
      </c>
      <c r="R717" s="39" t="s">
        <v>237</v>
      </c>
    </row>
    <row r="718" spans="1:18" x14ac:dyDescent="0.3">
      <c r="A718" s="37" t="s">
        <v>378</v>
      </c>
      <c r="B718" s="37" t="s">
        <v>1064</v>
      </c>
      <c r="C718" s="37" t="s">
        <v>372</v>
      </c>
      <c r="D718" s="37" t="s">
        <v>375</v>
      </c>
      <c r="E718" s="38">
        <v>0</v>
      </c>
      <c r="F718" s="39" t="s">
        <v>237</v>
      </c>
      <c r="G718" s="38">
        <v>0</v>
      </c>
      <c r="H718" s="39" t="s">
        <v>380</v>
      </c>
      <c r="I718" s="40">
        <v>44915</v>
      </c>
      <c r="J718" s="40">
        <v>45264</v>
      </c>
      <c r="K718" s="38">
        <v>0</v>
      </c>
      <c r="L718" s="39" t="s">
        <v>380</v>
      </c>
      <c r="M718" s="38">
        <v>0</v>
      </c>
      <c r="N718" s="39" t="s">
        <v>380</v>
      </c>
      <c r="O718" s="41">
        <v>0</v>
      </c>
      <c r="P718" s="38">
        <v>0</v>
      </c>
      <c r="Q718" s="38">
        <v>0</v>
      </c>
      <c r="R718" s="39" t="s">
        <v>237</v>
      </c>
    </row>
    <row r="719" spans="1:18" x14ac:dyDescent="0.3">
      <c r="A719" s="37" t="s">
        <v>378</v>
      </c>
      <c r="B719" s="37" t="s">
        <v>1065</v>
      </c>
      <c r="C719" s="37" t="s">
        <v>372</v>
      </c>
      <c r="D719" s="37" t="s">
        <v>375</v>
      </c>
      <c r="E719" s="38">
        <v>0</v>
      </c>
      <c r="F719" s="39" t="s">
        <v>237</v>
      </c>
      <c r="G719" s="38">
        <v>0</v>
      </c>
      <c r="H719" s="39" t="s">
        <v>380</v>
      </c>
      <c r="I719" s="40">
        <v>44931</v>
      </c>
      <c r="J719" s="40">
        <v>44957</v>
      </c>
      <c r="K719" s="38">
        <v>0</v>
      </c>
      <c r="L719" s="39" t="s">
        <v>380</v>
      </c>
      <c r="M719" s="38">
        <v>0</v>
      </c>
      <c r="N719" s="39" t="s">
        <v>380</v>
      </c>
      <c r="O719" s="41">
        <v>0</v>
      </c>
      <c r="P719" s="38">
        <v>0</v>
      </c>
      <c r="Q719" s="38">
        <v>0</v>
      </c>
      <c r="R719" s="39" t="s">
        <v>237</v>
      </c>
    </row>
    <row r="720" spans="1:18" x14ac:dyDescent="0.3">
      <c r="A720" s="37" t="s">
        <v>378</v>
      </c>
      <c r="B720" s="37" t="s">
        <v>1066</v>
      </c>
      <c r="C720" s="37" t="s">
        <v>372</v>
      </c>
      <c r="D720" s="37" t="s">
        <v>375</v>
      </c>
      <c r="E720" s="38">
        <v>3663.69</v>
      </c>
      <c r="F720" s="39" t="s">
        <v>237</v>
      </c>
      <c r="G720" s="38">
        <v>59861</v>
      </c>
      <c r="H720" s="39" t="s">
        <v>380</v>
      </c>
      <c r="I720" s="40">
        <v>45491</v>
      </c>
      <c r="J720" s="40">
        <v>45499</v>
      </c>
      <c r="K720" s="38">
        <v>79768</v>
      </c>
      <c r="L720" s="39" t="s">
        <v>380</v>
      </c>
      <c r="M720" s="38">
        <v>85951</v>
      </c>
      <c r="N720" s="39" t="s">
        <v>380</v>
      </c>
      <c r="O720" s="41">
        <v>88</v>
      </c>
      <c r="P720" s="38">
        <v>0.93</v>
      </c>
      <c r="Q720" s="38">
        <v>3832.48</v>
      </c>
      <c r="R720" s="39" t="s">
        <v>237</v>
      </c>
    </row>
    <row r="721" spans="1:18" x14ac:dyDescent="0.3">
      <c r="A721" s="37" t="s">
        <v>378</v>
      </c>
      <c r="B721" s="37" t="s">
        <v>1067</v>
      </c>
      <c r="C721" s="37" t="s">
        <v>372</v>
      </c>
      <c r="D721" s="37" t="s">
        <v>375</v>
      </c>
      <c r="E721" s="38">
        <v>3123.94</v>
      </c>
      <c r="F721" s="39" t="s">
        <v>237</v>
      </c>
      <c r="G721" s="38">
        <v>60117</v>
      </c>
      <c r="H721" s="39" t="s">
        <v>380</v>
      </c>
      <c r="I721" s="40">
        <v>45385</v>
      </c>
      <c r="J721" s="40">
        <v>45362</v>
      </c>
      <c r="K721" s="38">
        <v>0</v>
      </c>
      <c r="L721" s="39" t="s">
        <v>380</v>
      </c>
      <c r="M721" s="38">
        <v>0</v>
      </c>
      <c r="N721" s="39" t="s">
        <v>380</v>
      </c>
      <c r="O721" s="41">
        <v>99999</v>
      </c>
      <c r="P721" s="38">
        <v>0</v>
      </c>
      <c r="Q721" s="38">
        <v>0</v>
      </c>
      <c r="R721" s="39" t="s">
        <v>237</v>
      </c>
    </row>
    <row r="722" spans="1:18" x14ac:dyDescent="0.3">
      <c r="A722" s="37" t="s">
        <v>378</v>
      </c>
      <c r="B722" s="37" t="s">
        <v>1068</v>
      </c>
      <c r="C722" s="37" t="s">
        <v>372</v>
      </c>
      <c r="D722" s="37" t="s">
        <v>377</v>
      </c>
      <c r="E722" s="38">
        <v>15697.42</v>
      </c>
      <c r="F722" s="39" t="s">
        <v>237</v>
      </c>
      <c r="G722" s="38">
        <v>315.209</v>
      </c>
      <c r="H722" s="39" t="s">
        <v>374</v>
      </c>
      <c r="I722" s="40">
        <v>45528</v>
      </c>
      <c r="J722" s="40">
        <v>45533</v>
      </c>
      <c r="K722" s="38">
        <v>204.88900000000001</v>
      </c>
      <c r="L722" s="39" t="s">
        <v>374</v>
      </c>
      <c r="M722" s="38">
        <v>312.39999999999901</v>
      </c>
      <c r="N722" s="39" t="s">
        <v>374</v>
      </c>
      <c r="O722" s="41">
        <v>314</v>
      </c>
      <c r="P722" s="38">
        <v>0.34</v>
      </c>
      <c r="Q722" s="38">
        <v>4605.97</v>
      </c>
      <c r="R722" s="39" t="s">
        <v>237</v>
      </c>
    </row>
    <row r="723" spans="1:18" x14ac:dyDescent="0.3">
      <c r="A723" s="37" t="s">
        <v>378</v>
      </c>
      <c r="B723" s="37" t="s">
        <v>1069</v>
      </c>
      <c r="C723" s="37" t="s">
        <v>372</v>
      </c>
      <c r="D723" s="37" t="s">
        <v>377</v>
      </c>
      <c r="E723" s="38">
        <v>0</v>
      </c>
      <c r="F723" s="39" t="s">
        <v>237</v>
      </c>
      <c r="G723" s="38">
        <v>0</v>
      </c>
      <c r="H723" s="39" t="s">
        <v>374</v>
      </c>
      <c r="I723" s="40">
        <v>44761</v>
      </c>
      <c r="J723" s="40">
        <v>44915</v>
      </c>
      <c r="K723" s="38">
        <v>0</v>
      </c>
      <c r="L723" s="39" t="s">
        <v>374</v>
      </c>
      <c r="M723" s="38">
        <v>0</v>
      </c>
      <c r="N723" s="39" t="s">
        <v>374</v>
      </c>
      <c r="O723" s="41">
        <v>0</v>
      </c>
      <c r="P723" s="38">
        <v>0</v>
      </c>
      <c r="Q723" s="38">
        <v>0</v>
      </c>
      <c r="R723" s="39" t="s">
        <v>237</v>
      </c>
    </row>
    <row r="724" spans="1:18" x14ac:dyDescent="0.3">
      <c r="A724" s="37" t="s">
        <v>378</v>
      </c>
      <c r="B724" s="37" t="s">
        <v>1070</v>
      </c>
      <c r="C724" s="37" t="s">
        <v>372</v>
      </c>
      <c r="D724" s="37" t="s">
        <v>375</v>
      </c>
      <c r="E724" s="38">
        <v>35109.5</v>
      </c>
      <c r="F724" s="39" t="s">
        <v>237</v>
      </c>
      <c r="G724" s="38">
        <v>81650</v>
      </c>
      <c r="H724" s="39" t="s">
        <v>380</v>
      </c>
      <c r="I724" s="40"/>
      <c r="J724" s="40"/>
      <c r="K724" s="38">
        <v>814775</v>
      </c>
      <c r="L724" s="39" t="s">
        <v>380</v>
      </c>
      <c r="M724" s="38">
        <v>809025</v>
      </c>
      <c r="N724" s="39" t="s">
        <v>380</v>
      </c>
      <c r="O724" s="41">
        <v>9</v>
      </c>
      <c r="P724" s="38">
        <v>10.09</v>
      </c>
      <c r="Q724" s="38">
        <v>348283.25</v>
      </c>
      <c r="R724" s="39" t="s">
        <v>237</v>
      </c>
    </row>
    <row r="725" spans="1:18" x14ac:dyDescent="0.3">
      <c r="A725" s="37" t="s">
        <v>378</v>
      </c>
      <c r="B725" s="37" t="s">
        <v>1071</v>
      </c>
      <c r="C725" s="37" t="s">
        <v>372</v>
      </c>
      <c r="D725" s="37" t="s">
        <v>577</v>
      </c>
      <c r="E725" s="38">
        <v>0</v>
      </c>
      <c r="F725" s="39" t="s">
        <v>237</v>
      </c>
      <c r="G725" s="38">
        <v>31</v>
      </c>
      <c r="H725" s="39" t="s">
        <v>380</v>
      </c>
      <c r="I725" s="40">
        <v>45274</v>
      </c>
      <c r="J725" s="40">
        <v>44805</v>
      </c>
      <c r="K725" s="38">
        <v>0</v>
      </c>
      <c r="L725" s="39" t="s">
        <v>380</v>
      </c>
      <c r="M725" s="38">
        <v>0</v>
      </c>
      <c r="N725" s="39" t="s">
        <v>380</v>
      </c>
      <c r="O725" s="41">
        <v>0</v>
      </c>
      <c r="P725" s="38">
        <v>0</v>
      </c>
      <c r="Q725" s="38">
        <v>0</v>
      </c>
      <c r="R725" s="39" t="s">
        <v>237</v>
      </c>
    </row>
    <row r="726" spans="1:18" x14ac:dyDescent="0.3">
      <c r="A726" s="37" t="s">
        <v>378</v>
      </c>
      <c r="B726" s="37" t="s">
        <v>1072</v>
      </c>
      <c r="C726" s="37" t="s">
        <v>372</v>
      </c>
      <c r="D726" s="37" t="s">
        <v>375</v>
      </c>
      <c r="E726" s="38">
        <v>0</v>
      </c>
      <c r="F726" s="39" t="s">
        <v>237</v>
      </c>
      <c r="G726" s="38">
        <v>0</v>
      </c>
      <c r="H726" s="39" t="s">
        <v>380</v>
      </c>
      <c r="I726" s="40">
        <v>44841</v>
      </c>
      <c r="J726" s="40">
        <v>44841</v>
      </c>
      <c r="K726" s="38">
        <v>0</v>
      </c>
      <c r="L726" s="39" t="s">
        <v>380</v>
      </c>
      <c r="M726" s="38">
        <v>0</v>
      </c>
      <c r="N726" s="39" t="s">
        <v>380</v>
      </c>
      <c r="O726" s="41">
        <v>0</v>
      </c>
      <c r="P726" s="38">
        <v>0</v>
      </c>
      <c r="Q726" s="38">
        <v>0</v>
      </c>
      <c r="R726" s="39" t="s">
        <v>237</v>
      </c>
    </row>
    <row r="727" spans="1:18" x14ac:dyDescent="0.3">
      <c r="A727" s="37" t="s">
        <v>378</v>
      </c>
      <c r="B727" s="37" t="s">
        <v>1073</v>
      </c>
      <c r="C727" s="37" t="s">
        <v>372</v>
      </c>
      <c r="D727" s="37" t="s">
        <v>375</v>
      </c>
      <c r="E727" s="38">
        <v>0</v>
      </c>
      <c r="F727" s="39" t="s">
        <v>237</v>
      </c>
      <c r="G727" s="38">
        <v>0</v>
      </c>
      <c r="H727" s="39" t="s">
        <v>380</v>
      </c>
      <c r="I727" s="40">
        <v>44840</v>
      </c>
      <c r="J727" s="40">
        <v>44845</v>
      </c>
      <c r="K727" s="38">
        <v>0</v>
      </c>
      <c r="L727" s="39" t="s">
        <v>380</v>
      </c>
      <c r="M727" s="38">
        <v>0</v>
      </c>
      <c r="N727" s="39" t="s">
        <v>380</v>
      </c>
      <c r="O727" s="41">
        <v>0</v>
      </c>
      <c r="P727" s="38">
        <v>0</v>
      </c>
      <c r="Q727" s="38">
        <v>0</v>
      </c>
      <c r="R727" s="39" t="s">
        <v>237</v>
      </c>
    </row>
    <row r="728" spans="1:18" x14ac:dyDescent="0.3">
      <c r="A728" s="37" t="s">
        <v>378</v>
      </c>
      <c r="B728" s="37" t="s">
        <v>1232</v>
      </c>
      <c r="C728" s="37" t="s">
        <v>372</v>
      </c>
      <c r="D728" s="37" t="s">
        <v>375</v>
      </c>
      <c r="E728" s="38">
        <v>242.94999999999899</v>
      </c>
      <c r="F728" s="39" t="s">
        <v>237</v>
      </c>
      <c r="G728" s="38">
        <v>10000</v>
      </c>
      <c r="H728" s="39" t="s">
        <v>380</v>
      </c>
      <c r="I728" s="40">
        <v>44832</v>
      </c>
      <c r="J728" s="40">
        <v>45265</v>
      </c>
      <c r="K728" s="38">
        <v>0</v>
      </c>
      <c r="L728" s="39" t="s">
        <v>380</v>
      </c>
      <c r="M728" s="38">
        <v>0</v>
      </c>
      <c r="N728" s="39" t="s">
        <v>380</v>
      </c>
      <c r="O728" s="41">
        <v>99999</v>
      </c>
      <c r="P728" s="38">
        <v>0</v>
      </c>
      <c r="Q728" s="38">
        <v>0</v>
      </c>
      <c r="R728" s="39" t="s">
        <v>237</v>
      </c>
    </row>
    <row r="729" spans="1:18" x14ac:dyDescent="0.3">
      <c r="A729" s="37" t="s">
        <v>378</v>
      </c>
      <c r="B729" s="37" t="s">
        <v>1074</v>
      </c>
      <c r="C729" s="37" t="s">
        <v>372</v>
      </c>
      <c r="D729" s="37" t="s">
        <v>375</v>
      </c>
      <c r="E729" s="38">
        <v>0</v>
      </c>
      <c r="F729" s="39" t="s">
        <v>237</v>
      </c>
      <c r="G729" s="38">
        <v>0</v>
      </c>
      <c r="H729" s="39" t="s">
        <v>380</v>
      </c>
      <c r="I729" s="40">
        <v>44911</v>
      </c>
      <c r="J729" s="40">
        <v>44911</v>
      </c>
      <c r="K729" s="38">
        <v>0</v>
      </c>
      <c r="L729" s="39" t="s">
        <v>380</v>
      </c>
      <c r="M729" s="38">
        <v>0</v>
      </c>
      <c r="N729" s="39" t="s">
        <v>380</v>
      </c>
      <c r="O729" s="41">
        <v>0</v>
      </c>
      <c r="P729" s="38">
        <v>0</v>
      </c>
      <c r="Q729" s="38">
        <v>0</v>
      </c>
      <c r="R729" s="39" t="s">
        <v>237</v>
      </c>
    </row>
    <row r="730" spans="1:18" x14ac:dyDescent="0.3">
      <c r="A730" s="37" t="s">
        <v>378</v>
      </c>
      <c r="B730" s="37" t="s">
        <v>1075</v>
      </c>
      <c r="C730" s="37" t="s">
        <v>372</v>
      </c>
      <c r="D730" s="37" t="s">
        <v>375</v>
      </c>
      <c r="E730" s="38">
        <v>0</v>
      </c>
      <c r="F730" s="39" t="s">
        <v>237</v>
      </c>
      <c r="G730" s="38">
        <v>0</v>
      </c>
      <c r="H730" s="39" t="s">
        <v>380</v>
      </c>
      <c r="I730" s="40">
        <v>44805</v>
      </c>
      <c r="J730" s="40">
        <v>44805</v>
      </c>
      <c r="K730" s="38">
        <v>0</v>
      </c>
      <c r="L730" s="39" t="s">
        <v>380</v>
      </c>
      <c r="M730" s="38">
        <v>0</v>
      </c>
      <c r="N730" s="39" t="s">
        <v>380</v>
      </c>
      <c r="O730" s="41">
        <v>0</v>
      </c>
      <c r="P730" s="38">
        <v>0</v>
      </c>
      <c r="Q730" s="38">
        <v>0</v>
      </c>
      <c r="R730" s="39" t="s">
        <v>237</v>
      </c>
    </row>
    <row r="731" spans="1:18" x14ac:dyDescent="0.3">
      <c r="A731" s="37" t="s">
        <v>378</v>
      </c>
      <c r="B731" s="37" t="s">
        <v>1076</v>
      </c>
      <c r="C731" s="37" t="s">
        <v>372</v>
      </c>
      <c r="D731" s="37" t="s">
        <v>375</v>
      </c>
      <c r="E731" s="38">
        <v>0</v>
      </c>
      <c r="F731" s="39" t="s">
        <v>237</v>
      </c>
      <c r="G731" s="38">
        <v>0</v>
      </c>
      <c r="H731" s="39" t="s">
        <v>380</v>
      </c>
      <c r="I731" s="40">
        <v>44805</v>
      </c>
      <c r="J731" s="40">
        <v>44805</v>
      </c>
      <c r="K731" s="38">
        <v>0</v>
      </c>
      <c r="L731" s="39" t="s">
        <v>380</v>
      </c>
      <c r="M731" s="38">
        <v>0</v>
      </c>
      <c r="N731" s="39" t="s">
        <v>380</v>
      </c>
      <c r="O731" s="41">
        <v>0</v>
      </c>
      <c r="P731" s="38">
        <v>0</v>
      </c>
      <c r="Q731" s="38">
        <v>0</v>
      </c>
      <c r="R731" s="39" t="s">
        <v>237</v>
      </c>
    </row>
    <row r="732" spans="1:18" x14ac:dyDescent="0.3">
      <c r="A732" s="37" t="s">
        <v>378</v>
      </c>
      <c r="B732" s="37" t="s">
        <v>1077</v>
      </c>
      <c r="C732" s="37" t="s">
        <v>372</v>
      </c>
      <c r="D732" s="37" t="s">
        <v>375</v>
      </c>
      <c r="E732" s="38">
        <v>0</v>
      </c>
      <c r="F732" s="39" t="s">
        <v>237</v>
      </c>
      <c r="G732" s="38">
        <v>0</v>
      </c>
      <c r="H732" s="39" t="s">
        <v>380</v>
      </c>
      <c r="I732" s="40">
        <v>44797</v>
      </c>
      <c r="J732" s="40">
        <v>44915</v>
      </c>
      <c r="K732" s="38">
        <v>0</v>
      </c>
      <c r="L732" s="39" t="s">
        <v>380</v>
      </c>
      <c r="M732" s="38">
        <v>0</v>
      </c>
      <c r="N732" s="39" t="s">
        <v>380</v>
      </c>
      <c r="O732" s="41">
        <v>0</v>
      </c>
      <c r="P732" s="38">
        <v>0</v>
      </c>
      <c r="Q732" s="38">
        <v>0</v>
      </c>
      <c r="R732" s="39" t="s">
        <v>237</v>
      </c>
    </row>
    <row r="733" spans="1:18" x14ac:dyDescent="0.3">
      <c r="A733" s="37" t="s">
        <v>378</v>
      </c>
      <c r="B733" s="37" t="s">
        <v>1078</v>
      </c>
      <c r="C733" s="37" t="s">
        <v>372</v>
      </c>
      <c r="D733" s="37" t="s">
        <v>375</v>
      </c>
      <c r="E733" s="38">
        <v>0</v>
      </c>
      <c r="F733" s="39" t="s">
        <v>237</v>
      </c>
      <c r="G733" s="38">
        <v>0</v>
      </c>
      <c r="H733" s="39" t="s">
        <v>380</v>
      </c>
      <c r="I733" s="40">
        <v>44797</v>
      </c>
      <c r="J733" s="40">
        <v>44915</v>
      </c>
      <c r="K733" s="38">
        <v>0</v>
      </c>
      <c r="L733" s="39" t="s">
        <v>380</v>
      </c>
      <c r="M733" s="38">
        <v>0</v>
      </c>
      <c r="N733" s="39" t="s">
        <v>380</v>
      </c>
      <c r="O733" s="41">
        <v>0</v>
      </c>
      <c r="P733" s="38">
        <v>0</v>
      </c>
      <c r="Q733" s="38">
        <v>0</v>
      </c>
      <c r="R733" s="39" t="s">
        <v>237</v>
      </c>
    </row>
    <row r="734" spans="1:18" x14ac:dyDescent="0.3">
      <c r="A734" s="37" t="s">
        <v>378</v>
      </c>
      <c r="B734" s="37" t="s">
        <v>1079</v>
      </c>
      <c r="C734" s="37" t="s">
        <v>372</v>
      </c>
      <c r="D734" s="37" t="s">
        <v>375</v>
      </c>
      <c r="E734" s="38">
        <v>0</v>
      </c>
      <c r="F734" s="39" t="s">
        <v>237</v>
      </c>
      <c r="G734" s="38">
        <v>0</v>
      </c>
      <c r="H734" s="39" t="s">
        <v>380</v>
      </c>
      <c r="I734" s="40">
        <v>45016</v>
      </c>
      <c r="J734" s="40">
        <v>45019</v>
      </c>
      <c r="K734" s="38">
        <v>0</v>
      </c>
      <c r="L734" s="39" t="s">
        <v>380</v>
      </c>
      <c r="M734" s="38">
        <v>0</v>
      </c>
      <c r="N734" s="39" t="s">
        <v>380</v>
      </c>
      <c r="O734" s="41">
        <v>0</v>
      </c>
      <c r="P734" s="38">
        <v>0</v>
      </c>
      <c r="Q734" s="38">
        <v>0</v>
      </c>
      <c r="R734" s="39" t="s">
        <v>237</v>
      </c>
    </row>
    <row r="735" spans="1:18" x14ac:dyDescent="0.3">
      <c r="A735" s="37" t="s">
        <v>378</v>
      </c>
      <c r="B735" s="37" t="s">
        <v>1080</v>
      </c>
      <c r="C735" s="37" t="s">
        <v>372</v>
      </c>
      <c r="D735" s="37" t="s">
        <v>375</v>
      </c>
      <c r="E735" s="38">
        <v>0</v>
      </c>
      <c r="F735" s="39" t="s">
        <v>237</v>
      </c>
      <c r="G735" s="38">
        <v>0</v>
      </c>
      <c r="H735" s="39" t="s">
        <v>380</v>
      </c>
      <c r="I735" s="40">
        <v>45118</v>
      </c>
      <c r="J735" s="40">
        <v>45125</v>
      </c>
      <c r="K735" s="38">
        <v>0</v>
      </c>
      <c r="L735" s="39" t="s">
        <v>380</v>
      </c>
      <c r="M735" s="38">
        <v>0</v>
      </c>
      <c r="N735" s="39" t="s">
        <v>380</v>
      </c>
      <c r="O735" s="41">
        <v>0</v>
      </c>
      <c r="P735" s="38">
        <v>0</v>
      </c>
      <c r="Q735" s="38">
        <v>0</v>
      </c>
      <c r="R735" s="39" t="s">
        <v>237</v>
      </c>
    </row>
    <row r="736" spans="1:18" x14ac:dyDescent="0.3">
      <c r="A736" s="37" t="s">
        <v>378</v>
      </c>
      <c r="B736" s="37" t="s">
        <v>1081</v>
      </c>
      <c r="C736" s="37" t="s">
        <v>372</v>
      </c>
      <c r="D736" s="37" t="s">
        <v>375</v>
      </c>
      <c r="E736" s="38">
        <v>0</v>
      </c>
      <c r="F736" s="39" t="s">
        <v>237</v>
      </c>
      <c r="G736" s="38">
        <v>0</v>
      </c>
      <c r="H736" s="39" t="s">
        <v>380</v>
      </c>
      <c r="I736" s="40">
        <v>45128</v>
      </c>
      <c r="J736" s="40">
        <v>45134</v>
      </c>
      <c r="K736" s="38">
        <v>0</v>
      </c>
      <c r="L736" s="39" t="s">
        <v>380</v>
      </c>
      <c r="M736" s="38">
        <v>0</v>
      </c>
      <c r="N736" s="39" t="s">
        <v>380</v>
      </c>
      <c r="O736" s="41">
        <v>0</v>
      </c>
      <c r="P736" s="38">
        <v>0</v>
      </c>
      <c r="Q736" s="38">
        <v>0</v>
      </c>
      <c r="R736" s="39" t="s">
        <v>237</v>
      </c>
    </row>
    <row r="737" spans="1:18" x14ac:dyDescent="0.3">
      <c r="A737" s="37" t="s">
        <v>378</v>
      </c>
      <c r="B737" s="37" t="s">
        <v>1082</v>
      </c>
      <c r="C737" s="37" t="s">
        <v>372</v>
      </c>
      <c r="D737" s="37" t="s">
        <v>375</v>
      </c>
      <c r="E737" s="38">
        <v>0</v>
      </c>
      <c r="F737" s="39" t="s">
        <v>237</v>
      </c>
      <c r="G737" s="38">
        <v>0</v>
      </c>
      <c r="H737" s="39" t="s">
        <v>380</v>
      </c>
      <c r="I737" s="40"/>
      <c r="J737" s="40">
        <v>45534</v>
      </c>
      <c r="K737" s="38">
        <v>168000</v>
      </c>
      <c r="L737" s="39" t="s">
        <v>380</v>
      </c>
      <c r="M737" s="38">
        <v>158400</v>
      </c>
      <c r="N737" s="39" t="s">
        <v>380</v>
      </c>
      <c r="O737" s="41">
        <v>0</v>
      </c>
      <c r="P737" s="38">
        <v>10</v>
      </c>
      <c r="Q737" s="38">
        <v>19724.779999999901</v>
      </c>
      <c r="R737" s="39" t="s">
        <v>237</v>
      </c>
    </row>
    <row r="738" spans="1:18" x14ac:dyDescent="0.3">
      <c r="A738" s="37" t="s">
        <v>378</v>
      </c>
      <c r="B738" s="37" t="s">
        <v>1083</v>
      </c>
      <c r="C738" s="37" t="s">
        <v>372</v>
      </c>
      <c r="D738" s="37" t="s">
        <v>375</v>
      </c>
      <c r="E738" s="38">
        <v>0</v>
      </c>
      <c r="F738" s="39" t="s">
        <v>237</v>
      </c>
      <c r="G738" s="38">
        <v>0</v>
      </c>
      <c r="H738" s="39" t="s">
        <v>380</v>
      </c>
      <c r="I738" s="40">
        <v>44879</v>
      </c>
      <c r="J738" s="40">
        <v>44879</v>
      </c>
      <c r="K738" s="38">
        <v>0</v>
      </c>
      <c r="L738" s="39" t="s">
        <v>380</v>
      </c>
      <c r="M738" s="38">
        <v>0</v>
      </c>
      <c r="N738" s="39" t="s">
        <v>380</v>
      </c>
      <c r="O738" s="41">
        <v>0</v>
      </c>
      <c r="P738" s="38">
        <v>0</v>
      </c>
      <c r="Q738" s="38">
        <v>0</v>
      </c>
      <c r="R738" s="39" t="s">
        <v>237</v>
      </c>
    </row>
    <row r="739" spans="1:18" x14ac:dyDescent="0.3">
      <c r="A739" s="37" t="s">
        <v>378</v>
      </c>
      <c r="B739" s="37" t="s">
        <v>1084</v>
      </c>
      <c r="C739" s="37" t="s">
        <v>372</v>
      </c>
      <c r="D739" s="37" t="s">
        <v>375</v>
      </c>
      <c r="E739" s="38">
        <v>0</v>
      </c>
      <c r="F739" s="39" t="s">
        <v>237</v>
      </c>
      <c r="G739" s="38">
        <v>0</v>
      </c>
      <c r="H739" s="39" t="s">
        <v>380</v>
      </c>
      <c r="I739" s="40">
        <v>44965</v>
      </c>
      <c r="J739" s="40">
        <v>45152</v>
      </c>
      <c r="K739" s="38">
        <v>0</v>
      </c>
      <c r="L739" s="39" t="s">
        <v>380</v>
      </c>
      <c r="M739" s="38">
        <v>0</v>
      </c>
      <c r="N739" s="39" t="s">
        <v>380</v>
      </c>
      <c r="O739" s="41">
        <v>0</v>
      </c>
      <c r="P739" s="38">
        <v>0</v>
      </c>
      <c r="Q739" s="38">
        <v>0</v>
      </c>
      <c r="R739" s="39" t="s">
        <v>237</v>
      </c>
    </row>
    <row r="740" spans="1:18" x14ac:dyDescent="0.3">
      <c r="A740" s="37" t="s">
        <v>378</v>
      </c>
      <c r="B740" s="37" t="s">
        <v>1085</v>
      </c>
      <c r="C740" s="37" t="s">
        <v>372</v>
      </c>
      <c r="D740" s="37" t="s">
        <v>375</v>
      </c>
      <c r="E740" s="38">
        <v>0</v>
      </c>
      <c r="F740" s="39" t="s">
        <v>237</v>
      </c>
      <c r="G740" s="38">
        <v>0</v>
      </c>
      <c r="H740" s="39" t="s">
        <v>373</v>
      </c>
      <c r="I740" s="40">
        <v>45308</v>
      </c>
      <c r="J740" s="40">
        <v>45337</v>
      </c>
      <c r="K740" s="38">
        <v>0</v>
      </c>
      <c r="L740" s="39" t="s">
        <v>373</v>
      </c>
      <c r="M740" s="38">
        <v>0</v>
      </c>
      <c r="N740" s="39" t="s">
        <v>373</v>
      </c>
      <c r="O740" s="41">
        <v>0</v>
      </c>
      <c r="P740" s="38">
        <v>0</v>
      </c>
      <c r="Q740" s="38">
        <v>0</v>
      </c>
      <c r="R740" s="39" t="s">
        <v>237</v>
      </c>
    </row>
    <row r="741" spans="1:18" x14ac:dyDescent="0.3">
      <c r="A741" s="37" t="s">
        <v>378</v>
      </c>
      <c r="B741" s="37" t="s">
        <v>1086</v>
      </c>
      <c r="C741" s="37" t="s">
        <v>372</v>
      </c>
      <c r="D741" s="37" t="s">
        <v>375</v>
      </c>
      <c r="E741" s="38">
        <v>0</v>
      </c>
      <c r="F741" s="39" t="s">
        <v>237</v>
      </c>
      <c r="G741" s="38">
        <v>0</v>
      </c>
      <c r="H741" s="39" t="s">
        <v>380</v>
      </c>
      <c r="I741" s="40">
        <v>44972</v>
      </c>
      <c r="J741" s="40">
        <v>45274</v>
      </c>
      <c r="K741" s="38">
        <v>0</v>
      </c>
      <c r="L741" s="39" t="s">
        <v>380</v>
      </c>
      <c r="M741" s="38">
        <v>0</v>
      </c>
      <c r="N741" s="39" t="s">
        <v>380</v>
      </c>
      <c r="O741" s="41">
        <v>0</v>
      </c>
      <c r="P741" s="38">
        <v>0</v>
      </c>
      <c r="Q741" s="38">
        <v>0</v>
      </c>
      <c r="R741" s="39" t="s">
        <v>237</v>
      </c>
    </row>
    <row r="742" spans="1:18" x14ac:dyDescent="0.3">
      <c r="A742" s="37" t="s">
        <v>378</v>
      </c>
      <c r="B742" s="37" t="s">
        <v>1087</v>
      </c>
      <c r="C742" s="37" t="s">
        <v>372</v>
      </c>
      <c r="D742" s="37" t="s">
        <v>375</v>
      </c>
      <c r="E742" s="38">
        <v>0</v>
      </c>
      <c r="F742" s="39" t="s">
        <v>237</v>
      </c>
      <c r="G742" s="38">
        <v>0</v>
      </c>
      <c r="H742" s="39" t="s">
        <v>380</v>
      </c>
      <c r="I742" s="40">
        <v>45383</v>
      </c>
      <c r="J742" s="40">
        <v>45442</v>
      </c>
      <c r="K742" s="38">
        <v>0</v>
      </c>
      <c r="L742" s="39" t="s">
        <v>380</v>
      </c>
      <c r="M742" s="38">
        <v>0</v>
      </c>
      <c r="N742" s="39" t="s">
        <v>380</v>
      </c>
      <c r="O742" s="41">
        <v>0</v>
      </c>
      <c r="P742" s="38">
        <v>0</v>
      </c>
      <c r="Q742" s="38">
        <v>0</v>
      </c>
      <c r="R742" s="39" t="s">
        <v>237</v>
      </c>
    </row>
    <row r="743" spans="1:18" x14ac:dyDescent="0.3">
      <c r="A743" s="37" t="s">
        <v>378</v>
      </c>
      <c r="B743" s="37" t="s">
        <v>1088</v>
      </c>
      <c r="C743" s="37" t="s">
        <v>372</v>
      </c>
      <c r="D743" s="37" t="s">
        <v>375</v>
      </c>
      <c r="E743" s="38">
        <v>1086.5799999999899</v>
      </c>
      <c r="F743" s="39" t="s">
        <v>237</v>
      </c>
      <c r="G743" s="38">
        <v>10448</v>
      </c>
      <c r="H743" s="39" t="s">
        <v>380</v>
      </c>
      <c r="I743" s="40">
        <v>45406</v>
      </c>
      <c r="J743" s="40">
        <v>45408</v>
      </c>
      <c r="K743" s="38">
        <v>0</v>
      </c>
      <c r="L743" s="39" t="s">
        <v>380</v>
      </c>
      <c r="M743" s="38">
        <v>0</v>
      </c>
      <c r="N743" s="39" t="s">
        <v>380</v>
      </c>
      <c r="O743" s="41">
        <v>99999</v>
      </c>
      <c r="P743" s="38">
        <v>0</v>
      </c>
      <c r="Q743" s="38">
        <v>0</v>
      </c>
      <c r="R743" s="39" t="s">
        <v>237</v>
      </c>
    </row>
    <row r="744" spans="1:18" x14ac:dyDescent="0.3">
      <c r="A744" s="37" t="s">
        <v>378</v>
      </c>
      <c r="B744" s="37" t="s">
        <v>1089</v>
      </c>
      <c r="C744" s="37" t="s">
        <v>372</v>
      </c>
      <c r="D744" s="37" t="s">
        <v>375</v>
      </c>
      <c r="E744" s="38">
        <v>1982.4</v>
      </c>
      <c r="F744" s="39" t="s">
        <v>237</v>
      </c>
      <c r="G744" s="38">
        <v>9912</v>
      </c>
      <c r="H744" s="39" t="s">
        <v>380</v>
      </c>
      <c r="I744" s="40">
        <v>45479</v>
      </c>
      <c r="J744" s="40">
        <v>45482</v>
      </c>
      <c r="K744" s="38">
        <v>65750</v>
      </c>
      <c r="L744" s="39" t="s">
        <v>380</v>
      </c>
      <c r="M744" s="38">
        <v>65664</v>
      </c>
      <c r="N744" s="39" t="s">
        <v>380</v>
      </c>
      <c r="O744" s="41">
        <v>26</v>
      </c>
      <c r="P744" s="38">
        <v>2.58</v>
      </c>
      <c r="Q744" s="38">
        <v>6929.1999999999898</v>
      </c>
      <c r="R744" s="39" t="s">
        <v>237</v>
      </c>
    </row>
    <row r="745" spans="1:18" x14ac:dyDescent="0.3">
      <c r="A745" s="37" t="s">
        <v>378</v>
      </c>
      <c r="B745" s="37" t="s">
        <v>1090</v>
      </c>
      <c r="C745" s="37" t="s">
        <v>372</v>
      </c>
      <c r="D745" s="37" t="s">
        <v>375</v>
      </c>
      <c r="E745" s="38">
        <v>0</v>
      </c>
      <c r="F745" s="39" t="s">
        <v>237</v>
      </c>
      <c r="G745" s="38">
        <v>0</v>
      </c>
      <c r="H745" s="39" t="s">
        <v>380</v>
      </c>
      <c r="I745" s="40">
        <v>45482</v>
      </c>
      <c r="J745" s="40">
        <v>45484</v>
      </c>
      <c r="K745" s="38">
        <v>8640</v>
      </c>
      <c r="L745" s="39" t="s">
        <v>380</v>
      </c>
      <c r="M745" s="38">
        <v>8640</v>
      </c>
      <c r="N745" s="39" t="s">
        <v>380</v>
      </c>
      <c r="O745" s="41">
        <v>0</v>
      </c>
      <c r="P745" s="38">
        <v>99999</v>
      </c>
      <c r="Q745" s="38">
        <v>1814.4</v>
      </c>
      <c r="R745" s="39" t="s">
        <v>237</v>
      </c>
    </row>
    <row r="746" spans="1:18" x14ac:dyDescent="0.3">
      <c r="A746" s="37" t="s">
        <v>378</v>
      </c>
      <c r="B746" s="37" t="s">
        <v>1091</v>
      </c>
      <c r="C746" s="37" t="s">
        <v>372</v>
      </c>
      <c r="D746" s="37" t="s">
        <v>375</v>
      </c>
      <c r="E746" s="38">
        <v>0</v>
      </c>
      <c r="F746" s="39" t="s">
        <v>237</v>
      </c>
      <c r="G746" s="38">
        <v>0</v>
      </c>
      <c r="H746" s="39" t="s">
        <v>380</v>
      </c>
      <c r="I746" s="40">
        <v>45511</v>
      </c>
      <c r="J746" s="40">
        <v>45511</v>
      </c>
      <c r="K746" s="38">
        <v>1596</v>
      </c>
      <c r="L746" s="39" t="s">
        <v>380</v>
      </c>
      <c r="M746" s="38">
        <v>36</v>
      </c>
      <c r="N746" s="39" t="s">
        <v>380</v>
      </c>
      <c r="O746" s="41">
        <v>0</v>
      </c>
      <c r="P746" s="38">
        <v>4.09</v>
      </c>
      <c r="Q746" s="38">
        <v>383.04</v>
      </c>
      <c r="R746" s="39" t="s">
        <v>237</v>
      </c>
    </row>
    <row r="747" spans="1:18" x14ac:dyDescent="0.3">
      <c r="A747" s="37" t="s">
        <v>378</v>
      </c>
      <c r="B747" s="37" t="s">
        <v>1092</v>
      </c>
      <c r="C747" s="37" t="s">
        <v>372</v>
      </c>
      <c r="D747" s="37" t="s">
        <v>375</v>
      </c>
      <c r="E747" s="38">
        <v>0</v>
      </c>
      <c r="F747" s="39" t="s">
        <v>237</v>
      </c>
      <c r="G747" s="38">
        <v>0</v>
      </c>
      <c r="H747" s="39" t="s">
        <v>380</v>
      </c>
      <c r="I747" s="40">
        <v>45443</v>
      </c>
      <c r="J747" s="40">
        <v>45448</v>
      </c>
      <c r="K747" s="38">
        <v>4680</v>
      </c>
      <c r="L747" s="39" t="s">
        <v>380</v>
      </c>
      <c r="M747" s="38">
        <v>0</v>
      </c>
      <c r="N747" s="39" t="s">
        <v>380</v>
      </c>
      <c r="O747" s="41">
        <v>0</v>
      </c>
      <c r="P747" s="38">
        <v>4</v>
      </c>
      <c r="Q747" s="38">
        <v>1170</v>
      </c>
      <c r="R747" s="39" t="s">
        <v>237</v>
      </c>
    </row>
    <row r="748" spans="1:18" x14ac:dyDescent="0.3">
      <c r="A748" s="37" t="s">
        <v>378</v>
      </c>
      <c r="B748" s="37" t="s">
        <v>1093</v>
      </c>
      <c r="C748" s="37" t="s">
        <v>372</v>
      </c>
      <c r="D748" s="37" t="s">
        <v>375</v>
      </c>
      <c r="E748" s="38">
        <v>0</v>
      </c>
      <c r="F748" s="39" t="s">
        <v>237</v>
      </c>
      <c r="G748" s="38">
        <v>0</v>
      </c>
      <c r="H748" s="39" t="s">
        <v>380</v>
      </c>
      <c r="I748" s="40">
        <v>45471</v>
      </c>
      <c r="J748" s="40">
        <v>45482</v>
      </c>
      <c r="K748" s="38">
        <v>8640</v>
      </c>
      <c r="L748" s="39" t="s">
        <v>380</v>
      </c>
      <c r="M748" s="38">
        <v>8640</v>
      </c>
      <c r="N748" s="39" t="s">
        <v>380</v>
      </c>
      <c r="O748" s="41">
        <v>0</v>
      </c>
      <c r="P748" s="38">
        <v>4</v>
      </c>
      <c r="Q748" s="38">
        <v>1814.4</v>
      </c>
      <c r="R748" s="39" t="s">
        <v>237</v>
      </c>
    </row>
    <row r="749" spans="1:18" x14ac:dyDescent="0.3">
      <c r="A749" s="37" t="s">
        <v>378</v>
      </c>
      <c r="B749" s="37" t="s">
        <v>1094</v>
      </c>
      <c r="C749" s="37" t="s">
        <v>372</v>
      </c>
      <c r="D749" s="37" t="s">
        <v>375</v>
      </c>
      <c r="E749" s="38">
        <v>0</v>
      </c>
      <c r="F749" s="39" t="s">
        <v>237</v>
      </c>
      <c r="G749" s="38">
        <v>0</v>
      </c>
      <c r="H749" s="39" t="s">
        <v>380</v>
      </c>
      <c r="I749" s="40">
        <v>45476</v>
      </c>
      <c r="J749" s="40">
        <v>45482</v>
      </c>
      <c r="K749" s="38">
        <v>8640</v>
      </c>
      <c r="L749" s="39" t="s">
        <v>380</v>
      </c>
      <c r="M749" s="38">
        <v>8640</v>
      </c>
      <c r="N749" s="39" t="s">
        <v>380</v>
      </c>
      <c r="O749" s="41">
        <v>0</v>
      </c>
      <c r="P749" s="38">
        <v>99999</v>
      </c>
      <c r="Q749" s="38">
        <v>1814.4</v>
      </c>
      <c r="R749" s="39" t="s">
        <v>237</v>
      </c>
    </row>
    <row r="750" spans="1:18" x14ac:dyDescent="0.3">
      <c r="A750" s="37" t="s">
        <v>378</v>
      </c>
      <c r="B750" s="37" t="s">
        <v>1095</v>
      </c>
      <c r="C750" s="37" t="s">
        <v>372</v>
      </c>
      <c r="D750" s="37" t="s">
        <v>375</v>
      </c>
      <c r="E750" s="38">
        <v>0</v>
      </c>
      <c r="F750" s="39" t="s">
        <v>237</v>
      </c>
      <c r="G750" s="38">
        <v>0</v>
      </c>
      <c r="H750" s="39" t="s">
        <v>380</v>
      </c>
      <c r="I750" s="40">
        <v>45476</v>
      </c>
      <c r="J750" s="40">
        <v>45483</v>
      </c>
      <c r="K750" s="38">
        <v>8640</v>
      </c>
      <c r="L750" s="39" t="s">
        <v>380</v>
      </c>
      <c r="M750" s="38">
        <v>8640</v>
      </c>
      <c r="N750" s="39" t="s">
        <v>380</v>
      </c>
      <c r="O750" s="41">
        <v>0</v>
      </c>
      <c r="P750" s="38">
        <v>99999</v>
      </c>
      <c r="Q750" s="38">
        <v>1814.4</v>
      </c>
      <c r="R750" s="39" t="s">
        <v>237</v>
      </c>
    </row>
    <row r="751" spans="1:18" x14ac:dyDescent="0.3">
      <c r="A751" s="37" t="s">
        <v>378</v>
      </c>
      <c r="B751" s="37" t="s">
        <v>1096</v>
      </c>
      <c r="C751" s="37" t="s">
        <v>372</v>
      </c>
      <c r="D751" s="37" t="s">
        <v>375</v>
      </c>
      <c r="E751" s="38">
        <v>0</v>
      </c>
      <c r="F751" s="39" t="s">
        <v>237</v>
      </c>
      <c r="G751" s="38">
        <v>0</v>
      </c>
      <c r="H751" s="39" t="s">
        <v>380</v>
      </c>
      <c r="I751" s="40">
        <v>44886</v>
      </c>
      <c r="J751" s="40">
        <v>44886</v>
      </c>
      <c r="K751" s="38">
        <v>0</v>
      </c>
      <c r="L751" s="39" t="s">
        <v>380</v>
      </c>
      <c r="M751" s="38">
        <v>0</v>
      </c>
      <c r="N751" s="39" t="s">
        <v>380</v>
      </c>
      <c r="O751" s="41">
        <v>0</v>
      </c>
      <c r="P751" s="38">
        <v>0</v>
      </c>
      <c r="Q751" s="38">
        <v>0</v>
      </c>
      <c r="R751" s="39" t="s">
        <v>237</v>
      </c>
    </row>
    <row r="752" spans="1:18" x14ac:dyDescent="0.3">
      <c r="A752" s="37" t="s">
        <v>378</v>
      </c>
      <c r="B752" s="37" t="s">
        <v>1097</v>
      </c>
      <c r="C752" s="37" t="s">
        <v>372</v>
      </c>
      <c r="D752" s="37" t="s">
        <v>375</v>
      </c>
      <c r="E752" s="38">
        <v>0</v>
      </c>
      <c r="F752" s="39" t="s">
        <v>237</v>
      </c>
      <c r="G752" s="38">
        <v>19284</v>
      </c>
      <c r="H752" s="39" t="s">
        <v>380</v>
      </c>
      <c r="I752" s="40">
        <v>45519</v>
      </c>
      <c r="J752" s="40">
        <v>45520</v>
      </c>
      <c r="K752" s="38">
        <v>9432</v>
      </c>
      <c r="L752" s="39" t="s">
        <v>380</v>
      </c>
      <c r="M752" s="38">
        <v>4716</v>
      </c>
      <c r="N752" s="39" t="s">
        <v>380</v>
      </c>
      <c r="O752" s="41">
        <v>0</v>
      </c>
      <c r="P752" s="38">
        <v>0.21</v>
      </c>
      <c r="Q752" s="38">
        <v>0</v>
      </c>
      <c r="R752" s="39" t="s">
        <v>237</v>
      </c>
    </row>
    <row r="753" spans="1:18" x14ac:dyDescent="0.3">
      <c r="A753" s="37" t="s">
        <v>378</v>
      </c>
      <c r="B753" s="37" t="s">
        <v>1098</v>
      </c>
      <c r="C753" s="37" t="s">
        <v>372</v>
      </c>
      <c r="D753" s="37" t="s">
        <v>375</v>
      </c>
      <c r="E753" s="38">
        <v>0</v>
      </c>
      <c r="F753" s="39" t="s">
        <v>237</v>
      </c>
      <c r="G753" s="38">
        <v>10954</v>
      </c>
      <c r="H753" s="39" t="s">
        <v>380</v>
      </c>
      <c r="I753" s="40">
        <v>45476</v>
      </c>
      <c r="J753" s="40">
        <v>45482</v>
      </c>
      <c r="K753" s="38">
        <v>17511</v>
      </c>
      <c r="L753" s="39" t="s">
        <v>380</v>
      </c>
      <c r="M753" s="38">
        <v>8871</v>
      </c>
      <c r="N753" s="39" t="s">
        <v>380</v>
      </c>
      <c r="O753" s="41">
        <v>0</v>
      </c>
      <c r="P753" s="38">
        <v>0.56999999999999995</v>
      </c>
      <c r="Q753" s="38">
        <v>0</v>
      </c>
      <c r="R753" s="39" t="s">
        <v>237</v>
      </c>
    </row>
    <row r="754" spans="1:18" x14ac:dyDescent="0.3">
      <c r="A754" s="37" t="s">
        <v>378</v>
      </c>
      <c r="B754" s="37" t="s">
        <v>1099</v>
      </c>
      <c r="C754" s="37" t="s">
        <v>372</v>
      </c>
      <c r="D754" s="37" t="s">
        <v>375</v>
      </c>
      <c r="E754" s="38">
        <v>0</v>
      </c>
      <c r="F754" s="39" t="s">
        <v>237</v>
      </c>
      <c r="G754" s="38">
        <v>16376</v>
      </c>
      <c r="H754" s="39" t="s">
        <v>380</v>
      </c>
      <c r="I754" s="40">
        <v>45476</v>
      </c>
      <c r="J754" s="40">
        <v>45482</v>
      </c>
      <c r="K754" s="38">
        <v>17514</v>
      </c>
      <c r="L754" s="39" t="s">
        <v>380</v>
      </c>
      <c r="M754" s="38">
        <v>8788</v>
      </c>
      <c r="N754" s="39" t="s">
        <v>380</v>
      </c>
      <c r="O754" s="41">
        <v>0</v>
      </c>
      <c r="P754" s="38">
        <v>0.42</v>
      </c>
      <c r="Q754" s="38">
        <v>0</v>
      </c>
      <c r="R754" s="39" t="s">
        <v>237</v>
      </c>
    </row>
    <row r="755" spans="1:18" x14ac:dyDescent="0.3">
      <c r="A755" s="37" t="s">
        <v>378</v>
      </c>
      <c r="B755" s="37" t="s">
        <v>1100</v>
      </c>
      <c r="C755" s="37" t="s">
        <v>372</v>
      </c>
      <c r="D755" s="37" t="s">
        <v>375</v>
      </c>
      <c r="E755" s="38">
        <v>0</v>
      </c>
      <c r="F755" s="39" t="s">
        <v>237</v>
      </c>
      <c r="G755" s="38">
        <v>27126</v>
      </c>
      <c r="H755" s="39" t="s">
        <v>380</v>
      </c>
      <c r="I755" s="40">
        <v>45482</v>
      </c>
      <c r="J755" s="40">
        <v>45482</v>
      </c>
      <c r="K755" s="38">
        <v>17456</v>
      </c>
      <c r="L755" s="39" t="s">
        <v>380</v>
      </c>
      <c r="M755" s="38">
        <v>8803</v>
      </c>
      <c r="N755" s="39" t="s">
        <v>380</v>
      </c>
      <c r="O755" s="41">
        <v>0</v>
      </c>
      <c r="P755" s="38">
        <v>0.28000000000000003</v>
      </c>
      <c r="Q755" s="38">
        <v>0</v>
      </c>
      <c r="R755" s="39" t="s">
        <v>237</v>
      </c>
    </row>
    <row r="756" spans="1:18" x14ac:dyDescent="0.3">
      <c r="A756" s="37" t="s">
        <v>378</v>
      </c>
      <c r="B756" s="37" t="s">
        <v>1101</v>
      </c>
      <c r="C756" s="37" t="s">
        <v>372</v>
      </c>
      <c r="D756" s="37" t="s">
        <v>375</v>
      </c>
      <c r="E756" s="38">
        <v>0</v>
      </c>
      <c r="F756" s="39" t="s">
        <v>237</v>
      </c>
      <c r="G756" s="38">
        <v>17900</v>
      </c>
      <c r="H756" s="39" t="s">
        <v>380</v>
      </c>
      <c r="I756" s="40">
        <v>45472</v>
      </c>
      <c r="J756" s="40">
        <v>45474</v>
      </c>
      <c r="K756" s="38">
        <v>17537</v>
      </c>
      <c r="L756" s="39" t="s">
        <v>380</v>
      </c>
      <c r="M756" s="38">
        <v>8897</v>
      </c>
      <c r="N756" s="39" t="s">
        <v>380</v>
      </c>
      <c r="O756" s="41">
        <v>0</v>
      </c>
      <c r="P756" s="38">
        <v>0.39</v>
      </c>
      <c r="Q756" s="38">
        <v>0</v>
      </c>
      <c r="R756" s="39" t="s">
        <v>237</v>
      </c>
    </row>
    <row r="757" spans="1:18" x14ac:dyDescent="0.3">
      <c r="A757" s="37" t="s">
        <v>378</v>
      </c>
      <c r="B757" s="37" t="s">
        <v>1224</v>
      </c>
      <c r="C757" s="37" t="s">
        <v>372</v>
      </c>
      <c r="D757" s="37" t="s">
        <v>375</v>
      </c>
      <c r="E757" s="38">
        <v>0</v>
      </c>
      <c r="F757" s="39" t="s">
        <v>237</v>
      </c>
      <c r="G757" s="38">
        <v>0</v>
      </c>
      <c r="H757" s="39" t="s">
        <v>380</v>
      </c>
      <c r="I757" s="40">
        <v>45188</v>
      </c>
      <c r="J757" s="40">
        <v>45203</v>
      </c>
      <c r="K757" s="38">
        <v>0</v>
      </c>
      <c r="L757" s="39" t="s">
        <v>380</v>
      </c>
      <c r="M757" s="38">
        <v>0</v>
      </c>
      <c r="N757" s="39" t="s">
        <v>380</v>
      </c>
      <c r="O757" s="41">
        <v>0</v>
      </c>
      <c r="P757" s="38">
        <v>0</v>
      </c>
      <c r="Q757" s="38">
        <v>0</v>
      </c>
      <c r="R757" s="39" t="s">
        <v>237</v>
      </c>
    </row>
    <row r="758" spans="1:18" x14ac:dyDescent="0.3">
      <c r="A758" s="37" t="s">
        <v>378</v>
      </c>
      <c r="B758" s="37" t="s">
        <v>1102</v>
      </c>
      <c r="C758" s="37" t="s">
        <v>372</v>
      </c>
      <c r="D758" s="37" t="s">
        <v>375</v>
      </c>
      <c r="E758" s="38">
        <v>0</v>
      </c>
      <c r="F758" s="39" t="s">
        <v>237</v>
      </c>
      <c r="G758" s="38">
        <v>0</v>
      </c>
      <c r="H758" s="39" t="s">
        <v>380</v>
      </c>
      <c r="I758" s="40">
        <v>45139</v>
      </c>
      <c r="J758" s="40">
        <v>45146</v>
      </c>
      <c r="K758" s="38">
        <v>0</v>
      </c>
      <c r="L758" s="39" t="s">
        <v>380</v>
      </c>
      <c r="M758" s="38">
        <v>0</v>
      </c>
      <c r="N758" s="39" t="s">
        <v>380</v>
      </c>
      <c r="O758" s="41">
        <v>0</v>
      </c>
      <c r="P758" s="38">
        <v>0</v>
      </c>
      <c r="Q758" s="38">
        <v>0</v>
      </c>
      <c r="R758" s="39" t="s">
        <v>237</v>
      </c>
    </row>
    <row r="759" spans="1:18" x14ac:dyDescent="0.3">
      <c r="A759" s="37" t="s">
        <v>378</v>
      </c>
      <c r="B759" s="37" t="s">
        <v>1103</v>
      </c>
      <c r="C759" s="37" t="s">
        <v>372</v>
      </c>
      <c r="D759" s="37" t="s">
        <v>375</v>
      </c>
      <c r="E759" s="38">
        <v>0</v>
      </c>
      <c r="F759" s="39" t="s">
        <v>237</v>
      </c>
      <c r="G759" s="38">
        <v>0</v>
      </c>
      <c r="H759" s="39" t="s">
        <v>380</v>
      </c>
      <c r="I759" s="40">
        <v>44932</v>
      </c>
      <c r="J759" s="40">
        <v>44935</v>
      </c>
      <c r="K759" s="38">
        <v>0</v>
      </c>
      <c r="L759" s="39" t="s">
        <v>380</v>
      </c>
      <c r="M759" s="38">
        <v>0</v>
      </c>
      <c r="N759" s="39" t="s">
        <v>380</v>
      </c>
      <c r="O759" s="41">
        <v>0</v>
      </c>
      <c r="P759" s="38">
        <v>0</v>
      </c>
      <c r="Q759" s="38">
        <v>0</v>
      </c>
      <c r="R759" s="39" t="s">
        <v>237</v>
      </c>
    </row>
    <row r="760" spans="1:18" x14ac:dyDescent="0.3">
      <c r="A760" s="37" t="s">
        <v>378</v>
      </c>
      <c r="B760" s="37" t="s">
        <v>1104</v>
      </c>
      <c r="C760" s="37" t="s">
        <v>372</v>
      </c>
      <c r="D760" s="37" t="s">
        <v>375</v>
      </c>
      <c r="E760" s="38">
        <v>0</v>
      </c>
      <c r="F760" s="39" t="s">
        <v>237</v>
      </c>
      <c r="G760" s="38">
        <v>0</v>
      </c>
      <c r="H760" s="39" t="s">
        <v>380</v>
      </c>
      <c r="I760" s="40">
        <v>45012</v>
      </c>
      <c r="J760" s="40">
        <v>45021</v>
      </c>
      <c r="K760" s="38">
        <v>0</v>
      </c>
      <c r="L760" s="39" t="s">
        <v>380</v>
      </c>
      <c r="M760" s="38">
        <v>0</v>
      </c>
      <c r="N760" s="39" t="s">
        <v>380</v>
      </c>
      <c r="O760" s="41">
        <v>0</v>
      </c>
      <c r="P760" s="38">
        <v>0</v>
      </c>
      <c r="Q760" s="38">
        <v>0</v>
      </c>
      <c r="R760" s="39" t="s">
        <v>237</v>
      </c>
    </row>
    <row r="761" spans="1:18" x14ac:dyDescent="0.3">
      <c r="A761" s="37" t="s">
        <v>378</v>
      </c>
      <c r="B761" s="37" t="s">
        <v>1105</v>
      </c>
      <c r="C761" s="37" t="s">
        <v>372</v>
      </c>
      <c r="D761" s="37" t="s">
        <v>375</v>
      </c>
      <c r="E761" s="38">
        <v>0</v>
      </c>
      <c r="F761" s="39" t="s">
        <v>237</v>
      </c>
      <c r="G761" s="38">
        <v>0</v>
      </c>
      <c r="H761" s="39" t="s">
        <v>380</v>
      </c>
      <c r="I761" s="40">
        <v>45016</v>
      </c>
      <c r="J761" s="40">
        <v>45021</v>
      </c>
      <c r="K761" s="38">
        <v>0</v>
      </c>
      <c r="L761" s="39" t="s">
        <v>380</v>
      </c>
      <c r="M761" s="38">
        <v>0</v>
      </c>
      <c r="N761" s="39" t="s">
        <v>380</v>
      </c>
      <c r="O761" s="41">
        <v>0</v>
      </c>
      <c r="P761" s="38">
        <v>0</v>
      </c>
      <c r="Q761" s="38">
        <v>0</v>
      </c>
      <c r="R761" s="39" t="s">
        <v>237</v>
      </c>
    </row>
    <row r="762" spans="1:18" x14ac:dyDescent="0.3">
      <c r="A762" s="37" t="s">
        <v>378</v>
      </c>
      <c r="B762" s="37" t="s">
        <v>1106</v>
      </c>
      <c r="C762" s="37" t="s">
        <v>372</v>
      </c>
      <c r="D762" s="37" t="s">
        <v>375</v>
      </c>
      <c r="E762" s="38">
        <v>2638.86</v>
      </c>
      <c r="F762" s="39" t="s">
        <v>237</v>
      </c>
      <c r="G762" s="38">
        <v>6283</v>
      </c>
      <c r="H762" s="39" t="s">
        <v>380</v>
      </c>
      <c r="I762" s="40">
        <v>45477</v>
      </c>
      <c r="J762" s="40">
        <v>45504</v>
      </c>
      <c r="K762" s="38">
        <v>4517</v>
      </c>
      <c r="L762" s="39" t="s">
        <v>380</v>
      </c>
      <c r="M762" s="38">
        <v>-600</v>
      </c>
      <c r="N762" s="39" t="s">
        <v>380</v>
      </c>
      <c r="O762" s="41">
        <v>123</v>
      </c>
      <c r="P762" s="38">
        <v>0.63</v>
      </c>
      <c r="Q762" s="38">
        <v>1968</v>
      </c>
      <c r="R762" s="39" t="s">
        <v>237</v>
      </c>
    </row>
    <row r="763" spans="1:18" x14ac:dyDescent="0.3">
      <c r="A763" s="37" t="s">
        <v>378</v>
      </c>
      <c r="B763" s="37" t="s">
        <v>1107</v>
      </c>
      <c r="C763" s="37" t="s">
        <v>372</v>
      </c>
      <c r="D763" s="37" t="s">
        <v>375</v>
      </c>
      <c r="E763" s="38">
        <v>8532</v>
      </c>
      <c r="F763" s="39" t="s">
        <v>237</v>
      </c>
      <c r="G763" s="38">
        <v>31600</v>
      </c>
      <c r="H763" s="39" t="s">
        <v>380</v>
      </c>
      <c r="I763" s="40">
        <v>45496</v>
      </c>
      <c r="J763" s="40">
        <v>45510</v>
      </c>
      <c r="K763" s="38">
        <v>26000</v>
      </c>
      <c r="L763" s="39" t="s">
        <v>380</v>
      </c>
      <c r="M763" s="38">
        <v>57600</v>
      </c>
      <c r="N763" s="39" t="s">
        <v>380</v>
      </c>
      <c r="O763" s="41">
        <v>112</v>
      </c>
      <c r="P763" s="38">
        <v>1.17</v>
      </c>
      <c r="Q763" s="38">
        <v>7020</v>
      </c>
      <c r="R763" s="39" t="s">
        <v>237</v>
      </c>
    </row>
    <row r="764" spans="1:18" x14ac:dyDescent="0.3">
      <c r="A764" s="37" t="s">
        <v>378</v>
      </c>
      <c r="B764" s="37" t="s">
        <v>1108</v>
      </c>
      <c r="C764" s="37" t="s">
        <v>372</v>
      </c>
      <c r="D764" s="37" t="s">
        <v>375</v>
      </c>
      <c r="E764" s="38">
        <v>0</v>
      </c>
      <c r="F764" s="39" t="s">
        <v>237</v>
      </c>
      <c r="G764" s="38">
        <v>0</v>
      </c>
      <c r="H764" s="39" t="s">
        <v>380</v>
      </c>
      <c r="I764" s="40">
        <v>45021</v>
      </c>
      <c r="J764" s="40">
        <v>45303</v>
      </c>
      <c r="K764" s="38">
        <v>0</v>
      </c>
      <c r="L764" s="39" t="s">
        <v>380</v>
      </c>
      <c r="M764" s="38">
        <v>0</v>
      </c>
      <c r="N764" s="39" t="s">
        <v>380</v>
      </c>
      <c r="O764" s="41">
        <v>0</v>
      </c>
      <c r="P764" s="38">
        <v>0</v>
      </c>
      <c r="Q764" s="38">
        <v>0</v>
      </c>
      <c r="R764" s="39" t="s">
        <v>237</v>
      </c>
    </row>
    <row r="765" spans="1:18" x14ac:dyDescent="0.3">
      <c r="A765" s="37" t="s">
        <v>378</v>
      </c>
      <c r="B765" s="37" t="s">
        <v>1174</v>
      </c>
      <c r="C765" s="37" t="s">
        <v>372</v>
      </c>
      <c r="D765" s="37" t="s">
        <v>375</v>
      </c>
      <c r="E765" s="38">
        <v>0</v>
      </c>
      <c r="F765" s="39" t="s">
        <v>237</v>
      </c>
      <c r="G765" s="38">
        <v>0</v>
      </c>
      <c r="H765" s="39" t="s">
        <v>380</v>
      </c>
      <c r="I765" s="40">
        <v>45140</v>
      </c>
      <c r="J765" s="40">
        <v>45201</v>
      </c>
      <c r="K765" s="38">
        <v>0</v>
      </c>
      <c r="L765" s="39" t="s">
        <v>380</v>
      </c>
      <c r="M765" s="38">
        <v>0</v>
      </c>
      <c r="N765" s="39" t="s">
        <v>380</v>
      </c>
      <c r="O765" s="41">
        <v>0</v>
      </c>
      <c r="P765" s="38">
        <v>0</v>
      </c>
      <c r="Q765" s="38">
        <v>0</v>
      </c>
      <c r="R765" s="39" t="s">
        <v>237</v>
      </c>
    </row>
    <row r="766" spans="1:18" x14ac:dyDescent="0.3">
      <c r="A766" s="37" t="s">
        <v>378</v>
      </c>
      <c r="B766" s="37" t="s">
        <v>1175</v>
      </c>
      <c r="C766" s="37" t="s">
        <v>372</v>
      </c>
      <c r="D766" s="37" t="s">
        <v>375</v>
      </c>
      <c r="E766" s="38">
        <v>0</v>
      </c>
      <c r="F766" s="39" t="s">
        <v>237</v>
      </c>
      <c r="G766" s="38">
        <v>0</v>
      </c>
      <c r="H766" s="39" t="s">
        <v>380</v>
      </c>
      <c r="I766" s="40">
        <v>45203</v>
      </c>
      <c r="J766" s="40">
        <v>45400</v>
      </c>
      <c r="K766" s="38">
        <v>0</v>
      </c>
      <c r="L766" s="39" t="s">
        <v>380</v>
      </c>
      <c r="M766" s="38">
        <v>0</v>
      </c>
      <c r="N766" s="39" t="s">
        <v>380</v>
      </c>
      <c r="O766" s="41">
        <v>0</v>
      </c>
      <c r="P766" s="38">
        <v>0</v>
      </c>
      <c r="Q766" s="38">
        <v>0</v>
      </c>
      <c r="R766" s="39" t="s">
        <v>237</v>
      </c>
    </row>
    <row r="767" spans="1:18" x14ac:dyDescent="0.3">
      <c r="A767" s="37" t="s">
        <v>378</v>
      </c>
      <c r="B767" s="37" t="s">
        <v>1143</v>
      </c>
      <c r="C767" s="37" t="s">
        <v>372</v>
      </c>
      <c r="D767" s="37" t="s">
        <v>377</v>
      </c>
      <c r="E767" s="38">
        <v>0</v>
      </c>
      <c r="F767" s="39" t="s">
        <v>237</v>
      </c>
      <c r="G767" s="38">
        <v>0</v>
      </c>
      <c r="H767" s="39" t="s">
        <v>380</v>
      </c>
      <c r="I767" s="40">
        <v>45154</v>
      </c>
      <c r="J767" s="40">
        <v>45264</v>
      </c>
      <c r="K767" s="38">
        <v>0</v>
      </c>
      <c r="L767" s="39" t="s">
        <v>380</v>
      </c>
      <c r="M767" s="38">
        <v>0</v>
      </c>
      <c r="N767" s="39" t="s">
        <v>380</v>
      </c>
      <c r="O767" s="41">
        <v>0</v>
      </c>
      <c r="P767" s="38">
        <v>0</v>
      </c>
      <c r="Q767" s="38">
        <v>0</v>
      </c>
      <c r="R767" s="39" t="s">
        <v>237</v>
      </c>
    </row>
    <row r="768" spans="1:18" x14ac:dyDescent="0.3">
      <c r="A768" s="37" t="s">
        <v>378</v>
      </c>
      <c r="B768" s="37" t="s">
        <v>1144</v>
      </c>
      <c r="C768" s="37" t="s">
        <v>372</v>
      </c>
      <c r="D768" s="37" t="s">
        <v>377</v>
      </c>
      <c r="E768" s="38">
        <v>6462.5</v>
      </c>
      <c r="F768" s="39" t="s">
        <v>237</v>
      </c>
      <c r="G768" s="38">
        <v>1375</v>
      </c>
      <c r="H768" s="39" t="s">
        <v>374</v>
      </c>
      <c r="I768" s="40">
        <v>45264</v>
      </c>
      <c r="J768" s="40">
        <v>45274</v>
      </c>
      <c r="K768" s="38">
        <v>0</v>
      </c>
      <c r="L768" s="39" t="s">
        <v>374</v>
      </c>
      <c r="M768" s="38">
        <v>0</v>
      </c>
      <c r="N768" s="39" t="s">
        <v>374</v>
      </c>
      <c r="O768" s="41">
        <v>99999</v>
      </c>
      <c r="P768" s="38">
        <v>0</v>
      </c>
      <c r="Q768" s="38">
        <v>0</v>
      </c>
      <c r="R768" s="39" t="s">
        <v>237</v>
      </c>
    </row>
    <row r="769" spans="1:18" x14ac:dyDescent="0.3">
      <c r="A769" s="37" t="s">
        <v>378</v>
      </c>
      <c r="B769" s="37" t="s">
        <v>1200</v>
      </c>
      <c r="C769" s="37" t="s">
        <v>372</v>
      </c>
      <c r="D769" s="37" t="s">
        <v>375</v>
      </c>
      <c r="E769" s="38">
        <v>0</v>
      </c>
      <c r="F769" s="39" t="s">
        <v>237</v>
      </c>
      <c r="G769" s="38">
        <v>0</v>
      </c>
      <c r="H769" s="39" t="s">
        <v>380</v>
      </c>
      <c r="I769" s="40">
        <v>45201</v>
      </c>
      <c r="J769" s="40">
        <v>45400</v>
      </c>
      <c r="K769" s="38">
        <v>0</v>
      </c>
      <c r="L769" s="39" t="s">
        <v>380</v>
      </c>
      <c r="M769" s="38">
        <v>0</v>
      </c>
      <c r="N769" s="39" t="s">
        <v>380</v>
      </c>
      <c r="O769" s="41">
        <v>0</v>
      </c>
      <c r="P769" s="38">
        <v>0</v>
      </c>
      <c r="Q769" s="38">
        <v>0</v>
      </c>
      <c r="R769" s="39" t="s">
        <v>237</v>
      </c>
    </row>
    <row r="770" spans="1:18" x14ac:dyDescent="0.3">
      <c r="A770" s="37" t="s">
        <v>378</v>
      </c>
      <c r="B770" s="37" t="s">
        <v>1201</v>
      </c>
      <c r="C770" s="37" t="s">
        <v>372</v>
      </c>
      <c r="D770" s="37" t="s">
        <v>375</v>
      </c>
      <c r="E770" s="38">
        <v>0</v>
      </c>
      <c r="F770" s="39" t="s">
        <v>237</v>
      </c>
      <c r="G770" s="38">
        <v>0</v>
      </c>
      <c r="H770" s="39" t="s">
        <v>380</v>
      </c>
      <c r="I770" s="40">
        <v>45204</v>
      </c>
      <c r="J770" s="40">
        <v>45400</v>
      </c>
      <c r="K770" s="38">
        <v>0</v>
      </c>
      <c r="L770" s="39" t="s">
        <v>380</v>
      </c>
      <c r="M770" s="38">
        <v>0</v>
      </c>
      <c r="N770" s="39" t="s">
        <v>380</v>
      </c>
      <c r="O770" s="41">
        <v>0</v>
      </c>
      <c r="P770" s="38">
        <v>0</v>
      </c>
      <c r="Q770" s="38">
        <v>0</v>
      </c>
      <c r="R770" s="39" t="s">
        <v>237</v>
      </c>
    </row>
    <row r="771" spans="1:18" x14ac:dyDescent="0.3">
      <c r="A771" s="37" t="s">
        <v>378</v>
      </c>
      <c r="B771" s="37" t="s">
        <v>1202</v>
      </c>
      <c r="C771" s="37" t="s">
        <v>372</v>
      </c>
      <c r="D771" s="37" t="s">
        <v>375</v>
      </c>
      <c r="E771" s="38">
        <v>0</v>
      </c>
      <c r="F771" s="39" t="s">
        <v>237</v>
      </c>
      <c r="G771" s="38">
        <v>0</v>
      </c>
      <c r="H771" s="39" t="s">
        <v>380</v>
      </c>
      <c r="I771" s="40">
        <v>45203</v>
      </c>
      <c r="J771" s="40">
        <v>45400</v>
      </c>
      <c r="K771" s="38">
        <v>0</v>
      </c>
      <c r="L771" s="39" t="s">
        <v>380</v>
      </c>
      <c r="M771" s="38">
        <v>0</v>
      </c>
      <c r="N771" s="39" t="s">
        <v>380</v>
      </c>
      <c r="O771" s="41">
        <v>0</v>
      </c>
      <c r="P771" s="38">
        <v>0</v>
      </c>
      <c r="Q771" s="38">
        <v>0</v>
      </c>
      <c r="R771" s="39" t="s">
        <v>237</v>
      </c>
    </row>
    <row r="772" spans="1:18" x14ac:dyDescent="0.3">
      <c r="A772" s="37" t="s">
        <v>378</v>
      </c>
      <c r="B772" s="37" t="s">
        <v>1183</v>
      </c>
      <c r="C772" s="37" t="s">
        <v>372</v>
      </c>
      <c r="D772" s="37" t="s">
        <v>375</v>
      </c>
      <c r="E772" s="38">
        <v>0</v>
      </c>
      <c r="F772" s="39" t="s">
        <v>237</v>
      </c>
      <c r="G772" s="38">
        <v>0</v>
      </c>
      <c r="H772" s="39" t="s">
        <v>380</v>
      </c>
      <c r="I772" s="40">
        <v>45195</v>
      </c>
      <c r="J772" s="40">
        <v>45400</v>
      </c>
      <c r="K772" s="38">
        <v>0</v>
      </c>
      <c r="L772" s="39" t="s">
        <v>380</v>
      </c>
      <c r="M772" s="38">
        <v>0</v>
      </c>
      <c r="N772" s="39" t="s">
        <v>380</v>
      </c>
      <c r="O772" s="41">
        <v>0</v>
      </c>
      <c r="P772" s="38">
        <v>0</v>
      </c>
      <c r="Q772" s="38">
        <v>0</v>
      </c>
      <c r="R772" s="39" t="s">
        <v>237</v>
      </c>
    </row>
    <row r="773" spans="1:18" x14ac:dyDescent="0.3">
      <c r="A773" s="37" t="s">
        <v>378</v>
      </c>
      <c r="B773" s="37" t="s">
        <v>1184</v>
      </c>
      <c r="C773" s="37" t="s">
        <v>372</v>
      </c>
      <c r="D773" s="37" t="s">
        <v>375</v>
      </c>
      <c r="E773" s="38">
        <v>0</v>
      </c>
      <c r="F773" s="39" t="s">
        <v>237</v>
      </c>
      <c r="G773" s="38">
        <v>0</v>
      </c>
      <c r="H773" s="39" t="s">
        <v>380</v>
      </c>
      <c r="I773" s="40">
        <v>45202</v>
      </c>
      <c r="J773" s="40">
        <v>45400</v>
      </c>
      <c r="K773" s="38">
        <v>0</v>
      </c>
      <c r="L773" s="39" t="s">
        <v>380</v>
      </c>
      <c r="M773" s="38">
        <v>0</v>
      </c>
      <c r="N773" s="39" t="s">
        <v>380</v>
      </c>
      <c r="O773" s="41">
        <v>0</v>
      </c>
      <c r="P773" s="38">
        <v>0</v>
      </c>
      <c r="Q773" s="38">
        <v>0</v>
      </c>
      <c r="R773" s="39" t="s">
        <v>237</v>
      </c>
    </row>
    <row r="774" spans="1:18" x14ac:dyDescent="0.3">
      <c r="A774" s="37" t="s">
        <v>378</v>
      </c>
      <c r="B774" s="37" t="s">
        <v>1185</v>
      </c>
      <c r="C774" s="37" t="s">
        <v>372</v>
      </c>
      <c r="D774" s="37" t="s">
        <v>375</v>
      </c>
      <c r="E774" s="38">
        <v>0</v>
      </c>
      <c r="F774" s="39" t="s">
        <v>237</v>
      </c>
      <c r="G774" s="38">
        <v>0</v>
      </c>
      <c r="H774" s="39" t="s">
        <v>380</v>
      </c>
      <c r="I774" s="40">
        <v>45195</v>
      </c>
      <c r="J774" s="40">
        <v>45400</v>
      </c>
      <c r="K774" s="38">
        <v>0</v>
      </c>
      <c r="L774" s="39" t="s">
        <v>380</v>
      </c>
      <c r="M774" s="38">
        <v>0</v>
      </c>
      <c r="N774" s="39" t="s">
        <v>380</v>
      </c>
      <c r="O774" s="41">
        <v>0</v>
      </c>
      <c r="P774" s="38">
        <v>0</v>
      </c>
      <c r="Q774" s="38">
        <v>0</v>
      </c>
      <c r="R774" s="39" t="s">
        <v>237</v>
      </c>
    </row>
    <row r="775" spans="1:18" x14ac:dyDescent="0.3">
      <c r="A775" s="37" t="s">
        <v>378</v>
      </c>
      <c r="B775" s="37" t="s">
        <v>1203</v>
      </c>
      <c r="C775" s="37" t="s">
        <v>372</v>
      </c>
      <c r="D775" s="37" t="s">
        <v>377</v>
      </c>
      <c r="E775" s="38">
        <v>1495.75</v>
      </c>
      <c r="F775" s="39" t="s">
        <v>237</v>
      </c>
      <c r="G775" s="38">
        <v>30.007000000000001</v>
      </c>
      <c r="H775" s="39" t="s">
        <v>374</v>
      </c>
      <c r="I775" s="40">
        <v>45425</v>
      </c>
      <c r="J775" s="40">
        <v>45422</v>
      </c>
      <c r="K775" s="38">
        <v>0</v>
      </c>
      <c r="L775" s="39" t="s">
        <v>374</v>
      </c>
      <c r="M775" s="38">
        <v>0</v>
      </c>
      <c r="N775" s="39" t="s">
        <v>374</v>
      </c>
      <c r="O775" s="41">
        <v>99999</v>
      </c>
      <c r="P775" s="38">
        <v>0</v>
      </c>
      <c r="Q775" s="38">
        <v>0</v>
      </c>
      <c r="R775" s="39" t="s">
        <v>237</v>
      </c>
    </row>
    <row r="776" spans="1:18" x14ac:dyDescent="0.3">
      <c r="A776" s="37" t="s">
        <v>378</v>
      </c>
      <c r="B776" s="37" t="s">
        <v>1186</v>
      </c>
      <c r="C776" s="37" t="s">
        <v>372</v>
      </c>
      <c r="D776" s="37" t="s">
        <v>377</v>
      </c>
      <c r="E776" s="38">
        <v>0</v>
      </c>
      <c r="F776" s="39" t="s">
        <v>237</v>
      </c>
      <c r="G776" s="38">
        <v>0</v>
      </c>
      <c r="H776" s="39" t="s">
        <v>374</v>
      </c>
      <c r="I776" s="40">
        <v>45281</v>
      </c>
      <c r="J776" s="40">
        <v>45281</v>
      </c>
      <c r="K776" s="38">
        <v>0</v>
      </c>
      <c r="L776" s="39" t="s">
        <v>374</v>
      </c>
      <c r="M776" s="38">
        <v>0</v>
      </c>
      <c r="N776" s="39" t="s">
        <v>374</v>
      </c>
      <c r="O776" s="41">
        <v>0</v>
      </c>
      <c r="P776" s="38">
        <v>0</v>
      </c>
      <c r="Q776" s="38">
        <v>0</v>
      </c>
      <c r="R776" s="39" t="s">
        <v>237</v>
      </c>
    </row>
    <row r="777" spans="1:18" x14ac:dyDescent="0.3">
      <c r="A777" s="37" t="s">
        <v>378</v>
      </c>
      <c r="B777" s="37" t="s">
        <v>1225</v>
      </c>
      <c r="C777" s="37" t="s">
        <v>372</v>
      </c>
      <c r="D777" s="37" t="s">
        <v>375</v>
      </c>
      <c r="E777" s="38">
        <v>0</v>
      </c>
      <c r="F777" s="39" t="s">
        <v>237</v>
      </c>
      <c r="G777" s="38">
        <v>0</v>
      </c>
      <c r="H777" s="39" t="s">
        <v>380</v>
      </c>
      <c r="I777" s="40">
        <v>45138</v>
      </c>
      <c r="J777" s="40">
        <v>45138</v>
      </c>
      <c r="K777" s="38">
        <v>0</v>
      </c>
      <c r="L777" s="39" t="s">
        <v>380</v>
      </c>
      <c r="M777" s="38">
        <v>0</v>
      </c>
      <c r="N777" s="39" t="s">
        <v>380</v>
      </c>
      <c r="O777" s="41">
        <v>0</v>
      </c>
      <c r="P777" s="38">
        <v>0</v>
      </c>
      <c r="Q777" s="38">
        <v>0</v>
      </c>
      <c r="R777" s="39" t="s">
        <v>237</v>
      </c>
    </row>
    <row r="778" spans="1:18" x14ac:dyDescent="0.3">
      <c r="A778" s="37" t="s">
        <v>378</v>
      </c>
      <c r="B778" s="37" t="s">
        <v>1176</v>
      </c>
      <c r="C778" s="37" t="s">
        <v>372</v>
      </c>
      <c r="D778" s="37" t="s">
        <v>375</v>
      </c>
      <c r="E778" s="38">
        <v>1521</v>
      </c>
      <c r="F778" s="39" t="s">
        <v>237</v>
      </c>
      <c r="G778" s="38">
        <v>5070</v>
      </c>
      <c r="H778" s="39" t="s">
        <v>380</v>
      </c>
      <c r="I778" s="40">
        <v>45523</v>
      </c>
      <c r="J778" s="40"/>
      <c r="K778" s="38">
        <v>0</v>
      </c>
      <c r="L778" s="39" t="s">
        <v>380</v>
      </c>
      <c r="M778" s="38">
        <v>5070</v>
      </c>
      <c r="N778" s="39" t="s">
        <v>380</v>
      </c>
      <c r="O778" s="41">
        <v>99999</v>
      </c>
      <c r="P778" s="38">
        <v>0</v>
      </c>
      <c r="Q778" s="38">
        <v>0</v>
      </c>
      <c r="R778" s="39" t="s">
        <v>237</v>
      </c>
    </row>
    <row r="779" spans="1:18" x14ac:dyDescent="0.3">
      <c r="A779" s="37" t="s">
        <v>378</v>
      </c>
      <c r="B779" s="37" t="s">
        <v>1288</v>
      </c>
      <c r="C779" s="37" t="s">
        <v>372</v>
      </c>
      <c r="D779" s="37" t="s">
        <v>375</v>
      </c>
      <c r="E779" s="38">
        <v>0</v>
      </c>
      <c r="F779" s="39" t="s">
        <v>237</v>
      </c>
      <c r="G779" s="38">
        <v>0</v>
      </c>
      <c r="H779" s="39" t="s">
        <v>380</v>
      </c>
      <c r="I779" s="40">
        <v>45422</v>
      </c>
      <c r="J779" s="40">
        <v>45422</v>
      </c>
      <c r="K779" s="38">
        <v>0</v>
      </c>
      <c r="L779" s="39" t="s">
        <v>380</v>
      </c>
      <c r="M779" s="38">
        <v>0</v>
      </c>
      <c r="N779" s="39" t="s">
        <v>380</v>
      </c>
      <c r="O779" s="41">
        <v>0</v>
      </c>
      <c r="P779" s="38">
        <v>0</v>
      </c>
      <c r="Q779" s="38">
        <v>0</v>
      </c>
      <c r="R779" s="39" t="s">
        <v>237</v>
      </c>
    </row>
    <row r="780" spans="1:18" x14ac:dyDescent="0.3">
      <c r="A780" s="37" t="s">
        <v>378</v>
      </c>
      <c r="B780" s="37" t="s">
        <v>1269</v>
      </c>
      <c r="C780" s="37" t="s">
        <v>372</v>
      </c>
      <c r="D780" s="37" t="s">
        <v>375</v>
      </c>
      <c r="E780" s="38">
        <v>0</v>
      </c>
      <c r="F780" s="39" t="s">
        <v>237</v>
      </c>
      <c r="G780" s="38">
        <v>0</v>
      </c>
      <c r="H780" s="39" t="s">
        <v>380</v>
      </c>
      <c r="I780" s="40">
        <v>45405</v>
      </c>
      <c r="J780" s="40">
        <v>45418</v>
      </c>
      <c r="K780" s="38">
        <v>0</v>
      </c>
      <c r="L780" s="39" t="s">
        <v>380</v>
      </c>
      <c r="M780" s="38">
        <v>0</v>
      </c>
      <c r="N780" s="39" t="s">
        <v>380</v>
      </c>
      <c r="O780" s="41">
        <v>0</v>
      </c>
      <c r="P780" s="38">
        <v>0</v>
      </c>
      <c r="Q780" s="38">
        <v>0</v>
      </c>
      <c r="R780" s="39" t="s">
        <v>237</v>
      </c>
    </row>
    <row r="781" spans="1:18" x14ac:dyDescent="0.3">
      <c r="A781" s="37" t="s">
        <v>378</v>
      </c>
      <c r="B781" s="37" t="s">
        <v>1187</v>
      </c>
      <c r="C781" s="37" t="s">
        <v>372</v>
      </c>
      <c r="D781" s="37" t="s">
        <v>375</v>
      </c>
      <c r="E781" s="38">
        <v>234.599999999999</v>
      </c>
      <c r="F781" s="39" t="s">
        <v>237</v>
      </c>
      <c r="G781" s="38">
        <v>10200</v>
      </c>
      <c r="H781" s="39" t="s">
        <v>380</v>
      </c>
      <c r="I781" s="40">
        <v>45518</v>
      </c>
      <c r="J781" s="40">
        <v>45526</v>
      </c>
      <c r="K781" s="38">
        <v>292800</v>
      </c>
      <c r="L781" s="39" t="s">
        <v>380</v>
      </c>
      <c r="M781" s="38">
        <v>302400</v>
      </c>
      <c r="N781" s="39" t="s">
        <v>380</v>
      </c>
      <c r="O781" s="41">
        <v>7</v>
      </c>
      <c r="P781" s="38">
        <v>3.93</v>
      </c>
      <c r="Q781" s="38">
        <v>3312</v>
      </c>
      <c r="R781" s="39" t="s">
        <v>237</v>
      </c>
    </row>
    <row r="782" spans="1:18" x14ac:dyDescent="0.3">
      <c r="A782" s="37" t="s">
        <v>378</v>
      </c>
      <c r="B782" s="37" t="s">
        <v>1289</v>
      </c>
      <c r="C782" s="37" t="s">
        <v>372</v>
      </c>
      <c r="D782" s="37" t="s">
        <v>375</v>
      </c>
      <c r="E782" s="38">
        <v>6120</v>
      </c>
      <c r="F782" s="39" t="s">
        <v>237</v>
      </c>
      <c r="G782" s="38">
        <v>68000</v>
      </c>
      <c r="H782" s="39" t="s">
        <v>380</v>
      </c>
      <c r="I782" s="40">
        <v>45289</v>
      </c>
      <c r="J782" s="40"/>
      <c r="K782" s="38">
        <v>1224000</v>
      </c>
      <c r="L782" s="39" t="s">
        <v>380</v>
      </c>
      <c r="M782" s="38">
        <v>1224000</v>
      </c>
      <c r="N782" s="39" t="s">
        <v>380</v>
      </c>
      <c r="O782" s="41">
        <v>5</v>
      </c>
      <c r="P782" s="38">
        <v>5.54</v>
      </c>
      <c r="Q782" s="38">
        <v>114580</v>
      </c>
      <c r="R782" s="39" t="s">
        <v>237</v>
      </c>
    </row>
    <row r="783" spans="1:18" x14ac:dyDescent="0.3">
      <c r="A783" s="37" t="s">
        <v>378</v>
      </c>
      <c r="B783" s="37" t="s">
        <v>1290</v>
      </c>
      <c r="C783" s="37" t="s">
        <v>372</v>
      </c>
      <c r="D783" s="37" t="s">
        <v>375</v>
      </c>
      <c r="E783" s="38">
        <v>12240</v>
      </c>
      <c r="F783" s="39" t="s">
        <v>237</v>
      </c>
      <c r="G783" s="38">
        <v>136000</v>
      </c>
      <c r="H783" s="39" t="s">
        <v>380</v>
      </c>
      <c r="I783" s="40">
        <v>45531</v>
      </c>
      <c r="J783" s="40">
        <v>45525</v>
      </c>
      <c r="K783" s="38">
        <v>102008</v>
      </c>
      <c r="L783" s="39" t="s">
        <v>380</v>
      </c>
      <c r="M783" s="38">
        <v>204008</v>
      </c>
      <c r="N783" s="39" t="s">
        <v>380</v>
      </c>
      <c r="O783" s="41">
        <v>184</v>
      </c>
      <c r="P783" s="38">
        <v>1.1399999999999999</v>
      </c>
      <c r="Q783" s="38">
        <v>6120</v>
      </c>
      <c r="R783" s="39" t="s">
        <v>237</v>
      </c>
    </row>
    <row r="784" spans="1:18" x14ac:dyDescent="0.3">
      <c r="A784" s="37" t="s">
        <v>378</v>
      </c>
      <c r="B784" s="37" t="s">
        <v>1291</v>
      </c>
      <c r="C784" s="37" t="s">
        <v>372</v>
      </c>
      <c r="D784" s="37" t="s">
        <v>375</v>
      </c>
      <c r="E784" s="38">
        <v>10880</v>
      </c>
      <c r="F784" s="39" t="s">
        <v>237</v>
      </c>
      <c r="G784" s="38">
        <v>136000</v>
      </c>
      <c r="H784" s="39" t="s">
        <v>380</v>
      </c>
      <c r="I784" s="40"/>
      <c r="J784" s="40">
        <v>45449</v>
      </c>
      <c r="K784" s="38">
        <v>34000</v>
      </c>
      <c r="L784" s="39" t="s">
        <v>380</v>
      </c>
      <c r="M784" s="38">
        <v>136000</v>
      </c>
      <c r="N784" s="39" t="s">
        <v>380</v>
      </c>
      <c r="O784" s="41">
        <v>99999</v>
      </c>
      <c r="P784" s="38">
        <v>0</v>
      </c>
      <c r="Q784" s="38">
        <v>0</v>
      </c>
      <c r="R784" s="39" t="s">
        <v>237</v>
      </c>
    </row>
    <row r="785" spans="1:18" x14ac:dyDescent="0.3">
      <c r="A785" s="37" t="s">
        <v>378</v>
      </c>
      <c r="B785" s="37" t="s">
        <v>1204</v>
      </c>
      <c r="C785" s="37" t="s">
        <v>372</v>
      </c>
      <c r="D785" s="37" t="s">
        <v>375</v>
      </c>
      <c r="E785" s="38">
        <v>45473.4</v>
      </c>
      <c r="F785" s="39" t="s">
        <v>237</v>
      </c>
      <c r="G785" s="38">
        <v>72591.384999999893</v>
      </c>
      <c r="H785" s="39" t="s">
        <v>376</v>
      </c>
      <c r="I785" s="40"/>
      <c r="J785" s="40"/>
      <c r="K785" s="38">
        <v>109744.501999999</v>
      </c>
      <c r="L785" s="39" t="s">
        <v>376</v>
      </c>
      <c r="M785" s="38">
        <v>162400</v>
      </c>
      <c r="N785" s="39" t="s">
        <v>376</v>
      </c>
      <c r="O785" s="41">
        <v>115</v>
      </c>
      <c r="P785" s="38">
        <v>1.32</v>
      </c>
      <c r="Q785" s="38">
        <v>36431</v>
      </c>
      <c r="R785" s="39" t="s">
        <v>237</v>
      </c>
    </row>
    <row r="786" spans="1:18" x14ac:dyDescent="0.3">
      <c r="A786" s="37" t="s">
        <v>378</v>
      </c>
      <c r="B786" s="37" t="s">
        <v>1250</v>
      </c>
      <c r="C786" s="37" t="s">
        <v>372</v>
      </c>
      <c r="D786" s="37" t="s">
        <v>377</v>
      </c>
      <c r="E786" s="38">
        <v>13635.52</v>
      </c>
      <c r="F786" s="39" t="s">
        <v>237</v>
      </c>
      <c r="G786" s="38">
        <v>286.57600000000002</v>
      </c>
      <c r="H786" s="39" t="s">
        <v>374</v>
      </c>
      <c r="I786" s="40">
        <v>45498</v>
      </c>
      <c r="J786" s="40">
        <v>45482</v>
      </c>
      <c r="K786" s="38">
        <v>376.30099999999902</v>
      </c>
      <c r="L786" s="39" t="s">
        <v>374</v>
      </c>
      <c r="M786" s="38">
        <v>402</v>
      </c>
      <c r="N786" s="39" t="s">
        <v>374</v>
      </c>
      <c r="O786" s="41">
        <v>163</v>
      </c>
      <c r="P786" s="38">
        <v>0.68</v>
      </c>
      <c r="Q786" s="38">
        <v>7684.1899999999896</v>
      </c>
      <c r="R786" s="39" t="s">
        <v>237</v>
      </c>
    </row>
    <row r="787" spans="1:18" x14ac:dyDescent="0.3">
      <c r="A787" s="37" t="s">
        <v>378</v>
      </c>
      <c r="B787" s="37" t="s">
        <v>1340</v>
      </c>
      <c r="C787" s="37" t="s">
        <v>372</v>
      </c>
      <c r="D787" s="37" t="s">
        <v>377</v>
      </c>
      <c r="E787" s="38">
        <v>2525</v>
      </c>
      <c r="F787" s="39" t="s">
        <v>237</v>
      </c>
      <c r="G787" s="38">
        <v>50</v>
      </c>
      <c r="H787" s="39" t="s">
        <v>374</v>
      </c>
      <c r="I787" s="40">
        <v>45467</v>
      </c>
      <c r="J787" s="40"/>
      <c r="K787" s="38">
        <v>0</v>
      </c>
      <c r="L787" s="39" t="s">
        <v>374</v>
      </c>
      <c r="M787" s="38">
        <v>50</v>
      </c>
      <c r="N787" s="39" t="s">
        <v>374</v>
      </c>
      <c r="O787" s="41">
        <v>99999</v>
      </c>
      <c r="P787" s="38">
        <v>0</v>
      </c>
      <c r="Q787" s="38">
        <v>0</v>
      </c>
      <c r="R787" s="39" t="s">
        <v>237</v>
      </c>
    </row>
    <row r="788" spans="1:18" x14ac:dyDescent="0.3">
      <c r="A788" s="37" t="s">
        <v>378</v>
      </c>
      <c r="B788" s="37" t="s">
        <v>1313</v>
      </c>
      <c r="C788" s="37" t="s">
        <v>372</v>
      </c>
      <c r="D788" s="37" t="s">
        <v>377</v>
      </c>
      <c r="E788" s="38">
        <v>3075.9299999999898</v>
      </c>
      <c r="F788" s="39" t="s">
        <v>237</v>
      </c>
      <c r="G788" s="38">
        <v>23.661000000000001</v>
      </c>
      <c r="H788" s="39" t="s">
        <v>374</v>
      </c>
      <c r="I788" s="40">
        <v>45435</v>
      </c>
      <c r="J788" s="40">
        <v>45441</v>
      </c>
      <c r="K788" s="38">
        <v>0.14699999999999899</v>
      </c>
      <c r="L788" s="39" t="s">
        <v>374</v>
      </c>
      <c r="M788" s="38">
        <v>0</v>
      </c>
      <c r="N788" s="39" t="s">
        <v>374</v>
      </c>
      <c r="O788" s="41">
        <v>14808</v>
      </c>
      <c r="P788" s="38">
        <v>0.01</v>
      </c>
      <c r="Q788" s="38">
        <v>19.1099999999999</v>
      </c>
      <c r="R788" s="39" t="s">
        <v>237</v>
      </c>
    </row>
    <row r="789" spans="1:18" x14ac:dyDescent="0.3">
      <c r="A789" s="37" t="s">
        <v>378</v>
      </c>
      <c r="B789" s="37" t="s">
        <v>1431</v>
      </c>
      <c r="C789" s="37" t="s">
        <v>372</v>
      </c>
      <c r="D789" s="37" t="s">
        <v>375</v>
      </c>
      <c r="E789" s="38">
        <v>68</v>
      </c>
      <c r="F789" s="39" t="s">
        <v>237</v>
      </c>
      <c r="G789" s="38">
        <v>200</v>
      </c>
      <c r="H789" s="39" t="s">
        <v>380</v>
      </c>
      <c r="I789" s="40">
        <v>45533</v>
      </c>
      <c r="J789" s="40"/>
      <c r="K789" s="38">
        <v>0</v>
      </c>
      <c r="L789" s="39" t="s">
        <v>380</v>
      </c>
      <c r="M789" s="38">
        <v>200</v>
      </c>
      <c r="N789" s="39" t="s">
        <v>380</v>
      </c>
      <c r="O789" s="41">
        <v>99999</v>
      </c>
      <c r="P789" s="38">
        <v>0</v>
      </c>
      <c r="Q789" s="38">
        <v>0</v>
      </c>
      <c r="R789" s="39" t="s">
        <v>237</v>
      </c>
    </row>
    <row r="790" spans="1:18" x14ac:dyDescent="0.3">
      <c r="A790" s="37" t="s">
        <v>378</v>
      </c>
      <c r="B790" s="37" t="s">
        <v>1188</v>
      </c>
      <c r="C790" s="37" t="s">
        <v>372</v>
      </c>
      <c r="D790" s="37" t="s">
        <v>375</v>
      </c>
      <c r="E790" s="38">
        <v>254</v>
      </c>
      <c r="F790" s="39" t="s">
        <v>237</v>
      </c>
      <c r="G790" s="38">
        <v>1016</v>
      </c>
      <c r="H790" s="39" t="s">
        <v>380</v>
      </c>
      <c r="I790" s="40">
        <v>45377</v>
      </c>
      <c r="J790" s="40">
        <v>45379</v>
      </c>
      <c r="K790" s="38">
        <v>0</v>
      </c>
      <c r="L790" s="39" t="s">
        <v>380</v>
      </c>
      <c r="M790" s="38">
        <v>0</v>
      </c>
      <c r="N790" s="39" t="s">
        <v>380</v>
      </c>
      <c r="O790" s="41">
        <v>99999</v>
      </c>
      <c r="P790" s="38">
        <v>0</v>
      </c>
      <c r="Q790" s="38">
        <v>0</v>
      </c>
      <c r="R790" s="39" t="s">
        <v>237</v>
      </c>
    </row>
    <row r="791" spans="1:18" x14ac:dyDescent="0.3">
      <c r="A791" s="37" t="s">
        <v>378</v>
      </c>
      <c r="B791" s="37" t="s">
        <v>1205</v>
      </c>
      <c r="C791" s="37" t="s">
        <v>372</v>
      </c>
      <c r="D791" s="37" t="s">
        <v>375</v>
      </c>
      <c r="E791" s="38">
        <v>43.369999999999898</v>
      </c>
      <c r="F791" s="39" t="s">
        <v>237</v>
      </c>
      <c r="G791" s="38">
        <v>417</v>
      </c>
      <c r="H791" s="39" t="s">
        <v>380</v>
      </c>
      <c r="I791" s="40">
        <v>45365</v>
      </c>
      <c r="J791" s="40">
        <v>45369</v>
      </c>
      <c r="K791" s="38">
        <v>0</v>
      </c>
      <c r="L791" s="39" t="s">
        <v>380</v>
      </c>
      <c r="M791" s="38">
        <v>0</v>
      </c>
      <c r="N791" s="39" t="s">
        <v>380</v>
      </c>
      <c r="O791" s="41">
        <v>99999</v>
      </c>
      <c r="P791" s="38">
        <v>0</v>
      </c>
      <c r="Q791" s="38">
        <v>0</v>
      </c>
      <c r="R791" s="39" t="s">
        <v>237</v>
      </c>
    </row>
    <row r="792" spans="1:18" x14ac:dyDescent="0.3">
      <c r="A792" s="37" t="s">
        <v>378</v>
      </c>
      <c r="B792" s="37" t="s">
        <v>1206</v>
      </c>
      <c r="C792" s="37" t="s">
        <v>372</v>
      </c>
      <c r="D792" s="37" t="s">
        <v>375</v>
      </c>
      <c r="E792" s="38">
        <v>0</v>
      </c>
      <c r="F792" s="39" t="s">
        <v>237</v>
      </c>
      <c r="G792" s="38">
        <v>0</v>
      </c>
      <c r="H792" s="39" t="s">
        <v>380</v>
      </c>
      <c r="I792" s="40">
        <v>45366</v>
      </c>
      <c r="J792" s="40">
        <v>45414</v>
      </c>
      <c r="K792" s="38">
        <v>0</v>
      </c>
      <c r="L792" s="39" t="s">
        <v>380</v>
      </c>
      <c r="M792" s="38">
        <v>0</v>
      </c>
      <c r="N792" s="39" t="s">
        <v>380</v>
      </c>
      <c r="O792" s="41">
        <v>0</v>
      </c>
      <c r="P792" s="38">
        <v>0</v>
      </c>
      <c r="Q792" s="38">
        <v>0</v>
      </c>
      <c r="R792" s="39" t="s">
        <v>237</v>
      </c>
    </row>
    <row r="793" spans="1:18" x14ac:dyDescent="0.3">
      <c r="A793" s="37" t="s">
        <v>378</v>
      </c>
      <c r="B793" s="37" t="s">
        <v>1207</v>
      </c>
      <c r="C793" s="37" t="s">
        <v>372</v>
      </c>
      <c r="D793" s="37" t="s">
        <v>375</v>
      </c>
      <c r="E793" s="38">
        <v>15400</v>
      </c>
      <c r="F793" s="39" t="s">
        <v>237</v>
      </c>
      <c r="G793" s="38">
        <v>20000</v>
      </c>
      <c r="H793" s="39" t="s">
        <v>380</v>
      </c>
      <c r="I793" s="40">
        <v>45516</v>
      </c>
      <c r="J793" s="40"/>
      <c r="K793" s="38">
        <v>10000</v>
      </c>
      <c r="L793" s="39" t="s">
        <v>380</v>
      </c>
      <c r="M793" s="38">
        <v>27000</v>
      </c>
      <c r="N793" s="39" t="s">
        <v>380</v>
      </c>
      <c r="O793" s="41">
        <v>184</v>
      </c>
      <c r="P793" s="38">
        <v>1.21</v>
      </c>
      <c r="Q793" s="38">
        <v>7700</v>
      </c>
      <c r="R793" s="39" t="s">
        <v>237</v>
      </c>
    </row>
    <row r="794" spans="1:18" x14ac:dyDescent="0.3">
      <c r="A794" s="37" t="s">
        <v>378</v>
      </c>
      <c r="B794" s="37" t="s">
        <v>1226</v>
      </c>
      <c r="C794" s="37" t="s">
        <v>372</v>
      </c>
      <c r="D794" s="37" t="s">
        <v>375</v>
      </c>
      <c r="E794" s="38">
        <v>2511.5999999999899</v>
      </c>
      <c r="F794" s="39" t="s">
        <v>237</v>
      </c>
      <c r="G794" s="38">
        <v>10920</v>
      </c>
      <c r="H794" s="39" t="s">
        <v>380</v>
      </c>
      <c r="I794" s="40">
        <v>45531</v>
      </c>
      <c r="J794" s="40"/>
      <c r="K794" s="38">
        <v>10080</v>
      </c>
      <c r="L794" s="39" t="s">
        <v>380</v>
      </c>
      <c r="M794" s="38">
        <v>21000</v>
      </c>
      <c r="N794" s="39" t="s">
        <v>380</v>
      </c>
      <c r="O794" s="41">
        <v>100</v>
      </c>
      <c r="P794" s="38">
        <v>3.69</v>
      </c>
      <c r="Q794" s="38">
        <v>2318.4</v>
      </c>
      <c r="R794" s="39" t="s">
        <v>237</v>
      </c>
    </row>
    <row r="795" spans="1:18" x14ac:dyDescent="0.3">
      <c r="A795" s="37" t="s">
        <v>378</v>
      </c>
      <c r="B795" s="37" t="s">
        <v>1208</v>
      </c>
      <c r="C795" s="37" t="s">
        <v>372</v>
      </c>
      <c r="D795" s="37" t="s">
        <v>375</v>
      </c>
      <c r="E795" s="38">
        <v>0</v>
      </c>
      <c r="F795" s="39" t="s">
        <v>237</v>
      </c>
      <c r="G795" s="38">
        <v>0</v>
      </c>
      <c r="H795" s="39" t="s">
        <v>380</v>
      </c>
      <c r="I795" s="40">
        <v>45198</v>
      </c>
      <c r="J795" s="40">
        <v>45203</v>
      </c>
      <c r="K795" s="38">
        <v>0</v>
      </c>
      <c r="L795" s="39" t="s">
        <v>380</v>
      </c>
      <c r="M795" s="38">
        <v>0</v>
      </c>
      <c r="N795" s="39" t="s">
        <v>380</v>
      </c>
      <c r="O795" s="41">
        <v>0</v>
      </c>
      <c r="P795" s="38">
        <v>0</v>
      </c>
      <c r="Q795" s="38">
        <v>0</v>
      </c>
      <c r="R795" s="39" t="s">
        <v>237</v>
      </c>
    </row>
    <row r="796" spans="1:18" x14ac:dyDescent="0.3">
      <c r="A796" s="37" t="s">
        <v>378</v>
      </c>
      <c r="B796" s="37" t="s">
        <v>1209</v>
      </c>
      <c r="C796" s="37" t="s">
        <v>372</v>
      </c>
      <c r="D796" s="37" t="s">
        <v>375</v>
      </c>
      <c r="E796" s="38">
        <v>0</v>
      </c>
      <c r="F796" s="39" t="s">
        <v>237</v>
      </c>
      <c r="G796" s="38">
        <v>0</v>
      </c>
      <c r="H796" s="39" t="s">
        <v>380</v>
      </c>
      <c r="I796" s="40">
        <v>45180</v>
      </c>
      <c r="J796" s="40">
        <v>45180</v>
      </c>
      <c r="K796" s="38">
        <v>0</v>
      </c>
      <c r="L796" s="39" t="s">
        <v>380</v>
      </c>
      <c r="M796" s="38">
        <v>0</v>
      </c>
      <c r="N796" s="39" t="s">
        <v>380</v>
      </c>
      <c r="O796" s="41">
        <v>0</v>
      </c>
      <c r="P796" s="38">
        <v>0</v>
      </c>
      <c r="Q796" s="38">
        <v>0</v>
      </c>
      <c r="R796" s="39" t="s">
        <v>237</v>
      </c>
    </row>
    <row r="797" spans="1:18" x14ac:dyDescent="0.3">
      <c r="A797" s="37" t="s">
        <v>378</v>
      </c>
      <c r="B797" s="37" t="s">
        <v>1210</v>
      </c>
      <c r="C797" s="37" t="s">
        <v>372</v>
      </c>
      <c r="D797" s="37" t="s">
        <v>377</v>
      </c>
      <c r="E797" s="38">
        <v>172631.81</v>
      </c>
      <c r="F797" s="39" t="s">
        <v>237</v>
      </c>
      <c r="G797" s="38">
        <v>31588.36</v>
      </c>
      <c r="H797" s="39" t="s">
        <v>374</v>
      </c>
      <c r="I797" s="40">
        <v>45533</v>
      </c>
      <c r="J797" s="40">
        <v>45533</v>
      </c>
      <c r="K797" s="38">
        <v>32664.4399999999</v>
      </c>
      <c r="L797" s="39" t="s">
        <v>374</v>
      </c>
      <c r="M797" s="38">
        <v>39204.599999999897</v>
      </c>
      <c r="N797" s="39" t="s">
        <v>374</v>
      </c>
      <c r="O797" s="41">
        <v>201</v>
      </c>
      <c r="P797" s="38">
        <v>0.46</v>
      </c>
      <c r="Q797" s="38">
        <v>79054.419999999896</v>
      </c>
      <c r="R797" s="39" t="s">
        <v>237</v>
      </c>
    </row>
    <row r="798" spans="1:18" x14ac:dyDescent="0.3">
      <c r="A798" s="37" t="s">
        <v>378</v>
      </c>
      <c r="B798" s="37" t="s">
        <v>1215</v>
      </c>
      <c r="C798" s="37" t="s">
        <v>372</v>
      </c>
      <c r="D798" s="37" t="s">
        <v>375</v>
      </c>
      <c r="E798" s="38">
        <v>0</v>
      </c>
      <c r="F798" s="39" t="s">
        <v>237</v>
      </c>
      <c r="G798" s="38">
        <v>0</v>
      </c>
      <c r="H798" s="39" t="s">
        <v>380</v>
      </c>
      <c r="I798" s="40">
        <v>45202</v>
      </c>
      <c r="J798" s="40">
        <v>45202</v>
      </c>
      <c r="K798" s="38">
        <v>0</v>
      </c>
      <c r="L798" s="39" t="s">
        <v>380</v>
      </c>
      <c r="M798" s="38">
        <v>0</v>
      </c>
      <c r="N798" s="39" t="s">
        <v>380</v>
      </c>
      <c r="O798" s="41">
        <v>0</v>
      </c>
      <c r="P798" s="38">
        <v>0</v>
      </c>
      <c r="Q798" s="38">
        <v>0</v>
      </c>
      <c r="R798" s="39" t="s">
        <v>237</v>
      </c>
    </row>
    <row r="799" spans="1:18" x14ac:dyDescent="0.3">
      <c r="A799" s="37" t="s">
        <v>378</v>
      </c>
      <c r="B799" s="37" t="s">
        <v>1227</v>
      </c>
      <c r="C799" s="37" t="s">
        <v>372</v>
      </c>
      <c r="D799" s="37" t="s">
        <v>375</v>
      </c>
      <c r="E799" s="38">
        <v>0</v>
      </c>
      <c r="F799" s="39" t="s">
        <v>237</v>
      </c>
      <c r="G799" s="38">
        <v>0</v>
      </c>
      <c r="H799" s="39" t="s">
        <v>380</v>
      </c>
      <c r="I799" s="40">
        <v>45527</v>
      </c>
      <c r="J799" s="40">
        <v>45530</v>
      </c>
      <c r="K799" s="38">
        <v>10752</v>
      </c>
      <c r="L799" s="39" t="s">
        <v>380</v>
      </c>
      <c r="M799" s="38">
        <v>6336</v>
      </c>
      <c r="N799" s="39" t="s">
        <v>380</v>
      </c>
      <c r="O799" s="41">
        <v>0</v>
      </c>
      <c r="P799" s="38">
        <v>6.22</v>
      </c>
      <c r="Q799" s="38">
        <v>2858.88</v>
      </c>
      <c r="R799" s="39" t="s">
        <v>237</v>
      </c>
    </row>
    <row r="800" spans="1:18" x14ac:dyDescent="0.3">
      <c r="A800" s="37" t="s">
        <v>378</v>
      </c>
      <c r="B800" s="37" t="s">
        <v>1228</v>
      </c>
      <c r="C800" s="37" t="s">
        <v>372</v>
      </c>
      <c r="D800" s="37" t="s">
        <v>375</v>
      </c>
      <c r="E800" s="38">
        <v>0</v>
      </c>
      <c r="F800" s="39" t="s">
        <v>237</v>
      </c>
      <c r="G800" s="38">
        <v>0</v>
      </c>
      <c r="H800" s="39" t="s">
        <v>380</v>
      </c>
      <c r="I800" s="40">
        <v>45530</v>
      </c>
      <c r="J800" s="40">
        <v>45530</v>
      </c>
      <c r="K800" s="38">
        <v>5760</v>
      </c>
      <c r="L800" s="39" t="s">
        <v>380</v>
      </c>
      <c r="M800" s="38">
        <v>3456</v>
      </c>
      <c r="N800" s="39" t="s">
        <v>380</v>
      </c>
      <c r="O800" s="41">
        <v>0</v>
      </c>
      <c r="P800" s="38">
        <v>7.5</v>
      </c>
      <c r="Q800" s="38">
        <v>1532.16</v>
      </c>
      <c r="R800" s="39" t="s">
        <v>237</v>
      </c>
    </row>
    <row r="801" spans="1:18" x14ac:dyDescent="0.3">
      <c r="A801" s="37" t="s">
        <v>378</v>
      </c>
      <c r="B801" s="37" t="s">
        <v>1270</v>
      </c>
      <c r="C801" s="37" t="s">
        <v>372</v>
      </c>
      <c r="D801" s="37" t="s">
        <v>375</v>
      </c>
      <c r="E801" s="38">
        <v>0</v>
      </c>
      <c r="F801" s="39" t="s">
        <v>237</v>
      </c>
      <c r="G801" s="38">
        <v>0</v>
      </c>
      <c r="H801" s="39" t="s">
        <v>380</v>
      </c>
      <c r="I801" s="40">
        <v>45530</v>
      </c>
      <c r="J801" s="40">
        <v>45530</v>
      </c>
      <c r="K801" s="38">
        <v>10176</v>
      </c>
      <c r="L801" s="39" t="s">
        <v>380</v>
      </c>
      <c r="M801" s="38">
        <v>10176</v>
      </c>
      <c r="N801" s="39" t="s">
        <v>380</v>
      </c>
      <c r="O801" s="41">
        <v>0</v>
      </c>
      <c r="P801" s="38">
        <v>8.83</v>
      </c>
      <c r="Q801" s="38">
        <v>2726.4</v>
      </c>
      <c r="R801" s="39" t="s">
        <v>237</v>
      </c>
    </row>
    <row r="802" spans="1:18" x14ac:dyDescent="0.3">
      <c r="A802" s="37" t="s">
        <v>378</v>
      </c>
      <c r="B802" s="37" t="s">
        <v>1229</v>
      </c>
      <c r="C802" s="37" t="s">
        <v>372</v>
      </c>
      <c r="D802" s="37" t="s">
        <v>377</v>
      </c>
      <c r="E802" s="38">
        <v>1435</v>
      </c>
      <c r="F802" s="39" t="s">
        <v>237</v>
      </c>
      <c r="G802" s="38">
        <v>175</v>
      </c>
      <c r="H802" s="39" t="s">
        <v>374</v>
      </c>
      <c r="I802" s="40">
        <v>45372</v>
      </c>
      <c r="J802" s="40">
        <v>45433</v>
      </c>
      <c r="K802" s="38">
        <v>0</v>
      </c>
      <c r="L802" s="39" t="s">
        <v>374</v>
      </c>
      <c r="M802" s="38">
        <v>0</v>
      </c>
      <c r="N802" s="39" t="s">
        <v>374</v>
      </c>
      <c r="O802" s="41">
        <v>99999</v>
      </c>
      <c r="P802" s="38">
        <v>0</v>
      </c>
      <c r="Q802" s="38">
        <v>0</v>
      </c>
      <c r="R802" s="39" t="s">
        <v>237</v>
      </c>
    </row>
    <row r="803" spans="1:18" x14ac:dyDescent="0.3">
      <c r="A803" s="37" t="s">
        <v>378</v>
      </c>
      <c r="B803" s="37" t="s">
        <v>1230</v>
      </c>
      <c r="C803" s="37" t="s">
        <v>372</v>
      </c>
      <c r="D803" s="37" t="s">
        <v>375</v>
      </c>
      <c r="E803" s="38">
        <v>0</v>
      </c>
      <c r="F803" s="39" t="s">
        <v>237</v>
      </c>
      <c r="G803" s="38">
        <v>4942</v>
      </c>
      <c r="H803" s="39" t="s">
        <v>380</v>
      </c>
      <c r="I803" s="40">
        <v>45528</v>
      </c>
      <c r="J803" s="40">
        <v>45530</v>
      </c>
      <c r="K803" s="38">
        <v>13038</v>
      </c>
      <c r="L803" s="39" t="s">
        <v>380</v>
      </c>
      <c r="M803" s="38">
        <v>11702</v>
      </c>
      <c r="N803" s="39" t="s">
        <v>380</v>
      </c>
      <c r="O803" s="41">
        <v>0</v>
      </c>
      <c r="P803" s="38">
        <v>1.35</v>
      </c>
      <c r="Q803" s="38">
        <v>0</v>
      </c>
      <c r="R803" s="39" t="s">
        <v>237</v>
      </c>
    </row>
    <row r="804" spans="1:18" x14ac:dyDescent="0.3">
      <c r="A804" s="37" t="s">
        <v>378</v>
      </c>
      <c r="B804" s="37" t="s">
        <v>1231</v>
      </c>
      <c r="C804" s="37" t="s">
        <v>372</v>
      </c>
      <c r="D804" s="37" t="s">
        <v>375</v>
      </c>
      <c r="E804" s="38">
        <v>0</v>
      </c>
      <c r="F804" s="39" t="s">
        <v>237</v>
      </c>
      <c r="G804" s="38">
        <v>2759</v>
      </c>
      <c r="H804" s="39" t="s">
        <v>380</v>
      </c>
      <c r="I804" s="40">
        <v>45528</v>
      </c>
      <c r="J804" s="40">
        <v>45530</v>
      </c>
      <c r="K804" s="38">
        <v>6386</v>
      </c>
      <c r="L804" s="39" t="s">
        <v>380</v>
      </c>
      <c r="M804" s="38">
        <v>7916</v>
      </c>
      <c r="N804" s="39" t="s">
        <v>380</v>
      </c>
      <c r="O804" s="41">
        <v>0</v>
      </c>
      <c r="P804" s="38">
        <v>2.84</v>
      </c>
      <c r="Q804" s="38">
        <v>0</v>
      </c>
      <c r="R804" s="39" t="s">
        <v>237</v>
      </c>
    </row>
    <row r="805" spans="1:18" x14ac:dyDescent="0.3">
      <c r="A805" s="37" t="s">
        <v>378</v>
      </c>
      <c r="B805" s="37" t="s">
        <v>1271</v>
      </c>
      <c r="C805" s="37" t="s">
        <v>372</v>
      </c>
      <c r="D805" s="37" t="s">
        <v>375</v>
      </c>
      <c r="E805" s="38">
        <v>0</v>
      </c>
      <c r="F805" s="39" t="s">
        <v>237</v>
      </c>
      <c r="G805" s="38">
        <v>2308</v>
      </c>
      <c r="H805" s="39" t="s">
        <v>380</v>
      </c>
      <c r="I805" s="40">
        <v>45534</v>
      </c>
      <c r="J805" s="40">
        <v>45534</v>
      </c>
      <c r="K805" s="38">
        <v>22481</v>
      </c>
      <c r="L805" s="39" t="s">
        <v>380</v>
      </c>
      <c r="M805" s="38">
        <v>17906</v>
      </c>
      <c r="N805" s="39" t="s">
        <v>380</v>
      </c>
      <c r="O805" s="41">
        <v>0</v>
      </c>
      <c r="P805" s="38">
        <v>1.67</v>
      </c>
      <c r="Q805" s="38">
        <v>0</v>
      </c>
      <c r="R805" s="39" t="s">
        <v>237</v>
      </c>
    </row>
    <row r="806" spans="1:18" x14ac:dyDescent="0.3">
      <c r="A806" s="37" t="s">
        <v>378</v>
      </c>
      <c r="B806" s="37" t="s">
        <v>1251</v>
      </c>
      <c r="C806" s="37" t="s">
        <v>372</v>
      </c>
      <c r="D806" s="37" t="s">
        <v>375</v>
      </c>
      <c r="E806" s="38">
        <v>3839.04</v>
      </c>
      <c r="F806" s="39" t="s">
        <v>237</v>
      </c>
      <c r="G806" s="38">
        <v>33460</v>
      </c>
      <c r="H806" s="39" t="s">
        <v>380</v>
      </c>
      <c r="I806" s="40">
        <v>45506</v>
      </c>
      <c r="J806" s="40"/>
      <c r="K806" s="38">
        <v>60750</v>
      </c>
      <c r="L806" s="39" t="s">
        <v>380</v>
      </c>
      <c r="M806" s="38">
        <v>90500</v>
      </c>
      <c r="N806" s="39" t="s">
        <v>380</v>
      </c>
      <c r="O806" s="41">
        <v>148</v>
      </c>
      <c r="P806" s="38">
        <v>1.82</v>
      </c>
      <c r="Q806" s="38">
        <v>2382.3000000000002</v>
      </c>
      <c r="R806" s="39" t="s">
        <v>237</v>
      </c>
    </row>
    <row r="807" spans="1:18" x14ac:dyDescent="0.3">
      <c r="A807" s="37" t="s">
        <v>378</v>
      </c>
      <c r="B807" s="37" t="s">
        <v>1252</v>
      </c>
      <c r="C807" s="37" t="s">
        <v>372</v>
      </c>
      <c r="D807" s="37" t="s">
        <v>375</v>
      </c>
      <c r="E807" s="38">
        <v>430.69999999999902</v>
      </c>
      <c r="F807" s="39" t="s">
        <v>237</v>
      </c>
      <c r="G807" s="38">
        <v>4000</v>
      </c>
      <c r="H807" s="39" t="s">
        <v>380</v>
      </c>
      <c r="I807" s="40">
        <v>45525</v>
      </c>
      <c r="J807" s="40"/>
      <c r="K807" s="38">
        <v>0</v>
      </c>
      <c r="L807" s="39" t="s">
        <v>380</v>
      </c>
      <c r="M807" s="38">
        <v>4000</v>
      </c>
      <c r="N807" s="39" t="s">
        <v>380</v>
      </c>
      <c r="O807" s="41">
        <v>99999</v>
      </c>
      <c r="P807" s="38">
        <v>0</v>
      </c>
      <c r="Q807" s="38">
        <v>0</v>
      </c>
      <c r="R807" s="39" t="s">
        <v>237</v>
      </c>
    </row>
    <row r="808" spans="1:18" x14ac:dyDescent="0.3">
      <c r="A808" s="37" t="s">
        <v>378</v>
      </c>
      <c r="B808" s="37" t="s">
        <v>1253</v>
      </c>
      <c r="C808" s="37" t="s">
        <v>372</v>
      </c>
      <c r="D808" s="37" t="s">
        <v>375</v>
      </c>
      <c r="E808" s="38">
        <v>6142.5</v>
      </c>
      <c r="F808" s="39" t="s">
        <v>237</v>
      </c>
      <c r="G808" s="38">
        <v>17550</v>
      </c>
      <c r="H808" s="39" t="s">
        <v>380</v>
      </c>
      <c r="I808" s="40">
        <v>45406</v>
      </c>
      <c r="J808" s="40">
        <v>45406</v>
      </c>
      <c r="K808" s="38">
        <v>0</v>
      </c>
      <c r="L808" s="39" t="s">
        <v>380</v>
      </c>
      <c r="M808" s="38">
        <v>0</v>
      </c>
      <c r="N808" s="39" t="s">
        <v>380</v>
      </c>
      <c r="O808" s="41">
        <v>99999</v>
      </c>
      <c r="P808" s="38">
        <v>0</v>
      </c>
      <c r="Q808" s="38">
        <v>0</v>
      </c>
      <c r="R808" s="39" t="s">
        <v>237</v>
      </c>
    </row>
    <row r="809" spans="1:18" x14ac:dyDescent="0.3">
      <c r="A809" s="37" t="s">
        <v>378</v>
      </c>
      <c r="B809" s="37" t="s">
        <v>1233</v>
      </c>
      <c r="C809" s="37" t="s">
        <v>372</v>
      </c>
      <c r="D809" s="37" t="s">
        <v>377</v>
      </c>
      <c r="E809" s="38">
        <v>1000</v>
      </c>
      <c r="F809" s="39" t="s">
        <v>237</v>
      </c>
      <c r="G809" s="38">
        <v>20</v>
      </c>
      <c r="H809" s="39" t="s">
        <v>374</v>
      </c>
      <c r="I809" s="40">
        <v>45338</v>
      </c>
      <c r="J809" s="40"/>
      <c r="K809" s="38">
        <v>0</v>
      </c>
      <c r="L809" s="39" t="s">
        <v>374</v>
      </c>
      <c r="M809" s="38">
        <v>0</v>
      </c>
      <c r="N809" s="39" t="s">
        <v>374</v>
      </c>
      <c r="O809" s="41">
        <v>99999</v>
      </c>
      <c r="P809" s="38">
        <v>0</v>
      </c>
      <c r="Q809" s="38">
        <v>0</v>
      </c>
      <c r="R809" s="39" t="s">
        <v>237</v>
      </c>
    </row>
    <row r="810" spans="1:18" x14ac:dyDescent="0.3">
      <c r="A810" s="37" t="s">
        <v>378</v>
      </c>
      <c r="B810" s="37" t="s">
        <v>1432</v>
      </c>
      <c r="C810" s="37" t="s">
        <v>372</v>
      </c>
      <c r="D810" s="37" t="s">
        <v>375</v>
      </c>
      <c r="E810" s="38">
        <v>189</v>
      </c>
      <c r="F810" s="39" t="s">
        <v>237</v>
      </c>
      <c r="G810" s="38">
        <v>700</v>
      </c>
      <c r="H810" s="39" t="s">
        <v>380</v>
      </c>
      <c r="I810" s="40">
        <v>45533</v>
      </c>
      <c r="J810" s="40"/>
      <c r="K810" s="38">
        <v>0</v>
      </c>
      <c r="L810" s="39" t="s">
        <v>380</v>
      </c>
      <c r="M810" s="38">
        <v>700</v>
      </c>
      <c r="N810" s="39" t="s">
        <v>380</v>
      </c>
      <c r="O810" s="41">
        <v>99999</v>
      </c>
      <c r="P810" s="38">
        <v>0</v>
      </c>
      <c r="Q810" s="38">
        <v>0</v>
      </c>
      <c r="R810" s="39" t="s">
        <v>237</v>
      </c>
    </row>
    <row r="811" spans="1:18" x14ac:dyDescent="0.3">
      <c r="A811" s="37" t="s">
        <v>378</v>
      </c>
      <c r="B811" s="37" t="s">
        <v>1254</v>
      </c>
      <c r="C811" s="37" t="s">
        <v>372</v>
      </c>
      <c r="D811" s="37" t="s">
        <v>375</v>
      </c>
      <c r="E811" s="38">
        <v>2158.46</v>
      </c>
      <c r="F811" s="39" t="s">
        <v>237</v>
      </c>
      <c r="G811" s="38">
        <v>8000</v>
      </c>
      <c r="H811" s="39" t="s">
        <v>380</v>
      </c>
      <c r="I811" s="40"/>
      <c r="J811" s="40">
        <v>45527</v>
      </c>
      <c r="K811" s="38">
        <v>35200</v>
      </c>
      <c r="L811" s="39" t="s">
        <v>380</v>
      </c>
      <c r="M811" s="38">
        <v>25600</v>
      </c>
      <c r="N811" s="39" t="s">
        <v>380</v>
      </c>
      <c r="O811" s="41">
        <v>21</v>
      </c>
      <c r="P811" s="38">
        <v>3.26</v>
      </c>
      <c r="Q811" s="38">
        <v>9527.0599999999904</v>
      </c>
      <c r="R811" s="39" t="s">
        <v>237</v>
      </c>
    </row>
    <row r="812" spans="1:18" x14ac:dyDescent="0.3">
      <c r="A812" s="37" t="s">
        <v>378</v>
      </c>
      <c r="B812" s="37" t="s">
        <v>1234</v>
      </c>
      <c r="C812" s="37" t="s">
        <v>372</v>
      </c>
      <c r="D812" s="37" t="s">
        <v>375</v>
      </c>
      <c r="E812" s="38">
        <v>2000</v>
      </c>
      <c r="F812" s="39" t="s">
        <v>237</v>
      </c>
      <c r="G812" s="38">
        <v>2000</v>
      </c>
      <c r="H812" s="39" t="s">
        <v>380</v>
      </c>
      <c r="I812" s="40">
        <v>45516</v>
      </c>
      <c r="J812" s="40"/>
      <c r="K812" s="38">
        <v>1000</v>
      </c>
      <c r="L812" s="39" t="s">
        <v>380</v>
      </c>
      <c r="M812" s="38">
        <v>3000</v>
      </c>
      <c r="N812" s="39" t="s">
        <v>380</v>
      </c>
      <c r="O812" s="41">
        <v>184</v>
      </c>
      <c r="P812" s="38">
        <v>1.33</v>
      </c>
      <c r="Q812" s="38">
        <v>1000</v>
      </c>
      <c r="R812" s="39" t="s">
        <v>237</v>
      </c>
    </row>
    <row r="813" spans="1:18" x14ac:dyDescent="0.3">
      <c r="A813" s="37" t="s">
        <v>378</v>
      </c>
      <c r="B813" s="37" t="s">
        <v>1272</v>
      </c>
      <c r="C813" s="37" t="s">
        <v>372</v>
      </c>
      <c r="D813" s="37" t="s">
        <v>375</v>
      </c>
      <c r="E813" s="38">
        <v>58181.760000000002</v>
      </c>
      <c r="F813" s="39" t="s">
        <v>237</v>
      </c>
      <c r="G813" s="38">
        <v>31968</v>
      </c>
      <c r="H813" s="39" t="s">
        <v>380</v>
      </c>
      <c r="I813" s="40"/>
      <c r="J813" s="40"/>
      <c r="K813" s="38">
        <v>28080</v>
      </c>
      <c r="L813" s="39" t="s">
        <v>380</v>
      </c>
      <c r="M813" s="38">
        <v>58752</v>
      </c>
      <c r="N813" s="39" t="s">
        <v>380</v>
      </c>
      <c r="O813" s="41">
        <v>243</v>
      </c>
      <c r="P813" s="38">
        <v>1.1299999999999999</v>
      </c>
      <c r="Q813" s="38">
        <v>22032</v>
      </c>
      <c r="R813" s="39" t="s">
        <v>237</v>
      </c>
    </row>
    <row r="814" spans="1:18" x14ac:dyDescent="0.3">
      <c r="A814" s="37" t="s">
        <v>378</v>
      </c>
      <c r="B814" s="37" t="s">
        <v>1292</v>
      </c>
      <c r="C814" s="37" t="s">
        <v>372</v>
      </c>
      <c r="D814" s="37" t="s">
        <v>375</v>
      </c>
      <c r="E814" s="38">
        <v>2122.7800000000002</v>
      </c>
      <c r="F814" s="39" t="s">
        <v>237</v>
      </c>
      <c r="G814" s="38">
        <v>7500</v>
      </c>
      <c r="H814" s="39" t="s">
        <v>380</v>
      </c>
      <c r="I814" s="40"/>
      <c r="J814" s="40"/>
      <c r="K814" s="38">
        <v>27750</v>
      </c>
      <c r="L814" s="39" t="s">
        <v>380</v>
      </c>
      <c r="M814" s="38">
        <v>35250</v>
      </c>
      <c r="N814" s="39" t="s">
        <v>380</v>
      </c>
      <c r="O814" s="41">
        <v>53</v>
      </c>
      <c r="P814" s="38">
        <v>6.8</v>
      </c>
      <c r="Q814" s="38">
        <v>3666.9299999999898</v>
      </c>
      <c r="R814" s="39" t="s">
        <v>237</v>
      </c>
    </row>
    <row r="815" spans="1:18" x14ac:dyDescent="0.3">
      <c r="A815" s="37" t="s">
        <v>378</v>
      </c>
      <c r="B815" s="37" t="s">
        <v>1332</v>
      </c>
      <c r="C815" s="37" t="s">
        <v>372</v>
      </c>
      <c r="D815" s="37" t="s">
        <v>577</v>
      </c>
      <c r="E815" s="38">
        <v>0</v>
      </c>
      <c r="F815" s="39" t="s">
        <v>237</v>
      </c>
      <c r="G815" s="38">
        <v>400</v>
      </c>
      <c r="H815" s="39" t="s">
        <v>380</v>
      </c>
      <c r="I815" s="40">
        <v>45449</v>
      </c>
      <c r="J815" s="40"/>
      <c r="K815" s="38">
        <v>0</v>
      </c>
      <c r="L815" s="39" t="s">
        <v>380</v>
      </c>
      <c r="M815" s="38">
        <v>200</v>
      </c>
      <c r="N815" s="39" t="s">
        <v>380</v>
      </c>
      <c r="O815" s="41">
        <v>0</v>
      </c>
      <c r="P815" s="38">
        <v>0</v>
      </c>
      <c r="Q815" s="38">
        <v>0</v>
      </c>
      <c r="R815" s="39" t="s">
        <v>237</v>
      </c>
    </row>
    <row r="816" spans="1:18" x14ac:dyDescent="0.3">
      <c r="A816" s="37" t="s">
        <v>378</v>
      </c>
      <c r="B816" s="37" t="s">
        <v>1293</v>
      </c>
      <c r="C816" s="37" t="s">
        <v>372</v>
      </c>
      <c r="D816" s="37" t="s">
        <v>377</v>
      </c>
      <c r="E816" s="38">
        <v>2735.4</v>
      </c>
      <c r="F816" s="39" t="s">
        <v>237</v>
      </c>
      <c r="G816" s="38">
        <v>116.77500000000001</v>
      </c>
      <c r="H816" s="39" t="s">
        <v>374</v>
      </c>
      <c r="I816" s="40">
        <v>45509</v>
      </c>
      <c r="J816" s="40">
        <v>45502</v>
      </c>
      <c r="K816" s="38">
        <v>21.396999999999899</v>
      </c>
      <c r="L816" s="39" t="s">
        <v>374</v>
      </c>
      <c r="M816" s="38">
        <v>112.932</v>
      </c>
      <c r="N816" s="39" t="s">
        <v>374</v>
      </c>
      <c r="O816" s="41">
        <v>1274</v>
      </c>
      <c r="P816" s="38">
        <v>0.18</v>
      </c>
      <c r="Q816" s="38">
        <v>197.56</v>
      </c>
      <c r="R816" s="39" t="s">
        <v>237</v>
      </c>
    </row>
    <row r="817" spans="1:18" x14ac:dyDescent="0.3">
      <c r="A817" s="37" t="s">
        <v>378</v>
      </c>
      <c r="B817" s="37" t="s">
        <v>1433</v>
      </c>
      <c r="C817" s="37" t="s">
        <v>372</v>
      </c>
      <c r="D817" s="37" t="s">
        <v>375</v>
      </c>
      <c r="E817" s="38">
        <v>13068</v>
      </c>
      <c r="F817" s="39" t="s">
        <v>237</v>
      </c>
      <c r="G817" s="38">
        <v>54450</v>
      </c>
      <c r="H817" s="39" t="s">
        <v>380</v>
      </c>
      <c r="I817" s="40">
        <v>45533</v>
      </c>
      <c r="J817" s="40">
        <v>45532</v>
      </c>
      <c r="K817" s="38">
        <v>11550</v>
      </c>
      <c r="L817" s="39" t="s">
        <v>380</v>
      </c>
      <c r="M817" s="38">
        <v>66000</v>
      </c>
      <c r="N817" s="39" t="s">
        <v>380</v>
      </c>
      <c r="O817" s="41">
        <v>434</v>
      </c>
      <c r="P817" s="38">
        <v>0.85</v>
      </c>
      <c r="Q817" s="38">
        <v>2772</v>
      </c>
      <c r="R817" s="39" t="s">
        <v>237</v>
      </c>
    </row>
    <row r="818" spans="1:18" x14ac:dyDescent="0.3">
      <c r="A818" s="37" t="s">
        <v>378</v>
      </c>
      <c r="B818" s="37" t="s">
        <v>1273</v>
      </c>
      <c r="C818" s="37" t="s">
        <v>372</v>
      </c>
      <c r="D818" s="37" t="s">
        <v>375</v>
      </c>
      <c r="E818" s="38">
        <v>0</v>
      </c>
      <c r="F818" s="39" t="s">
        <v>237</v>
      </c>
      <c r="G818" s="38">
        <v>0</v>
      </c>
      <c r="H818" s="39" t="s">
        <v>380</v>
      </c>
      <c r="I818" s="40">
        <v>45348</v>
      </c>
      <c r="J818" s="40">
        <v>45351</v>
      </c>
      <c r="K818" s="38">
        <v>0</v>
      </c>
      <c r="L818" s="39" t="s">
        <v>380</v>
      </c>
      <c r="M818" s="38">
        <v>0</v>
      </c>
      <c r="N818" s="39" t="s">
        <v>380</v>
      </c>
      <c r="O818" s="41">
        <v>0</v>
      </c>
      <c r="P818" s="38">
        <v>0</v>
      </c>
      <c r="Q818" s="38">
        <v>0</v>
      </c>
      <c r="R818" s="39" t="s">
        <v>237</v>
      </c>
    </row>
    <row r="819" spans="1:18" x14ac:dyDescent="0.3">
      <c r="A819" s="37" t="s">
        <v>378</v>
      </c>
      <c r="B819" s="37" t="s">
        <v>1274</v>
      </c>
      <c r="C819" s="37" t="s">
        <v>372</v>
      </c>
      <c r="D819" s="37" t="s">
        <v>375</v>
      </c>
      <c r="E819" s="38">
        <v>0</v>
      </c>
      <c r="F819" s="39" t="s">
        <v>237</v>
      </c>
      <c r="G819" s="38">
        <v>0</v>
      </c>
      <c r="H819" s="39" t="s">
        <v>380</v>
      </c>
      <c r="I819" s="40">
        <v>45348</v>
      </c>
      <c r="J819" s="40">
        <v>45351</v>
      </c>
      <c r="K819" s="38">
        <v>0</v>
      </c>
      <c r="L819" s="39" t="s">
        <v>380</v>
      </c>
      <c r="M819" s="38">
        <v>0</v>
      </c>
      <c r="N819" s="39" t="s">
        <v>380</v>
      </c>
      <c r="O819" s="41">
        <v>0</v>
      </c>
      <c r="P819" s="38">
        <v>0</v>
      </c>
      <c r="Q819" s="38">
        <v>0</v>
      </c>
      <c r="R819" s="39" t="s">
        <v>237</v>
      </c>
    </row>
    <row r="820" spans="1:18" x14ac:dyDescent="0.3">
      <c r="A820" s="37" t="s">
        <v>378</v>
      </c>
      <c r="B820" s="37" t="s">
        <v>1275</v>
      </c>
      <c r="C820" s="37" t="s">
        <v>372</v>
      </c>
      <c r="D820" s="37" t="s">
        <v>375</v>
      </c>
      <c r="E820" s="38">
        <v>0</v>
      </c>
      <c r="F820" s="39" t="s">
        <v>237</v>
      </c>
      <c r="G820" s="38">
        <v>0</v>
      </c>
      <c r="H820" s="39" t="s">
        <v>380</v>
      </c>
      <c r="I820" s="40">
        <v>45348</v>
      </c>
      <c r="J820" s="40">
        <v>45351</v>
      </c>
      <c r="K820" s="38">
        <v>0</v>
      </c>
      <c r="L820" s="39" t="s">
        <v>380</v>
      </c>
      <c r="M820" s="38">
        <v>0</v>
      </c>
      <c r="N820" s="39" t="s">
        <v>380</v>
      </c>
      <c r="O820" s="41">
        <v>0</v>
      </c>
      <c r="P820" s="38">
        <v>0</v>
      </c>
      <c r="Q820" s="38">
        <v>0</v>
      </c>
      <c r="R820" s="39" t="s">
        <v>237</v>
      </c>
    </row>
    <row r="821" spans="1:18" x14ac:dyDescent="0.3">
      <c r="A821" s="37" t="s">
        <v>378</v>
      </c>
      <c r="B821" s="37" t="s">
        <v>1276</v>
      </c>
      <c r="C821" s="37" t="s">
        <v>372</v>
      </c>
      <c r="D821" s="37" t="s">
        <v>375</v>
      </c>
      <c r="E821" s="38">
        <v>0</v>
      </c>
      <c r="F821" s="39" t="s">
        <v>237</v>
      </c>
      <c r="G821" s="38">
        <v>0</v>
      </c>
      <c r="H821" s="39" t="s">
        <v>380</v>
      </c>
      <c r="I821" s="40">
        <v>45350</v>
      </c>
      <c r="J821" s="40">
        <v>45351</v>
      </c>
      <c r="K821" s="38">
        <v>0</v>
      </c>
      <c r="L821" s="39" t="s">
        <v>380</v>
      </c>
      <c r="M821" s="38">
        <v>0</v>
      </c>
      <c r="N821" s="39" t="s">
        <v>380</v>
      </c>
      <c r="O821" s="41">
        <v>0</v>
      </c>
      <c r="P821" s="38">
        <v>0</v>
      </c>
      <c r="Q821" s="38">
        <v>0</v>
      </c>
      <c r="R821" s="39" t="s">
        <v>237</v>
      </c>
    </row>
    <row r="822" spans="1:18" x14ac:dyDescent="0.3">
      <c r="A822" s="37" t="s">
        <v>378</v>
      </c>
      <c r="B822" s="37" t="s">
        <v>1277</v>
      </c>
      <c r="C822" s="37" t="s">
        <v>372</v>
      </c>
      <c r="D822" s="37" t="s">
        <v>375</v>
      </c>
      <c r="E822" s="38">
        <v>424.8</v>
      </c>
      <c r="F822" s="39" t="s">
        <v>237</v>
      </c>
      <c r="G822" s="38">
        <v>2360</v>
      </c>
      <c r="H822" s="39" t="s">
        <v>380</v>
      </c>
      <c r="I822" s="40">
        <v>45348</v>
      </c>
      <c r="J822" s="40">
        <v>45349</v>
      </c>
      <c r="K822" s="38">
        <v>0</v>
      </c>
      <c r="L822" s="39" t="s">
        <v>380</v>
      </c>
      <c r="M822" s="38">
        <v>0</v>
      </c>
      <c r="N822" s="39" t="s">
        <v>380</v>
      </c>
      <c r="O822" s="41">
        <v>99999</v>
      </c>
      <c r="P822" s="38">
        <v>0</v>
      </c>
      <c r="Q822" s="38">
        <v>0</v>
      </c>
      <c r="R822" s="39" t="s">
        <v>237</v>
      </c>
    </row>
    <row r="823" spans="1:18" x14ac:dyDescent="0.3">
      <c r="A823" s="37" t="s">
        <v>378</v>
      </c>
      <c r="B823" s="37" t="s">
        <v>1278</v>
      </c>
      <c r="C823" s="37" t="s">
        <v>372</v>
      </c>
      <c r="D823" s="37" t="s">
        <v>375</v>
      </c>
      <c r="E823" s="38">
        <v>416.51999999999902</v>
      </c>
      <c r="F823" s="39" t="s">
        <v>237</v>
      </c>
      <c r="G823" s="38">
        <v>2314</v>
      </c>
      <c r="H823" s="39" t="s">
        <v>380</v>
      </c>
      <c r="I823" s="40">
        <v>45348</v>
      </c>
      <c r="J823" s="40">
        <v>45349</v>
      </c>
      <c r="K823" s="38">
        <v>0</v>
      </c>
      <c r="L823" s="39" t="s">
        <v>380</v>
      </c>
      <c r="M823" s="38">
        <v>0</v>
      </c>
      <c r="N823" s="39" t="s">
        <v>380</v>
      </c>
      <c r="O823" s="41">
        <v>99999</v>
      </c>
      <c r="P823" s="38">
        <v>0</v>
      </c>
      <c r="Q823" s="38">
        <v>0</v>
      </c>
      <c r="R823" s="39" t="s">
        <v>237</v>
      </c>
    </row>
    <row r="824" spans="1:18" x14ac:dyDescent="0.3">
      <c r="A824" s="37" t="s">
        <v>378</v>
      </c>
      <c r="B824" s="37" t="s">
        <v>1279</v>
      </c>
      <c r="C824" s="37" t="s">
        <v>372</v>
      </c>
      <c r="D824" s="37" t="s">
        <v>375</v>
      </c>
      <c r="E824" s="38">
        <v>416.51999999999902</v>
      </c>
      <c r="F824" s="39" t="s">
        <v>237</v>
      </c>
      <c r="G824" s="38">
        <v>2314</v>
      </c>
      <c r="H824" s="39" t="s">
        <v>380</v>
      </c>
      <c r="I824" s="40">
        <v>45348</v>
      </c>
      <c r="J824" s="40">
        <v>45349</v>
      </c>
      <c r="K824" s="38">
        <v>0</v>
      </c>
      <c r="L824" s="39" t="s">
        <v>380</v>
      </c>
      <c r="M824" s="38">
        <v>0</v>
      </c>
      <c r="N824" s="39" t="s">
        <v>380</v>
      </c>
      <c r="O824" s="41">
        <v>99999</v>
      </c>
      <c r="P824" s="38">
        <v>0</v>
      </c>
      <c r="Q824" s="38">
        <v>0</v>
      </c>
      <c r="R824" s="39" t="s">
        <v>237</v>
      </c>
    </row>
    <row r="825" spans="1:18" x14ac:dyDescent="0.3">
      <c r="A825" s="37" t="s">
        <v>378</v>
      </c>
      <c r="B825" s="37" t="s">
        <v>1280</v>
      </c>
      <c r="C825" s="37" t="s">
        <v>372</v>
      </c>
      <c r="D825" s="37" t="s">
        <v>377</v>
      </c>
      <c r="E825" s="38">
        <v>3125.67</v>
      </c>
      <c r="F825" s="39" t="s">
        <v>237</v>
      </c>
      <c r="G825" s="38">
        <v>50.414000000000001</v>
      </c>
      <c r="H825" s="39" t="s">
        <v>374</v>
      </c>
      <c r="I825" s="40">
        <v>45534</v>
      </c>
      <c r="J825" s="40">
        <v>45534</v>
      </c>
      <c r="K825" s="38">
        <v>108.914</v>
      </c>
      <c r="L825" s="39" t="s">
        <v>374</v>
      </c>
      <c r="M825" s="38">
        <v>114.285</v>
      </c>
      <c r="N825" s="39" t="s">
        <v>374</v>
      </c>
      <c r="O825" s="41">
        <v>106</v>
      </c>
      <c r="P825" s="38">
        <v>1.03</v>
      </c>
      <c r="Q825" s="38">
        <v>2705</v>
      </c>
      <c r="R825" s="39" t="s">
        <v>237</v>
      </c>
    </row>
    <row r="826" spans="1:18" x14ac:dyDescent="0.3">
      <c r="A826" s="37" t="s">
        <v>378</v>
      </c>
      <c r="B826" s="37" t="s">
        <v>1281</v>
      </c>
      <c r="C826" s="37" t="s">
        <v>372</v>
      </c>
      <c r="D826" s="37" t="s">
        <v>375</v>
      </c>
      <c r="E826" s="38">
        <v>1225</v>
      </c>
      <c r="F826" s="39" t="s">
        <v>237</v>
      </c>
      <c r="G826" s="38">
        <v>17500</v>
      </c>
      <c r="H826" s="39" t="s">
        <v>380</v>
      </c>
      <c r="I826" s="40">
        <v>45342</v>
      </c>
      <c r="J826" s="40">
        <v>45342</v>
      </c>
      <c r="K826" s="38">
        <v>0</v>
      </c>
      <c r="L826" s="39" t="s">
        <v>380</v>
      </c>
      <c r="M826" s="38">
        <v>0</v>
      </c>
      <c r="N826" s="39" t="s">
        <v>380</v>
      </c>
      <c r="O826" s="41">
        <v>99999</v>
      </c>
      <c r="P826" s="38">
        <v>0</v>
      </c>
      <c r="Q826" s="38">
        <v>0</v>
      </c>
      <c r="R826" s="39" t="s">
        <v>237</v>
      </c>
    </row>
    <row r="827" spans="1:18" x14ac:dyDescent="0.3">
      <c r="A827" s="37" t="s">
        <v>378</v>
      </c>
      <c r="B827" s="37" t="s">
        <v>1294</v>
      </c>
      <c r="C827" s="37" t="s">
        <v>372</v>
      </c>
      <c r="D827" s="37" t="s">
        <v>375</v>
      </c>
      <c r="E827" s="38">
        <v>257.63999999999902</v>
      </c>
      <c r="F827" s="39" t="s">
        <v>237</v>
      </c>
      <c r="G827" s="38">
        <v>2712</v>
      </c>
      <c r="H827" s="39" t="s">
        <v>380</v>
      </c>
      <c r="I827" s="40">
        <v>45406</v>
      </c>
      <c r="J827" s="40">
        <v>45408</v>
      </c>
      <c r="K827" s="38">
        <v>0</v>
      </c>
      <c r="L827" s="39" t="s">
        <v>380</v>
      </c>
      <c r="M827" s="38">
        <v>0</v>
      </c>
      <c r="N827" s="39" t="s">
        <v>380</v>
      </c>
      <c r="O827" s="41">
        <v>99999</v>
      </c>
      <c r="P827" s="38">
        <v>0</v>
      </c>
      <c r="Q827" s="38">
        <v>0</v>
      </c>
      <c r="R827" s="39" t="s">
        <v>237</v>
      </c>
    </row>
    <row r="828" spans="1:18" x14ac:dyDescent="0.3">
      <c r="A828" s="37" t="s">
        <v>378</v>
      </c>
      <c r="B828" s="37" t="s">
        <v>1295</v>
      </c>
      <c r="C828" s="37" t="s">
        <v>372</v>
      </c>
      <c r="D828" s="37" t="s">
        <v>375</v>
      </c>
      <c r="E828" s="38">
        <v>0</v>
      </c>
      <c r="F828" s="39" t="s">
        <v>237</v>
      </c>
      <c r="G828" s="38">
        <v>0</v>
      </c>
      <c r="H828" s="39" t="s">
        <v>380</v>
      </c>
      <c r="I828" s="40">
        <v>45406</v>
      </c>
      <c r="J828" s="40">
        <v>45407</v>
      </c>
      <c r="K828" s="38">
        <v>0</v>
      </c>
      <c r="L828" s="39" t="s">
        <v>380</v>
      </c>
      <c r="M828" s="38">
        <v>0</v>
      </c>
      <c r="N828" s="39" t="s">
        <v>380</v>
      </c>
      <c r="O828" s="41">
        <v>0</v>
      </c>
      <c r="P828" s="38">
        <v>0</v>
      </c>
      <c r="Q828" s="38">
        <v>0</v>
      </c>
      <c r="R828" s="39" t="s">
        <v>237</v>
      </c>
    </row>
    <row r="829" spans="1:18" x14ac:dyDescent="0.3">
      <c r="A829" s="37" t="s">
        <v>378</v>
      </c>
      <c r="B829" s="37" t="s">
        <v>1355</v>
      </c>
      <c r="C829" s="37" t="s">
        <v>372</v>
      </c>
      <c r="D829" s="37" t="s">
        <v>377</v>
      </c>
      <c r="E829" s="38">
        <v>0</v>
      </c>
      <c r="F829" s="39" t="s">
        <v>237</v>
      </c>
      <c r="G829" s="38">
        <v>0</v>
      </c>
      <c r="H829" s="39" t="s">
        <v>374</v>
      </c>
      <c r="I829" s="40">
        <v>45530</v>
      </c>
      <c r="J829" s="40">
        <v>45532</v>
      </c>
      <c r="K829" s="38">
        <v>2600</v>
      </c>
      <c r="L829" s="39" t="s">
        <v>374</v>
      </c>
      <c r="M829" s="38">
        <v>2600</v>
      </c>
      <c r="N829" s="39" t="s">
        <v>374</v>
      </c>
      <c r="O829" s="41">
        <v>0</v>
      </c>
      <c r="P829" s="38">
        <v>99999</v>
      </c>
      <c r="Q829" s="38">
        <v>19681.2599999999</v>
      </c>
      <c r="R829" s="39" t="s">
        <v>237</v>
      </c>
    </row>
    <row r="830" spans="1:18" x14ac:dyDescent="0.3">
      <c r="A830" s="37" t="s">
        <v>378</v>
      </c>
      <c r="B830" s="37" t="s">
        <v>1314</v>
      </c>
      <c r="C830" s="37" t="s">
        <v>372</v>
      </c>
      <c r="D830" s="37" t="s">
        <v>375</v>
      </c>
      <c r="E830" s="38">
        <v>0</v>
      </c>
      <c r="F830" s="39" t="s">
        <v>237</v>
      </c>
      <c r="G830" s="38">
        <v>0</v>
      </c>
      <c r="H830" s="39" t="s">
        <v>380</v>
      </c>
      <c r="I830" s="40">
        <v>45391</v>
      </c>
      <c r="J830" s="40">
        <v>45391</v>
      </c>
      <c r="K830" s="38">
        <v>0</v>
      </c>
      <c r="L830" s="39" t="s">
        <v>380</v>
      </c>
      <c r="M830" s="38">
        <v>0</v>
      </c>
      <c r="N830" s="39" t="s">
        <v>380</v>
      </c>
      <c r="O830" s="41">
        <v>0</v>
      </c>
      <c r="P830" s="38">
        <v>0</v>
      </c>
      <c r="Q830" s="38">
        <v>0</v>
      </c>
      <c r="R830" s="39" t="s">
        <v>237</v>
      </c>
    </row>
    <row r="831" spans="1:18" x14ac:dyDescent="0.3">
      <c r="A831" s="37" t="s">
        <v>378</v>
      </c>
      <c r="B831" s="37" t="s">
        <v>1356</v>
      </c>
      <c r="C831" s="37" t="s">
        <v>372</v>
      </c>
      <c r="D831" s="37" t="s">
        <v>375</v>
      </c>
      <c r="E831" s="38">
        <v>0</v>
      </c>
      <c r="F831" s="39" t="s">
        <v>237</v>
      </c>
      <c r="G831" s="38">
        <v>0</v>
      </c>
      <c r="H831" s="39" t="s">
        <v>380</v>
      </c>
      <c r="I831" s="40">
        <v>45491</v>
      </c>
      <c r="J831" s="40"/>
      <c r="K831" s="38">
        <v>0</v>
      </c>
      <c r="L831" s="39" t="s">
        <v>380</v>
      </c>
      <c r="M831" s="38">
        <v>0</v>
      </c>
      <c r="N831" s="39" t="s">
        <v>380</v>
      </c>
      <c r="O831" s="41">
        <v>0</v>
      </c>
      <c r="P831" s="38">
        <v>0</v>
      </c>
      <c r="Q831" s="38">
        <v>0</v>
      </c>
      <c r="R831" s="39" t="s">
        <v>237</v>
      </c>
    </row>
    <row r="832" spans="1:18" x14ac:dyDescent="0.3">
      <c r="A832" s="37" t="s">
        <v>378</v>
      </c>
      <c r="B832" s="37" t="s">
        <v>1333</v>
      </c>
      <c r="C832" s="37" t="s">
        <v>372</v>
      </c>
      <c r="D832" s="37" t="s">
        <v>375</v>
      </c>
      <c r="E832" s="38">
        <v>702</v>
      </c>
      <c r="F832" s="39" t="s">
        <v>237</v>
      </c>
      <c r="G832" s="38">
        <v>2340</v>
      </c>
      <c r="H832" s="39" t="s">
        <v>380</v>
      </c>
      <c r="I832" s="40"/>
      <c r="J832" s="40">
        <v>45527</v>
      </c>
      <c r="K832" s="38">
        <v>42120</v>
      </c>
      <c r="L832" s="39" t="s">
        <v>380</v>
      </c>
      <c r="M832" s="38">
        <v>44460</v>
      </c>
      <c r="N832" s="39" t="s">
        <v>380</v>
      </c>
      <c r="O832" s="41">
        <v>5</v>
      </c>
      <c r="P832" s="38">
        <v>10.29</v>
      </c>
      <c r="Q832" s="38">
        <v>12507.299999999899</v>
      </c>
      <c r="R832" s="39" t="s">
        <v>237</v>
      </c>
    </row>
    <row r="833" spans="1:18" x14ac:dyDescent="0.3">
      <c r="A833" s="37" t="s">
        <v>378</v>
      </c>
      <c r="B833" s="37" t="s">
        <v>1334</v>
      </c>
      <c r="C833" s="37" t="s">
        <v>372</v>
      </c>
      <c r="D833" s="37" t="s">
        <v>375</v>
      </c>
      <c r="E833" s="38">
        <v>3395.6199999999899</v>
      </c>
      <c r="F833" s="39" t="s">
        <v>237</v>
      </c>
      <c r="G833" s="38">
        <v>45275</v>
      </c>
      <c r="H833" s="39" t="s">
        <v>380</v>
      </c>
      <c r="I833" s="40">
        <v>45528</v>
      </c>
      <c r="J833" s="40">
        <v>45528</v>
      </c>
      <c r="K833" s="38">
        <v>132363</v>
      </c>
      <c r="L833" s="39" t="s">
        <v>380</v>
      </c>
      <c r="M833" s="38">
        <v>146058</v>
      </c>
      <c r="N833" s="39" t="s">
        <v>380</v>
      </c>
      <c r="O833" s="41">
        <v>65</v>
      </c>
      <c r="P833" s="38">
        <v>1.68</v>
      </c>
      <c r="Q833" s="38">
        <v>4786.42</v>
      </c>
      <c r="R833" s="39" t="s">
        <v>237</v>
      </c>
    </row>
    <row r="834" spans="1:18" x14ac:dyDescent="0.3">
      <c r="A834" s="37" t="s">
        <v>378</v>
      </c>
      <c r="B834" s="37" t="s">
        <v>1315</v>
      </c>
      <c r="C834" s="37" t="s">
        <v>372</v>
      </c>
      <c r="D834" s="37" t="s">
        <v>375</v>
      </c>
      <c r="E834" s="38">
        <v>0</v>
      </c>
      <c r="F834" s="39" t="s">
        <v>237</v>
      </c>
      <c r="G834" s="38">
        <v>0</v>
      </c>
      <c r="H834" s="39" t="s">
        <v>380</v>
      </c>
      <c r="I834" s="40">
        <v>45415</v>
      </c>
      <c r="J834" s="40">
        <v>45418</v>
      </c>
      <c r="K834" s="38">
        <v>0</v>
      </c>
      <c r="L834" s="39" t="s">
        <v>380</v>
      </c>
      <c r="M834" s="38">
        <v>0</v>
      </c>
      <c r="N834" s="39" t="s">
        <v>380</v>
      </c>
      <c r="O834" s="41">
        <v>0</v>
      </c>
      <c r="P834" s="38">
        <v>0</v>
      </c>
      <c r="Q834" s="38">
        <v>0</v>
      </c>
      <c r="R834" s="39" t="s">
        <v>237</v>
      </c>
    </row>
    <row r="835" spans="1:18" x14ac:dyDescent="0.3">
      <c r="A835" s="37" t="s">
        <v>378</v>
      </c>
      <c r="B835" s="37" t="s">
        <v>1341</v>
      </c>
      <c r="C835" s="37" t="s">
        <v>372</v>
      </c>
      <c r="D835" s="37" t="s">
        <v>375</v>
      </c>
      <c r="E835" s="38">
        <v>0</v>
      </c>
      <c r="F835" s="39" t="s">
        <v>237</v>
      </c>
      <c r="G835" s="38">
        <v>0</v>
      </c>
      <c r="H835" s="39" t="s">
        <v>380</v>
      </c>
      <c r="I835" s="40">
        <v>45472</v>
      </c>
      <c r="J835" s="40">
        <v>45531</v>
      </c>
      <c r="K835" s="38">
        <v>10000</v>
      </c>
      <c r="L835" s="39" t="s">
        <v>380</v>
      </c>
      <c r="M835" s="38">
        <v>10000</v>
      </c>
      <c r="N835" s="39" t="s">
        <v>380</v>
      </c>
      <c r="O835" s="41">
        <v>0</v>
      </c>
      <c r="P835" s="38">
        <v>2</v>
      </c>
      <c r="Q835" s="38">
        <v>2300</v>
      </c>
      <c r="R835" s="39" t="s">
        <v>237</v>
      </c>
    </row>
    <row r="836" spans="1:18" x14ac:dyDescent="0.3">
      <c r="A836" s="37" t="s">
        <v>378</v>
      </c>
      <c r="B836" s="37" t="s">
        <v>1357</v>
      </c>
      <c r="C836" s="37" t="s">
        <v>372</v>
      </c>
      <c r="D836" s="37" t="s">
        <v>375</v>
      </c>
      <c r="E836" s="38">
        <v>0</v>
      </c>
      <c r="F836" s="39" t="s">
        <v>237</v>
      </c>
      <c r="G836" s="38">
        <v>0</v>
      </c>
      <c r="H836" s="39" t="s">
        <v>380</v>
      </c>
      <c r="I836" s="40">
        <v>45495</v>
      </c>
      <c r="J836" s="40">
        <v>45519</v>
      </c>
      <c r="K836" s="38">
        <v>10062</v>
      </c>
      <c r="L836" s="39" t="s">
        <v>380</v>
      </c>
      <c r="M836" s="38">
        <v>10062</v>
      </c>
      <c r="N836" s="39" t="s">
        <v>380</v>
      </c>
      <c r="O836" s="41">
        <v>0</v>
      </c>
      <c r="P836" s="38">
        <v>8</v>
      </c>
      <c r="Q836" s="38">
        <v>4125.42</v>
      </c>
      <c r="R836" s="39" t="s">
        <v>237</v>
      </c>
    </row>
    <row r="837" spans="1:18" x14ac:dyDescent="0.3">
      <c r="A837" s="37" t="s">
        <v>378</v>
      </c>
      <c r="B837" s="37" t="s">
        <v>1358</v>
      </c>
      <c r="C837" s="37" t="s">
        <v>372</v>
      </c>
      <c r="D837" s="37" t="s">
        <v>375</v>
      </c>
      <c r="E837" s="38">
        <v>1680.03</v>
      </c>
      <c r="F837" s="39" t="s">
        <v>237</v>
      </c>
      <c r="G837" s="38">
        <v>14609</v>
      </c>
      <c r="H837" s="39" t="s">
        <v>380</v>
      </c>
      <c r="I837" s="40">
        <v>45498</v>
      </c>
      <c r="J837" s="40">
        <v>45498</v>
      </c>
      <c r="K837" s="38">
        <v>23766</v>
      </c>
      <c r="L837" s="39" t="s">
        <v>380</v>
      </c>
      <c r="M837" s="38">
        <v>38375</v>
      </c>
      <c r="N837" s="39" t="s">
        <v>380</v>
      </c>
      <c r="O837" s="41">
        <v>119</v>
      </c>
      <c r="P837" s="38">
        <v>1.54</v>
      </c>
      <c r="Q837" s="38">
        <v>1295.02</v>
      </c>
      <c r="R837" s="39" t="s">
        <v>237</v>
      </c>
    </row>
    <row r="838" spans="1:18" x14ac:dyDescent="0.3">
      <c r="A838" s="37" t="s">
        <v>378</v>
      </c>
      <c r="B838" s="37" t="s">
        <v>1335</v>
      </c>
      <c r="C838" s="37" t="s">
        <v>372</v>
      </c>
      <c r="D838" s="37" t="s">
        <v>375</v>
      </c>
      <c r="E838" s="38">
        <v>29647.5999999999</v>
      </c>
      <c r="F838" s="39" t="s">
        <v>237</v>
      </c>
      <c r="G838" s="38">
        <v>31540</v>
      </c>
      <c r="H838" s="39" t="s">
        <v>380</v>
      </c>
      <c r="I838" s="40">
        <v>45531</v>
      </c>
      <c r="J838" s="40">
        <v>45531</v>
      </c>
      <c r="K838" s="38">
        <v>47220</v>
      </c>
      <c r="L838" s="39" t="s">
        <v>380</v>
      </c>
      <c r="M838" s="38">
        <v>76560</v>
      </c>
      <c r="N838" s="39" t="s">
        <v>380</v>
      </c>
      <c r="O838" s="41">
        <v>61</v>
      </c>
      <c r="P838" s="38">
        <v>4.1399999999999997</v>
      </c>
      <c r="Q838" s="38">
        <v>44964.160000000003</v>
      </c>
      <c r="R838" s="39" t="s">
        <v>237</v>
      </c>
    </row>
    <row r="839" spans="1:18" x14ac:dyDescent="0.3">
      <c r="A839" s="37" t="s">
        <v>378</v>
      </c>
      <c r="B839" s="37" t="s">
        <v>1359</v>
      </c>
      <c r="C839" s="37" t="s">
        <v>372</v>
      </c>
      <c r="D839" s="37" t="s">
        <v>375</v>
      </c>
      <c r="E839" s="38">
        <v>130.94999999999899</v>
      </c>
      <c r="F839" s="39" t="s">
        <v>237</v>
      </c>
      <c r="G839" s="38">
        <v>2000</v>
      </c>
      <c r="H839" s="39" t="s">
        <v>380</v>
      </c>
      <c r="I839" s="40">
        <v>45502</v>
      </c>
      <c r="J839" s="40">
        <v>45531</v>
      </c>
      <c r="K839" s="38">
        <v>18000</v>
      </c>
      <c r="L839" s="39" t="s">
        <v>380</v>
      </c>
      <c r="M839" s="38">
        <v>20000</v>
      </c>
      <c r="N839" s="39" t="s">
        <v>380</v>
      </c>
      <c r="O839" s="41">
        <v>10</v>
      </c>
      <c r="P839" s="38">
        <v>3.27</v>
      </c>
      <c r="Q839" s="38">
        <v>1178.5599999999899</v>
      </c>
      <c r="R839" s="39" t="s">
        <v>237</v>
      </c>
    </row>
    <row r="840" spans="1:18" x14ac:dyDescent="0.3">
      <c r="A840" s="37" t="s">
        <v>378</v>
      </c>
      <c r="B840" s="37" t="s">
        <v>1336</v>
      </c>
      <c r="C840" s="37" t="s">
        <v>372</v>
      </c>
      <c r="D840" s="37" t="s">
        <v>377</v>
      </c>
      <c r="E840" s="38">
        <v>6248</v>
      </c>
      <c r="F840" s="39" t="s">
        <v>237</v>
      </c>
      <c r="G840" s="38">
        <v>183.765999999999</v>
      </c>
      <c r="H840" s="39" t="s">
        <v>374</v>
      </c>
      <c r="I840" s="40">
        <v>45496</v>
      </c>
      <c r="J840" s="40">
        <v>45497</v>
      </c>
      <c r="K840" s="38">
        <v>438.67200000000003</v>
      </c>
      <c r="L840" s="39" t="s">
        <v>374</v>
      </c>
      <c r="M840" s="38">
        <v>430.39999999999901</v>
      </c>
      <c r="N840" s="39" t="s">
        <v>374</v>
      </c>
      <c r="O840" s="41">
        <v>81</v>
      </c>
      <c r="P840" s="38">
        <v>0.98</v>
      </c>
      <c r="Q840" s="38">
        <v>7081.29</v>
      </c>
      <c r="R840" s="39" t="s">
        <v>237</v>
      </c>
    </row>
    <row r="841" spans="1:18" x14ac:dyDescent="0.3">
      <c r="A841" s="37" t="s">
        <v>378</v>
      </c>
      <c r="B841" s="37" t="s">
        <v>1337</v>
      </c>
      <c r="C841" s="37" t="s">
        <v>372</v>
      </c>
      <c r="D841" s="37" t="s">
        <v>375</v>
      </c>
      <c r="E841" s="38">
        <v>0</v>
      </c>
      <c r="F841" s="39" t="s">
        <v>237</v>
      </c>
      <c r="G841" s="38">
        <v>0</v>
      </c>
      <c r="H841" s="39" t="s">
        <v>380</v>
      </c>
      <c r="I841" s="40">
        <v>45439</v>
      </c>
      <c r="J841" s="40">
        <v>45490</v>
      </c>
      <c r="K841" s="38">
        <v>14000</v>
      </c>
      <c r="L841" s="39" t="s">
        <v>380</v>
      </c>
      <c r="M841" s="38">
        <v>0</v>
      </c>
      <c r="N841" s="39" t="s">
        <v>380</v>
      </c>
      <c r="O841" s="41">
        <v>0</v>
      </c>
      <c r="P841" s="38">
        <v>3.11</v>
      </c>
      <c r="Q841" s="38">
        <v>980</v>
      </c>
      <c r="R841" s="39" t="s">
        <v>237</v>
      </c>
    </row>
    <row r="842" spans="1:18" x14ac:dyDescent="0.3">
      <c r="A842" s="37" t="s">
        <v>378</v>
      </c>
      <c r="B842" s="37" t="s">
        <v>1342</v>
      </c>
      <c r="C842" s="37" t="s">
        <v>372</v>
      </c>
      <c r="D842" s="37" t="s">
        <v>375</v>
      </c>
      <c r="E842" s="38">
        <v>0</v>
      </c>
      <c r="F842" s="39" t="s">
        <v>237</v>
      </c>
      <c r="G842" s="38">
        <v>0</v>
      </c>
      <c r="H842" s="39" t="s">
        <v>380</v>
      </c>
      <c r="I842" s="40">
        <v>45464</v>
      </c>
      <c r="J842" s="40">
        <v>45467</v>
      </c>
      <c r="K842" s="38">
        <v>4800</v>
      </c>
      <c r="L842" s="39" t="s">
        <v>380</v>
      </c>
      <c r="M842" s="38">
        <v>4800</v>
      </c>
      <c r="N842" s="39" t="s">
        <v>380</v>
      </c>
      <c r="O842" s="41">
        <v>0</v>
      </c>
      <c r="P842" s="38">
        <v>99999</v>
      </c>
      <c r="Q842" s="38">
        <v>3984</v>
      </c>
      <c r="R842" s="39" t="s">
        <v>237</v>
      </c>
    </row>
    <row r="843" spans="1:18" x14ac:dyDescent="0.3">
      <c r="A843" s="37" t="s">
        <v>378</v>
      </c>
      <c r="B843" s="37" t="s">
        <v>1360</v>
      </c>
      <c r="C843" s="37" t="s">
        <v>372</v>
      </c>
      <c r="D843" s="37" t="s">
        <v>375</v>
      </c>
      <c r="E843" s="38">
        <v>1550</v>
      </c>
      <c r="F843" s="39" t="s">
        <v>237</v>
      </c>
      <c r="G843" s="38">
        <v>62000</v>
      </c>
      <c r="H843" s="39" t="s">
        <v>380</v>
      </c>
      <c r="I843" s="40">
        <v>45534</v>
      </c>
      <c r="J843" s="40">
        <v>45534</v>
      </c>
      <c r="K843" s="38">
        <v>100000</v>
      </c>
      <c r="L843" s="39" t="s">
        <v>380</v>
      </c>
      <c r="M843" s="38">
        <v>162000</v>
      </c>
      <c r="N843" s="39" t="s">
        <v>380</v>
      </c>
      <c r="O843" s="41">
        <v>143</v>
      </c>
      <c r="P843" s="38">
        <v>1.29</v>
      </c>
      <c r="Q843" s="38">
        <v>1000</v>
      </c>
      <c r="R843" s="39" t="s">
        <v>237</v>
      </c>
    </row>
    <row r="844" spans="1:18" x14ac:dyDescent="0.3">
      <c r="A844" s="37" t="s">
        <v>378</v>
      </c>
      <c r="B844" s="37" t="s">
        <v>1361</v>
      </c>
      <c r="C844" s="37" t="s">
        <v>372</v>
      </c>
      <c r="D844" s="37" t="s">
        <v>375</v>
      </c>
      <c r="E844" s="38">
        <v>0</v>
      </c>
      <c r="F844" s="39" t="s">
        <v>237</v>
      </c>
      <c r="G844" s="38">
        <v>0</v>
      </c>
      <c r="H844" s="39" t="s">
        <v>380</v>
      </c>
      <c r="I844" s="40">
        <v>45518</v>
      </c>
      <c r="J844" s="40">
        <v>45518</v>
      </c>
      <c r="K844" s="38">
        <v>5760</v>
      </c>
      <c r="L844" s="39" t="s">
        <v>380</v>
      </c>
      <c r="M844" s="38">
        <v>5760</v>
      </c>
      <c r="N844" s="39" t="s">
        <v>380</v>
      </c>
      <c r="O844" s="41">
        <v>0</v>
      </c>
      <c r="P844" s="38">
        <v>99999</v>
      </c>
      <c r="Q844" s="38">
        <v>6566.3999999999896</v>
      </c>
      <c r="R844" s="39" t="s">
        <v>237</v>
      </c>
    </row>
    <row r="845" spans="1:18" x14ac:dyDescent="0.3">
      <c r="A845" s="37" t="s">
        <v>378</v>
      </c>
      <c r="B845" s="37" t="s">
        <v>1362</v>
      </c>
      <c r="C845" s="37" t="s">
        <v>372</v>
      </c>
      <c r="D845" s="37" t="s">
        <v>375</v>
      </c>
      <c r="E845" s="38">
        <v>0</v>
      </c>
      <c r="F845" s="39" t="s">
        <v>237</v>
      </c>
      <c r="G845" s="38">
        <v>0</v>
      </c>
      <c r="H845" s="39" t="s">
        <v>380</v>
      </c>
      <c r="I845" s="40">
        <v>45491</v>
      </c>
      <c r="J845" s="40">
        <v>45505</v>
      </c>
      <c r="K845" s="38">
        <v>20000</v>
      </c>
      <c r="L845" s="39" t="s">
        <v>380</v>
      </c>
      <c r="M845" s="38">
        <v>20000</v>
      </c>
      <c r="N845" s="39" t="s">
        <v>380</v>
      </c>
      <c r="O845" s="41">
        <v>0</v>
      </c>
      <c r="P845" s="38">
        <v>4</v>
      </c>
      <c r="Q845" s="38">
        <v>3928</v>
      </c>
      <c r="R845" s="39" t="s">
        <v>237</v>
      </c>
    </row>
    <row r="846" spans="1:18" x14ac:dyDescent="0.3">
      <c r="A846" s="37" t="s">
        <v>378</v>
      </c>
      <c r="B846" s="37" t="s">
        <v>1363</v>
      </c>
      <c r="C846" s="37" t="s">
        <v>372</v>
      </c>
      <c r="D846" s="37" t="s">
        <v>375</v>
      </c>
      <c r="E846" s="38">
        <v>0</v>
      </c>
      <c r="F846" s="39" t="s">
        <v>237</v>
      </c>
      <c r="G846" s="38">
        <v>0</v>
      </c>
      <c r="H846" s="39" t="s">
        <v>380</v>
      </c>
      <c r="I846" s="40">
        <v>45496</v>
      </c>
      <c r="J846" s="40">
        <v>45496</v>
      </c>
      <c r="K846" s="38">
        <v>40000</v>
      </c>
      <c r="L846" s="39" t="s">
        <v>380</v>
      </c>
      <c r="M846" s="38">
        <v>40000</v>
      </c>
      <c r="N846" s="39" t="s">
        <v>380</v>
      </c>
      <c r="O846" s="41">
        <v>0</v>
      </c>
      <c r="P846" s="38">
        <v>99999</v>
      </c>
      <c r="Q846" s="38">
        <v>8804.76</v>
      </c>
      <c r="R846" s="39" t="s">
        <v>237</v>
      </c>
    </row>
    <row r="847" spans="1:18" x14ac:dyDescent="0.3">
      <c r="A847" s="37" t="s">
        <v>378</v>
      </c>
      <c r="B847" s="37" t="s">
        <v>1364</v>
      </c>
      <c r="C847" s="37" t="s">
        <v>372</v>
      </c>
      <c r="D847" s="37" t="s">
        <v>375</v>
      </c>
      <c r="E847" s="38">
        <v>8954.3999999999905</v>
      </c>
      <c r="F847" s="39" t="s">
        <v>237</v>
      </c>
      <c r="G847" s="38">
        <v>15990</v>
      </c>
      <c r="H847" s="39" t="s">
        <v>380</v>
      </c>
      <c r="I847" s="40">
        <v>45523</v>
      </c>
      <c r="J847" s="40">
        <v>45505</v>
      </c>
      <c r="K847" s="38">
        <v>2460</v>
      </c>
      <c r="L847" s="39" t="s">
        <v>380</v>
      </c>
      <c r="M847" s="38">
        <v>18450</v>
      </c>
      <c r="N847" s="39" t="s">
        <v>380</v>
      </c>
      <c r="O847" s="41">
        <v>598</v>
      </c>
      <c r="P847" s="38">
        <v>0.62</v>
      </c>
      <c r="Q847" s="38">
        <v>1377.5999999999899</v>
      </c>
      <c r="R847" s="39" t="s">
        <v>237</v>
      </c>
    </row>
    <row r="848" spans="1:18" x14ac:dyDescent="0.3">
      <c r="A848" s="37" t="s">
        <v>378</v>
      </c>
      <c r="B848" s="37" t="s">
        <v>1434</v>
      </c>
      <c r="C848" s="37" t="s">
        <v>372</v>
      </c>
      <c r="D848" s="37" t="s">
        <v>375</v>
      </c>
      <c r="E848" s="38">
        <v>2796.59</v>
      </c>
      <c r="F848" s="39" t="s">
        <v>237</v>
      </c>
      <c r="G848" s="38">
        <v>46200</v>
      </c>
      <c r="H848" s="39" t="s">
        <v>380</v>
      </c>
      <c r="I848" s="40"/>
      <c r="J848" s="40">
        <v>45532</v>
      </c>
      <c r="K848" s="38">
        <v>11000</v>
      </c>
      <c r="L848" s="39" t="s">
        <v>380</v>
      </c>
      <c r="M848" s="38">
        <v>57200</v>
      </c>
      <c r="N848" s="39" t="s">
        <v>380</v>
      </c>
      <c r="O848" s="41">
        <v>386</v>
      </c>
      <c r="P848" s="38">
        <v>0.95</v>
      </c>
      <c r="Q848" s="38">
        <v>667.30999999999904</v>
      </c>
      <c r="R848" s="39" t="s">
        <v>237</v>
      </c>
    </row>
  </sheetData>
  <pageMargins left="0.7" right="0.7" top="0.75" bottom="0.75" header="0.3" footer="0.3"/>
  <customProperties>
    <customPr name="_pios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BF5B-3A2C-491B-9570-6BB3908232CF}">
  <dimension ref="A1:Q974"/>
  <sheetViews>
    <sheetView topLeftCell="B1" zoomScale="80" zoomScaleNormal="80" workbookViewId="0">
      <pane ySplit="3" topLeftCell="A935" activePane="bottomLeft" state="frozen"/>
      <selection pane="bottomLeft" activeCell="C941" sqref="C941"/>
    </sheetView>
  </sheetViews>
  <sheetFormatPr defaultRowHeight="12.5" x14ac:dyDescent="0.3"/>
  <cols>
    <col min="1" max="1" width="3.3984375" style="158" customWidth="1"/>
    <col min="2" max="2" width="12.09765625" style="159" bestFit="1" customWidth="1"/>
    <col min="3" max="3" width="46" style="158" customWidth="1"/>
    <col min="4" max="4" width="12.69921875" style="160" customWidth="1"/>
    <col min="5" max="5" width="10.69921875" style="159" customWidth="1"/>
    <col min="6" max="6" width="12.69921875" style="160" customWidth="1"/>
    <col min="7" max="7" width="10.69921875" style="159" customWidth="1"/>
    <col min="8" max="9" width="12.69921875" style="159" customWidth="1"/>
    <col min="10" max="10" width="12.69921875" style="160" customWidth="1"/>
    <col min="11" max="11" width="10.69921875" style="159" customWidth="1"/>
    <col min="12" max="12" width="12.69921875" style="160" customWidth="1"/>
    <col min="13" max="13" width="10.69921875" style="159" customWidth="1"/>
    <col min="14" max="16" width="12.69921875" style="160" customWidth="1"/>
    <col min="17" max="17" width="10.69921875" style="159" customWidth="1"/>
    <col min="18" max="16384" width="8.796875" style="158"/>
  </cols>
  <sheetData>
    <row r="1" spans="1:17" ht="14.5" x14ac:dyDescent="0.35">
      <c r="A1" s="158" t="s">
        <v>236</v>
      </c>
      <c r="B1" s="175" t="s">
        <v>2796</v>
      </c>
      <c r="C1" s="153"/>
      <c r="D1" s="162" t="s">
        <v>236</v>
      </c>
      <c r="E1" s="154" t="s">
        <v>236</v>
      </c>
      <c r="F1" s="162" t="s">
        <v>236</v>
      </c>
      <c r="G1" s="154" t="s">
        <v>236</v>
      </c>
      <c r="H1" s="154" t="s">
        <v>236</v>
      </c>
      <c r="I1" s="154" t="s">
        <v>236</v>
      </c>
      <c r="J1" s="162" t="s">
        <v>236</v>
      </c>
      <c r="K1" s="154" t="s">
        <v>236</v>
      </c>
      <c r="L1" s="162" t="s">
        <v>236</v>
      </c>
      <c r="M1" s="154" t="s">
        <v>236</v>
      </c>
      <c r="N1" s="162" t="s">
        <v>236</v>
      </c>
      <c r="O1" s="162" t="s">
        <v>236</v>
      </c>
      <c r="P1" s="162" t="s">
        <v>236</v>
      </c>
      <c r="Q1" s="154" t="s">
        <v>236</v>
      </c>
    </row>
    <row r="2" spans="1:17" ht="13" x14ac:dyDescent="0.3">
      <c r="B2" s="154"/>
      <c r="C2" s="153"/>
      <c r="D2" s="162"/>
      <c r="E2" s="154"/>
      <c r="F2" s="162"/>
      <c r="G2" s="154"/>
      <c r="H2" s="154"/>
      <c r="I2" s="154"/>
      <c r="J2" s="162"/>
      <c r="K2" s="154"/>
      <c r="L2" s="162"/>
      <c r="M2" s="154"/>
      <c r="N2" s="162"/>
      <c r="O2" s="162"/>
      <c r="P2" s="162"/>
      <c r="Q2" s="154"/>
    </row>
    <row r="3" spans="1:17" ht="13" x14ac:dyDescent="0.3">
      <c r="B3" s="155" t="s">
        <v>8</v>
      </c>
      <c r="C3" s="155" t="s">
        <v>1531</v>
      </c>
      <c r="D3" s="163" t="s">
        <v>363</v>
      </c>
      <c r="E3" s="155" t="s">
        <v>363</v>
      </c>
      <c r="F3" s="163" t="s">
        <v>364</v>
      </c>
      <c r="G3" s="155" t="s">
        <v>364</v>
      </c>
      <c r="H3" s="155" t="s">
        <v>365</v>
      </c>
      <c r="I3" s="155" t="s">
        <v>366</v>
      </c>
      <c r="J3" s="163" t="s">
        <v>367</v>
      </c>
      <c r="K3" s="155" t="s">
        <v>367</v>
      </c>
      <c r="L3" s="163" t="s">
        <v>368</v>
      </c>
      <c r="M3" s="155" t="s">
        <v>368</v>
      </c>
      <c r="N3" s="163" t="s">
        <v>369</v>
      </c>
      <c r="O3" s="163" t="s">
        <v>370</v>
      </c>
      <c r="P3" s="164" t="s">
        <v>371</v>
      </c>
      <c r="Q3" s="155" t="s">
        <v>371</v>
      </c>
    </row>
    <row r="4" spans="1:17" x14ac:dyDescent="0.3">
      <c r="B4" s="188">
        <v>322380</v>
      </c>
      <c r="C4" s="158" t="s">
        <v>2001</v>
      </c>
      <c r="D4" s="160">
        <v>0</v>
      </c>
      <c r="E4" s="161" t="s">
        <v>237</v>
      </c>
      <c r="F4" s="160">
        <v>0</v>
      </c>
      <c r="G4" s="161" t="s">
        <v>380</v>
      </c>
      <c r="H4" s="161" t="s">
        <v>1464</v>
      </c>
      <c r="I4" s="161" t="s">
        <v>1611</v>
      </c>
      <c r="J4" s="160">
        <v>0</v>
      </c>
      <c r="K4" s="161" t="s">
        <v>380</v>
      </c>
      <c r="L4" s="160">
        <v>0</v>
      </c>
      <c r="M4" s="161" t="s">
        <v>380</v>
      </c>
      <c r="N4" s="160">
        <v>0</v>
      </c>
      <c r="O4" s="160">
        <v>0</v>
      </c>
      <c r="P4" s="160">
        <v>0</v>
      </c>
      <c r="Q4" s="161" t="s">
        <v>237</v>
      </c>
    </row>
    <row r="5" spans="1:17" x14ac:dyDescent="0.3">
      <c r="B5" s="188">
        <v>322382</v>
      </c>
      <c r="C5" s="158" t="s">
        <v>2002</v>
      </c>
      <c r="D5" s="160">
        <v>0</v>
      </c>
      <c r="E5" s="161" t="s">
        <v>237</v>
      </c>
      <c r="F5" s="160">
        <v>0</v>
      </c>
      <c r="G5" s="161" t="s">
        <v>380</v>
      </c>
      <c r="H5" s="161" t="s">
        <v>2698</v>
      </c>
      <c r="I5" s="161" t="s">
        <v>2699</v>
      </c>
      <c r="J5" s="160">
        <v>10350</v>
      </c>
      <c r="K5" s="161" t="s">
        <v>380</v>
      </c>
      <c r="L5" s="160">
        <v>10350</v>
      </c>
      <c r="M5" s="161" t="s">
        <v>380</v>
      </c>
      <c r="N5" s="160">
        <v>0</v>
      </c>
      <c r="O5" s="160">
        <v>99999</v>
      </c>
      <c r="P5" s="160">
        <v>1242</v>
      </c>
      <c r="Q5" s="161" t="s">
        <v>237</v>
      </c>
    </row>
    <row r="6" spans="1:17" x14ac:dyDescent="0.3">
      <c r="B6" s="188">
        <v>322383</v>
      </c>
      <c r="C6" s="158" t="s">
        <v>11</v>
      </c>
      <c r="D6" s="160">
        <v>5940</v>
      </c>
      <c r="E6" s="161" t="s">
        <v>237</v>
      </c>
      <c r="F6" s="160">
        <v>39600</v>
      </c>
      <c r="G6" s="161" t="s">
        <v>380</v>
      </c>
      <c r="H6" s="161" t="s">
        <v>2797</v>
      </c>
      <c r="I6" s="161" t="s">
        <v>236</v>
      </c>
      <c r="J6" s="160">
        <v>69300</v>
      </c>
      <c r="K6" s="161" t="s">
        <v>380</v>
      </c>
      <c r="L6" s="160">
        <v>79200</v>
      </c>
      <c r="M6" s="161" t="s">
        <v>380</v>
      </c>
      <c r="N6" s="160">
        <v>57</v>
      </c>
      <c r="O6" s="160">
        <v>3.23</v>
      </c>
      <c r="P6" s="160">
        <v>9570</v>
      </c>
      <c r="Q6" s="161" t="s">
        <v>237</v>
      </c>
    </row>
    <row r="7" spans="1:17" x14ac:dyDescent="0.3">
      <c r="B7" s="188">
        <v>322384</v>
      </c>
      <c r="C7" s="158" t="s">
        <v>1950</v>
      </c>
      <c r="D7" s="160">
        <v>0</v>
      </c>
      <c r="E7" s="161" t="s">
        <v>237</v>
      </c>
      <c r="F7" s="160">
        <v>0</v>
      </c>
      <c r="G7" s="161" t="s">
        <v>380</v>
      </c>
      <c r="H7" s="161" t="s">
        <v>1954</v>
      </c>
      <c r="I7" s="161" t="s">
        <v>1955</v>
      </c>
      <c r="J7" s="160">
        <v>0</v>
      </c>
      <c r="K7" s="161" t="s">
        <v>380</v>
      </c>
      <c r="L7" s="160">
        <v>0</v>
      </c>
      <c r="M7" s="161" t="s">
        <v>380</v>
      </c>
      <c r="N7" s="160">
        <v>0</v>
      </c>
      <c r="O7" s="160">
        <v>0</v>
      </c>
      <c r="P7" s="160">
        <v>0</v>
      </c>
      <c r="Q7" s="161" t="s">
        <v>237</v>
      </c>
    </row>
    <row r="8" spans="1:17" x14ac:dyDescent="0.3">
      <c r="B8" s="188">
        <v>322385</v>
      </c>
      <c r="C8" s="158" t="s">
        <v>2003</v>
      </c>
      <c r="D8" s="160">
        <v>0</v>
      </c>
      <c r="E8" s="161" t="s">
        <v>237</v>
      </c>
      <c r="F8" s="160">
        <v>0</v>
      </c>
      <c r="G8" s="161" t="s">
        <v>380</v>
      </c>
      <c r="H8" s="161" t="s">
        <v>1612</v>
      </c>
      <c r="I8" s="161" t="s">
        <v>1612</v>
      </c>
      <c r="J8" s="160">
        <v>0</v>
      </c>
      <c r="K8" s="161" t="s">
        <v>380</v>
      </c>
      <c r="L8" s="160">
        <v>0</v>
      </c>
      <c r="M8" s="161" t="s">
        <v>380</v>
      </c>
      <c r="N8" s="160">
        <v>0</v>
      </c>
      <c r="O8" s="160">
        <v>0</v>
      </c>
      <c r="P8" s="160">
        <v>0</v>
      </c>
      <c r="Q8" s="161" t="s">
        <v>237</v>
      </c>
    </row>
    <row r="9" spans="1:17" x14ac:dyDescent="0.3">
      <c r="B9" s="188">
        <v>322389</v>
      </c>
      <c r="C9" s="158" t="s">
        <v>13</v>
      </c>
      <c r="D9" s="160">
        <v>9009</v>
      </c>
      <c r="E9" s="161" t="s">
        <v>237</v>
      </c>
      <c r="F9" s="160">
        <v>60060</v>
      </c>
      <c r="G9" s="161" t="s">
        <v>380</v>
      </c>
      <c r="H9" s="161" t="s">
        <v>2798</v>
      </c>
      <c r="I9" s="161" t="s">
        <v>236</v>
      </c>
      <c r="J9" s="160">
        <v>54600</v>
      </c>
      <c r="K9" s="161" t="s">
        <v>380</v>
      </c>
      <c r="L9" s="160">
        <v>56160</v>
      </c>
      <c r="M9" s="161" t="s">
        <v>380</v>
      </c>
      <c r="N9" s="160">
        <v>108</v>
      </c>
      <c r="O9" s="160">
        <v>1.32</v>
      </c>
      <c r="P9" s="160">
        <v>7675.2</v>
      </c>
      <c r="Q9" s="161" t="s">
        <v>237</v>
      </c>
    </row>
    <row r="10" spans="1:17" x14ac:dyDescent="0.3">
      <c r="B10" s="188">
        <v>322391</v>
      </c>
      <c r="C10" s="158" t="s">
        <v>2004</v>
      </c>
      <c r="D10" s="160">
        <v>0</v>
      </c>
      <c r="E10" s="161" t="s">
        <v>237</v>
      </c>
      <c r="F10" s="160">
        <v>0</v>
      </c>
      <c r="G10" s="161" t="s">
        <v>380</v>
      </c>
      <c r="H10" s="161" t="s">
        <v>2700</v>
      </c>
      <c r="I10" s="161" t="s">
        <v>2701</v>
      </c>
      <c r="J10" s="160">
        <v>6500</v>
      </c>
      <c r="K10" s="161" t="s">
        <v>380</v>
      </c>
      <c r="L10" s="160">
        <v>6500</v>
      </c>
      <c r="M10" s="161" t="s">
        <v>380</v>
      </c>
      <c r="N10" s="160">
        <v>0</v>
      </c>
      <c r="O10" s="160">
        <v>99999</v>
      </c>
      <c r="P10" s="160">
        <v>1300</v>
      </c>
      <c r="Q10" s="161" t="s">
        <v>237</v>
      </c>
    </row>
    <row r="11" spans="1:17" x14ac:dyDescent="0.3">
      <c r="B11" s="188">
        <v>322392</v>
      </c>
      <c r="C11" s="158" t="s">
        <v>2558</v>
      </c>
      <c r="D11" s="160">
        <v>0</v>
      </c>
      <c r="E11" s="161" t="s">
        <v>237</v>
      </c>
      <c r="F11" s="160">
        <v>0</v>
      </c>
      <c r="G11" s="161" t="s">
        <v>380</v>
      </c>
      <c r="H11" s="161" t="s">
        <v>2570</v>
      </c>
      <c r="I11" s="161" t="s">
        <v>2571</v>
      </c>
      <c r="J11" s="160">
        <v>0</v>
      </c>
      <c r="K11" s="161" t="s">
        <v>380</v>
      </c>
      <c r="L11" s="160">
        <v>0</v>
      </c>
      <c r="M11" s="161" t="s">
        <v>380</v>
      </c>
      <c r="N11" s="160">
        <v>0</v>
      </c>
      <c r="O11" s="160">
        <v>0</v>
      </c>
      <c r="P11" s="160">
        <v>0</v>
      </c>
      <c r="Q11" s="161" t="s">
        <v>237</v>
      </c>
    </row>
    <row r="12" spans="1:17" x14ac:dyDescent="0.3">
      <c r="B12" s="188">
        <v>322394</v>
      </c>
      <c r="C12" s="158" t="s">
        <v>2005</v>
      </c>
      <c r="D12" s="160">
        <v>302.39999999999998</v>
      </c>
      <c r="E12" s="161" t="s">
        <v>237</v>
      </c>
      <c r="F12" s="160">
        <v>1440</v>
      </c>
      <c r="G12" s="161" t="s">
        <v>380</v>
      </c>
      <c r="H12" s="161" t="s">
        <v>2679</v>
      </c>
      <c r="I12" s="161" t="s">
        <v>2680</v>
      </c>
      <c r="J12" s="160">
        <v>0</v>
      </c>
      <c r="K12" s="161" t="s">
        <v>380</v>
      </c>
      <c r="L12" s="160">
        <v>0</v>
      </c>
      <c r="M12" s="161" t="s">
        <v>380</v>
      </c>
      <c r="N12" s="160">
        <v>99999</v>
      </c>
      <c r="O12" s="160">
        <v>0</v>
      </c>
      <c r="P12" s="160">
        <v>0</v>
      </c>
      <c r="Q12" s="161" t="s">
        <v>237</v>
      </c>
    </row>
    <row r="13" spans="1:17" x14ac:dyDescent="0.3">
      <c r="B13" s="188">
        <v>322400</v>
      </c>
      <c r="C13" s="158" t="s">
        <v>2006</v>
      </c>
      <c r="D13" s="160">
        <v>0</v>
      </c>
      <c r="E13" s="161" t="s">
        <v>237</v>
      </c>
      <c r="F13" s="160">
        <v>0</v>
      </c>
      <c r="G13" s="161" t="s">
        <v>380</v>
      </c>
      <c r="H13" s="161" t="s">
        <v>1614</v>
      </c>
      <c r="I13" s="161" t="s">
        <v>1465</v>
      </c>
      <c r="J13" s="160">
        <v>0</v>
      </c>
      <c r="K13" s="161" t="s">
        <v>380</v>
      </c>
      <c r="L13" s="160">
        <v>0</v>
      </c>
      <c r="M13" s="161" t="s">
        <v>380</v>
      </c>
      <c r="N13" s="160">
        <v>0</v>
      </c>
      <c r="O13" s="160">
        <v>0</v>
      </c>
      <c r="P13" s="160">
        <v>0</v>
      </c>
      <c r="Q13" s="161" t="s">
        <v>237</v>
      </c>
    </row>
    <row r="14" spans="1:17" x14ac:dyDescent="0.3">
      <c r="B14" s="188">
        <v>322405</v>
      </c>
      <c r="C14" s="158" t="s">
        <v>16</v>
      </c>
      <c r="D14" s="160">
        <v>0</v>
      </c>
      <c r="E14" s="161" t="s">
        <v>237</v>
      </c>
      <c r="F14" s="160">
        <v>0</v>
      </c>
      <c r="G14" s="161" t="s">
        <v>380</v>
      </c>
      <c r="H14" s="161" t="s">
        <v>2587</v>
      </c>
      <c r="I14" s="161" t="s">
        <v>2799</v>
      </c>
      <c r="J14" s="160">
        <v>4800</v>
      </c>
      <c r="K14" s="161" t="s">
        <v>380</v>
      </c>
      <c r="L14" s="160">
        <v>0</v>
      </c>
      <c r="M14" s="161" t="s">
        <v>380</v>
      </c>
      <c r="N14" s="160">
        <v>0</v>
      </c>
      <c r="O14" s="160">
        <v>2</v>
      </c>
      <c r="P14" s="160">
        <v>883.2</v>
      </c>
      <c r="Q14" s="161" t="s">
        <v>237</v>
      </c>
    </row>
    <row r="15" spans="1:17" x14ac:dyDescent="0.3">
      <c r="B15" s="188">
        <v>322406</v>
      </c>
      <c r="C15" s="158" t="s">
        <v>2007</v>
      </c>
      <c r="D15" s="160">
        <v>0</v>
      </c>
      <c r="E15" s="161" t="s">
        <v>237</v>
      </c>
      <c r="F15" s="160">
        <v>0</v>
      </c>
      <c r="G15" s="161" t="s">
        <v>380</v>
      </c>
      <c r="H15" s="161" t="s">
        <v>1615</v>
      </c>
      <c r="I15" s="161" t="s">
        <v>1616</v>
      </c>
      <c r="J15" s="160">
        <v>0</v>
      </c>
      <c r="K15" s="161" t="s">
        <v>380</v>
      </c>
      <c r="L15" s="160">
        <v>0</v>
      </c>
      <c r="M15" s="161" t="s">
        <v>380</v>
      </c>
      <c r="N15" s="160">
        <v>0</v>
      </c>
      <c r="O15" s="160">
        <v>0</v>
      </c>
      <c r="P15" s="160">
        <v>0</v>
      </c>
      <c r="Q15" s="161" t="s">
        <v>237</v>
      </c>
    </row>
    <row r="16" spans="1:17" x14ac:dyDescent="0.3">
      <c r="B16" s="188">
        <v>322408</v>
      </c>
      <c r="C16" s="158" t="s">
        <v>2008</v>
      </c>
      <c r="D16" s="160">
        <v>0</v>
      </c>
      <c r="E16" s="161" t="s">
        <v>237</v>
      </c>
      <c r="F16" s="160">
        <v>0</v>
      </c>
      <c r="G16" s="161" t="s">
        <v>380</v>
      </c>
      <c r="H16" s="161" t="s">
        <v>1617</v>
      </c>
      <c r="I16" s="161" t="s">
        <v>1618</v>
      </c>
      <c r="J16" s="160">
        <v>0</v>
      </c>
      <c r="K16" s="161" t="s">
        <v>380</v>
      </c>
      <c r="L16" s="160">
        <v>0</v>
      </c>
      <c r="M16" s="161" t="s">
        <v>380</v>
      </c>
      <c r="N16" s="160">
        <v>0</v>
      </c>
      <c r="O16" s="160">
        <v>0</v>
      </c>
      <c r="P16" s="160">
        <v>0</v>
      </c>
      <c r="Q16" s="161" t="s">
        <v>237</v>
      </c>
    </row>
    <row r="17" spans="2:17" x14ac:dyDescent="0.3">
      <c r="B17" s="188">
        <v>322409</v>
      </c>
      <c r="C17" s="158" t="s">
        <v>269</v>
      </c>
      <c r="D17" s="160">
        <v>10040.94</v>
      </c>
      <c r="E17" s="161" t="s">
        <v>237</v>
      </c>
      <c r="F17" s="160">
        <v>47814</v>
      </c>
      <c r="G17" s="161" t="s">
        <v>380</v>
      </c>
      <c r="H17" s="161" t="s">
        <v>2740</v>
      </c>
      <c r="I17" s="161" t="s">
        <v>2740</v>
      </c>
      <c r="J17" s="160">
        <v>89166</v>
      </c>
      <c r="K17" s="161" t="s">
        <v>380</v>
      </c>
      <c r="L17" s="160">
        <v>103162</v>
      </c>
      <c r="M17" s="161" t="s">
        <v>380</v>
      </c>
      <c r="N17" s="160">
        <v>94</v>
      </c>
      <c r="O17" s="160">
        <v>1.3</v>
      </c>
      <c r="P17" s="160">
        <v>9827.94</v>
      </c>
      <c r="Q17" s="161" t="s">
        <v>237</v>
      </c>
    </row>
    <row r="18" spans="2:17" x14ac:dyDescent="0.3">
      <c r="B18" s="188">
        <v>322411</v>
      </c>
      <c r="C18" s="158" t="s">
        <v>19</v>
      </c>
      <c r="D18" s="160">
        <v>2041.2</v>
      </c>
      <c r="E18" s="161" t="s">
        <v>237</v>
      </c>
      <c r="F18" s="160">
        <v>9720</v>
      </c>
      <c r="G18" s="161" t="s">
        <v>380</v>
      </c>
      <c r="H18" s="161" t="s">
        <v>2529</v>
      </c>
      <c r="I18" s="161" t="s">
        <v>236</v>
      </c>
      <c r="J18" s="160">
        <v>5400</v>
      </c>
      <c r="K18" s="161" t="s">
        <v>380</v>
      </c>
      <c r="L18" s="160">
        <v>0</v>
      </c>
      <c r="M18" s="161" t="s">
        <v>380</v>
      </c>
      <c r="N18" s="160">
        <v>172</v>
      </c>
      <c r="O18" s="160">
        <v>0.41</v>
      </c>
      <c r="P18" s="160">
        <v>1090.8</v>
      </c>
      <c r="Q18" s="161" t="s">
        <v>237</v>
      </c>
    </row>
    <row r="19" spans="2:17" x14ac:dyDescent="0.3">
      <c r="B19" s="188">
        <v>322412</v>
      </c>
      <c r="C19" s="158" t="s">
        <v>20</v>
      </c>
      <c r="D19" s="160">
        <v>725.97</v>
      </c>
      <c r="E19" s="161" t="s">
        <v>237</v>
      </c>
      <c r="F19" s="160">
        <v>3457</v>
      </c>
      <c r="G19" s="161" t="s">
        <v>380</v>
      </c>
      <c r="H19" s="161" t="s">
        <v>2682</v>
      </c>
      <c r="I19" s="161" t="s">
        <v>2797</v>
      </c>
      <c r="J19" s="160">
        <v>65975</v>
      </c>
      <c r="K19" s="161" t="s">
        <v>380</v>
      </c>
      <c r="L19" s="160">
        <v>28420</v>
      </c>
      <c r="M19" s="161" t="s">
        <v>380</v>
      </c>
      <c r="N19" s="160">
        <v>5</v>
      </c>
      <c r="O19" s="160">
        <v>4.51</v>
      </c>
      <c r="P19" s="160">
        <v>12799.15</v>
      </c>
      <c r="Q19" s="161" t="s">
        <v>237</v>
      </c>
    </row>
    <row r="20" spans="2:17" x14ac:dyDescent="0.3">
      <c r="B20" s="188">
        <v>322419</v>
      </c>
      <c r="C20" s="158" t="s">
        <v>22</v>
      </c>
      <c r="D20" s="160">
        <v>2268</v>
      </c>
      <c r="E20" s="161" t="s">
        <v>237</v>
      </c>
      <c r="F20" s="160">
        <v>10800</v>
      </c>
      <c r="G20" s="161" t="s">
        <v>380</v>
      </c>
      <c r="H20" s="161" t="s">
        <v>2800</v>
      </c>
      <c r="I20" s="161" t="s">
        <v>2800</v>
      </c>
      <c r="J20" s="160">
        <v>28800</v>
      </c>
      <c r="K20" s="161" t="s">
        <v>380</v>
      </c>
      <c r="L20" s="160">
        <v>36000</v>
      </c>
      <c r="M20" s="161" t="s">
        <v>380</v>
      </c>
      <c r="N20" s="160">
        <v>95</v>
      </c>
      <c r="O20" s="160">
        <v>3.2</v>
      </c>
      <c r="P20" s="160">
        <v>2196</v>
      </c>
      <c r="Q20" s="161" t="s">
        <v>237</v>
      </c>
    </row>
    <row r="21" spans="2:17" x14ac:dyDescent="0.3">
      <c r="B21" s="188">
        <v>322420</v>
      </c>
      <c r="C21" s="158" t="s">
        <v>163</v>
      </c>
      <c r="D21" s="160">
        <v>0</v>
      </c>
      <c r="E21" s="161" t="s">
        <v>237</v>
      </c>
      <c r="F21" s="160">
        <v>0</v>
      </c>
      <c r="G21" s="161" t="s">
        <v>380</v>
      </c>
      <c r="H21" s="161" t="s">
        <v>2680</v>
      </c>
      <c r="I21" s="161" t="s">
        <v>2801</v>
      </c>
      <c r="J21" s="160">
        <v>19278</v>
      </c>
      <c r="K21" s="161" t="s">
        <v>380</v>
      </c>
      <c r="L21" s="160">
        <v>0</v>
      </c>
      <c r="M21" s="161" t="s">
        <v>380</v>
      </c>
      <c r="N21" s="160">
        <v>0</v>
      </c>
      <c r="O21" s="160">
        <v>2.06</v>
      </c>
      <c r="P21" s="160">
        <v>3931.2</v>
      </c>
      <c r="Q21" s="161" t="s">
        <v>237</v>
      </c>
    </row>
    <row r="22" spans="2:17" x14ac:dyDescent="0.3">
      <c r="B22" s="188">
        <v>322421</v>
      </c>
      <c r="C22" s="158" t="s">
        <v>1904</v>
      </c>
      <c r="D22" s="160">
        <v>0</v>
      </c>
      <c r="E22" s="161" t="s">
        <v>237</v>
      </c>
      <c r="F22" s="160">
        <v>0</v>
      </c>
      <c r="G22" s="161" t="s">
        <v>380</v>
      </c>
      <c r="H22" s="161" t="s">
        <v>2629</v>
      </c>
      <c r="I22" s="161" t="s">
        <v>2630</v>
      </c>
      <c r="J22" s="160">
        <v>0</v>
      </c>
      <c r="K22" s="161" t="s">
        <v>380</v>
      </c>
      <c r="L22" s="160">
        <v>0</v>
      </c>
      <c r="M22" s="161" t="s">
        <v>380</v>
      </c>
      <c r="N22" s="160">
        <v>0</v>
      </c>
      <c r="O22" s="160">
        <v>0</v>
      </c>
      <c r="P22" s="160">
        <v>0</v>
      </c>
      <c r="Q22" s="161" t="s">
        <v>237</v>
      </c>
    </row>
    <row r="23" spans="2:17" x14ac:dyDescent="0.3">
      <c r="B23" s="188">
        <v>322422</v>
      </c>
      <c r="C23" s="158" t="s">
        <v>1343</v>
      </c>
      <c r="D23" s="160">
        <v>2430</v>
      </c>
      <c r="E23" s="161" t="s">
        <v>237</v>
      </c>
      <c r="F23" s="160">
        <v>9000</v>
      </c>
      <c r="G23" s="161" t="s">
        <v>380</v>
      </c>
      <c r="H23" s="161" t="s">
        <v>2802</v>
      </c>
      <c r="I23" s="161" t="s">
        <v>2803</v>
      </c>
      <c r="J23" s="160">
        <v>9000</v>
      </c>
      <c r="K23" s="161" t="s">
        <v>380</v>
      </c>
      <c r="L23" s="160">
        <v>18000</v>
      </c>
      <c r="M23" s="161" t="s">
        <v>380</v>
      </c>
      <c r="N23" s="160">
        <v>92</v>
      </c>
      <c r="O23" s="160">
        <v>2</v>
      </c>
      <c r="P23" s="160">
        <v>2430</v>
      </c>
      <c r="Q23" s="161" t="s">
        <v>237</v>
      </c>
    </row>
    <row r="24" spans="2:17" x14ac:dyDescent="0.3">
      <c r="B24" s="188">
        <v>322424</v>
      </c>
      <c r="C24" s="158" t="s">
        <v>1583</v>
      </c>
      <c r="D24" s="160">
        <v>0</v>
      </c>
      <c r="E24" s="161" t="s">
        <v>237</v>
      </c>
      <c r="F24" s="160">
        <v>0</v>
      </c>
      <c r="G24" s="161" t="s">
        <v>380</v>
      </c>
      <c r="H24" s="161" t="s">
        <v>2744</v>
      </c>
      <c r="I24" s="161" t="s">
        <v>2803</v>
      </c>
      <c r="J24" s="160">
        <v>10080</v>
      </c>
      <c r="K24" s="161" t="s">
        <v>380</v>
      </c>
      <c r="L24" s="160">
        <v>10080</v>
      </c>
      <c r="M24" s="161" t="s">
        <v>380</v>
      </c>
      <c r="N24" s="160">
        <v>0</v>
      </c>
      <c r="O24" s="160">
        <v>4</v>
      </c>
      <c r="P24" s="160">
        <v>2520</v>
      </c>
      <c r="Q24" s="161" t="s">
        <v>237</v>
      </c>
    </row>
    <row r="25" spans="2:17" x14ac:dyDescent="0.3">
      <c r="B25" s="188">
        <v>322427</v>
      </c>
      <c r="C25" s="158" t="s">
        <v>2009</v>
      </c>
      <c r="D25" s="160">
        <v>0</v>
      </c>
      <c r="E25" s="161" t="s">
        <v>237</v>
      </c>
      <c r="F25" s="160">
        <v>0</v>
      </c>
      <c r="G25" s="161" t="s">
        <v>380</v>
      </c>
      <c r="H25" s="161" t="s">
        <v>2549</v>
      </c>
      <c r="I25" s="161" t="s">
        <v>2550</v>
      </c>
      <c r="J25" s="160">
        <v>0</v>
      </c>
      <c r="K25" s="161" t="s">
        <v>380</v>
      </c>
      <c r="L25" s="160">
        <v>0</v>
      </c>
      <c r="M25" s="161" t="s">
        <v>380</v>
      </c>
      <c r="N25" s="160">
        <v>0</v>
      </c>
      <c r="O25" s="160">
        <v>0</v>
      </c>
      <c r="P25" s="160">
        <v>0</v>
      </c>
      <c r="Q25" s="161" t="s">
        <v>237</v>
      </c>
    </row>
    <row r="26" spans="2:17" x14ac:dyDescent="0.3">
      <c r="B26" s="188">
        <v>322428</v>
      </c>
      <c r="C26" s="158" t="s">
        <v>25</v>
      </c>
      <c r="D26" s="160">
        <v>1512</v>
      </c>
      <c r="E26" s="161" t="s">
        <v>237</v>
      </c>
      <c r="F26" s="160">
        <v>7560</v>
      </c>
      <c r="G26" s="161" t="s">
        <v>380</v>
      </c>
      <c r="H26" s="161" t="s">
        <v>236</v>
      </c>
      <c r="I26" s="161" t="s">
        <v>2804</v>
      </c>
      <c r="J26" s="160">
        <v>30240</v>
      </c>
      <c r="K26" s="161" t="s">
        <v>380</v>
      </c>
      <c r="L26" s="160">
        <v>27720</v>
      </c>
      <c r="M26" s="161" t="s">
        <v>380</v>
      </c>
      <c r="N26" s="160">
        <v>24</v>
      </c>
      <c r="O26" s="160">
        <v>4.3600000000000003</v>
      </c>
      <c r="P26" s="160">
        <v>5846.4</v>
      </c>
      <c r="Q26" s="161" t="s">
        <v>237</v>
      </c>
    </row>
    <row r="27" spans="2:17" x14ac:dyDescent="0.3">
      <c r="B27" s="188">
        <v>322429</v>
      </c>
      <c r="C27" s="158" t="s">
        <v>26</v>
      </c>
      <c r="D27" s="160">
        <v>2030</v>
      </c>
      <c r="E27" s="161" t="s">
        <v>237</v>
      </c>
      <c r="F27" s="160">
        <v>10150</v>
      </c>
      <c r="G27" s="161" t="s">
        <v>380</v>
      </c>
      <c r="H27" s="161" t="s">
        <v>2739</v>
      </c>
      <c r="I27" s="161" t="s">
        <v>2739</v>
      </c>
      <c r="J27" s="160">
        <v>31465</v>
      </c>
      <c r="K27" s="161" t="s">
        <v>380</v>
      </c>
      <c r="L27" s="160">
        <v>40600</v>
      </c>
      <c r="M27" s="161" t="s">
        <v>380</v>
      </c>
      <c r="N27" s="160">
        <v>33</v>
      </c>
      <c r="O27" s="160">
        <v>5.9</v>
      </c>
      <c r="P27" s="160">
        <v>5653.55</v>
      </c>
      <c r="Q27" s="161" t="s">
        <v>237</v>
      </c>
    </row>
    <row r="28" spans="2:17" x14ac:dyDescent="0.3">
      <c r="B28" s="188">
        <v>322431</v>
      </c>
      <c r="C28" s="158" t="s">
        <v>2010</v>
      </c>
      <c r="D28" s="160">
        <v>0</v>
      </c>
      <c r="E28" s="161" t="s">
        <v>237</v>
      </c>
      <c r="F28" s="160">
        <v>0</v>
      </c>
      <c r="G28" s="161" t="s">
        <v>380</v>
      </c>
      <c r="H28" s="161" t="s">
        <v>1975</v>
      </c>
      <c r="I28" s="161" t="s">
        <v>2495</v>
      </c>
      <c r="J28" s="160">
        <v>0</v>
      </c>
      <c r="K28" s="161" t="s">
        <v>380</v>
      </c>
      <c r="L28" s="160">
        <v>0</v>
      </c>
      <c r="M28" s="161" t="s">
        <v>380</v>
      </c>
      <c r="N28" s="160">
        <v>0</v>
      </c>
      <c r="O28" s="160">
        <v>0</v>
      </c>
      <c r="P28" s="160">
        <v>0</v>
      </c>
      <c r="Q28" s="161" t="s">
        <v>237</v>
      </c>
    </row>
    <row r="29" spans="2:17" x14ac:dyDescent="0.3">
      <c r="B29" s="188">
        <v>322434</v>
      </c>
      <c r="C29" s="158" t="s">
        <v>2011</v>
      </c>
      <c r="D29" s="160">
        <v>0</v>
      </c>
      <c r="E29" s="161" t="s">
        <v>237</v>
      </c>
      <c r="F29" s="160">
        <v>0</v>
      </c>
      <c r="G29" s="161" t="s">
        <v>380</v>
      </c>
      <c r="H29" s="161" t="s">
        <v>2631</v>
      </c>
      <c r="I29" s="161" t="s">
        <v>2632</v>
      </c>
      <c r="J29" s="160">
        <v>0</v>
      </c>
      <c r="K29" s="161" t="s">
        <v>380</v>
      </c>
      <c r="L29" s="160">
        <v>0</v>
      </c>
      <c r="M29" s="161" t="s">
        <v>380</v>
      </c>
      <c r="N29" s="160">
        <v>0</v>
      </c>
      <c r="O29" s="160">
        <v>0</v>
      </c>
      <c r="P29" s="160">
        <v>0</v>
      </c>
      <c r="Q29" s="161" t="s">
        <v>237</v>
      </c>
    </row>
    <row r="30" spans="2:17" x14ac:dyDescent="0.3">
      <c r="B30" s="188">
        <v>322435</v>
      </c>
      <c r="C30" s="158" t="s">
        <v>1905</v>
      </c>
      <c r="D30" s="160">
        <v>793.8</v>
      </c>
      <c r="E30" s="161" t="s">
        <v>237</v>
      </c>
      <c r="F30" s="160">
        <v>2940</v>
      </c>
      <c r="G30" s="161" t="s">
        <v>380</v>
      </c>
      <c r="H30" s="161" t="s">
        <v>2745</v>
      </c>
      <c r="I30" s="161" t="s">
        <v>2801</v>
      </c>
      <c r="J30" s="160">
        <v>25200</v>
      </c>
      <c r="K30" s="161" t="s">
        <v>380</v>
      </c>
      <c r="L30" s="160">
        <v>16380</v>
      </c>
      <c r="M30" s="161" t="s">
        <v>380</v>
      </c>
      <c r="N30" s="160">
        <v>12</v>
      </c>
      <c r="O30" s="160">
        <v>2.64</v>
      </c>
      <c r="P30" s="160">
        <v>6312.6</v>
      </c>
      <c r="Q30" s="161" t="s">
        <v>237</v>
      </c>
    </row>
    <row r="31" spans="2:17" x14ac:dyDescent="0.3">
      <c r="B31" s="188">
        <v>322436</v>
      </c>
      <c r="C31" s="158" t="s">
        <v>27</v>
      </c>
      <c r="D31" s="160">
        <v>4821.25</v>
      </c>
      <c r="E31" s="161" t="s">
        <v>237</v>
      </c>
      <c r="F31" s="160">
        <v>19285</v>
      </c>
      <c r="G31" s="161" t="s">
        <v>380</v>
      </c>
      <c r="H31" s="161" t="s">
        <v>2570</v>
      </c>
      <c r="I31" s="161" t="s">
        <v>2705</v>
      </c>
      <c r="J31" s="160">
        <v>1015</v>
      </c>
      <c r="K31" s="161" t="s">
        <v>380</v>
      </c>
      <c r="L31" s="160">
        <v>0</v>
      </c>
      <c r="M31" s="161" t="s">
        <v>380</v>
      </c>
      <c r="N31" s="160">
        <v>1986</v>
      </c>
      <c r="O31" s="160">
        <v>0.05</v>
      </c>
      <c r="P31" s="160">
        <v>223.3</v>
      </c>
      <c r="Q31" s="161" t="s">
        <v>237</v>
      </c>
    </row>
    <row r="32" spans="2:17" x14ac:dyDescent="0.3">
      <c r="B32" s="188">
        <v>322438</v>
      </c>
      <c r="C32" s="158" t="s">
        <v>28</v>
      </c>
      <c r="D32" s="160">
        <v>7817.04</v>
      </c>
      <c r="E32" s="161" t="s">
        <v>237</v>
      </c>
      <c r="F32" s="160">
        <v>35532</v>
      </c>
      <c r="G32" s="161" t="s">
        <v>380</v>
      </c>
      <c r="H32" s="161" t="s">
        <v>2805</v>
      </c>
      <c r="I32" s="161" t="s">
        <v>2806</v>
      </c>
      <c r="J32" s="160">
        <v>52452</v>
      </c>
      <c r="K32" s="161" t="s">
        <v>380</v>
      </c>
      <c r="L32" s="160">
        <v>54144</v>
      </c>
      <c r="M32" s="161" t="s">
        <v>380</v>
      </c>
      <c r="N32" s="160">
        <v>66</v>
      </c>
      <c r="O32" s="160">
        <v>2.86</v>
      </c>
      <c r="P32" s="160">
        <v>10862.64</v>
      </c>
      <c r="Q32" s="161" t="s">
        <v>237</v>
      </c>
    </row>
    <row r="33" spans="2:17" x14ac:dyDescent="0.3">
      <c r="B33" s="188">
        <v>322442</v>
      </c>
      <c r="C33" s="158" t="s">
        <v>30</v>
      </c>
      <c r="D33" s="160">
        <v>1710</v>
      </c>
      <c r="E33" s="161" t="s">
        <v>237</v>
      </c>
      <c r="F33" s="160">
        <v>6840</v>
      </c>
      <c r="G33" s="161" t="s">
        <v>380</v>
      </c>
      <c r="H33" s="161" t="s">
        <v>2807</v>
      </c>
      <c r="I33" s="161" t="s">
        <v>2808</v>
      </c>
      <c r="J33" s="160">
        <v>10320</v>
      </c>
      <c r="K33" s="161" t="s">
        <v>380</v>
      </c>
      <c r="L33" s="160">
        <v>1680</v>
      </c>
      <c r="M33" s="161" t="s">
        <v>380</v>
      </c>
      <c r="N33" s="160">
        <v>76</v>
      </c>
      <c r="O33" s="160">
        <v>0.91</v>
      </c>
      <c r="P33" s="160">
        <v>2066.4</v>
      </c>
      <c r="Q33" s="161" t="s">
        <v>237</v>
      </c>
    </row>
    <row r="34" spans="2:17" x14ac:dyDescent="0.3">
      <c r="B34" s="188">
        <v>322444</v>
      </c>
      <c r="C34" s="158" t="s">
        <v>198</v>
      </c>
      <c r="D34" s="160">
        <v>1943.76</v>
      </c>
      <c r="E34" s="161" t="s">
        <v>237</v>
      </c>
      <c r="F34" s="160">
        <v>7476</v>
      </c>
      <c r="G34" s="161" t="s">
        <v>380</v>
      </c>
      <c r="H34" s="161" t="s">
        <v>2809</v>
      </c>
      <c r="I34" s="161" t="s">
        <v>2808</v>
      </c>
      <c r="J34" s="160">
        <v>33376</v>
      </c>
      <c r="K34" s="161" t="s">
        <v>380</v>
      </c>
      <c r="L34" s="160">
        <v>28084</v>
      </c>
      <c r="M34" s="161" t="s">
        <v>380</v>
      </c>
      <c r="N34" s="160">
        <v>23</v>
      </c>
      <c r="O34" s="160">
        <v>3.15</v>
      </c>
      <c r="P34" s="160">
        <v>7636.44</v>
      </c>
      <c r="Q34" s="161" t="s">
        <v>237</v>
      </c>
    </row>
    <row r="35" spans="2:17" x14ac:dyDescent="0.3">
      <c r="B35" s="188">
        <v>322445</v>
      </c>
      <c r="C35" s="158" t="s">
        <v>31</v>
      </c>
      <c r="D35" s="160">
        <v>22599</v>
      </c>
      <c r="E35" s="161" t="s">
        <v>237</v>
      </c>
      <c r="F35" s="160">
        <v>83700</v>
      </c>
      <c r="G35" s="161" t="s">
        <v>380</v>
      </c>
      <c r="H35" s="161" t="s">
        <v>2810</v>
      </c>
      <c r="I35" s="161" t="s">
        <v>2811</v>
      </c>
      <c r="J35" s="160">
        <v>107100</v>
      </c>
      <c r="K35" s="161" t="s">
        <v>380</v>
      </c>
      <c r="L35" s="160">
        <v>149400</v>
      </c>
      <c r="M35" s="161" t="s">
        <v>380</v>
      </c>
      <c r="N35" s="160">
        <v>83</v>
      </c>
      <c r="O35" s="160">
        <v>1.64</v>
      </c>
      <c r="P35" s="160">
        <v>25137</v>
      </c>
      <c r="Q35" s="161" t="s">
        <v>237</v>
      </c>
    </row>
    <row r="36" spans="2:17" x14ac:dyDescent="0.3">
      <c r="B36" s="188">
        <v>322446</v>
      </c>
      <c r="C36" s="158" t="s">
        <v>2012</v>
      </c>
      <c r="D36" s="160">
        <v>0</v>
      </c>
      <c r="E36" s="161" t="s">
        <v>237</v>
      </c>
      <c r="F36" s="160">
        <v>0</v>
      </c>
      <c r="G36" s="161" t="s">
        <v>380</v>
      </c>
      <c r="H36" s="161" t="s">
        <v>1623</v>
      </c>
      <c r="I36" s="161" t="s">
        <v>1623</v>
      </c>
      <c r="J36" s="160">
        <v>0</v>
      </c>
      <c r="K36" s="161" t="s">
        <v>380</v>
      </c>
      <c r="L36" s="160">
        <v>0</v>
      </c>
      <c r="M36" s="161" t="s">
        <v>380</v>
      </c>
      <c r="N36" s="160">
        <v>0</v>
      </c>
      <c r="O36" s="160">
        <v>0</v>
      </c>
      <c r="P36" s="160">
        <v>0</v>
      </c>
      <c r="Q36" s="161" t="s">
        <v>237</v>
      </c>
    </row>
    <row r="37" spans="2:17" x14ac:dyDescent="0.3">
      <c r="B37" s="188">
        <v>322448</v>
      </c>
      <c r="C37" s="158" t="s">
        <v>33</v>
      </c>
      <c r="D37" s="160">
        <v>8537.4</v>
      </c>
      <c r="E37" s="161" t="s">
        <v>237</v>
      </c>
      <c r="F37" s="160">
        <v>25110</v>
      </c>
      <c r="G37" s="161" t="s">
        <v>380</v>
      </c>
      <c r="H37" s="161" t="s">
        <v>2749</v>
      </c>
      <c r="I37" s="161" t="s">
        <v>1603</v>
      </c>
      <c r="J37" s="160">
        <v>291600</v>
      </c>
      <c r="K37" s="161" t="s">
        <v>380</v>
      </c>
      <c r="L37" s="160">
        <v>297270</v>
      </c>
      <c r="M37" s="161" t="s">
        <v>380</v>
      </c>
      <c r="N37" s="160">
        <v>9</v>
      </c>
      <c r="O37" s="160">
        <v>7.24</v>
      </c>
      <c r="P37" s="160">
        <v>88063.2</v>
      </c>
      <c r="Q37" s="161" t="s">
        <v>237</v>
      </c>
    </row>
    <row r="38" spans="2:17" x14ac:dyDescent="0.3">
      <c r="B38" s="188">
        <v>322451</v>
      </c>
      <c r="C38" s="158" t="s">
        <v>34</v>
      </c>
      <c r="D38" s="160">
        <v>1653.12</v>
      </c>
      <c r="E38" s="161" t="s">
        <v>237</v>
      </c>
      <c r="F38" s="160">
        <v>4032</v>
      </c>
      <c r="G38" s="161" t="s">
        <v>380</v>
      </c>
      <c r="H38" s="161" t="s">
        <v>2626</v>
      </c>
      <c r="I38" s="161" t="s">
        <v>2801</v>
      </c>
      <c r="J38" s="160">
        <v>25200</v>
      </c>
      <c r="K38" s="161" t="s">
        <v>380</v>
      </c>
      <c r="L38" s="160">
        <v>0</v>
      </c>
      <c r="M38" s="161" t="s">
        <v>380</v>
      </c>
      <c r="N38" s="160">
        <v>16</v>
      </c>
      <c r="O38" s="160">
        <v>1.44</v>
      </c>
      <c r="P38" s="160">
        <v>9681.84</v>
      </c>
      <c r="Q38" s="161" t="s">
        <v>237</v>
      </c>
    </row>
    <row r="39" spans="2:17" x14ac:dyDescent="0.3">
      <c r="B39" s="188">
        <v>322452</v>
      </c>
      <c r="C39" s="158" t="s">
        <v>35</v>
      </c>
      <c r="D39" s="160">
        <v>7485.5</v>
      </c>
      <c r="E39" s="161" t="s">
        <v>237</v>
      </c>
      <c r="F39" s="160">
        <v>29942</v>
      </c>
      <c r="G39" s="161" t="s">
        <v>380</v>
      </c>
      <c r="H39" s="161" t="s">
        <v>2809</v>
      </c>
      <c r="I39" s="161" t="s">
        <v>2811</v>
      </c>
      <c r="J39" s="160">
        <v>112340</v>
      </c>
      <c r="K39" s="161" t="s">
        <v>380</v>
      </c>
      <c r="L39" s="160">
        <v>98602</v>
      </c>
      <c r="M39" s="161" t="s">
        <v>380</v>
      </c>
      <c r="N39" s="160">
        <v>48</v>
      </c>
      <c r="O39" s="160">
        <v>2.7</v>
      </c>
      <c r="P39" s="160">
        <v>14429.38</v>
      </c>
      <c r="Q39" s="161" t="s">
        <v>237</v>
      </c>
    </row>
    <row r="40" spans="2:17" x14ac:dyDescent="0.3">
      <c r="B40" s="188">
        <v>322453</v>
      </c>
      <c r="C40" s="158" t="s">
        <v>2013</v>
      </c>
      <c r="D40" s="160">
        <v>0</v>
      </c>
      <c r="E40" s="161" t="s">
        <v>237</v>
      </c>
      <c r="F40" s="160">
        <v>0</v>
      </c>
      <c r="G40" s="161" t="s">
        <v>380</v>
      </c>
      <c r="H40" s="161" t="s">
        <v>1624</v>
      </c>
      <c r="I40" s="161" t="s">
        <v>1602</v>
      </c>
      <c r="J40" s="160">
        <v>0</v>
      </c>
      <c r="K40" s="161" t="s">
        <v>380</v>
      </c>
      <c r="L40" s="160">
        <v>0</v>
      </c>
      <c r="M40" s="161" t="s">
        <v>380</v>
      </c>
      <c r="N40" s="160">
        <v>0</v>
      </c>
      <c r="O40" s="160">
        <v>0</v>
      </c>
      <c r="P40" s="160">
        <v>0</v>
      </c>
      <c r="Q40" s="161" t="s">
        <v>237</v>
      </c>
    </row>
    <row r="41" spans="2:17" x14ac:dyDescent="0.3">
      <c r="B41" s="188">
        <v>322454</v>
      </c>
      <c r="C41" s="158" t="s">
        <v>2014</v>
      </c>
      <c r="D41" s="160">
        <v>0</v>
      </c>
      <c r="E41" s="161" t="s">
        <v>237</v>
      </c>
      <c r="F41" s="160">
        <v>0</v>
      </c>
      <c r="G41" s="161" t="s">
        <v>380</v>
      </c>
      <c r="H41" s="161" t="s">
        <v>2812</v>
      </c>
      <c r="I41" s="161" t="s">
        <v>2803</v>
      </c>
      <c r="J41" s="160">
        <v>9900</v>
      </c>
      <c r="K41" s="161" t="s">
        <v>380</v>
      </c>
      <c r="L41" s="160">
        <v>9900</v>
      </c>
      <c r="M41" s="161" t="s">
        <v>380</v>
      </c>
      <c r="N41" s="160">
        <v>0</v>
      </c>
      <c r="O41" s="160">
        <v>99999</v>
      </c>
      <c r="P41" s="160">
        <v>2772</v>
      </c>
      <c r="Q41" s="161" t="s">
        <v>237</v>
      </c>
    </row>
    <row r="42" spans="2:17" x14ac:dyDescent="0.3">
      <c r="B42" s="188">
        <v>322459</v>
      </c>
      <c r="C42" s="158" t="s">
        <v>1584</v>
      </c>
      <c r="D42" s="160">
        <v>0</v>
      </c>
      <c r="E42" s="161" t="s">
        <v>237</v>
      </c>
      <c r="F42" s="160">
        <v>0</v>
      </c>
      <c r="G42" s="161" t="s">
        <v>380</v>
      </c>
      <c r="H42" s="161" t="s">
        <v>2684</v>
      </c>
      <c r="I42" s="161" t="s">
        <v>2685</v>
      </c>
      <c r="J42" s="160">
        <v>0</v>
      </c>
      <c r="K42" s="161" t="s">
        <v>380</v>
      </c>
      <c r="L42" s="160">
        <v>0</v>
      </c>
      <c r="M42" s="161" t="s">
        <v>380</v>
      </c>
      <c r="N42" s="160">
        <v>0</v>
      </c>
      <c r="O42" s="160">
        <v>0</v>
      </c>
      <c r="P42" s="160">
        <v>0</v>
      </c>
      <c r="Q42" s="161" t="s">
        <v>237</v>
      </c>
    </row>
    <row r="43" spans="2:17" x14ac:dyDescent="0.3">
      <c r="B43" s="188">
        <v>322464</v>
      </c>
      <c r="C43" s="158" t="s">
        <v>2015</v>
      </c>
      <c r="D43" s="160">
        <v>0</v>
      </c>
      <c r="E43" s="161" t="s">
        <v>237</v>
      </c>
      <c r="F43" s="160">
        <v>0</v>
      </c>
      <c r="G43" s="161" t="s">
        <v>380</v>
      </c>
      <c r="H43" s="161" t="s">
        <v>1625</v>
      </c>
      <c r="I43" s="161" t="s">
        <v>1626</v>
      </c>
      <c r="J43" s="160">
        <v>0</v>
      </c>
      <c r="K43" s="161" t="s">
        <v>380</v>
      </c>
      <c r="L43" s="160">
        <v>0</v>
      </c>
      <c r="M43" s="161" t="s">
        <v>380</v>
      </c>
      <c r="N43" s="160">
        <v>0</v>
      </c>
      <c r="O43" s="160">
        <v>0</v>
      </c>
      <c r="P43" s="160">
        <v>0</v>
      </c>
      <c r="Q43" s="161" t="s">
        <v>237</v>
      </c>
    </row>
    <row r="44" spans="2:17" x14ac:dyDescent="0.3">
      <c r="B44" s="188">
        <v>322471</v>
      </c>
      <c r="C44" s="158" t="s">
        <v>271</v>
      </c>
      <c r="D44" s="160">
        <v>776.16</v>
      </c>
      <c r="E44" s="161" t="s">
        <v>237</v>
      </c>
      <c r="F44" s="160">
        <v>2772</v>
      </c>
      <c r="G44" s="161" t="s">
        <v>380</v>
      </c>
      <c r="H44" s="161" t="s">
        <v>2807</v>
      </c>
      <c r="I44" s="161" t="s">
        <v>2813</v>
      </c>
      <c r="J44" s="160">
        <v>28644</v>
      </c>
      <c r="K44" s="161" t="s">
        <v>380</v>
      </c>
      <c r="L44" s="160">
        <v>11088</v>
      </c>
      <c r="M44" s="161" t="s">
        <v>380</v>
      </c>
      <c r="N44" s="160">
        <v>9</v>
      </c>
      <c r="O44" s="160">
        <v>2.1</v>
      </c>
      <c r="P44" s="160">
        <v>7743.12</v>
      </c>
      <c r="Q44" s="161" t="s">
        <v>237</v>
      </c>
    </row>
    <row r="45" spans="2:17" x14ac:dyDescent="0.3">
      <c r="B45" s="188">
        <v>322474</v>
      </c>
      <c r="C45" s="158" t="s">
        <v>37</v>
      </c>
      <c r="D45" s="160">
        <v>5227.2</v>
      </c>
      <c r="E45" s="161" t="s">
        <v>237</v>
      </c>
      <c r="F45" s="160">
        <v>14520</v>
      </c>
      <c r="G45" s="161" t="s">
        <v>380</v>
      </c>
      <c r="H45" s="161" t="s">
        <v>2807</v>
      </c>
      <c r="I45" s="161" t="s">
        <v>2814</v>
      </c>
      <c r="J45" s="160">
        <v>29076</v>
      </c>
      <c r="K45" s="161" t="s">
        <v>380</v>
      </c>
      <c r="L45" s="160">
        <v>35676</v>
      </c>
      <c r="M45" s="161" t="s">
        <v>380</v>
      </c>
      <c r="N45" s="160">
        <v>48</v>
      </c>
      <c r="O45" s="160">
        <v>2.2999999999999998</v>
      </c>
      <c r="P45" s="160">
        <v>9932.8799999999992</v>
      </c>
      <c r="Q45" s="161" t="s">
        <v>237</v>
      </c>
    </row>
    <row r="46" spans="2:17" x14ac:dyDescent="0.3">
      <c r="B46" s="188">
        <v>322477</v>
      </c>
      <c r="C46" s="158" t="s">
        <v>38</v>
      </c>
      <c r="D46" s="160">
        <v>18821.25</v>
      </c>
      <c r="E46" s="161" t="s">
        <v>237</v>
      </c>
      <c r="F46" s="160">
        <v>53775</v>
      </c>
      <c r="G46" s="161" t="s">
        <v>380</v>
      </c>
      <c r="H46" s="161" t="s">
        <v>2815</v>
      </c>
      <c r="I46" s="161" t="s">
        <v>2814</v>
      </c>
      <c r="J46" s="160">
        <v>70413</v>
      </c>
      <c r="K46" s="161" t="s">
        <v>380</v>
      </c>
      <c r="L46" s="160">
        <v>39936</v>
      </c>
      <c r="M46" s="161" t="s">
        <v>380</v>
      </c>
      <c r="N46" s="160">
        <v>83</v>
      </c>
      <c r="O46" s="160">
        <v>1.4</v>
      </c>
      <c r="P46" s="160">
        <v>20774.46</v>
      </c>
      <c r="Q46" s="161" t="s">
        <v>237</v>
      </c>
    </row>
    <row r="47" spans="2:17" x14ac:dyDescent="0.3">
      <c r="B47" s="188">
        <v>322485</v>
      </c>
      <c r="C47" s="158" t="s">
        <v>2016</v>
      </c>
      <c r="D47" s="160">
        <v>0</v>
      </c>
      <c r="E47" s="161" t="s">
        <v>237</v>
      </c>
      <c r="F47" s="160">
        <v>0</v>
      </c>
      <c r="G47" s="161" t="s">
        <v>380</v>
      </c>
      <c r="H47" s="161" t="s">
        <v>1628</v>
      </c>
      <c r="I47" s="161" t="s">
        <v>1629</v>
      </c>
      <c r="J47" s="160">
        <v>0</v>
      </c>
      <c r="K47" s="161" t="s">
        <v>380</v>
      </c>
      <c r="L47" s="160">
        <v>0</v>
      </c>
      <c r="M47" s="161" t="s">
        <v>380</v>
      </c>
      <c r="N47" s="160">
        <v>0</v>
      </c>
      <c r="O47" s="160">
        <v>0</v>
      </c>
      <c r="P47" s="160">
        <v>0</v>
      </c>
      <c r="Q47" s="161" t="s">
        <v>237</v>
      </c>
    </row>
    <row r="48" spans="2:17" x14ac:dyDescent="0.3">
      <c r="B48" s="188">
        <v>322492</v>
      </c>
      <c r="C48" s="158" t="s">
        <v>1532</v>
      </c>
      <c r="D48" s="160">
        <v>0</v>
      </c>
      <c r="E48" s="161" t="s">
        <v>237</v>
      </c>
      <c r="F48" s="160">
        <v>0</v>
      </c>
      <c r="G48" s="161" t="s">
        <v>380</v>
      </c>
      <c r="H48" s="161" t="s">
        <v>2556</v>
      </c>
      <c r="I48" s="161" t="s">
        <v>2550</v>
      </c>
      <c r="J48" s="160">
        <v>0</v>
      </c>
      <c r="K48" s="161" t="s">
        <v>380</v>
      </c>
      <c r="L48" s="160">
        <v>0</v>
      </c>
      <c r="M48" s="161" t="s">
        <v>380</v>
      </c>
      <c r="N48" s="160">
        <v>0</v>
      </c>
      <c r="O48" s="160">
        <v>0</v>
      </c>
      <c r="P48" s="160">
        <v>0</v>
      </c>
      <c r="Q48" s="161" t="s">
        <v>237</v>
      </c>
    </row>
    <row r="49" spans="2:17" x14ac:dyDescent="0.3">
      <c r="B49" s="188">
        <v>322493</v>
      </c>
      <c r="C49" s="158" t="s">
        <v>1557</v>
      </c>
      <c r="D49" s="160">
        <v>0</v>
      </c>
      <c r="E49" s="161" t="s">
        <v>237</v>
      </c>
      <c r="F49" s="160">
        <v>0</v>
      </c>
      <c r="G49" s="161" t="s">
        <v>380</v>
      </c>
      <c r="H49" s="161" t="s">
        <v>2753</v>
      </c>
      <c r="I49" s="161" t="s">
        <v>2806</v>
      </c>
      <c r="J49" s="160">
        <v>153000</v>
      </c>
      <c r="K49" s="161" t="s">
        <v>380</v>
      </c>
      <c r="L49" s="160">
        <v>122400</v>
      </c>
      <c r="M49" s="161" t="s">
        <v>380</v>
      </c>
      <c r="N49" s="160">
        <v>0</v>
      </c>
      <c r="O49" s="160">
        <v>10</v>
      </c>
      <c r="P49" s="160">
        <v>18972</v>
      </c>
      <c r="Q49" s="161" t="s">
        <v>237</v>
      </c>
    </row>
    <row r="50" spans="2:17" x14ac:dyDescent="0.3">
      <c r="B50" s="188">
        <v>322499</v>
      </c>
      <c r="C50" s="158" t="s">
        <v>2017</v>
      </c>
      <c r="D50" s="160">
        <v>0</v>
      </c>
      <c r="E50" s="161" t="s">
        <v>237</v>
      </c>
      <c r="F50" s="160">
        <v>0</v>
      </c>
      <c r="G50" s="161" t="s">
        <v>380</v>
      </c>
      <c r="H50" s="161" t="s">
        <v>1474</v>
      </c>
      <c r="I50" s="161" t="s">
        <v>1553</v>
      </c>
      <c r="J50" s="160">
        <v>0</v>
      </c>
      <c r="K50" s="161" t="s">
        <v>380</v>
      </c>
      <c r="L50" s="160">
        <v>0</v>
      </c>
      <c r="M50" s="161" t="s">
        <v>380</v>
      </c>
      <c r="N50" s="160">
        <v>0</v>
      </c>
      <c r="O50" s="160">
        <v>0</v>
      </c>
      <c r="P50" s="160">
        <v>0</v>
      </c>
      <c r="Q50" s="161" t="s">
        <v>237</v>
      </c>
    </row>
    <row r="51" spans="2:17" x14ac:dyDescent="0.3">
      <c r="B51" s="188">
        <v>322503</v>
      </c>
      <c r="C51" s="158" t="s">
        <v>238</v>
      </c>
      <c r="D51" s="160">
        <v>10650.24</v>
      </c>
      <c r="E51" s="161" t="s">
        <v>237</v>
      </c>
      <c r="F51" s="160">
        <v>29584</v>
      </c>
      <c r="G51" s="161" t="s">
        <v>380</v>
      </c>
      <c r="H51" s="161" t="s">
        <v>2810</v>
      </c>
      <c r="I51" s="161" t="s">
        <v>2702</v>
      </c>
      <c r="J51" s="160">
        <v>16856</v>
      </c>
      <c r="K51" s="161" t="s">
        <v>380</v>
      </c>
      <c r="L51" s="160">
        <v>29584</v>
      </c>
      <c r="M51" s="161" t="s">
        <v>380</v>
      </c>
      <c r="N51" s="160">
        <v>188</v>
      </c>
      <c r="O51" s="160">
        <v>1.45</v>
      </c>
      <c r="P51" s="160">
        <v>5225.3599999999997</v>
      </c>
      <c r="Q51" s="161" t="s">
        <v>237</v>
      </c>
    </row>
    <row r="52" spans="2:17" x14ac:dyDescent="0.3">
      <c r="B52" s="188">
        <v>322506</v>
      </c>
      <c r="C52" s="158" t="s">
        <v>39</v>
      </c>
      <c r="D52" s="160">
        <v>3880.8</v>
      </c>
      <c r="E52" s="161" t="s">
        <v>237</v>
      </c>
      <c r="F52" s="160">
        <v>13860</v>
      </c>
      <c r="G52" s="161" t="s">
        <v>380</v>
      </c>
      <c r="H52" s="161" t="s">
        <v>2746</v>
      </c>
      <c r="I52" s="161" t="s">
        <v>2803</v>
      </c>
      <c r="J52" s="160">
        <v>12012</v>
      </c>
      <c r="K52" s="161" t="s">
        <v>380</v>
      </c>
      <c r="L52" s="160">
        <v>22176</v>
      </c>
      <c r="M52" s="161" t="s">
        <v>380</v>
      </c>
      <c r="N52" s="160">
        <v>111</v>
      </c>
      <c r="O52" s="160">
        <v>1.18</v>
      </c>
      <c r="P52" s="160">
        <v>3224.76</v>
      </c>
      <c r="Q52" s="161" t="s">
        <v>237</v>
      </c>
    </row>
    <row r="53" spans="2:17" x14ac:dyDescent="0.3">
      <c r="B53" s="188">
        <v>322509</v>
      </c>
      <c r="C53" s="158" t="s">
        <v>41</v>
      </c>
      <c r="D53" s="160">
        <v>18869.759999999998</v>
      </c>
      <c r="E53" s="161" t="s">
        <v>237</v>
      </c>
      <c r="F53" s="160">
        <v>67392</v>
      </c>
      <c r="G53" s="161" t="s">
        <v>380</v>
      </c>
      <c r="H53" s="161" t="s">
        <v>2536</v>
      </c>
      <c r="I53" s="161" t="s">
        <v>2801</v>
      </c>
      <c r="J53" s="160">
        <v>1248</v>
      </c>
      <c r="K53" s="161" t="s">
        <v>380</v>
      </c>
      <c r="L53" s="160">
        <v>0</v>
      </c>
      <c r="M53" s="161" t="s">
        <v>380</v>
      </c>
      <c r="N53" s="160">
        <v>4968</v>
      </c>
      <c r="O53" s="160">
        <v>0.02</v>
      </c>
      <c r="P53" s="160">
        <v>349.44</v>
      </c>
      <c r="Q53" s="161" t="s">
        <v>237</v>
      </c>
    </row>
    <row r="54" spans="2:17" x14ac:dyDescent="0.3">
      <c r="B54" s="188">
        <v>322517</v>
      </c>
      <c r="C54" s="158" t="s">
        <v>42</v>
      </c>
      <c r="D54" s="160">
        <v>5525</v>
      </c>
      <c r="E54" s="161" t="s">
        <v>237</v>
      </c>
      <c r="F54" s="160">
        <v>16250</v>
      </c>
      <c r="G54" s="161" t="s">
        <v>380</v>
      </c>
      <c r="H54" s="161" t="s">
        <v>2816</v>
      </c>
      <c r="I54" s="161" t="s">
        <v>2804</v>
      </c>
      <c r="J54" s="160">
        <v>25350</v>
      </c>
      <c r="K54" s="161" t="s">
        <v>380</v>
      </c>
      <c r="L54" s="160">
        <v>15600</v>
      </c>
      <c r="M54" s="161" t="s">
        <v>380</v>
      </c>
      <c r="N54" s="160">
        <v>63</v>
      </c>
      <c r="O54" s="160">
        <v>1.41</v>
      </c>
      <c r="P54" s="160">
        <v>8125</v>
      </c>
      <c r="Q54" s="161" t="s">
        <v>237</v>
      </c>
    </row>
    <row r="55" spans="2:17" x14ac:dyDescent="0.3">
      <c r="B55" s="188">
        <v>322521</v>
      </c>
      <c r="C55" s="158" t="s">
        <v>2018</v>
      </c>
      <c r="D55" s="160">
        <v>0</v>
      </c>
      <c r="E55" s="161" t="s">
        <v>237</v>
      </c>
      <c r="F55" s="160">
        <v>0</v>
      </c>
      <c r="G55" s="161" t="s">
        <v>380</v>
      </c>
      <c r="H55" s="161" t="s">
        <v>1632</v>
      </c>
      <c r="I55" s="161" t="s">
        <v>1633</v>
      </c>
      <c r="J55" s="160">
        <v>0</v>
      </c>
      <c r="K55" s="161" t="s">
        <v>380</v>
      </c>
      <c r="L55" s="160">
        <v>0</v>
      </c>
      <c r="M55" s="161" t="s">
        <v>380</v>
      </c>
      <c r="N55" s="160">
        <v>0</v>
      </c>
      <c r="O55" s="160">
        <v>0</v>
      </c>
      <c r="P55" s="160">
        <v>0</v>
      </c>
      <c r="Q55" s="161" t="s">
        <v>237</v>
      </c>
    </row>
    <row r="56" spans="2:17" x14ac:dyDescent="0.3">
      <c r="B56" s="188">
        <v>322525</v>
      </c>
      <c r="C56" s="158" t="s">
        <v>2019</v>
      </c>
      <c r="D56" s="160">
        <v>0</v>
      </c>
      <c r="E56" s="161" t="s">
        <v>237</v>
      </c>
      <c r="F56" s="160">
        <v>0</v>
      </c>
      <c r="G56" s="161" t="s">
        <v>380</v>
      </c>
      <c r="H56" s="161" t="s">
        <v>2579</v>
      </c>
      <c r="I56" s="161" t="s">
        <v>2571</v>
      </c>
      <c r="J56" s="160">
        <v>0</v>
      </c>
      <c r="K56" s="161" t="s">
        <v>380</v>
      </c>
      <c r="L56" s="160">
        <v>0</v>
      </c>
      <c r="M56" s="161" t="s">
        <v>380</v>
      </c>
      <c r="N56" s="160">
        <v>0</v>
      </c>
      <c r="O56" s="160">
        <v>0</v>
      </c>
      <c r="P56" s="160">
        <v>0</v>
      </c>
      <c r="Q56" s="161" t="s">
        <v>237</v>
      </c>
    </row>
    <row r="57" spans="2:17" x14ac:dyDescent="0.3">
      <c r="B57" s="188">
        <v>322527</v>
      </c>
      <c r="C57" s="158" t="s">
        <v>44</v>
      </c>
      <c r="D57" s="160">
        <v>4071.6</v>
      </c>
      <c r="E57" s="161" t="s">
        <v>237</v>
      </c>
      <c r="F57" s="160">
        <v>11310</v>
      </c>
      <c r="G57" s="161" t="s">
        <v>380</v>
      </c>
      <c r="H57" s="161" t="s">
        <v>2801</v>
      </c>
      <c r="I57" s="161" t="s">
        <v>2817</v>
      </c>
      <c r="J57" s="160">
        <v>24640</v>
      </c>
      <c r="K57" s="161" t="s">
        <v>380</v>
      </c>
      <c r="L57" s="160">
        <v>18480</v>
      </c>
      <c r="M57" s="161" t="s">
        <v>380</v>
      </c>
      <c r="N57" s="160">
        <v>45</v>
      </c>
      <c r="O57" s="160">
        <v>2.2200000000000002</v>
      </c>
      <c r="P57" s="160">
        <v>8354.5</v>
      </c>
      <c r="Q57" s="161" t="s">
        <v>237</v>
      </c>
    </row>
    <row r="58" spans="2:17" x14ac:dyDescent="0.3">
      <c r="B58" s="188">
        <v>322535</v>
      </c>
      <c r="C58" s="158" t="s">
        <v>2020</v>
      </c>
      <c r="D58" s="160">
        <v>40.93</v>
      </c>
      <c r="E58" s="161" t="s">
        <v>237</v>
      </c>
      <c r="F58" s="160">
        <v>359</v>
      </c>
      <c r="G58" s="161" t="s">
        <v>380</v>
      </c>
      <c r="H58" s="161" t="s">
        <v>2569</v>
      </c>
      <c r="I58" s="161" t="s">
        <v>2580</v>
      </c>
      <c r="J58" s="160">
        <v>0</v>
      </c>
      <c r="K58" s="161" t="s">
        <v>380</v>
      </c>
      <c r="L58" s="160">
        <v>0</v>
      </c>
      <c r="M58" s="161" t="s">
        <v>380</v>
      </c>
      <c r="N58" s="160">
        <v>99999</v>
      </c>
      <c r="O58" s="160">
        <v>0</v>
      </c>
      <c r="P58" s="160">
        <v>0</v>
      </c>
      <c r="Q58" s="161" t="s">
        <v>237</v>
      </c>
    </row>
    <row r="59" spans="2:17" x14ac:dyDescent="0.3">
      <c r="B59" s="188">
        <v>322537</v>
      </c>
      <c r="C59" s="158" t="s">
        <v>45</v>
      </c>
      <c r="D59" s="160">
        <v>4478.63</v>
      </c>
      <c r="E59" s="161" t="s">
        <v>237</v>
      </c>
      <c r="F59" s="160">
        <v>38909</v>
      </c>
      <c r="G59" s="161" t="s">
        <v>380</v>
      </c>
      <c r="H59" s="161" t="s">
        <v>2686</v>
      </c>
      <c r="I59" s="161" t="s">
        <v>2681</v>
      </c>
      <c r="J59" s="160">
        <v>0</v>
      </c>
      <c r="K59" s="161" t="s">
        <v>380</v>
      </c>
      <c r="L59" s="160">
        <v>0</v>
      </c>
      <c r="M59" s="161" t="s">
        <v>380</v>
      </c>
      <c r="N59" s="160">
        <v>99999</v>
      </c>
      <c r="O59" s="160">
        <v>0</v>
      </c>
      <c r="P59" s="160">
        <v>0</v>
      </c>
      <c r="Q59" s="161" t="s">
        <v>237</v>
      </c>
    </row>
    <row r="60" spans="2:17" x14ac:dyDescent="0.3">
      <c r="B60" s="188">
        <v>322540</v>
      </c>
      <c r="C60" s="158" t="s">
        <v>143</v>
      </c>
      <c r="D60" s="160">
        <v>10857.84</v>
      </c>
      <c r="E60" s="161" t="s">
        <v>237</v>
      </c>
      <c r="F60" s="160">
        <v>103507</v>
      </c>
      <c r="G60" s="161" t="s">
        <v>380</v>
      </c>
      <c r="H60" s="161" t="s">
        <v>2799</v>
      </c>
      <c r="I60" s="161" t="s">
        <v>236</v>
      </c>
      <c r="J60" s="160">
        <v>603011</v>
      </c>
      <c r="K60" s="161" t="s">
        <v>380</v>
      </c>
      <c r="L60" s="160">
        <v>579494</v>
      </c>
      <c r="M60" s="161" t="s">
        <v>380</v>
      </c>
      <c r="N60" s="160">
        <v>31</v>
      </c>
      <c r="O60" s="160">
        <v>2.81</v>
      </c>
      <c r="P60" s="160">
        <v>32231.74</v>
      </c>
      <c r="Q60" s="161" t="s">
        <v>237</v>
      </c>
    </row>
    <row r="61" spans="2:17" x14ac:dyDescent="0.3">
      <c r="B61" s="188">
        <v>322542</v>
      </c>
      <c r="C61" s="158" t="s">
        <v>46</v>
      </c>
      <c r="D61" s="160">
        <v>4257.0600000000004</v>
      </c>
      <c r="E61" s="161" t="s">
        <v>237</v>
      </c>
      <c r="F61" s="160">
        <v>37936</v>
      </c>
      <c r="G61" s="161" t="s">
        <v>380</v>
      </c>
      <c r="H61" s="161" t="s">
        <v>2707</v>
      </c>
      <c r="I61" s="161" t="s">
        <v>2708</v>
      </c>
      <c r="J61" s="160">
        <v>16768</v>
      </c>
      <c r="K61" s="161" t="s">
        <v>380</v>
      </c>
      <c r="L61" s="160">
        <v>26384</v>
      </c>
      <c r="M61" s="161" t="s">
        <v>380</v>
      </c>
      <c r="N61" s="160">
        <v>416</v>
      </c>
      <c r="O61" s="160">
        <v>0.24</v>
      </c>
      <c r="P61" s="160">
        <v>940.82</v>
      </c>
      <c r="Q61" s="161" t="s">
        <v>237</v>
      </c>
    </row>
    <row r="62" spans="2:17" x14ac:dyDescent="0.3">
      <c r="B62" s="188">
        <v>322550</v>
      </c>
      <c r="C62" s="158" t="s">
        <v>47</v>
      </c>
      <c r="D62" s="160">
        <v>578.88</v>
      </c>
      <c r="E62" s="161" t="s">
        <v>237</v>
      </c>
      <c r="F62" s="160">
        <v>864</v>
      </c>
      <c r="G62" s="161" t="s">
        <v>380</v>
      </c>
      <c r="H62" s="161" t="s">
        <v>2531</v>
      </c>
      <c r="I62" s="161" t="s">
        <v>2807</v>
      </c>
      <c r="J62" s="160">
        <v>2592</v>
      </c>
      <c r="K62" s="161" t="s">
        <v>380</v>
      </c>
      <c r="L62" s="160">
        <v>0</v>
      </c>
      <c r="M62" s="161" t="s">
        <v>380</v>
      </c>
      <c r="N62" s="160">
        <v>33</v>
      </c>
      <c r="O62" s="160">
        <v>1.2</v>
      </c>
      <c r="P62" s="160">
        <v>1615.68</v>
      </c>
      <c r="Q62" s="161" t="s">
        <v>237</v>
      </c>
    </row>
    <row r="63" spans="2:17" x14ac:dyDescent="0.3">
      <c r="B63" s="188">
        <v>322551</v>
      </c>
      <c r="C63" s="158" t="s">
        <v>49</v>
      </c>
      <c r="D63" s="160">
        <v>946.27</v>
      </c>
      <c r="E63" s="161" t="s">
        <v>237</v>
      </c>
      <c r="F63" s="160">
        <v>13500</v>
      </c>
      <c r="G63" s="161" t="s">
        <v>380</v>
      </c>
      <c r="H63" s="161" t="s">
        <v>2745</v>
      </c>
      <c r="I63" s="161" t="s">
        <v>2804</v>
      </c>
      <c r="J63" s="160">
        <v>60000</v>
      </c>
      <c r="K63" s="161" t="s">
        <v>380</v>
      </c>
      <c r="L63" s="160">
        <v>36000</v>
      </c>
      <c r="M63" s="161" t="s">
        <v>380</v>
      </c>
      <c r="N63" s="160">
        <v>22</v>
      </c>
      <c r="O63" s="160">
        <v>3.08</v>
      </c>
      <c r="P63" s="160">
        <v>3925.11</v>
      </c>
      <c r="Q63" s="161" t="s">
        <v>237</v>
      </c>
    </row>
    <row r="64" spans="2:17" x14ac:dyDescent="0.3">
      <c r="B64" s="188">
        <v>322552</v>
      </c>
      <c r="C64" s="158" t="s">
        <v>50</v>
      </c>
      <c r="D64" s="160">
        <v>631.52</v>
      </c>
      <c r="E64" s="161" t="s">
        <v>237</v>
      </c>
      <c r="F64" s="160">
        <v>6500</v>
      </c>
      <c r="G64" s="161" t="s">
        <v>380</v>
      </c>
      <c r="H64" s="161" t="s">
        <v>2709</v>
      </c>
      <c r="I64" s="161" t="s">
        <v>2817</v>
      </c>
      <c r="J64" s="160">
        <v>45500</v>
      </c>
      <c r="K64" s="161" t="s">
        <v>380</v>
      </c>
      <c r="L64" s="160">
        <v>24000</v>
      </c>
      <c r="M64" s="161" t="s">
        <v>380</v>
      </c>
      <c r="N64" s="160">
        <v>13</v>
      </c>
      <c r="O64" s="160">
        <v>2.09</v>
      </c>
      <c r="P64" s="160">
        <v>4424.34</v>
      </c>
      <c r="Q64" s="161" t="s">
        <v>237</v>
      </c>
    </row>
    <row r="65" spans="2:17" x14ac:dyDescent="0.3">
      <c r="B65" s="188">
        <v>322553</v>
      </c>
      <c r="C65" s="158" t="s">
        <v>2021</v>
      </c>
      <c r="D65" s="160">
        <v>0</v>
      </c>
      <c r="E65" s="161" t="s">
        <v>237</v>
      </c>
      <c r="F65" s="160">
        <v>0</v>
      </c>
      <c r="G65" s="161" t="s">
        <v>380</v>
      </c>
      <c r="H65" s="161" t="s">
        <v>2501</v>
      </c>
      <c r="I65" s="161" t="s">
        <v>2492</v>
      </c>
      <c r="J65" s="160">
        <v>0</v>
      </c>
      <c r="K65" s="161" t="s">
        <v>380</v>
      </c>
      <c r="L65" s="160">
        <v>0</v>
      </c>
      <c r="M65" s="161" t="s">
        <v>380</v>
      </c>
      <c r="N65" s="160">
        <v>0</v>
      </c>
      <c r="O65" s="160">
        <v>0</v>
      </c>
      <c r="P65" s="160">
        <v>0</v>
      </c>
      <c r="Q65" s="161" t="s">
        <v>237</v>
      </c>
    </row>
    <row r="66" spans="2:17" x14ac:dyDescent="0.3">
      <c r="B66" s="188">
        <v>322557</v>
      </c>
      <c r="C66" s="158" t="s">
        <v>2022</v>
      </c>
      <c r="D66" s="160">
        <v>0</v>
      </c>
      <c r="E66" s="161" t="s">
        <v>237</v>
      </c>
      <c r="F66" s="160">
        <v>0</v>
      </c>
      <c r="G66" s="161" t="s">
        <v>380</v>
      </c>
      <c r="H66" s="161" t="s">
        <v>2680</v>
      </c>
      <c r="I66" s="161" t="s">
        <v>2704</v>
      </c>
      <c r="J66" s="160">
        <v>6000</v>
      </c>
      <c r="K66" s="161" t="s">
        <v>380</v>
      </c>
      <c r="L66" s="160">
        <v>0</v>
      </c>
      <c r="M66" s="161" t="s">
        <v>380</v>
      </c>
      <c r="N66" s="160">
        <v>0</v>
      </c>
      <c r="O66" s="160">
        <v>4</v>
      </c>
      <c r="P66" s="160">
        <v>1100.18</v>
      </c>
      <c r="Q66" s="161" t="s">
        <v>237</v>
      </c>
    </row>
    <row r="67" spans="2:17" x14ac:dyDescent="0.3">
      <c r="B67" s="188">
        <v>322558</v>
      </c>
      <c r="C67" s="158" t="s">
        <v>51</v>
      </c>
      <c r="D67" s="160">
        <v>0</v>
      </c>
      <c r="E67" s="161" t="s">
        <v>237</v>
      </c>
      <c r="F67" s="160">
        <v>0</v>
      </c>
      <c r="G67" s="161" t="s">
        <v>380</v>
      </c>
      <c r="H67" s="161" t="s">
        <v>2800</v>
      </c>
      <c r="I67" s="161" t="s">
        <v>2797</v>
      </c>
      <c r="J67" s="160">
        <v>265100</v>
      </c>
      <c r="K67" s="161" t="s">
        <v>380</v>
      </c>
      <c r="L67" s="160">
        <v>105600</v>
      </c>
      <c r="M67" s="161" t="s">
        <v>380</v>
      </c>
      <c r="N67" s="160">
        <v>0</v>
      </c>
      <c r="O67" s="160">
        <v>4.59</v>
      </c>
      <c r="P67" s="160">
        <v>17458.37</v>
      </c>
      <c r="Q67" s="161" t="s">
        <v>237</v>
      </c>
    </row>
    <row r="68" spans="2:17" x14ac:dyDescent="0.3">
      <c r="B68" s="188">
        <v>322561</v>
      </c>
      <c r="C68" s="158" t="s">
        <v>2023</v>
      </c>
      <c r="D68" s="160">
        <v>0</v>
      </c>
      <c r="E68" s="161" t="s">
        <v>237</v>
      </c>
      <c r="F68" s="160">
        <v>0</v>
      </c>
      <c r="G68" s="161" t="s">
        <v>380</v>
      </c>
      <c r="H68" s="161" t="s">
        <v>1637</v>
      </c>
      <c r="I68" s="161" t="s">
        <v>1638</v>
      </c>
      <c r="J68" s="160">
        <v>0</v>
      </c>
      <c r="K68" s="161" t="s">
        <v>380</v>
      </c>
      <c r="L68" s="160">
        <v>0</v>
      </c>
      <c r="M68" s="161" t="s">
        <v>380</v>
      </c>
      <c r="N68" s="160">
        <v>0</v>
      </c>
      <c r="O68" s="160">
        <v>0</v>
      </c>
      <c r="P68" s="160">
        <v>0</v>
      </c>
      <c r="Q68" s="161" t="s">
        <v>237</v>
      </c>
    </row>
    <row r="69" spans="2:17" x14ac:dyDescent="0.3">
      <c r="B69" s="188">
        <v>322564</v>
      </c>
      <c r="C69" s="158" t="s">
        <v>2024</v>
      </c>
      <c r="D69" s="160">
        <v>0</v>
      </c>
      <c r="E69" s="161" t="s">
        <v>237</v>
      </c>
      <c r="F69" s="160">
        <v>0</v>
      </c>
      <c r="G69" s="161" t="s">
        <v>380</v>
      </c>
      <c r="H69" s="161" t="s">
        <v>1478</v>
      </c>
      <c r="I69" s="161" t="s">
        <v>1639</v>
      </c>
      <c r="J69" s="160">
        <v>0</v>
      </c>
      <c r="K69" s="161" t="s">
        <v>380</v>
      </c>
      <c r="L69" s="160">
        <v>0</v>
      </c>
      <c r="M69" s="161" t="s">
        <v>380</v>
      </c>
      <c r="N69" s="160">
        <v>0</v>
      </c>
      <c r="O69" s="160">
        <v>0</v>
      </c>
      <c r="P69" s="160">
        <v>0</v>
      </c>
      <c r="Q69" s="161" t="s">
        <v>237</v>
      </c>
    </row>
    <row r="70" spans="2:17" x14ac:dyDescent="0.3">
      <c r="B70" s="188">
        <v>322567</v>
      </c>
      <c r="C70" s="158" t="s">
        <v>304</v>
      </c>
      <c r="D70" s="160">
        <v>1657.32</v>
      </c>
      <c r="E70" s="161" t="s">
        <v>237</v>
      </c>
      <c r="F70" s="160">
        <v>27000</v>
      </c>
      <c r="G70" s="161" t="s">
        <v>380</v>
      </c>
      <c r="H70" s="161" t="s">
        <v>2625</v>
      </c>
      <c r="I70" s="161" t="s">
        <v>2817</v>
      </c>
      <c r="J70" s="160">
        <v>24000</v>
      </c>
      <c r="K70" s="161" t="s">
        <v>380</v>
      </c>
      <c r="L70" s="160">
        <v>0</v>
      </c>
      <c r="M70" s="161" t="s">
        <v>380</v>
      </c>
      <c r="N70" s="160">
        <v>103</v>
      </c>
      <c r="O70" s="160">
        <v>0.6</v>
      </c>
      <c r="P70" s="160">
        <v>1473.18</v>
      </c>
      <c r="Q70" s="161" t="s">
        <v>237</v>
      </c>
    </row>
    <row r="71" spans="2:17" x14ac:dyDescent="0.3">
      <c r="B71" s="188">
        <v>322568</v>
      </c>
      <c r="C71" s="158" t="s">
        <v>53</v>
      </c>
      <c r="D71" s="160">
        <v>14210.96</v>
      </c>
      <c r="E71" s="161" t="s">
        <v>237</v>
      </c>
      <c r="F71" s="160">
        <v>123000</v>
      </c>
      <c r="G71" s="161" t="s">
        <v>380</v>
      </c>
      <c r="H71" s="161" t="s">
        <v>2817</v>
      </c>
      <c r="I71" s="161" t="s">
        <v>2811</v>
      </c>
      <c r="J71" s="160">
        <v>179500</v>
      </c>
      <c r="K71" s="161" t="s">
        <v>380</v>
      </c>
      <c r="L71" s="160">
        <v>216000</v>
      </c>
      <c r="M71" s="161" t="s">
        <v>380</v>
      </c>
      <c r="N71" s="160">
        <v>72</v>
      </c>
      <c r="O71" s="160">
        <v>2.5</v>
      </c>
      <c r="P71" s="160">
        <v>18261.88</v>
      </c>
      <c r="Q71" s="161" t="s">
        <v>237</v>
      </c>
    </row>
    <row r="72" spans="2:17" x14ac:dyDescent="0.3">
      <c r="B72" s="188">
        <v>322570</v>
      </c>
      <c r="C72" s="158" t="s">
        <v>2025</v>
      </c>
      <c r="D72" s="160">
        <v>0</v>
      </c>
      <c r="E72" s="161" t="s">
        <v>237</v>
      </c>
      <c r="F72" s="160">
        <v>0</v>
      </c>
      <c r="G72" s="161" t="s">
        <v>380</v>
      </c>
      <c r="H72" s="161" t="s">
        <v>2499</v>
      </c>
      <c r="I72" s="161" t="s">
        <v>2496</v>
      </c>
      <c r="J72" s="160">
        <v>0</v>
      </c>
      <c r="K72" s="161" t="s">
        <v>380</v>
      </c>
      <c r="L72" s="160">
        <v>0</v>
      </c>
      <c r="M72" s="161" t="s">
        <v>380</v>
      </c>
      <c r="N72" s="160">
        <v>0</v>
      </c>
      <c r="O72" s="160">
        <v>0</v>
      </c>
      <c r="P72" s="160">
        <v>0</v>
      </c>
      <c r="Q72" s="161" t="s">
        <v>237</v>
      </c>
    </row>
    <row r="73" spans="2:17" x14ac:dyDescent="0.3">
      <c r="B73" s="188">
        <v>322571</v>
      </c>
      <c r="C73" s="158" t="s">
        <v>2026</v>
      </c>
      <c r="D73" s="160">
        <v>1190.82</v>
      </c>
      <c r="E73" s="161" t="s">
        <v>237</v>
      </c>
      <c r="F73" s="160">
        <v>16500</v>
      </c>
      <c r="G73" s="161" t="s">
        <v>380</v>
      </c>
      <c r="H73" s="161" t="s">
        <v>2806</v>
      </c>
      <c r="I73" s="161" t="s">
        <v>1640</v>
      </c>
      <c r="J73" s="160">
        <v>0</v>
      </c>
      <c r="K73" s="161" t="s">
        <v>380</v>
      </c>
      <c r="L73" s="160">
        <v>16500</v>
      </c>
      <c r="M73" s="161" t="s">
        <v>380</v>
      </c>
      <c r="N73" s="160">
        <v>99999</v>
      </c>
      <c r="O73" s="160">
        <v>0</v>
      </c>
      <c r="P73" s="160">
        <v>0</v>
      </c>
      <c r="Q73" s="161" t="s">
        <v>237</v>
      </c>
    </row>
    <row r="74" spans="2:17" x14ac:dyDescent="0.3">
      <c r="B74" s="188">
        <v>322573</v>
      </c>
      <c r="C74" s="158" t="s">
        <v>54</v>
      </c>
      <c r="D74" s="160">
        <v>3448.84</v>
      </c>
      <c r="E74" s="161" t="s">
        <v>237</v>
      </c>
      <c r="F74" s="160">
        <v>46200</v>
      </c>
      <c r="G74" s="161" t="s">
        <v>380</v>
      </c>
      <c r="H74" s="161" t="s">
        <v>2798</v>
      </c>
      <c r="I74" s="161" t="s">
        <v>2809</v>
      </c>
      <c r="J74" s="160">
        <v>6600</v>
      </c>
      <c r="K74" s="161" t="s">
        <v>380</v>
      </c>
      <c r="L74" s="160">
        <v>39600</v>
      </c>
      <c r="M74" s="161" t="s">
        <v>380</v>
      </c>
      <c r="N74" s="160">
        <v>772</v>
      </c>
      <c r="O74" s="160">
        <v>0.33</v>
      </c>
      <c r="P74" s="160">
        <v>411.17</v>
      </c>
      <c r="Q74" s="161" t="s">
        <v>237</v>
      </c>
    </row>
    <row r="75" spans="2:17" x14ac:dyDescent="0.3">
      <c r="B75" s="188">
        <v>322574</v>
      </c>
      <c r="C75" s="158" t="s">
        <v>283</v>
      </c>
      <c r="D75" s="160">
        <v>0</v>
      </c>
      <c r="E75" s="161" t="s">
        <v>237</v>
      </c>
      <c r="F75" s="160">
        <v>0</v>
      </c>
      <c r="G75" s="161" t="s">
        <v>380</v>
      </c>
      <c r="H75" s="161" t="s">
        <v>2818</v>
      </c>
      <c r="I75" s="161" t="s">
        <v>2811</v>
      </c>
      <c r="J75" s="160">
        <v>937200</v>
      </c>
      <c r="K75" s="161" t="s">
        <v>380</v>
      </c>
      <c r="L75" s="160">
        <v>739200</v>
      </c>
      <c r="M75" s="161" t="s">
        <v>380</v>
      </c>
      <c r="N75" s="160">
        <v>0</v>
      </c>
      <c r="O75" s="160">
        <v>6.31</v>
      </c>
      <c r="P75" s="160">
        <v>53028.14</v>
      </c>
      <c r="Q75" s="161" t="s">
        <v>237</v>
      </c>
    </row>
    <row r="76" spans="2:17" x14ac:dyDescent="0.3">
      <c r="B76" s="188">
        <v>322576</v>
      </c>
      <c r="C76" s="158" t="s">
        <v>2027</v>
      </c>
      <c r="D76" s="160">
        <v>0</v>
      </c>
      <c r="E76" s="161" t="s">
        <v>237</v>
      </c>
      <c r="F76" s="160">
        <v>0</v>
      </c>
      <c r="G76" s="161" t="s">
        <v>380</v>
      </c>
      <c r="H76" s="161" t="s">
        <v>1641</v>
      </c>
      <c r="I76" s="161" t="s">
        <v>1642</v>
      </c>
      <c r="J76" s="160">
        <v>0</v>
      </c>
      <c r="K76" s="161" t="s">
        <v>380</v>
      </c>
      <c r="L76" s="160">
        <v>0</v>
      </c>
      <c r="M76" s="161" t="s">
        <v>380</v>
      </c>
      <c r="N76" s="160">
        <v>0</v>
      </c>
      <c r="O76" s="160">
        <v>0</v>
      </c>
      <c r="P76" s="160">
        <v>0</v>
      </c>
      <c r="Q76" s="161" t="s">
        <v>237</v>
      </c>
    </row>
    <row r="77" spans="2:17" x14ac:dyDescent="0.3">
      <c r="B77" s="188">
        <v>322580</v>
      </c>
      <c r="C77" s="158" t="s">
        <v>55</v>
      </c>
      <c r="D77" s="160">
        <v>1592.29</v>
      </c>
      <c r="E77" s="161" t="s">
        <v>237</v>
      </c>
      <c r="F77" s="160">
        <v>24000</v>
      </c>
      <c r="G77" s="161" t="s">
        <v>380</v>
      </c>
      <c r="H77" s="161" t="s">
        <v>1939</v>
      </c>
      <c r="I77" s="161" t="s">
        <v>2807</v>
      </c>
      <c r="J77" s="160">
        <v>3000</v>
      </c>
      <c r="K77" s="161" t="s">
        <v>380</v>
      </c>
      <c r="L77" s="160">
        <v>0</v>
      </c>
      <c r="M77" s="161" t="s">
        <v>380</v>
      </c>
      <c r="N77" s="160">
        <v>736</v>
      </c>
      <c r="O77" s="160">
        <v>0.12</v>
      </c>
      <c r="P77" s="160">
        <v>199.04</v>
      </c>
      <c r="Q77" s="161" t="s">
        <v>237</v>
      </c>
    </row>
    <row r="78" spans="2:17" x14ac:dyDescent="0.3">
      <c r="B78" s="188">
        <v>322581</v>
      </c>
      <c r="C78" s="158" t="s">
        <v>56</v>
      </c>
      <c r="D78" s="160">
        <v>0</v>
      </c>
      <c r="E78" s="161" t="s">
        <v>237</v>
      </c>
      <c r="F78" s="160">
        <v>0</v>
      </c>
      <c r="G78" s="161" t="s">
        <v>380</v>
      </c>
      <c r="H78" s="161" t="s">
        <v>2638</v>
      </c>
      <c r="I78" s="161" t="s">
        <v>2743</v>
      </c>
      <c r="J78" s="160">
        <v>8500</v>
      </c>
      <c r="K78" s="161" t="s">
        <v>380</v>
      </c>
      <c r="L78" s="160">
        <v>0</v>
      </c>
      <c r="M78" s="161" t="s">
        <v>380</v>
      </c>
      <c r="N78" s="160">
        <v>0</v>
      </c>
      <c r="O78" s="160">
        <v>2.13</v>
      </c>
      <c r="P78" s="160">
        <v>883.34</v>
      </c>
      <c r="Q78" s="161" t="s">
        <v>237</v>
      </c>
    </row>
    <row r="79" spans="2:17" x14ac:dyDescent="0.3">
      <c r="B79" s="188">
        <v>322583</v>
      </c>
      <c r="C79" s="158" t="s">
        <v>57</v>
      </c>
      <c r="D79" s="160">
        <v>1245.6400000000001</v>
      </c>
      <c r="E79" s="161" t="s">
        <v>237</v>
      </c>
      <c r="F79" s="160">
        <v>18700</v>
      </c>
      <c r="G79" s="161" t="s">
        <v>380</v>
      </c>
      <c r="H79" s="161" t="s">
        <v>2607</v>
      </c>
      <c r="I79" s="161" t="s">
        <v>2803</v>
      </c>
      <c r="J79" s="160">
        <v>3300</v>
      </c>
      <c r="K79" s="161" t="s">
        <v>380</v>
      </c>
      <c r="L79" s="160">
        <v>0</v>
      </c>
      <c r="M79" s="161" t="s">
        <v>380</v>
      </c>
      <c r="N79" s="160">
        <v>521</v>
      </c>
      <c r="O79" s="160">
        <v>0.16</v>
      </c>
      <c r="P79" s="160">
        <v>219.81</v>
      </c>
      <c r="Q79" s="161" t="s">
        <v>237</v>
      </c>
    </row>
    <row r="80" spans="2:17" x14ac:dyDescent="0.3">
      <c r="B80" s="188">
        <v>322584</v>
      </c>
      <c r="C80" s="158" t="s">
        <v>1906</v>
      </c>
      <c r="D80" s="160">
        <v>0</v>
      </c>
      <c r="E80" s="161" t="s">
        <v>237</v>
      </c>
      <c r="F80" s="160">
        <v>0</v>
      </c>
      <c r="G80" s="161" t="s">
        <v>380</v>
      </c>
      <c r="H80" s="161" t="s">
        <v>1964</v>
      </c>
      <c r="I80" s="161" t="s">
        <v>1976</v>
      </c>
      <c r="J80" s="160">
        <v>0</v>
      </c>
      <c r="K80" s="161" t="s">
        <v>380</v>
      </c>
      <c r="L80" s="160">
        <v>0</v>
      </c>
      <c r="M80" s="161" t="s">
        <v>380</v>
      </c>
      <c r="N80" s="160">
        <v>0</v>
      </c>
      <c r="O80" s="160">
        <v>0</v>
      </c>
      <c r="P80" s="160">
        <v>0</v>
      </c>
      <c r="Q80" s="161" t="s">
        <v>237</v>
      </c>
    </row>
    <row r="81" spans="2:17" x14ac:dyDescent="0.3">
      <c r="B81" s="188">
        <v>322593</v>
      </c>
      <c r="C81" s="158" t="s">
        <v>324</v>
      </c>
      <c r="D81" s="160">
        <v>159</v>
      </c>
      <c r="E81" s="161" t="s">
        <v>237</v>
      </c>
      <c r="F81" s="160">
        <v>15900</v>
      </c>
      <c r="G81" s="161" t="s">
        <v>380</v>
      </c>
      <c r="H81" s="161" t="s">
        <v>1480</v>
      </c>
      <c r="I81" s="161" t="s">
        <v>2686</v>
      </c>
      <c r="J81" s="160">
        <v>0</v>
      </c>
      <c r="K81" s="161" t="s">
        <v>380</v>
      </c>
      <c r="L81" s="160">
        <v>0</v>
      </c>
      <c r="M81" s="161" t="s">
        <v>380</v>
      </c>
      <c r="N81" s="160">
        <v>99999</v>
      </c>
      <c r="O81" s="160">
        <v>0</v>
      </c>
      <c r="P81" s="160">
        <v>0</v>
      </c>
      <c r="Q81" s="161" t="s">
        <v>237</v>
      </c>
    </row>
    <row r="82" spans="2:17" x14ac:dyDescent="0.3">
      <c r="B82" s="188">
        <v>322595</v>
      </c>
      <c r="C82" s="158" t="s">
        <v>58</v>
      </c>
      <c r="D82" s="160">
        <v>3736.68</v>
      </c>
      <c r="E82" s="161" t="s">
        <v>237</v>
      </c>
      <c r="F82" s="160">
        <v>46200</v>
      </c>
      <c r="G82" s="161" t="s">
        <v>380</v>
      </c>
      <c r="H82" s="161" t="s">
        <v>2817</v>
      </c>
      <c r="I82" s="161" t="s">
        <v>2799</v>
      </c>
      <c r="J82" s="160">
        <v>134400</v>
      </c>
      <c r="K82" s="161" t="s">
        <v>380</v>
      </c>
      <c r="L82" s="160">
        <v>142800</v>
      </c>
      <c r="M82" s="161" t="s">
        <v>380</v>
      </c>
      <c r="N82" s="160">
        <v>34</v>
      </c>
      <c r="O82" s="160">
        <v>3.05</v>
      </c>
      <c r="P82" s="160">
        <v>10226.450000000001</v>
      </c>
      <c r="Q82" s="161" t="s">
        <v>237</v>
      </c>
    </row>
    <row r="83" spans="2:17" x14ac:dyDescent="0.3">
      <c r="B83" s="188">
        <v>322597</v>
      </c>
      <c r="C83" s="158" t="s">
        <v>315</v>
      </c>
      <c r="D83" s="160">
        <v>4034.25</v>
      </c>
      <c r="E83" s="161" t="s">
        <v>237</v>
      </c>
      <c r="F83" s="160">
        <v>46200</v>
      </c>
      <c r="G83" s="161" t="s">
        <v>380</v>
      </c>
      <c r="H83" s="161" t="s">
        <v>2816</v>
      </c>
      <c r="I83" s="161" t="s">
        <v>2806</v>
      </c>
      <c r="J83" s="160">
        <v>92400</v>
      </c>
      <c r="K83" s="161" t="s">
        <v>380</v>
      </c>
      <c r="L83" s="160">
        <v>89600</v>
      </c>
      <c r="M83" s="161" t="s">
        <v>380</v>
      </c>
      <c r="N83" s="160">
        <v>48</v>
      </c>
      <c r="O83" s="160">
        <v>3.26</v>
      </c>
      <c r="P83" s="160">
        <v>7718.67</v>
      </c>
      <c r="Q83" s="161" t="s">
        <v>237</v>
      </c>
    </row>
    <row r="84" spans="2:17" x14ac:dyDescent="0.3">
      <c r="B84" s="188">
        <v>322601</v>
      </c>
      <c r="C84" s="158" t="s">
        <v>2028</v>
      </c>
      <c r="D84" s="160">
        <v>0</v>
      </c>
      <c r="E84" s="161" t="s">
        <v>237</v>
      </c>
      <c r="F84" s="160">
        <v>0</v>
      </c>
      <c r="G84" s="161" t="s">
        <v>380</v>
      </c>
      <c r="H84" s="161" t="s">
        <v>1478</v>
      </c>
      <c r="I84" s="161" t="s">
        <v>1643</v>
      </c>
      <c r="J84" s="160">
        <v>0</v>
      </c>
      <c r="K84" s="161" t="s">
        <v>380</v>
      </c>
      <c r="L84" s="160">
        <v>0</v>
      </c>
      <c r="M84" s="161" t="s">
        <v>380</v>
      </c>
      <c r="N84" s="160">
        <v>0</v>
      </c>
      <c r="O84" s="160">
        <v>0</v>
      </c>
      <c r="P84" s="160">
        <v>0</v>
      </c>
      <c r="Q84" s="161" t="s">
        <v>237</v>
      </c>
    </row>
    <row r="85" spans="2:17" x14ac:dyDescent="0.3">
      <c r="B85" s="188">
        <v>322602</v>
      </c>
      <c r="C85" s="158" t="s">
        <v>2029</v>
      </c>
      <c r="D85" s="160">
        <v>0</v>
      </c>
      <c r="E85" s="161" t="s">
        <v>237</v>
      </c>
      <c r="F85" s="160">
        <v>0</v>
      </c>
      <c r="G85" s="161" t="s">
        <v>380</v>
      </c>
      <c r="H85" s="161" t="s">
        <v>1644</v>
      </c>
      <c r="I85" s="161" t="s">
        <v>1645</v>
      </c>
      <c r="J85" s="160">
        <v>0</v>
      </c>
      <c r="K85" s="161" t="s">
        <v>380</v>
      </c>
      <c r="L85" s="160">
        <v>0</v>
      </c>
      <c r="M85" s="161" t="s">
        <v>380</v>
      </c>
      <c r="N85" s="160">
        <v>0</v>
      </c>
      <c r="O85" s="160">
        <v>0</v>
      </c>
      <c r="P85" s="160">
        <v>0</v>
      </c>
      <c r="Q85" s="161" t="s">
        <v>237</v>
      </c>
    </row>
    <row r="86" spans="2:17" x14ac:dyDescent="0.3">
      <c r="B86" s="188">
        <v>322605</v>
      </c>
      <c r="C86" s="158" t="s">
        <v>59</v>
      </c>
      <c r="D86" s="160">
        <v>1120.47</v>
      </c>
      <c r="E86" s="161" t="s">
        <v>237</v>
      </c>
      <c r="F86" s="160">
        <v>15400</v>
      </c>
      <c r="G86" s="161" t="s">
        <v>380</v>
      </c>
      <c r="H86" s="161" t="s">
        <v>2707</v>
      </c>
      <c r="I86" s="161" t="s">
        <v>2804</v>
      </c>
      <c r="J86" s="160">
        <v>61600</v>
      </c>
      <c r="K86" s="161" t="s">
        <v>380</v>
      </c>
      <c r="L86" s="160">
        <v>30800</v>
      </c>
      <c r="M86" s="161" t="s">
        <v>380</v>
      </c>
      <c r="N86" s="160">
        <v>23</v>
      </c>
      <c r="O86" s="160">
        <v>1.85</v>
      </c>
      <c r="P86" s="160">
        <v>4510.53</v>
      </c>
      <c r="Q86" s="161" t="s">
        <v>237</v>
      </c>
    </row>
    <row r="87" spans="2:17" x14ac:dyDescent="0.3">
      <c r="B87" s="188">
        <v>322611</v>
      </c>
      <c r="C87" s="158" t="s">
        <v>2030</v>
      </c>
      <c r="D87" s="160">
        <v>0</v>
      </c>
      <c r="E87" s="161" t="s">
        <v>237</v>
      </c>
      <c r="F87" s="160">
        <v>0</v>
      </c>
      <c r="G87" s="161" t="s">
        <v>380</v>
      </c>
      <c r="H87" s="161" t="s">
        <v>1481</v>
      </c>
      <c r="I87" s="161" t="s">
        <v>1646</v>
      </c>
      <c r="J87" s="160">
        <v>0</v>
      </c>
      <c r="K87" s="161" t="s">
        <v>380</v>
      </c>
      <c r="L87" s="160">
        <v>0</v>
      </c>
      <c r="M87" s="161" t="s">
        <v>380</v>
      </c>
      <c r="N87" s="160">
        <v>0</v>
      </c>
      <c r="O87" s="160">
        <v>0</v>
      </c>
      <c r="P87" s="160">
        <v>0</v>
      </c>
      <c r="Q87" s="161" t="s">
        <v>237</v>
      </c>
    </row>
    <row r="88" spans="2:17" x14ac:dyDescent="0.3">
      <c r="B88" s="188">
        <v>322612</v>
      </c>
      <c r="C88" s="158" t="s">
        <v>2031</v>
      </c>
      <c r="D88" s="160">
        <v>0</v>
      </c>
      <c r="E88" s="161" t="s">
        <v>237</v>
      </c>
      <c r="F88" s="160">
        <v>0</v>
      </c>
      <c r="G88" s="161" t="s">
        <v>380</v>
      </c>
      <c r="H88" s="161" t="s">
        <v>1647</v>
      </c>
      <c r="I88" s="161" t="s">
        <v>1648</v>
      </c>
      <c r="J88" s="160">
        <v>0</v>
      </c>
      <c r="K88" s="161" t="s">
        <v>380</v>
      </c>
      <c r="L88" s="160">
        <v>0</v>
      </c>
      <c r="M88" s="161" t="s">
        <v>380</v>
      </c>
      <c r="N88" s="160">
        <v>0</v>
      </c>
      <c r="O88" s="160">
        <v>0</v>
      </c>
      <c r="P88" s="160">
        <v>0</v>
      </c>
      <c r="Q88" s="161" t="s">
        <v>237</v>
      </c>
    </row>
    <row r="89" spans="2:17" x14ac:dyDescent="0.3">
      <c r="B89" s="188">
        <v>322614</v>
      </c>
      <c r="C89" s="158" t="s">
        <v>60</v>
      </c>
      <c r="D89" s="160">
        <v>4235.38</v>
      </c>
      <c r="E89" s="161" t="s">
        <v>237</v>
      </c>
      <c r="F89" s="160">
        <v>57000</v>
      </c>
      <c r="G89" s="161" t="s">
        <v>380</v>
      </c>
      <c r="H89" s="161" t="s">
        <v>2798</v>
      </c>
      <c r="I89" s="161" t="s">
        <v>2808</v>
      </c>
      <c r="J89" s="160">
        <v>82500</v>
      </c>
      <c r="K89" s="161" t="s">
        <v>380</v>
      </c>
      <c r="L89" s="160">
        <v>108000</v>
      </c>
      <c r="M89" s="161" t="s">
        <v>380</v>
      </c>
      <c r="N89" s="160">
        <v>71</v>
      </c>
      <c r="O89" s="160">
        <v>3.24</v>
      </c>
      <c r="P89" s="160">
        <v>5453.75</v>
      </c>
      <c r="Q89" s="161" t="s">
        <v>237</v>
      </c>
    </row>
    <row r="90" spans="2:17" x14ac:dyDescent="0.3">
      <c r="B90" s="188">
        <v>322616</v>
      </c>
      <c r="C90" s="158" t="s">
        <v>2032</v>
      </c>
      <c r="D90" s="160">
        <v>0</v>
      </c>
      <c r="E90" s="161" t="s">
        <v>237</v>
      </c>
      <c r="F90" s="160">
        <v>0</v>
      </c>
      <c r="G90" s="161" t="s">
        <v>380</v>
      </c>
      <c r="H90" s="161" t="s">
        <v>1649</v>
      </c>
      <c r="I90" s="161" t="s">
        <v>1483</v>
      </c>
      <c r="J90" s="160">
        <v>0</v>
      </c>
      <c r="K90" s="161" t="s">
        <v>380</v>
      </c>
      <c r="L90" s="160">
        <v>0</v>
      </c>
      <c r="M90" s="161" t="s">
        <v>380</v>
      </c>
      <c r="N90" s="160">
        <v>0</v>
      </c>
      <c r="O90" s="160">
        <v>0</v>
      </c>
      <c r="P90" s="160">
        <v>0</v>
      </c>
      <c r="Q90" s="161" t="s">
        <v>237</v>
      </c>
    </row>
    <row r="91" spans="2:17" x14ac:dyDescent="0.3">
      <c r="B91" s="188">
        <v>322617</v>
      </c>
      <c r="C91" s="158" t="s">
        <v>61</v>
      </c>
      <c r="D91" s="160">
        <v>188.42</v>
      </c>
      <c r="E91" s="161" t="s">
        <v>237</v>
      </c>
      <c r="F91" s="160">
        <v>1500</v>
      </c>
      <c r="G91" s="161" t="s">
        <v>380</v>
      </c>
      <c r="H91" s="161" t="s">
        <v>2799</v>
      </c>
      <c r="I91" s="161" t="s">
        <v>2814</v>
      </c>
      <c r="J91" s="160">
        <v>138500</v>
      </c>
      <c r="K91" s="161" t="s">
        <v>380</v>
      </c>
      <c r="L91" s="160">
        <v>96000</v>
      </c>
      <c r="M91" s="161" t="s">
        <v>380</v>
      </c>
      <c r="N91" s="160">
        <v>1</v>
      </c>
      <c r="O91" s="160">
        <v>6.16</v>
      </c>
      <c r="P91" s="160">
        <v>15716.21</v>
      </c>
      <c r="Q91" s="161" t="s">
        <v>237</v>
      </c>
    </row>
    <row r="92" spans="2:17" x14ac:dyDescent="0.3">
      <c r="B92" s="188">
        <v>322620</v>
      </c>
      <c r="C92" s="158" t="s">
        <v>1282</v>
      </c>
      <c r="D92" s="160">
        <v>639.84</v>
      </c>
      <c r="E92" s="161" t="s">
        <v>237</v>
      </c>
      <c r="F92" s="160">
        <v>9900</v>
      </c>
      <c r="G92" s="161" t="s">
        <v>380</v>
      </c>
      <c r="H92" s="161" t="s">
        <v>2662</v>
      </c>
      <c r="I92" s="161" t="s">
        <v>2809</v>
      </c>
      <c r="J92" s="160">
        <v>5500</v>
      </c>
      <c r="K92" s="161" t="s">
        <v>380</v>
      </c>
      <c r="L92" s="160">
        <v>0</v>
      </c>
      <c r="M92" s="161" t="s">
        <v>380</v>
      </c>
      <c r="N92" s="160">
        <v>166</v>
      </c>
      <c r="O92" s="160">
        <v>0.44</v>
      </c>
      <c r="P92" s="160">
        <v>355.47</v>
      </c>
      <c r="Q92" s="161" t="s">
        <v>237</v>
      </c>
    </row>
    <row r="93" spans="2:17" x14ac:dyDescent="0.3">
      <c r="B93" s="188">
        <v>322623</v>
      </c>
      <c r="C93" s="158" t="s">
        <v>1558</v>
      </c>
      <c r="D93" s="160">
        <v>0</v>
      </c>
      <c r="E93" s="161" t="s">
        <v>237</v>
      </c>
      <c r="F93" s="160">
        <v>0</v>
      </c>
      <c r="G93" s="161" t="s">
        <v>380</v>
      </c>
      <c r="H93" s="161" t="s">
        <v>2702</v>
      </c>
      <c r="I93" s="161" t="s">
        <v>2807</v>
      </c>
      <c r="J93" s="160">
        <v>6144</v>
      </c>
      <c r="K93" s="161" t="s">
        <v>380</v>
      </c>
      <c r="L93" s="160">
        <v>4608</v>
      </c>
      <c r="M93" s="161" t="s">
        <v>380</v>
      </c>
      <c r="N93" s="160">
        <v>0</v>
      </c>
      <c r="O93" s="160">
        <v>2.29</v>
      </c>
      <c r="P93" s="160">
        <v>3170.59</v>
      </c>
      <c r="Q93" s="161" t="s">
        <v>237</v>
      </c>
    </row>
    <row r="94" spans="2:17" x14ac:dyDescent="0.3">
      <c r="B94" s="188">
        <v>322632</v>
      </c>
      <c r="C94" s="158" t="s">
        <v>62</v>
      </c>
      <c r="D94" s="160">
        <v>2956.82</v>
      </c>
      <c r="E94" s="161" t="s">
        <v>237</v>
      </c>
      <c r="F94" s="160">
        <v>24000</v>
      </c>
      <c r="G94" s="161" t="s">
        <v>380</v>
      </c>
      <c r="H94" s="161" t="s">
        <v>2806</v>
      </c>
      <c r="I94" s="161" t="s">
        <v>2811</v>
      </c>
      <c r="J94" s="160">
        <v>233000</v>
      </c>
      <c r="K94" s="161" t="s">
        <v>380</v>
      </c>
      <c r="L94" s="160">
        <v>216000</v>
      </c>
      <c r="M94" s="161" t="s">
        <v>380</v>
      </c>
      <c r="N94" s="160">
        <v>10</v>
      </c>
      <c r="O94" s="160">
        <v>6.23</v>
      </c>
      <c r="P94" s="160">
        <v>26010.01</v>
      </c>
      <c r="Q94" s="161" t="s">
        <v>237</v>
      </c>
    </row>
    <row r="95" spans="2:17" x14ac:dyDescent="0.3">
      <c r="B95" s="188">
        <v>322634</v>
      </c>
      <c r="C95" s="158" t="s">
        <v>1966</v>
      </c>
      <c r="D95" s="160">
        <v>0</v>
      </c>
      <c r="E95" s="161" t="s">
        <v>237</v>
      </c>
      <c r="F95" s="160">
        <v>0</v>
      </c>
      <c r="G95" s="161" t="s">
        <v>380</v>
      </c>
      <c r="H95" s="161" t="s">
        <v>1980</v>
      </c>
      <c r="I95" s="161" t="s">
        <v>1976</v>
      </c>
      <c r="J95" s="160">
        <v>0</v>
      </c>
      <c r="K95" s="161" t="s">
        <v>380</v>
      </c>
      <c r="L95" s="160">
        <v>0</v>
      </c>
      <c r="M95" s="161" t="s">
        <v>380</v>
      </c>
      <c r="N95" s="160">
        <v>0</v>
      </c>
      <c r="O95" s="160">
        <v>0</v>
      </c>
      <c r="P95" s="160">
        <v>0</v>
      </c>
      <c r="Q95" s="161" t="s">
        <v>237</v>
      </c>
    </row>
    <row r="96" spans="2:17" x14ac:dyDescent="0.3">
      <c r="B96" s="188">
        <v>322635</v>
      </c>
      <c r="C96" s="158" t="s">
        <v>63</v>
      </c>
      <c r="D96" s="160">
        <v>0</v>
      </c>
      <c r="E96" s="161" t="s">
        <v>237</v>
      </c>
      <c r="F96" s="160">
        <v>0</v>
      </c>
      <c r="G96" s="161" t="s">
        <v>380</v>
      </c>
      <c r="H96" s="161" t="s">
        <v>2686</v>
      </c>
      <c r="I96" s="161" t="s">
        <v>2818</v>
      </c>
      <c r="J96" s="160">
        <v>23000</v>
      </c>
      <c r="K96" s="161" t="s">
        <v>380</v>
      </c>
      <c r="L96" s="160">
        <v>0</v>
      </c>
      <c r="M96" s="161" t="s">
        <v>380</v>
      </c>
      <c r="N96" s="160">
        <v>0</v>
      </c>
      <c r="O96" s="160">
        <v>1.42</v>
      </c>
      <c r="P96" s="160">
        <v>2218.4699999999998</v>
      </c>
      <c r="Q96" s="161" t="s">
        <v>237</v>
      </c>
    </row>
    <row r="97" spans="2:17" x14ac:dyDescent="0.3">
      <c r="B97" s="188">
        <v>322639</v>
      </c>
      <c r="C97" s="158" t="s">
        <v>64</v>
      </c>
      <c r="D97" s="160">
        <v>1935.88</v>
      </c>
      <c r="E97" s="161" t="s">
        <v>237</v>
      </c>
      <c r="F97" s="160">
        <v>31500</v>
      </c>
      <c r="G97" s="161" t="s">
        <v>380</v>
      </c>
      <c r="H97" s="161" t="s">
        <v>2682</v>
      </c>
      <c r="I97" s="161" t="s">
        <v>236</v>
      </c>
      <c r="J97" s="160">
        <v>55500</v>
      </c>
      <c r="K97" s="161" t="s">
        <v>380</v>
      </c>
      <c r="L97" s="160">
        <v>0</v>
      </c>
      <c r="M97" s="161" t="s">
        <v>380</v>
      </c>
      <c r="N97" s="160">
        <v>52</v>
      </c>
      <c r="O97" s="160">
        <v>1.05</v>
      </c>
      <c r="P97" s="160">
        <v>3410.86</v>
      </c>
      <c r="Q97" s="161" t="s">
        <v>237</v>
      </c>
    </row>
    <row r="98" spans="2:17" x14ac:dyDescent="0.3">
      <c r="B98" s="188">
        <v>322640</v>
      </c>
      <c r="C98" s="158" t="s">
        <v>65</v>
      </c>
      <c r="D98" s="160">
        <v>4459.62</v>
      </c>
      <c r="E98" s="161" t="s">
        <v>237</v>
      </c>
      <c r="F98" s="160">
        <v>36500</v>
      </c>
      <c r="G98" s="161" t="s">
        <v>380</v>
      </c>
      <c r="H98" s="161" t="s">
        <v>2798</v>
      </c>
      <c r="I98" s="161" t="s">
        <v>2818</v>
      </c>
      <c r="J98" s="160">
        <v>42000</v>
      </c>
      <c r="K98" s="161" t="s">
        <v>380</v>
      </c>
      <c r="L98" s="160">
        <v>72000</v>
      </c>
      <c r="M98" s="161" t="s">
        <v>380</v>
      </c>
      <c r="N98" s="160">
        <v>97</v>
      </c>
      <c r="O98" s="160">
        <v>2.69</v>
      </c>
      <c r="P98" s="160">
        <v>4227.8999999999996</v>
      </c>
      <c r="Q98" s="161" t="s">
        <v>237</v>
      </c>
    </row>
    <row r="99" spans="2:17" x14ac:dyDescent="0.3">
      <c r="B99" s="188">
        <v>322643</v>
      </c>
      <c r="C99" s="158" t="s">
        <v>239</v>
      </c>
      <c r="D99" s="160">
        <v>6998.58</v>
      </c>
      <c r="E99" s="161" t="s">
        <v>237</v>
      </c>
      <c r="F99" s="160">
        <v>114400</v>
      </c>
      <c r="G99" s="161" t="s">
        <v>380</v>
      </c>
      <c r="H99" s="161" t="s">
        <v>2800</v>
      </c>
      <c r="I99" s="161" t="s">
        <v>236</v>
      </c>
      <c r="J99" s="160">
        <v>304700</v>
      </c>
      <c r="K99" s="161" t="s">
        <v>380</v>
      </c>
      <c r="L99" s="160">
        <v>146300</v>
      </c>
      <c r="M99" s="161" t="s">
        <v>380</v>
      </c>
      <c r="N99" s="160">
        <v>35</v>
      </c>
      <c r="O99" s="160">
        <v>1.25</v>
      </c>
      <c r="P99" s="160">
        <v>18630.79</v>
      </c>
      <c r="Q99" s="161" t="s">
        <v>237</v>
      </c>
    </row>
    <row r="100" spans="2:17" x14ac:dyDescent="0.3">
      <c r="B100" s="188">
        <v>322644</v>
      </c>
      <c r="C100" s="158" t="s">
        <v>1907</v>
      </c>
      <c r="D100" s="160">
        <v>1601.4</v>
      </c>
      <c r="E100" s="161" t="s">
        <v>237</v>
      </c>
      <c r="F100" s="160">
        <v>22500</v>
      </c>
      <c r="G100" s="161" t="s">
        <v>380</v>
      </c>
      <c r="H100" s="161" t="s">
        <v>2809</v>
      </c>
      <c r="I100" s="161" t="s">
        <v>1999</v>
      </c>
      <c r="J100" s="160">
        <v>0</v>
      </c>
      <c r="K100" s="161" t="s">
        <v>380</v>
      </c>
      <c r="L100" s="160">
        <v>22500</v>
      </c>
      <c r="M100" s="161" t="s">
        <v>380</v>
      </c>
      <c r="N100" s="160">
        <v>99999</v>
      </c>
      <c r="O100" s="160">
        <v>0</v>
      </c>
      <c r="P100" s="160">
        <v>0</v>
      </c>
      <c r="Q100" s="161" t="s">
        <v>237</v>
      </c>
    </row>
    <row r="101" spans="2:17" x14ac:dyDescent="0.3">
      <c r="B101" s="188">
        <v>322646</v>
      </c>
      <c r="C101" s="158" t="s">
        <v>1189</v>
      </c>
      <c r="D101" s="160">
        <v>3456.26</v>
      </c>
      <c r="E101" s="161" t="s">
        <v>237</v>
      </c>
      <c r="F101" s="160">
        <v>16200</v>
      </c>
      <c r="G101" s="161" t="s">
        <v>380</v>
      </c>
      <c r="H101" s="161" t="s">
        <v>2798</v>
      </c>
      <c r="I101" s="161" t="s">
        <v>2668</v>
      </c>
      <c r="J101" s="160">
        <v>0</v>
      </c>
      <c r="K101" s="161" t="s">
        <v>380</v>
      </c>
      <c r="L101" s="160">
        <v>14400</v>
      </c>
      <c r="M101" s="161" t="s">
        <v>380</v>
      </c>
      <c r="N101" s="160">
        <v>99999</v>
      </c>
      <c r="O101" s="160">
        <v>0</v>
      </c>
      <c r="P101" s="160">
        <v>0</v>
      </c>
      <c r="Q101" s="161" t="s">
        <v>237</v>
      </c>
    </row>
    <row r="102" spans="2:17" x14ac:dyDescent="0.3">
      <c r="B102" s="188">
        <v>322647</v>
      </c>
      <c r="C102" s="158" t="s">
        <v>67</v>
      </c>
      <c r="D102" s="160">
        <v>186.54</v>
      </c>
      <c r="E102" s="161" t="s">
        <v>237</v>
      </c>
      <c r="F102" s="160">
        <v>900</v>
      </c>
      <c r="G102" s="161" t="s">
        <v>380</v>
      </c>
      <c r="H102" s="161" t="s">
        <v>2709</v>
      </c>
      <c r="I102" s="161" t="s">
        <v>2806</v>
      </c>
      <c r="J102" s="160">
        <v>33000</v>
      </c>
      <c r="K102" s="161" t="s">
        <v>380</v>
      </c>
      <c r="L102" s="160">
        <v>28800</v>
      </c>
      <c r="M102" s="161" t="s">
        <v>380</v>
      </c>
      <c r="N102" s="160">
        <v>3</v>
      </c>
      <c r="O102" s="160">
        <v>3.7</v>
      </c>
      <c r="P102" s="160">
        <v>6839.97</v>
      </c>
      <c r="Q102" s="161" t="s">
        <v>237</v>
      </c>
    </row>
    <row r="103" spans="2:17" x14ac:dyDescent="0.3">
      <c r="B103" s="188">
        <v>322649</v>
      </c>
      <c r="C103" s="158" t="s">
        <v>2033</v>
      </c>
      <c r="D103" s="160">
        <v>0</v>
      </c>
      <c r="E103" s="161" t="s">
        <v>237</v>
      </c>
      <c r="F103" s="160">
        <v>0</v>
      </c>
      <c r="G103" s="161" t="s">
        <v>380</v>
      </c>
      <c r="H103" s="161" t="s">
        <v>1650</v>
      </c>
      <c r="I103" s="161" t="s">
        <v>1651</v>
      </c>
      <c r="J103" s="160">
        <v>0</v>
      </c>
      <c r="K103" s="161" t="s">
        <v>380</v>
      </c>
      <c r="L103" s="160">
        <v>0</v>
      </c>
      <c r="M103" s="161" t="s">
        <v>380</v>
      </c>
      <c r="N103" s="160">
        <v>0</v>
      </c>
      <c r="O103" s="160">
        <v>0</v>
      </c>
      <c r="P103" s="160">
        <v>0</v>
      </c>
      <c r="Q103" s="161" t="s">
        <v>237</v>
      </c>
    </row>
    <row r="104" spans="2:17" x14ac:dyDescent="0.3">
      <c r="B104" s="188">
        <v>322654</v>
      </c>
      <c r="C104" s="158" t="s">
        <v>2034</v>
      </c>
      <c r="D104" s="160">
        <v>0</v>
      </c>
      <c r="E104" s="161" t="s">
        <v>237</v>
      </c>
      <c r="F104" s="160">
        <v>0</v>
      </c>
      <c r="G104" s="161" t="s">
        <v>380</v>
      </c>
      <c r="H104" s="161" t="s">
        <v>1486</v>
      </c>
      <c r="I104" s="161" t="s">
        <v>1486</v>
      </c>
      <c r="J104" s="160">
        <v>0</v>
      </c>
      <c r="K104" s="161" t="s">
        <v>380</v>
      </c>
      <c r="L104" s="160">
        <v>0</v>
      </c>
      <c r="M104" s="161" t="s">
        <v>380</v>
      </c>
      <c r="N104" s="160">
        <v>0</v>
      </c>
      <c r="O104" s="160">
        <v>0</v>
      </c>
      <c r="P104" s="160">
        <v>0</v>
      </c>
      <c r="Q104" s="161" t="s">
        <v>237</v>
      </c>
    </row>
    <row r="105" spans="2:17" x14ac:dyDescent="0.3">
      <c r="B105" s="188">
        <v>322656</v>
      </c>
      <c r="C105" s="158" t="s">
        <v>1908</v>
      </c>
      <c r="D105" s="160">
        <v>383.96</v>
      </c>
      <c r="E105" s="161" t="s">
        <v>237</v>
      </c>
      <c r="F105" s="160">
        <v>1800</v>
      </c>
      <c r="G105" s="161" t="s">
        <v>380</v>
      </c>
      <c r="H105" s="161" t="s">
        <v>2540</v>
      </c>
      <c r="I105" s="161" t="s">
        <v>2528</v>
      </c>
      <c r="J105" s="160">
        <v>0</v>
      </c>
      <c r="K105" s="161" t="s">
        <v>380</v>
      </c>
      <c r="L105" s="160">
        <v>0</v>
      </c>
      <c r="M105" s="161" t="s">
        <v>380</v>
      </c>
      <c r="N105" s="160">
        <v>99999</v>
      </c>
      <c r="O105" s="160">
        <v>0</v>
      </c>
      <c r="P105" s="160">
        <v>0</v>
      </c>
      <c r="Q105" s="161" t="s">
        <v>237</v>
      </c>
    </row>
    <row r="106" spans="2:17" x14ac:dyDescent="0.3">
      <c r="B106" s="188">
        <v>322670</v>
      </c>
      <c r="C106" s="158" t="s">
        <v>2035</v>
      </c>
      <c r="D106" s="160">
        <v>0</v>
      </c>
      <c r="E106" s="161" t="s">
        <v>237</v>
      </c>
      <c r="F106" s="160">
        <v>0</v>
      </c>
      <c r="G106" s="161" t="s">
        <v>380</v>
      </c>
      <c r="H106" s="161" t="s">
        <v>1488</v>
      </c>
      <c r="I106" s="161" t="s">
        <v>1473</v>
      </c>
      <c r="J106" s="160">
        <v>0</v>
      </c>
      <c r="K106" s="161" t="s">
        <v>380</v>
      </c>
      <c r="L106" s="160">
        <v>0</v>
      </c>
      <c r="M106" s="161" t="s">
        <v>380</v>
      </c>
      <c r="N106" s="160">
        <v>0</v>
      </c>
      <c r="O106" s="160">
        <v>0</v>
      </c>
      <c r="P106" s="160">
        <v>0</v>
      </c>
      <c r="Q106" s="161" t="s">
        <v>237</v>
      </c>
    </row>
    <row r="107" spans="2:17" x14ac:dyDescent="0.3">
      <c r="B107" s="188">
        <v>322671</v>
      </c>
      <c r="C107" s="158" t="s">
        <v>285</v>
      </c>
      <c r="D107" s="160">
        <v>1827.64</v>
      </c>
      <c r="E107" s="161" t="s">
        <v>237</v>
      </c>
      <c r="F107" s="160">
        <v>30000</v>
      </c>
      <c r="G107" s="161" t="s">
        <v>380</v>
      </c>
      <c r="H107" s="161" t="s">
        <v>1991</v>
      </c>
      <c r="I107" s="161" t="s">
        <v>2804</v>
      </c>
      <c r="J107" s="160">
        <v>22500</v>
      </c>
      <c r="K107" s="161" t="s">
        <v>380</v>
      </c>
      <c r="L107" s="160">
        <v>0</v>
      </c>
      <c r="M107" s="161" t="s">
        <v>380</v>
      </c>
      <c r="N107" s="160">
        <v>123</v>
      </c>
      <c r="O107" s="160">
        <v>0.53</v>
      </c>
      <c r="P107" s="160">
        <v>1370.72</v>
      </c>
      <c r="Q107" s="161" t="s">
        <v>237</v>
      </c>
    </row>
    <row r="108" spans="2:17" x14ac:dyDescent="0.3">
      <c r="B108" s="188">
        <v>322672</v>
      </c>
      <c r="C108" s="158" t="s">
        <v>69</v>
      </c>
      <c r="D108" s="160">
        <v>1864.55</v>
      </c>
      <c r="E108" s="161" t="s">
        <v>237</v>
      </c>
      <c r="F108" s="160">
        <v>20500</v>
      </c>
      <c r="G108" s="161" t="s">
        <v>380</v>
      </c>
      <c r="H108" s="161" t="s">
        <v>2698</v>
      </c>
      <c r="I108" s="161" t="s">
        <v>236</v>
      </c>
      <c r="J108" s="160">
        <v>84000</v>
      </c>
      <c r="K108" s="161" t="s">
        <v>380</v>
      </c>
      <c r="L108" s="160">
        <v>96000</v>
      </c>
      <c r="M108" s="161" t="s">
        <v>380</v>
      </c>
      <c r="N108" s="160">
        <v>22</v>
      </c>
      <c r="O108" s="160">
        <v>1.75</v>
      </c>
      <c r="P108" s="160">
        <v>7642.44</v>
      </c>
      <c r="Q108" s="161" t="s">
        <v>237</v>
      </c>
    </row>
    <row r="109" spans="2:17" x14ac:dyDescent="0.3">
      <c r="B109" s="188">
        <v>322674</v>
      </c>
      <c r="C109" s="158" t="s">
        <v>2036</v>
      </c>
      <c r="D109" s="160">
        <v>0</v>
      </c>
      <c r="E109" s="161" t="s">
        <v>237</v>
      </c>
      <c r="F109" s="160">
        <v>0</v>
      </c>
      <c r="G109" s="161" t="s">
        <v>380</v>
      </c>
      <c r="H109" s="161" t="s">
        <v>1652</v>
      </c>
      <c r="I109" s="161" t="s">
        <v>1653</v>
      </c>
      <c r="J109" s="160">
        <v>0</v>
      </c>
      <c r="K109" s="161" t="s">
        <v>380</v>
      </c>
      <c r="L109" s="160">
        <v>0</v>
      </c>
      <c r="M109" s="161" t="s">
        <v>380</v>
      </c>
      <c r="N109" s="160">
        <v>0</v>
      </c>
      <c r="O109" s="160">
        <v>0</v>
      </c>
      <c r="P109" s="160">
        <v>0</v>
      </c>
      <c r="Q109" s="161" t="s">
        <v>237</v>
      </c>
    </row>
    <row r="110" spans="2:17" x14ac:dyDescent="0.3">
      <c r="B110" s="188">
        <v>322675</v>
      </c>
      <c r="C110" s="158" t="s">
        <v>2037</v>
      </c>
      <c r="D110" s="160">
        <v>0</v>
      </c>
      <c r="E110" s="161" t="s">
        <v>237</v>
      </c>
      <c r="F110" s="160">
        <v>0</v>
      </c>
      <c r="G110" s="161" t="s">
        <v>380</v>
      </c>
      <c r="H110" s="161" t="s">
        <v>2536</v>
      </c>
      <c r="I110" s="161" t="s">
        <v>2535</v>
      </c>
      <c r="J110" s="160">
        <v>0</v>
      </c>
      <c r="K110" s="161" t="s">
        <v>380</v>
      </c>
      <c r="L110" s="160">
        <v>0</v>
      </c>
      <c r="M110" s="161" t="s">
        <v>380</v>
      </c>
      <c r="N110" s="160">
        <v>0</v>
      </c>
      <c r="O110" s="160">
        <v>0</v>
      </c>
      <c r="P110" s="160">
        <v>0</v>
      </c>
      <c r="Q110" s="161" t="s">
        <v>237</v>
      </c>
    </row>
    <row r="111" spans="2:17" x14ac:dyDescent="0.3">
      <c r="B111" s="188">
        <v>322677</v>
      </c>
      <c r="C111" s="158" t="s">
        <v>70</v>
      </c>
      <c r="D111" s="160">
        <v>3286.74</v>
      </c>
      <c r="E111" s="161" t="s">
        <v>237</v>
      </c>
      <c r="F111" s="160">
        <v>53901</v>
      </c>
      <c r="G111" s="161" t="s">
        <v>380</v>
      </c>
      <c r="H111" s="161" t="s">
        <v>2674</v>
      </c>
      <c r="I111" s="161" t="s">
        <v>2817</v>
      </c>
      <c r="J111" s="160">
        <v>31900</v>
      </c>
      <c r="K111" s="161" t="s">
        <v>380</v>
      </c>
      <c r="L111" s="160">
        <v>0</v>
      </c>
      <c r="M111" s="161" t="s">
        <v>380</v>
      </c>
      <c r="N111" s="160">
        <v>155</v>
      </c>
      <c r="O111" s="160">
        <v>0.49</v>
      </c>
      <c r="P111" s="160">
        <v>1945.19</v>
      </c>
      <c r="Q111" s="161" t="s">
        <v>237</v>
      </c>
    </row>
    <row r="112" spans="2:17" x14ac:dyDescent="0.3">
      <c r="B112" s="188">
        <v>322679</v>
      </c>
      <c r="C112" s="158" t="s">
        <v>71</v>
      </c>
      <c r="D112" s="160">
        <v>97.87</v>
      </c>
      <c r="E112" s="161" t="s">
        <v>237</v>
      </c>
      <c r="F112" s="160">
        <v>1000</v>
      </c>
      <c r="G112" s="161" t="s">
        <v>380</v>
      </c>
      <c r="H112" s="161" t="s">
        <v>2669</v>
      </c>
      <c r="I112" s="161" t="s">
        <v>2797</v>
      </c>
      <c r="J112" s="160">
        <v>23500</v>
      </c>
      <c r="K112" s="161" t="s">
        <v>380</v>
      </c>
      <c r="L112" s="160">
        <v>0</v>
      </c>
      <c r="M112" s="161" t="s">
        <v>380</v>
      </c>
      <c r="N112" s="160">
        <v>4</v>
      </c>
      <c r="O112" s="160">
        <v>1.61</v>
      </c>
      <c r="P112" s="160">
        <v>2300.06</v>
      </c>
      <c r="Q112" s="161" t="s">
        <v>237</v>
      </c>
    </row>
    <row r="113" spans="2:17" x14ac:dyDescent="0.3">
      <c r="B113" s="188">
        <v>322685</v>
      </c>
      <c r="C113" s="158" t="s">
        <v>72</v>
      </c>
      <c r="D113" s="160">
        <v>32503.46</v>
      </c>
      <c r="E113" s="161" t="s">
        <v>237</v>
      </c>
      <c r="F113" s="160">
        <v>196000</v>
      </c>
      <c r="G113" s="161" t="s">
        <v>380</v>
      </c>
      <c r="H113" s="161" t="s">
        <v>2811</v>
      </c>
      <c r="I113" s="161" t="s">
        <v>236</v>
      </c>
      <c r="J113" s="160">
        <v>680000</v>
      </c>
      <c r="K113" s="161" t="s">
        <v>380</v>
      </c>
      <c r="L113" s="160">
        <v>743000</v>
      </c>
      <c r="M113" s="161" t="s">
        <v>380</v>
      </c>
      <c r="N113" s="160">
        <v>27</v>
      </c>
      <c r="O113" s="160">
        <v>5.16</v>
      </c>
      <c r="P113" s="160">
        <v>109694.2</v>
      </c>
      <c r="Q113" s="161" t="s">
        <v>237</v>
      </c>
    </row>
    <row r="114" spans="2:17" x14ac:dyDescent="0.3">
      <c r="B114" s="188">
        <v>322692</v>
      </c>
      <c r="C114" s="158" t="s">
        <v>2038</v>
      </c>
      <c r="D114" s="160">
        <v>0</v>
      </c>
      <c r="E114" s="161" t="s">
        <v>237</v>
      </c>
      <c r="F114" s="160">
        <v>0</v>
      </c>
      <c r="G114" s="161" t="s">
        <v>380</v>
      </c>
      <c r="H114" s="161" t="s">
        <v>1478</v>
      </c>
      <c r="I114" s="161" t="s">
        <v>1655</v>
      </c>
      <c r="J114" s="160">
        <v>0</v>
      </c>
      <c r="K114" s="161" t="s">
        <v>380</v>
      </c>
      <c r="L114" s="160">
        <v>0</v>
      </c>
      <c r="M114" s="161" t="s">
        <v>380</v>
      </c>
      <c r="N114" s="160">
        <v>0</v>
      </c>
      <c r="O114" s="160">
        <v>0</v>
      </c>
      <c r="P114" s="160">
        <v>0</v>
      </c>
      <c r="Q114" s="161" t="s">
        <v>237</v>
      </c>
    </row>
    <row r="115" spans="2:17" x14ac:dyDescent="0.3">
      <c r="B115" s="188">
        <v>322694</v>
      </c>
      <c r="C115" s="158" t="s">
        <v>73</v>
      </c>
      <c r="D115" s="160">
        <v>11636.72</v>
      </c>
      <c r="E115" s="161" t="s">
        <v>237</v>
      </c>
      <c r="F115" s="160">
        <v>273000</v>
      </c>
      <c r="G115" s="161" t="s">
        <v>380</v>
      </c>
      <c r="H115" s="161" t="s">
        <v>2816</v>
      </c>
      <c r="I115" s="161" t="s">
        <v>2815</v>
      </c>
      <c r="J115" s="160">
        <v>217000</v>
      </c>
      <c r="K115" s="161" t="s">
        <v>380</v>
      </c>
      <c r="L115" s="160">
        <v>470400</v>
      </c>
      <c r="M115" s="161" t="s">
        <v>380</v>
      </c>
      <c r="N115" s="160">
        <v>121</v>
      </c>
      <c r="O115" s="160">
        <v>1.35</v>
      </c>
      <c r="P115" s="160">
        <v>8861.2099999999991</v>
      </c>
      <c r="Q115" s="161" t="s">
        <v>237</v>
      </c>
    </row>
    <row r="116" spans="2:17" x14ac:dyDescent="0.3">
      <c r="B116" s="188">
        <v>322695</v>
      </c>
      <c r="C116" s="158" t="s">
        <v>75</v>
      </c>
      <c r="D116" s="160">
        <v>960.78</v>
      </c>
      <c r="E116" s="161" t="s">
        <v>237</v>
      </c>
      <c r="F116" s="160">
        <v>22400</v>
      </c>
      <c r="G116" s="161" t="s">
        <v>380</v>
      </c>
      <c r="H116" s="161" t="s">
        <v>2713</v>
      </c>
      <c r="I116" s="161" t="s">
        <v>2818</v>
      </c>
      <c r="J116" s="160">
        <v>18200</v>
      </c>
      <c r="K116" s="161" t="s">
        <v>380</v>
      </c>
      <c r="L116" s="160">
        <v>33600</v>
      </c>
      <c r="M116" s="161" t="s">
        <v>380</v>
      </c>
      <c r="N116" s="160">
        <v>113</v>
      </c>
      <c r="O116" s="160">
        <v>0.76</v>
      </c>
      <c r="P116" s="160">
        <v>780.65</v>
      </c>
      <c r="Q116" s="161" t="s">
        <v>237</v>
      </c>
    </row>
    <row r="117" spans="2:17" x14ac:dyDescent="0.3">
      <c r="B117" s="188">
        <v>322698</v>
      </c>
      <c r="C117" s="158" t="s">
        <v>76</v>
      </c>
      <c r="D117" s="160">
        <v>2163.38</v>
      </c>
      <c r="E117" s="161" t="s">
        <v>237</v>
      </c>
      <c r="F117" s="160">
        <v>46200</v>
      </c>
      <c r="G117" s="161" t="s">
        <v>380</v>
      </c>
      <c r="H117" s="161" t="s">
        <v>2757</v>
      </c>
      <c r="I117" s="161" t="s">
        <v>2818</v>
      </c>
      <c r="J117" s="160">
        <v>40600</v>
      </c>
      <c r="K117" s="161" t="s">
        <v>380</v>
      </c>
      <c r="L117" s="160">
        <v>67200</v>
      </c>
      <c r="M117" s="161" t="s">
        <v>380</v>
      </c>
      <c r="N117" s="160">
        <v>104</v>
      </c>
      <c r="O117" s="160">
        <v>1.05</v>
      </c>
      <c r="P117" s="160">
        <v>1916.64</v>
      </c>
      <c r="Q117" s="161" t="s">
        <v>237</v>
      </c>
    </row>
    <row r="118" spans="2:17" x14ac:dyDescent="0.3">
      <c r="B118" s="188">
        <v>322699</v>
      </c>
      <c r="C118" s="158" t="s">
        <v>2039</v>
      </c>
      <c r="D118" s="160">
        <v>0</v>
      </c>
      <c r="E118" s="161" t="s">
        <v>237</v>
      </c>
      <c r="F118" s="160">
        <v>0</v>
      </c>
      <c r="G118" s="161" t="s">
        <v>380</v>
      </c>
      <c r="H118" s="161" t="s">
        <v>1657</v>
      </c>
      <c r="I118" s="161" t="s">
        <v>1480</v>
      </c>
      <c r="J118" s="160">
        <v>0</v>
      </c>
      <c r="K118" s="161" t="s">
        <v>380</v>
      </c>
      <c r="L118" s="160">
        <v>0</v>
      </c>
      <c r="M118" s="161" t="s">
        <v>380</v>
      </c>
      <c r="N118" s="160">
        <v>0</v>
      </c>
      <c r="O118" s="160">
        <v>0</v>
      </c>
      <c r="P118" s="160">
        <v>0</v>
      </c>
      <c r="Q118" s="161" t="s">
        <v>237</v>
      </c>
    </row>
    <row r="119" spans="2:17" x14ac:dyDescent="0.3">
      <c r="B119" s="188">
        <v>322720</v>
      </c>
      <c r="C119" s="158" t="s">
        <v>138</v>
      </c>
      <c r="D119" s="160">
        <v>6087.19</v>
      </c>
      <c r="E119" s="161" t="s">
        <v>237</v>
      </c>
      <c r="F119" s="160">
        <v>95.921999999999997</v>
      </c>
      <c r="G119" s="161" t="s">
        <v>374</v>
      </c>
      <c r="H119" s="161" t="s">
        <v>2747</v>
      </c>
      <c r="I119" s="161" t="s">
        <v>2816</v>
      </c>
      <c r="J119" s="160">
        <v>51.942</v>
      </c>
      <c r="K119" s="161" t="s">
        <v>374</v>
      </c>
      <c r="L119" s="160">
        <v>88.528000000000006</v>
      </c>
      <c r="M119" s="161" t="s">
        <v>374</v>
      </c>
      <c r="N119" s="160">
        <v>1630</v>
      </c>
      <c r="O119" s="160">
        <v>7.0000000000000007E-2</v>
      </c>
      <c r="P119" s="160">
        <v>343.57</v>
      </c>
      <c r="Q119" s="161" t="s">
        <v>237</v>
      </c>
    </row>
    <row r="120" spans="2:17" x14ac:dyDescent="0.3">
      <c r="B120" s="188">
        <v>322725</v>
      </c>
      <c r="C120" s="158" t="s">
        <v>2040</v>
      </c>
      <c r="D120" s="160">
        <v>0</v>
      </c>
      <c r="E120" s="161" t="s">
        <v>237</v>
      </c>
      <c r="F120" s="160">
        <v>0</v>
      </c>
      <c r="G120" s="161" t="s">
        <v>374</v>
      </c>
      <c r="H120" s="161" t="s">
        <v>1634</v>
      </c>
      <c r="I120" s="161" t="s">
        <v>1635</v>
      </c>
      <c r="J120" s="160">
        <v>0</v>
      </c>
      <c r="K120" s="161" t="s">
        <v>374</v>
      </c>
      <c r="L120" s="160">
        <v>0</v>
      </c>
      <c r="M120" s="161" t="s">
        <v>374</v>
      </c>
      <c r="N120" s="160">
        <v>0</v>
      </c>
      <c r="O120" s="160">
        <v>0</v>
      </c>
      <c r="P120" s="160">
        <v>0</v>
      </c>
      <c r="Q120" s="161" t="s">
        <v>237</v>
      </c>
    </row>
    <row r="121" spans="2:17" x14ac:dyDescent="0.3">
      <c r="B121" s="188">
        <v>322732</v>
      </c>
      <c r="C121" s="158" t="s">
        <v>1255</v>
      </c>
      <c r="D121" s="160">
        <v>0.01</v>
      </c>
      <c r="E121" s="161" t="s">
        <v>237</v>
      </c>
      <c r="F121" s="160">
        <v>1.038</v>
      </c>
      <c r="G121" s="161" t="s">
        <v>374</v>
      </c>
      <c r="H121" s="161" t="s">
        <v>2634</v>
      </c>
      <c r="I121" s="161" t="s">
        <v>2631</v>
      </c>
      <c r="J121" s="160">
        <v>0</v>
      </c>
      <c r="K121" s="161" t="s">
        <v>374</v>
      </c>
      <c r="L121" s="160">
        <v>0</v>
      </c>
      <c r="M121" s="161" t="s">
        <v>374</v>
      </c>
      <c r="N121" s="160">
        <v>99999</v>
      </c>
      <c r="O121" s="160">
        <v>0</v>
      </c>
      <c r="P121" s="160">
        <v>0</v>
      </c>
      <c r="Q121" s="161" t="s">
        <v>237</v>
      </c>
    </row>
    <row r="122" spans="2:17" x14ac:dyDescent="0.3">
      <c r="B122" s="188">
        <v>322734</v>
      </c>
      <c r="C122" s="158" t="s">
        <v>139</v>
      </c>
      <c r="D122" s="160">
        <v>5395.7</v>
      </c>
      <c r="E122" s="161" t="s">
        <v>237</v>
      </c>
      <c r="F122" s="160">
        <v>83.947000000000003</v>
      </c>
      <c r="G122" s="161" t="s">
        <v>374</v>
      </c>
      <c r="H122" s="161" t="s">
        <v>2798</v>
      </c>
      <c r="I122" s="161" t="s">
        <v>2798</v>
      </c>
      <c r="J122" s="160">
        <v>162.631</v>
      </c>
      <c r="K122" s="161" t="s">
        <v>374</v>
      </c>
      <c r="L122" s="160">
        <v>170.096</v>
      </c>
      <c r="M122" s="161" t="s">
        <v>374</v>
      </c>
      <c r="N122" s="160">
        <v>94</v>
      </c>
      <c r="O122" s="160">
        <v>1.04</v>
      </c>
      <c r="P122" s="160">
        <v>5287.27</v>
      </c>
      <c r="Q122" s="161" t="s">
        <v>237</v>
      </c>
    </row>
    <row r="123" spans="2:17" x14ac:dyDescent="0.3">
      <c r="B123" s="188">
        <v>322762</v>
      </c>
      <c r="C123" s="158" t="s">
        <v>147</v>
      </c>
      <c r="D123" s="160">
        <v>1231.06</v>
      </c>
      <c r="E123" s="161" t="s">
        <v>237</v>
      </c>
      <c r="F123" s="160">
        <v>22.382999999999999</v>
      </c>
      <c r="G123" s="161" t="s">
        <v>374</v>
      </c>
      <c r="H123" s="161" t="s">
        <v>1488</v>
      </c>
      <c r="I123" s="161" t="s">
        <v>2542</v>
      </c>
      <c r="J123" s="160">
        <v>0</v>
      </c>
      <c r="K123" s="161" t="s">
        <v>374</v>
      </c>
      <c r="L123" s="160">
        <v>0</v>
      </c>
      <c r="M123" s="161" t="s">
        <v>374</v>
      </c>
      <c r="N123" s="160">
        <v>99999</v>
      </c>
      <c r="O123" s="160">
        <v>0</v>
      </c>
      <c r="P123" s="160">
        <v>0</v>
      </c>
      <c r="Q123" s="161" t="s">
        <v>237</v>
      </c>
    </row>
    <row r="124" spans="2:17" x14ac:dyDescent="0.3">
      <c r="B124" s="188">
        <v>322764</v>
      </c>
      <c r="C124" s="158" t="s">
        <v>77</v>
      </c>
      <c r="D124" s="160">
        <v>3606.49</v>
      </c>
      <c r="E124" s="161" t="s">
        <v>237</v>
      </c>
      <c r="F124" s="160">
        <v>137.12799999999999</v>
      </c>
      <c r="G124" s="161" t="s">
        <v>374</v>
      </c>
      <c r="H124" s="161" t="s">
        <v>2815</v>
      </c>
      <c r="I124" s="161" t="s">
        <v>2798</v>
      </c>
      <c r="J124" s="160">
        <v>384.68200000000002</v>
      </c>
      <c r="K124" s="161" t="s">
        <v>374</v>
      </c>
      <c r="L124" s="160">
        <v>334.18299999999999</v>
      </c>
      <c r="M124" s="161" t="s">
        <v>374</v>
      </c>
      <c r="N124" s="160">
        <v>64</v>
      </c>
      <c r="O124" s="160">
        <v>1.18</v>
      </c>
      <c r="P124" s="160">
        <v>5220.54</v>
      </c>
      <c r="Q124" s="161" t="s">
        <v>237</v>
      </c>
    </row>
    <row r="125" spans="2:17" x14ac:dyDescent="0.3">
      <c r="B125" s="188">
        <v>322765</v>
      </c>
      <c r="C125" s="158" t="s">
        <v>78</v>
      </c>
      <c r="D125" s="160">
        <v>2460.0700000000002</v>
      </c>
      <c r="E125" s="161" t="s">
        <v>237</v>
      </c>
      <c r="F125" s="160">
        <v>83.694000000000003</v>
      </c>
      <c r="G125" s="161" t="s">
        <v>374</v>
      </c>
      <c r="H125" s="161" t="s">
        <v>2815</v>
      </c>
      <c r="I125" s="161" t="s">
        <v>2798</v>
      </c>
      <c r="J125" s="160">
        <v>80.634</v>
      </c>
      <c r="K125" s="161" t="s">
        <v>374</v>
      </c>
      <c r="L125" s="160">
        <v>90.936999999999998</v>
      </c>
      <c r="M125" s="161" t="s">
        <v>374</v>
      </c>
      <c r="N125" s="160">
        <v>196</v>
      </c>
      <c r="O125" s="160">
        <v>0.49</v>
      </c>
      <c r="P125" s="160">
        <v>1152.53</v>
      </c>
      <c r="Q125" s="161" t="s">
        <v>237</v>
      </c>
    </row>
    <row r="126" spans="2:17" x14ac:dyDescent="0.3">
      <c r="B126" s="188">
        <v>322779</v>
      </c>
      <c r="C126" s="158" t="s">
        <v>354</v>
      </c>
      <c r="D126" s="160">
        <v>3097.16</v>
      </c>
      <c r="E126" s="161" t="s">
        <v>237</v>
      </c>
      <c r="F126" s="160">
        <v>82.581000000000003</v>
      </c>
      <c r="G126" s="161" t="s">
        <v>374</v>
      </c>
      <c r="H126" s="161" t="s">
        <v>2708</v>
      </c>
      <c r="I126" s="161" t="s">
        <v>2683</v>
      </c>
      <c r="J126" s="160">
        <v>0</v>
      </c>
      <c r="K126" s="161" t="s">
        <v>374</v>
      </c>
      <c r="L126" s="160">
        <v>75</v>
      </c>
      <c r="M126" s="161" t="s">
        <v>374</v>
      </c>
      <c r="N126" s="160">
        <v>99999</v>
      </c>
      <c r="O126" s="160">
        <v>0</v>
      </c>
      <c r="P126" s="160">
        <v>0</v>
      </c>
      <c r="Q126" s="161" t="s">
        <v>237</v>
      </c>
    </row>
    <row r="127" spans="2:17" x14ac:dyDescent="0.3">
      <c r="B127" s="188">
        <v>322780</v>
      </c>
      <c r="C127" s="158" t="s">
        <v>347</v>
      </c>
      <c r="D127" s="160">
        <v>0</v>
      </c>
      <c r="E127" s="161" t="s">
        <v>237</v>
      </c>
      <c r="F127" s="160">
        <v>0</v>
      </c>
      <c r="G127" s="161" t="s">
        <v>374</v>
      </c>
      <c r="H127" s="161" t="s">
        <v>1491</v>
      </c>
      <c r="I127" s="161" t="s">
        <v>2572</v>
      </c>
      <c r="J127" s="160">
        <v>0</v>
      </c>
      <c r="K127" s="161" t="s">
        <v>374</v>
      </c>
      <c r="L127" s="160">
        <v>0</v>
      </c>
      <c r="M127" s="161" t="s">
        <v>374</v>
      </c>
      <c r="N127" s="160">
        <v>0</v>
      </c>
      <c r="O127" s="160">
        <v>0</v>
      </c>
      <c r="P127" s="160">
        <v>0</v>
      </c>
      <c r="Q127" s="161" t="s">
        <v>237</v>
      </c>
    </row>
    <row r="128" spans="2:17" x14ac:dyDescent="0.3">
      <c r="B128" s="188">
        <v>322792</v>
      </c>
      <c r="C128" s="158" t="s">
        <v>79</v>
      </c>
      <c r="D128" s="160">
        <v>19538.05</v>
      </c>
      <c r="E128" s="161" t="s">
        <v>237</v>
      </c>
      <c r="F128" s="160">
        <v>4277.2640000000001</v>
      </c>
      <c r="G128" s="161" t="s">
        <v>374</v>
      </c>
      <c r="H128" s="161" t="s">
        <v>2799</v>
      </c>
      <c r="I128" s="161" t="s">
        <v>2798</v>
      </c>
      <c r="J128" s="160">
        <v>8885.9330000000009</v>
      </c>
      <c r="K128" s="161" t="s">
        <v>374</v>
      </c>
      <c r="L128" s="160">
        <v>4290.5749999999998</v>
      </c>
      <c r="M128" s="161" t="s">
        <v>374</v>
      </c>
      <c r="N128" s="160">
        <v>86</v>
      </c>
      <c r="O128" s="160">
        <v>0.71</v>
      </c>
      <c r="P128" s="160">
        <v>20991.05</v>
      </c>
      <c r="Q128" s="161" t="s">
        <v>237</v>
      </c>
    </row>
    <row r="129" spans="2:17" x14ac:dyDescent="0.3">
      <c r="B129" s="188">
        <v>322795</v>
      </c>
      <c r="C129" s="158" t="s">
        <v>80</v>
      </c>
      <c r="D129" s="160">
        <v>3746.95</v>
      </c>
      <c r="E129" s="161" t="s">
        <v>237</v>
      </c>
      <c r="F129" s="160">
        <v>615.55399999999997</v>
      </c>
      <c r="G129" s="161" t="s">
        <v>374</v>
      </c>
      <c r="H129" s="161" t="s">
        <v>2689</v>
      </c>
      <c r="I129" s="161" t="s">
        <v>2704</v>
      </c>
      <c r="J129" s="160">
        <v>71.787999999999997</v>
      </c>
      <c r="K129" s="161" t="s">
        <v>374</v>
      </c>
      <c r="L129" s="160">
        <v>0</v>
      </c>
      <c r="M129" s="161" t="s">
        <v>374</v>
      </c>
      <c r="N129" s="160">
        <v>99999</v>
      </c>
      <c r="O129" s="160">
        <v>0</v>
      </c>
      <c r="P129" s="160">
        <v>-2234.5300000000002</v>
      </c>
      <c r="Q129" s="161" t="s">
        <v>237</v>
      </c>
    </row>
    <row r="130" spans="2:17" x14ac:dyDescent="0.3">
      <c r="B130" s="188">
        <v>322799</v>
      </c>
      <c r="C130" s="158" t="s">
        <v>81</v>
      </c>
      <c r="D130" s="160">
        <v>90734.35</v>
      </c>
      <c r="E130" s="161" t="s">
        <v>237</v>
      </c>
      <c r="F130" s="160">
        <v>14168.459000000001</v>
      </c>
      <c r="G130" s="161" t="s">
        <v>374</v>
      </c>
      <c r="H130" s="161" t="s">
        <v>2814</v>
      </c>
      <c r="I130" s="161" t="s">
        <v>2798</v>
      </c>
      <c r="J130" s="160">
        <v>20929.578000000001</v>
      </c>
      <c r="K130" s="161" t="s">
        <v>374</v>
      </c>
      <c r="L130" s="160">
        <v>20329.723000000002</v>
      </c>
      <c r="M130" s="161" t="s">
        <v>374</v>
      </c>
      <c r="N130" s="160">
        <v>137</v>
      </c>
      <c r="O130" s="160">
        <v>0.74</v>
      </c>
      <c r="P130" s="160">
        <v>60896.54</v>
      </c>
      <c r="Q130" s="161" t="s">
        <v>237</v>
      </c>
    </row>
    <row r="131" spans="2:17" x14ac:dyDescent="0.3">
      <c r="B131" s="188">
        <v>322851</v>
      </c>
      <c r="C131" s="158" t="s">
        <v>82</v>
      </c>
      <c r="D131" s="160">
        <v>823.37</v>
      </c>
      <c r="E131" s="161" t="s">
        <v>237</v>
      </c>
      <c r="F131" s="160">
        <v>23700</v>
      </c>
      <c r="G131" s="161" t="s">
        <v>380</v>
      </c>
      <c r="H131" s="161" t="s">
        <v>2497</v>
      </c>
      <c r="I131" s="161" t="s">
        <v>1999</v>
      </c>
      <c r="J131" s="160">
        <v>0</v>
      </c>
      <c r="K131" s="161" t="s">
        <v>380</v>
      </c>
      <c r="L131" s="160">
        <v>0</v>
      </c>
      <c r="M131" s="161" t="s">
        <v>380</v>
      </c>
      <c r="N131" s="160">
        <v>99999</v>
      </c>
      <c r="O131" s="160">
        <v>0</v>
      </c>
      <c r="P131" s="160">
        <v>0</v>
      </c>
      <c r="Q131" s="161" t="s">
        <v>237</v>
      </c>
    </row>
    <row r="132" spans="2:17" x14ac:dyDescent="0.3">
      <c r="B132" s="188">
        <v>322852</v>
      </c>
      <c r="C132" s="158" t="s">
        <v>193</v>
      </c>
      <c r="D132" s="160">
        <v>1121</v>
      </c>
      <c r="E132" s="161" t="s">
        <v>237</v>
      </c>
      <c r="F132" s="160">
        <v>20800</v>
      </c>
      <c r="G132" s="161" t="s">
        <v>380</v>
      </c>
      <c r="H132" s="161" t="s">
        <v>2711</v>
      </c>
      <c r="I132" s="161" t="s">
        <v>2688</v>
      </c>
      <c r="J132" s="160">
        <v>0</v>
      </c>
      <c r="K132" s="161" t="s">
        <v>380</v>
      </c>
      <c r="L132" s="160">
        <v>10000</v>
      </c>
      <c r="M132" s="161" t="s">
        <v>380</v>
      </c>
      <c r="N132" s="160">
        <v>99999</v>
      </c>
      <c r="O132" s="160">
        <v>0</v>
      </c>
      <c r="P132" s="160">
        <v>0</v>
      </c>
      <c r="Q132" s="161" t="s">
        <v>237</v>
      </c>
    </row>
    <row r="133" spans="2:17" x14ac:dyDescent="0.3">
      <c r="B133" s="188">
        <v>322853</v>
      </c>
      <c r="C133" s="158" t="s">
        <v>83</v>
      </c>
      <c r="D133" s="160">
        <v>2419.1999999999998</v>
      </c>
      <c r="E133" s="161" t="s">
        <v>237</v>
      </c>
      <c r="F133" s="160">
        <v>33600</v>
      </c>
      <c r="G133" s="161" t="s">
        <v>380</v>
      </c>
      <c r="H133" s="161" t="s">
        <v>2817</v>
      </c>
      <c r="I133" s="161" t="s">
        <v>2814</v>
      </c>
      <c r="J133" s="160">
        <v>144000</v>
      </c>
      <c r="K133" s="161" t="s">
        <v>380</v>
      </c>
      <c r="L133" s="160">
        <v>145000</v>
      </c>
      <c r="M133" s="161" t="s">
        <v>380</v>
      </c>
      <c r="N133" s="160">
        <v>21</v>
      </c>
      <c r="O133" s="160">
        <v>6.99</v>
      </c>
      <c r="P133" s="160">
        <v>10367.98</v>
      </c>
      <c r="Q133" s="161" t="s">
        <v>237</v>
      </c>
    </row>
    <row r="134" spans="2:17" x14ac:dyDescent="0.3">
      <c r="B134" s="188">
        <v>322855</v>
      </c>
      <c r="C134" s="158" t="s">
        <v>286</v>
      </c>
      <c r="D134" s="160">
        <v>786.62</v>
      </c>
      <c r="E134" s="161" t="s">
        <v>237</v>
      </c>
      <c r="F134" s="160">
        <v>27900</v>
      </c>
      <c r="G134" s="161" t="s">
        <v>380</v>
      </c>
      <c r="H134" s="161" t="s">
        <v>2643</v>
      </c>
      <c r="I134" s="161" t="s">
        <v>2535</v>
      </c>
      <c r="J134" s="160">
        <v>0</v>
      </c>
      <c r="K134" s="161" t="s">
        <v>380</v>
      </c>
      <c r="L134" s="160">
        <v>0</v>
      </c>
      <c r="M134" s="161" t="s">
        <v>380</v>
      </c>
      <c r="N134" s="160">
        <v>99999</v>
      </c>
      <c r="O134" s="160">
        <v>0</v>
      </c>
      <c r="P134" s="160">
        <v>0</v>
      </c>
      <c r="Q134" s="161" t="s">
        <v>237</v>
      </c>
    </row>
    <row r="135" spans="2:17" x14ac:dyDescent="0.3">
      <c r="B135" s="188">
        <v>322858</v>
      </c>
      <c r="C135" s="158" t="s">
        <v>320</v>
      </c>
      <c r="D135" s="160">
        <v>387</v>
      </c>
      <c r="E135" s="161" t="s">
        <v>237</v>
      </c>
      <c r="F135" s="160">
        <v>21500</v>
      </c>
      <c r="G135" s="161" t="s">
        <v>380</v>
      </c>
      <c r="H135" s="161" t="s">
        <v>1468</v>
      </c>
      <c r="I135" s="161" t="s">
        <v>1492</v>
      </c>
      <c r="J135" s="160">
        <v>0</v>
      </c>
      <c r="K135" s="161" t="s">
        <v>380</v>
      </c>
      <c r="L135" s="160">
        <v>0</v>
      </c>
      <c r="M135" s="161" t="s">
        <v>380</v>
      </c>
      <c r="N135" s="160">
        <v>99999</v>
      </c>
      <c r="O135" s="160">
        <v>0</v>
      </c>
      <c r="P135" s="160">
        <v>0</v>
      </c>
      <c r="Q135" s="161" t="s">
        <v>237</v>
      </c>
    </row>
    <row r="136" spans="2:17" x14ac:dyDescent="0.3">
      <c r="B136" s="188">
        <v>322859</v>
      </c>
      <c r="C136" s="158" t="s">
        <v>2041</v>
      </c>
      <c r="D136" s="160">
        <v>0</v>
      </c>
      <c r="E136" s="161" t="s">
        <v>237</v>
      </c>
      <c r="F136" s="160">
        <v>0</v>
      </c>
      <c r="G136" s="161" t="s">
        <v>380</v>
      </c>
      <c r="H136" s="161" t="s">
        <v>1478</v>
      </c>
      <c r="I136" s="161" t="s">
        <v>1661</v>
      </c>
      <c r="J136" s="160">
        <v>0</v>
      </c>
      <c r="K136" s="161" t="s">
        <v>380</v>
      </c>
      <c r="L136" s="160">
        <v>0</v>
      </c>
      <c r="M136" s="161" t="s">
        <v>380</v>
      </c>
      <c r="N136" s="160">
        <v>0</v>
      </c>
      <c r="O136" s="160">
        <v>0</v>
      </c>
      <c r="P136" s="160">
        <v>0</v>
      </c>
      <c r="Q136" s="161" t="s">
        <v>237</v>
      </c>
    </row>
    <row r="137" spans="2:17" x14ac:dyDescent="0.3">
      <c r="B137" s="188">
        <v>322862</v>
      </c>
      <c r="C137" s="158" t="s">
        <v>84</v>
      </c>
      <c r="D137" s="160">
        <v>50783.98</v>
      </c>
      <c r="E137" s="161" t="s">
        <v>237</v>
      </c>
      <c r="F137" s="160">
        <v>317400</v>
      </c>
      <c r="G137" s="161" t="s">
        <v>380</v>
      </c>
      <c r="H137" s="161" t="s">
        <v>2817</v>
      </c>
      <c r="I137" s="161" t="s">
        <v>2748</v>
      </c>
      <c r="J137" s="160">
        <v>223400</v>
      </c>
      <c r="K137" s="161" t="s">
        <v>380</v>
      </c>
      <c r="L137" s="160">
        <v>472100</v>
      </c>
      <c r="M137" s="161" t="s">
        <v>380</v>
      </c>
      <c r="N137" s="160">
        <v>569</v>
      </c>
      <c r="O137" s="160">
        <v>0.27</v>
      </c>
      <c r="P137" s="160">
        <v>8208</v>
      </c>
      <c r="Q137" s="161" t="s">
        <v>237</v>
      </c>
    </row>
    <row r="138" spans="2:17" x14ac:dyDescent="0.3">
      <c r="B138" s="188">
        <v>322863</v>
      </c>
      <c r="C138" s="158" t="s">
        <v>230</v>
      </c>
      <c r="D138" s="160">
        <v>2370</v>
      </c>
      <c r="E138" s="161" t="s">
        <v>237</v>
      </c>
      <c r="F138" s="160">
        <v>15800</v>
      </c>
      <c r="G138" s="161" t="s">
        <v>380</v>
      </c>
      <c r="H138" s="161" t="s">
        <v>1486</v>
      </c>
      <c r="I138" s="161" t="s">
        <v>1494</v>
      </c>
      <c r="J138" s="160">
        <v>0</v>
      </c>
      <c r="K138" s="161" t="s">
        <v>380</v>
      </c>
      <c r="L138" s="160">
        <v>0</v>
      </c>
      <c r="M138" s="161" t="s">
        <v>380</v>
      </c>
      <c r="N138" s="160">
        <v>99999</v>
      </c>
      <c r="O138" s="160">
        <v>0</v>
      </c>
      <c r="P138" s="160">
        <v>0</v>
      </c>
      <c r="Q138" s="161" t="s">
        <v>237</v>
      </c>
    </row>
    <row r="139" spans="2:17" x14ac:dyDescent="0.3">
      <c r="B139" s="188">
        <v>322864</v>
      </c>
      <c r="C139" s="158" t="s">
        <v>85</v>
      </c>
      <c r="D139" s="160">
        <v>2182.77</v>
      </c>
      <c r="E139" s="161" t="s">
        <v>237</v>
      </c>
      <c r="F139" s="160">
        <v>32100</v>
      </c>
      <c r="G139" s="161" t="s">
        <v>380</v>
      </c>
      <c r="H139" s="161" t="s">
        <v>2797</v>
      </c>
      <c r="I139" s="161" t="s">
        <v>2814</v>
      </c>
      <c r="J139" s="160">
        <v>112000</v>
      </c>
      <c r="K139" s="161" t="s">
        <v>380</v>
      </c>
      <c r="L139" s="160">
        <v>94500</v>
      </c>
      <c r="M139" s="161" t="s">
        <v>380</v>
      </c>
      <c r="N139" s="160">
        <v>30</v>
      </c>
      <c r="O139" s="160">
        <v>2.64</v>
      </c>
      <c r="P139" s="160">
        <v>6628.42</v>
      </c>
      <c r="Q139" s="161" t="s">
        <v>237</v>
      </c>
    </row>
    <row r="140" spans="2:17" x14ac:dyDescent="0.3">
      <c r="B140" s="188">
        <v>322983</v>
      </c>
      <c r="C140" s="158" t="s">
        <v>2042</v>
      </c>
      <c r="D140" s="160">
        <v>0</v>
      </c>
      <c r="E140" s="161" t="s">
        <v>237</v>
      </c>
      <c r="F140" s="160">
        <v>0</v>
      </c>
      <c r="G140" s="161" t="s">
        <v>380</v>
      </c>
      <c r="H140" s="161" t="s">
        <v>1662</v>
      </c>
      <c r="I140" s="161" t="s">
        <v>1481</v>
      </c>
      <c r="J140" s="160">
        <v>0</v>
      </c>
      <c r="K140" s="161" t="s">
        <v>380</v>
      </c>
      <c r="L140" s="160">
        <v>0</v>
      </c>
      <c r="M140" s="161" t="s">
        <v>380</v>
      </c>
      <c r="N140" s="160">
        <v>0</v>
      </c>
      <c r="O140" s="160">
        <v>0</v>
      </c>
      <c r="P140" s="160">
        <v>0</v>
      </c>
      <c r="Q140" s="161" t="s">
        <v>237</v>
      </c>
    </row>
    <row r="141" spans="2:17" x14ac:dyDescent="0.3">
      <c r="B141" s="188">
        <v>323017</v>
      </c>
      <c r="C141" s="158" t="s">
        <v>190</v>
      </c>
      <c r="D141" s="160">
        <v>416.5</v>
      </c>
      <c r="E141" s="161" t="s">
        <v>237</v>
      </c>
      <c r="F141" s="160">
        <v>29750</v>
      </c>
      <c r="G141" s="161" t="s">
        <v>380</v>
      </c>
      <c r="H141" s="161" t="s">
        <v>1957</v>
      </c>
      <c r="I141" s="161" t="s">
        <v>2636</v>
      </c>
      <c r="J141" s="160">
        <v>0</v>
      </c>
      <c r="K141" s="161" t="s">
        <v>380</v>
      </c>
      <c r="L141" s="160">
        <v>0</v>
      </c>
      <c r="M141" s="161" t="s">
        <v>380</v>
      </c>
      <c r="N141" s="160">
        <v>99999</v>
      </c>
      <c r="O141" s="160">
        <v>0</v>
      </c>
      <c r="P141" s="160">
        <v>0</v>
      </c>
      <c r="Q141" s="161" t="s">
        <v>237</v>
      </c>
    </row>
    <row r="142" spans="2:17" x14ac:dyDescent="0.3">
      <c r="B142" s="188">
        <v>323019</v>
      </c>
      <c r="C142" s="158" t="s">
        <v>86</v>
      </c>
      <c r="D142" s="160">
        <v>870</v>
      </c>
      <c r="E142" s="161" t="s">
        <v>237</v>
      </c>
      <c r="F142" s="160">
        <v>29000</v>
      </c>
      <c r="G142" s="161" t="s">
        <v>380</v>
      </c>
      <c r="H142" s="161" t="s">
        <v>2817</v>
      </c>
      <c r="I142" s="161" t="s">
        <v>2496</v>
      </c>
      <c r="J142" s="160">
        <v>0</v>
      </c>
      <c r="K142" s="161" t="s">
        <v>380</v>
      </c>
      <c r="L142" s="160">
        <v>10000</v>
      </c>
      <c r="M142" s="161" t="s">
        <v>380</v>
      </c>
      <c r="N142" s="160">
        <v>99999</v>
      </c>
      <c r="O142" s="160">
        <v>0</v>
      </c>
      <c r="P142" s="160">
        <v>0</v>
      </c>
      <c r="Q142" s="161" t="s">
        <v>237</v>
      </c>
    </row>
    <row r="143" spans="2:17" x14ac:dyDescent="0.3">
      <c r="B143" s="188">
        <v>323037</v>
      </c>
      <c r="C143" s="158" t="s">
        <v>2043</v>
      </c>
      <c r="D143" s="160">
        <v>0</v>
      </c>
      <c r="E143" s="161" t="s">
        <v>237</v>
      </c>
      <c r="F143" s="160">
        <v>0</v>
      </c>
      <c r="G143" s="161" t="s">
        <v>380</v>
      </c>
      <c r="H143" s="161" t="s">
        <v>1484</v>
      </c>
      <c r="I143" s="161" t="s">
        <v>1484</v>
      </c>
      <c r="J143" s="160">
        <v>0</v>
      </c>
      <c r="K143" s="161" t="s">
        <v>380</v>
      </c>
      <c r="L143" s="160">
        <v>0</v>
      </c>
      <c r="M143" s="161" t="s">
        <v>380</v>
      </c>
      <c r="N143" s="160">
        <v>0</v>
      </c>
      <c r="O143" s="160">
        <v>0</v>
      </c>
      <c r="P143" s="160">
        <v>0</v>
      </c>
      <c r="Q143" s="161" t="s">
        <v>237</v>
      </c>
    </row>
    <row r="144" spans="2:17" x14ac:dyDescent="0.3">
      <c r="B144" s="188">
        <v>323038</v>
      </c>
      <c r="C144" s="158" t="s">
        <v>2044</v>
      </c>
      <c r="D144" s="160">
        <v>0</v>
      </c>
      <c r="E144" s="161" t="s">
        <v>237</v>
      </c>
      <c r="F144" s="160">
        <v>0</v>
      </c>
      <c r="G144" s="161" t="s">
        <v>380</v>
      </c>
      <c r="H144" s="161" t="s">
        <v>1613</v>
      </c>
      <c r="I144" s="161" t="s">
        <v>1663</v>
      </c>
      <c r="J144" s="160">
        <v>0</v>
      </c>
      <c r="K144" s="161" t="s">
        <v>380</v>
      </c>
      <c r="L144" s="160">
        <v>0</v>
      </c>
      <c r="M144" s="161" t="s">
        <v>380</v>
      </c>
      <c r="N144" s="160">
        <v>0</v>
      </c>
      <c r="O144" s="160">
        <v>0</v>
      </c>
      <c r="P144" s="160">
        <v>0</v>
      </c>
      <c r="Q144" s="161" t="s">
        <v>237</v>
      </c>
    </row>
    <row r="145" spans="2:17" x14ac:dyDescent="0.3">
      <c r="B145" s="188">
        <v>323039</v>
      </c>
      <c r="C145" s="158" t="s">
        <v>2045</v>
      </c>
      <c r="D145" s="160">
        <v>0</v>
      </c>
      <c r="E145" s="161" t="s">
        <v>237</v>
      </c>
      <c r="F145" s="160">
        <v>0</v>
      </c>
      <c r="G145" s="161" t="s">
        <v>380</v>
      </c>
      <c r="H145" s="161" t="s">
        <v>1664</v>
      </c>
      <c r="I145" s="161" t="s">
        <v>1556</v>
      </c>
      <c r="J145" s="160">
        <v>0</v>
      </c>
      <c r="K145" s="161" t="s">
        <v>380</v>
      </c>
      <c r="L145" s="160">
        <v>0</v>
      </c>
      <c r="M145" s="161" t="s">
        <v>380</v>
      </c>
      <c r="N145" s="160">
        <v>0</v>
      </c>
      <c r="O145" s="160">
        <v>0</v>
      </c>
      <c r="P145" s="160">
        <v>0</v>
      </c>
      <c r="Q145" s="161" t="s">
        <v>237</v>
      </c>
    </row>
    <row r="146" spans="2:17" x14ac:dyDescent="0.3">
      <c r="B146" s="188">
        <v>323046</v>
      </c>
      <c r="C146" s="158" t="s">
        <v>2046</v>
      </c>
      <c r="D146" s="160">
        <v>0</v>
      </c>
      <c r="E146" s="161" t="s">
        <v>237</v>
      </c>
      <c r="F146" s="160">
        <v>0</v>
      </c>
      <c r="G146" s="161" t="s">
        <v>380</v>
      </c>
      <c r="H146" s="161" t="s">
        <v>1665</v>
      </c>
      <c r="I146" s="161" t="s">
        <v>1665</v>
      </c>
      <c r="J146" s="160">
        <v>0</v>
      </c>
      <c r="K146" s="161" t="s">
        <v>380</v>
      </c>
      <c r="L146" s="160">
        <v>0</v>
      </c>
      <c r="M146" s="161" t="s">
        <v>380</v>
      </c>
      <c r="N146" s="160">
        <v>0</v>
      </c>
      <c r="O146" s="160">
        <v>0</v>
      </c>
      <c r="P146" s="160">
        <v>0</v>
      </c>
      <c r="Q146" s="161" t="s">
        <v>237</v>
      </c>
    </row>
    <row r="147" spans="2:17" x14ac:dyDescent="0.3">
      <c r="B147" s="188">
        <v>323072</v>
      </c>
      <c r="C147" s="158" t="s">
        <v>276</v>
      </c>
      <c r="D147" s="160">
        <v>4080.44</v>
      </c>
      <c r="E147" s="161" t="s">
        <v>237</v>
      </c>
      <c r="F147" s="160">
        <v>14573</v>
      </c>
      <c r="G147" s="161" t="s">
        <v>380</v>
      </c>
      <c r="H147" s="161" t="s">
        <v>2815</v>
      </c>
      <c r="I147" s="161" t="s">
        <v>2817</v>
      </c>
      <c r="J147" s="160">
        <v>33286</v>
      </c>
      <c r="K147" s="161" t="s">
        <v>380</v>
      </c>
      <c r="L147" s="160">
        <v>34701</v>
      </c>
      <c r="M147" s="161" t="s">
        <v>380</v>
      </c>
      <c r="N147" s="160">
        <v>85</v>
      </c>
      <c r="O147" s="160">
        <v>1.68</v>
      </c>
      <c r="P147" s="160">
        <v>4432.6899999999996</v>
      </c>
      <c r="Q147" s="161" t="s">
        <v>237</v>
      </c>
    </row>
    <row r="148" spans="2:17" x14ac:dyDescent="0.3">
      <c r="B148" s="188">
        <v>323077</v>
      </c>
      <c r="C148" s="158" t="s">
        <v>2047</v>
      </c>
      <c r="D148" s="160">
        <v>0</v>
      </c>
      <c r="E148" s="161" t="s">
        <v>237</v>
      </c>
      <c r="F148" s="160">
        <v>0</v>
      </c>
      <c r="G148" s="161" t="s">
        <v>380</v>
      </c>
      <c r="H148" s="161" t="s">
        <v>1666</v>
      </c>
      <c r="I148" s="161" t="s">
        <v>1667</v>
      </c>
      <c r="J148" s="160">
        <v>0</v>
      </c>
      <c r="K148" s="161" t="s">
        <v>380</v>
      </c>
      <c r="L148" s="160">
        <v>0</v>
      </c>
      <c r="M148" s="161" t="s">
        <v>380</v>
      </c>
      <c r="N148" s="160">
        <v>0</v>
      </c>
      <c r="O148" s="160">
        <v>0</v>
      </c>
      <c r="P148" s="160">
        <v>0</v>
      </c>
      <c r="Q148" s="161" t="s">
        <v>237</v>
      </c>
    </row>
    <row r="149" spans="2:17" x14ac:dyDescent="0.3">
      <c r="B149" s="188">
        <v>323091</v>
      </c>
      <c r="C149" s="158" t="s">
        <v>87</v>
      </c>
      <c r="D149" s="160">
        <v>8746.5</v>
      </c>
      <c r="E149" s="161" t="s">
        <v>237</v>
      </c>
      <c r="F149" s="160">
        <v>17850</v>
      </c>
      <c r="G149" s="161" t="s">
        <v>380</v>
      </c>
      <c r="H149" s="161" t="s">
        <v>2800</v>
      </c>
      <c r="I149" s="161" t="s">
        <v>2797</v>
      </c>
      <c r="J149" s="160">
        <v>38850</v>
      </c>
      <c r="K149" s="161" t="s">
        <v>380</v>
      </c>
      <c r="L149" s="160">
        <v>44100</v>
      </c>
      <c r="M149" s="161" t="s">
        <v>380</v>
      </c>
      <c r="N149" s="160">
        <v>46</v>
      </c>
      <c r="O149" s="160">
        <v>2.89</v>
      </c>
      <c r="P149" s="160">
        <v>17638.439999999999</v>
      </c>
      <c r="Q149" s="161" t="s">
        <v>237</v>
      </c>
    </row>
    <row r="150" spans="2:17" x14ac:dyDescent="0.3">
      <c r="B150" s="188">
        <v>323092</v>
      </c>
      <c r="C150" s="158" t="s">
        <v>89</v>
      </c>
      <c r="D150" s="160">
        <v>12799.5</v>
      </c>
      <c r="E150" s="161" t="s">
        <v>237</v>
      </c>
      <c r="F150" s="160">
        <v>27825</v>
      </c>
      <c r="G150" s="161" t="s">
        <v>380</v>
      </c>
      <c r="H150" s="161" t="s">
        <v>236</v>
      </c>
      <c r="I150" s="161" t="s">
        <v>2797</v>
      </c>
      <c r="J150" s="160">
        <v>79800</v>
      </c>
      <c r="K150" s="161" t="s">
        <v>380</v>
      </c>
      <c r="L150" s="160">
        <v>82425</v>
      </c>
      <c r="M150" s="161" t="s">
        <v>380</v>
      </c>
      <c r="N150" s="160">
        <v>34</v>
      </c>
      <c r="O150" s="160">
        <v>3.82</v>
      </c>
      <c r="P150" s="160">
        <v>34753.699999999997</v>
      </c>
      <c r="Q150" s="161" t="s">
        <v>237</v>
      </c>
    </row>
    <row r="151" spans="2:17" x14ac:dyDescent="0.3">
      <c r="B151" s="188">
        <v>323102</v>
      </c>
      <c r="C151" s="158" t="s">
        <v>91</v>
      </c>
      <c r="D151" s="160">
        <v>0</v>
      </c>
      <c r="E151" s="161" t="s">
        <v>237</v>
      </c>
      <c r="F151" s="160">
        <v>0</v>
      </c>
      <c r="G151" s="161" t="s">
        <v>380</v>
      </c>
      <c r="H151" s="161" t="s">
        <v>2800</v>
      </c>
      <c r="I151" s="161" t="s">
        <v>2797</v>
      </c>
      <c r="J151" s="160">
        <v>61440</v>
      </c>
      <c r="K151" s="161" t="s">
        <v>380</v>
      </c>
      <c r="L151" s="160">
        <v>33600</v>
      </c>
      <c r="M151" s="161" t="s">
        <v>380</v>
      </c>
      <c r="N151" s="160">
        <v>0</v>
      </c>
      <c r="O151" s="160">
        <v>2.4500000000000002</v>
      </c>
      <c r="P151" s="160">
        <v>29315.32</v>
      </c>
      <c r="Q151" s="161" t="s">
        <v>237</v>
      </c>
    </row>
    <row r="152" spans="2:17" x14ac:dyDescent="0.3">
      <c r="B152" s="188">
        <v>323107</v>
      </c>
      <c r="C152" s="158" t="s">
        <v>1169</v>
      </c>
      <c r="D152" s="160">
        <v>0</v>
      </c>
      <c r="E152" s="161" t="s">
        <v>237</v>
      </c>
      <c r="F152" s="160">
        <v>0</v>
      </c>
      <c r="G152" s="161" t="s">
        <v>380</v>
      </c>
      <c r="H152" s="161" t="s">
        <v>2681</v>
      </c>
      <c r="I152" s="161" t="s">
        <v>2704</v>
      </c>
      <c r="J152" s="160">
        <v>13440</v>
      </c>
      <c r="K152" s="161" t="s">
        <v>380</v>
      </c>
      <c r="L152" s="160">
        <v>0</v>
      </c>
      <c r="M152" s="161" t="s">
        <v>380</v>
      </c>
      <c r="N152" s="160">
        <v>0</v>
      </c>
      <c r="O152" s="160">
        <v>4</v>
      </c>
      <c r="P152" s="160">
        <v>9945.6</v>
      </c>
      <c r="Q152" s="161" t="s">
        <v>237</v>
      </c>
    </row>
    <row r="153" spans="2:17" x14ac:dyDescent="0.3">
      <c r="B153" s="188">
        <v>323110</v>
      </c>
      <c r="C153" s="158" t="s">
        <v>2048</v>
      </c>
      <c r="D153" s="160">
        <v>0</v>
      </c>
      <c r="E153" s="161" t="s">
        <v>237</v>
      </c>
      <c r="F153" s="160">
        <v>0</v>
      </c>
      <c r="G153" s="161" t="s">
        <v>380</v>
      </c>
      <c r="H153" s="161" t="s">
        <v>1668</v>
      </c>
      <c r="I153" s="161" t="s">
        <v>1669</v>
      </c>
      <c r="J153" s="160">
        <v>0</v>
      </c>
      <c r="K153" s="161" t="s">
        <v>380</v>
      </c>
      <c r="L153" s="160">
        <v>0</v>
      </c>
      <c r="M153" s="161" t="s">
        <v>380</v>
      </c>
      <c r="N153" s="160">
        <v>0</v>
      </c>
      <c r="O153" s="160">
        <v>0</v>
      </c>
      <c r="P153" s="160">
        <v>0</v>
      </c>
      <c r="Q153" s="161" t="s">
        <v>237</v>
      </c>
    </row>
    <row r="154" spans="2:17" x14ac:dyDescent="0.3">
      <c r="B154" s="188">
        <v>323111</v>
      </c>
      <c r="C154" s="158" t="s">
        <v>2049</v>
      </c>
      <c r="D154" s="160">
        <v>0</v>
      </c>
      <c r="E154" s="161" t="s">
        <v>237</v>
      </c>
      <c r="F154" s="160">
        <v>0</v>
      </c>
      <c r="G154" s="161" t="s">
        <v>380</v>
      </c>
      <c r="H154" s="161" t="s">
        <v>2715</v>
      </c>
      <c r="I154" s="161" t="s">
        <v>2701</v>
      </c>
      <c r="J154" s="160">
        <v>5520</v>
      </c>
      <c r="K154" s="161" t="s">
        <v>380</v>
      </c>
      <c r="L154" s="160">
        <v>5520</v>
      </c>
      <c r="M154" s="161" t="s">
        <v>380</v>
      </c>
      <c r="N154" s="160">
        <v>0</v>
      </c>
      <c r="O154" s="160">
        <v>99999</v>
      </c>
      <c r="P154" s="160">
        <v>4084.8</v>
      </c>
      <c r="Q154" s="161" t="s">
        <v>237</v>
      </c>
    </row>
    <row r="155" spans="2:17" x14ac:dyDescent="0.3">
      <c r="B155" s="188">
        <v>323133</v>
      </c>
      <c r="C155" s="158" t="s">
        <v>92</v>
      </c>
      <c r="D155" s="160">
        <v>8611.2000000000007</v>
      </c>
      <c r="E155" s="161" t="s">
        <v>237</v>
      </c>
      <c r="F155" s="160">
        <v>13248</v>
      </c>
      <c r="G155" s="161" t="s">
        <v>380</v>
      </c>
      <c r="H155" s="161" t="s">
        <v>2800</v>
      </c>
      <c r="I155" s="161" t="s">
        <v>2797</v>
      </c>
      <c r="J155" s="160">
        <v>72864</v>
      </c>
      <c r="K155" s="161" t="s">
        <v>380</v>
      </c>
      <c r="L155" s="160">
        <v>66240</v>
      </c>
      <c r="M155" s="161" t="s">
        <v>380</v>
      </c>
      <c r="N155" s="160">
        <v>18</v>
      </c>
      <c r="O155" s="160">
        <v>4.88</v>
      </c>
      <c r="P155" s="160">
        <v>43707.08</v>
      </c>
      <c r="Q155" s="161" t="s">
        <v>237</v>
      </c>
    </row>
    <row r="156" spans="2:17" x14ac:dyDescent="0.3">
      <c r="B156" s="188">
        <v>323135</v>
      </c>
      <c r="C156" s="158" t="s">
        <v>2559</v>
      </c>
      <c r="D156" s="160">
        <v>0</v>
      </c>
      <c r="E156" s="161" t="s">
        <v>237</v>
      </c>
      <c r="F156" s="160">
        <v>0</v>
      </c>
      <c r="G156" s="161" t="s">
        <v>380</v>
      </c>
      <c r="H156" s="161" t="s">
        <v>2576</v>
      </c>
      <c r="I156" s="161" t="s">
        <v>2575</v>
      </c>
      <c r="J156" s="160">
        <v>0</v>
      </c>
      <c r="K156" s="161" t="s">
        <v>380</v>
      </c>
      <c r="L156" s="160">
        <v>0</v>
      </c>
      <c r="M156" s="161" t="s">
        <v>380</v>
      </c>
      <c r="N156" s="160">
        <v>0</v>
      </c>
      <c r="O156" s="160">
        <v>0</v>
      </c>
      <c r="P156" s="160">
        <v>0</v>
      </c>
      <c r="Q156" s="161" t="s">
        <v>237</v>
      </c>
    </row>
    <row r="157" spans="2:17" x14ac:dyDescent="0.3">
      <c r="B157" s="188">
        <v>323509</v>
      </c>
      <c r="C157" s="158" t="s">
        <v>1909</v>
      </c>
      <c r="D157" s="160">
        <v>0</v>
      </c>
      <c r="E157" s="161" t="s">
        <v>237</v>
      </c>
      <c r="F157" s="160">
        <v>0</v>
      </c>
      <c r="G157" s="161" t="s">
        <v>380</v>
      </c>
      <c r="H157" s="161" t="s">
        <v>2803</v>
      </c>
      <c r="I157" s="161" t="s">
        <v>2801</v>
      </c>
      <c r="J157" s="160">
        <v>30800</v>
      </c>
      <c r="K157" s="161" t="s">
        <v>380</v>
      </c>
      <c r="L157" s="160">
        <v>30800</v>
      </c>
      <c r="M157" s="161" t="s">
        <v>380</v>
      </c>
      <c r="N157" s="160">
        <v>0</v>
      </c>
      <c r="O157" s="160">
        <v>99999</v>
      </c>
      <c r="P157" s="160">
        <v>2553.8000000000002</v>
      </c>
      <c r="Q157" s="161" t="s">
        <v>237</v>
      </c>
    </row>
    <row r="158" spans="2:17" x14ac:dyDescent="0.3">
      <c r="B158" s="188">
        <v>324122</v>
      </c>
      <c r="C158" s="158" t="s">
        <v>2050</v>
      </c>
      <c r="D158" s="160">
        <v>0</v>
      </c>
      <c r="E158" s="161" t="s">
        <v>237</v>
      </c>
      <c r="F158" s="160">
        <v>0</v>
      </c>
      <c r="G158" s="161" t="s">
        <v>380</v>
      </c>
      <c r="H158" s="161" t="s">
        <v>1670</v>
      </c>
      <c r="I158" s="161" t="s">
        <v>1670</v>
      </c>
      <c r="J158" s="160">
        <v>0</v>
      </c>
      <c r="K158" s="161" t="s">
        <v>380</v>
      </c>
      <c r="L158" s="160">
        <v>0</v>
      </c>
      <c r="M158" s="161" t="s">
        <v>380</v>
      </c>
      <c r="N158" s="160">
        <v>0</v>
      </c>
      <c r="O158" s="160">
        <v>0</v>
      </c>
      <c r="P158" s="160">
        <v>0</v>
      </c>
      <c r="Q158" s="161" t="s">
        <v>237</v>
      </c>
    </row>
    <row r="159" spans="2:17" x14ac:dyDescent="0.3">
      <c r="B159" s="188">
        <v>324123</v>
      </c>
      <c r="C159" s="158" t="s">
        <v>2051</v>
      </c>
      <c r="D159" s="160">
        <v>0</v>
      </c>
      <c r="E159" s="161" t="s">
        <v>237</v>
      </c>
      <c r="F159" s="160">
        <v>0</v>
      </c>
      <c r="G159" s="161" t="s">
        <v>380</v>
      </c>
      <c r="H159" s="161" t="s">
        <v>1667</v>
      </c>
      <c r="I159" s="161" t="s">
        <v>1671</v>
      </c>
      <c r="J159" s="160">
        <v>0</v>
      </c>
      <c r="K159" s="161" t="s">
        <v>380</v>
      </c>
      <c r="L159" s="160">
        <v>0</v>
      </c>
      <c r="M159" s="161" t="s">
        <v>380</v>
      </c>
      <c r="N159" s="160">
        <v>0</v>
      </c>
      <c r="O159" s="160">
        <v>0</v>
      </c>
      <c r="P159" s="160">
        <v>0</v>
      </c>
      <c r="Q159" s="161" t="s">
        <v>237</v>
      </c>
    </row>
    <row r="160" spans="2:17" x14ac:dyDescent="0.3">
      <c r="B160" s="188">
        <v>324126</v>
      </c>
      <c r="C160" s="158" t="s">
        <v>2052</v>
      </c>
      <c r="D160" s="160">
        <v>0</v>
      </c>
      <c r="E160" s="161" t="s">
        <v>237</v>
      </c>
      <c r="F160" s="160">
        <v>0</v>
      </c>
      <c r="G160" s="161" t="s">
        <v>380</v>
      </c>
      <c r="H160" s="161" t="s">
        <v>1672</v>
      </c>
      <c r="I160" s="161" t="s">
        <v>1602</v>
      </c>
      <c r="J160" s="160">
        <v>0</v>
      </c>
      <c r="K160" s="161" t="s">
        <v>380</v>
      </c>
      <c r="L160" s="160">
        <v>0</v>
      </c>
      <c r="M160" s="161" t="s">
        <v>380</v>
      </c>
      <c r="N160" s="160">
        <v>0</v>
      </c>
      <c r="O160" s="160">
        <v>0</v>
      </c>
      <c r="P160" s="160">
        <v>0</v>
      </c>
      <c r="Q160" s="161" t="s">
        <v>237</v>
      </c>
    </row>
    <row r="161" spans="2:17" x14ac:dyDescent="0.3">
      <c r="B161" s="188">
        <v>324150</v>
      </c>
      <c r="C161" s="158" t="s">
        <v>2053</v>
      </c>
      <c r="D161" s="160">
        <v>0</v>
      </c>
      <c r="E161" s="161" t="s">
        <v>237</v>
      </c>
      <c r="F161" s="160">
        <v>0</v>
      </c>
      <c r="G161" s="161" t="s">
        <v>380</v>
      </c>
      <c r="H161" s="161" t="s">
        <v>1499</v>
      </c>
      <c r="I161" s="161" t="s">
        <v>1673</v>
      </c>
      <c r="J161" s="160">
        <v>0</v>
      </c>
      <c r="K161" s="161" t="s">
        <v>380</v>
      </c>
      <c r="L161" s="160">
        <v>0</v>
      </c>
      <c r="M161" s="161" t="s">
        <v>380</v>
      </c>
      <c r="N161" s="160">
        <v>0</v>
      </c>
      <c r="O161" s="160">
        <v>0</v>
      </c>
      <c r="P161" s="160">
        <v>0</v>
      </c>
      <c r="Q161" s="161" t="s">
        <v>237</v>
      </c>
    </row>
    <row r="162" spans="2:17" x14ac:dyDescent="0.3">
      <c r="B162" s="188">
        <v>324156</v>
      </c>
      <c r="C162" s="158" t="s">
        <v>94</v>
      </c>
      <c r="D162" s="160">
        <v>2813.42</v>
      </c>
      <c r="E162" s="161" t="s">
        <v>237</v>
      </c>
      <c r="F162" s="160">
        <v>26000</v>
      </c>
      <c r="G162" s="161" t="s">
        <v>380</v>
      </c>
      <c r="H162" s="161" t="s">
        <v>2702</v>
      </c>
      <c r="I162" s="161" t="s">
        <v>2757</v>
      </c>
      <c r="J162" s="160">
        <v>30000</v>
      </c>
      <c r="K162" s="161" t="s">
        <v>380</v>
      </c>
      <c r="L162" s="160">
        <v>30000</v>
      </c>
      <c r="M162" s="161" t="s">
        <v>380</v>
      </c>
      <c r="N162" s="160">
        <v>80</v>
      </c>
      <c r="O162" s="160">
        <v>0.9</v>
      </c>
      <c r="P162" s="160">
        <v>3246.25</v>
      </c>
      <c r="Q162" s="161" t="s">
        <v>237</v>
      </c>
    </row>
    <row r="163" spans="2:17" x14ac:dyDescent="0.3">
      <c r="B163" s="188">
        <v>324160</v>
      </c>
      <c r="C163" s="158" t="s">
        <v>2054</v>
      </c>
      <c r="D163" s="160">
        <v>0</v>
      </c>
      <c r="E163" s="161" t="s">
        <v>237</v>
      </c>
      <c r="F163" s="160">
        <v>0</v>
      </c>
      <c r="G163" s="161" t="s">
        <v>380</v>
      </c>
      <c r="H163" s="161" t="s">
        <v>1630</v>
      </c>
      <c r="I163" s="161" t="s">
        <v>1631</v>
      </c>
      <c r="J163" s="160">
        <v>0</v>
      </c>
      <c r="K163" s="161" t="s">
        <v>380</v>
      </c>
      <c r="L163" s="160">
        <v>0</v>
      </c>
      <c r="M163" s="161" t="s">
        <v>380</v>
      </c>
      <c r="N163" s="160">
        <v>0</v>
      </c>
      <c r="O163" s="160">
        <v>0</v>
      </c>
      <c r="P163" s="160">
        <v>0</v>
      </c>
      <c r="Q163" s="161" t="s">
        <v>237</v>
      </c>
    </row>
    <row r="164" spans="2:17" x14ac:dyDescent="0.3">
      <c r="B164" s="188">
        <v>324163</v>
      </c>
      <c r="C164" s="158" t="s">
        <v>95</v>
      </c>
      <c r="D164" s="160">
        <v>1927.86</v>
      </c>
      <c r="E164" s="161" t="s">
        <v>237</v>
      </c>
      <c r="F164" s="160">
        <v>8763</v>
      </c>
      <c r="G164" s="161" t="s">
        <v>380</v>
      </c>
      <c r="H164" s="161" t="s">
        <v>236</v>
      </c>
      <c r="I164" s="161" t="s">
        <v>236</v>
      </c>
      <c r="J164" s="160">
        <v>118872</v>
      </c>
      <c r="K164" s="161" t="s">
        <v>380</v>
      </c>
      <c r="L164" s="160">
        <v>73152</v>
      </c>
      <c r="M164" s="161" t="s">
        <v>380</v>
      </c>
      <c r="N164" s="160">
        <v>7</v>
      </c>
      <c r="O164" s="160">
        <v>3.49</v>
      </c>
      <c r="P164" s="160">
        <v>24086.82</v>
      </c>
      <c r="Q164" s="161" t="s">
        <v>237</v>
      </c>
    </row>
    <row r="165" spans="2:17" x14ac:dyDescent="0.3">
      <c r="B165" s="188">
        <v>324165</v>
      </c>
      <c r="C165" s="158" t="s">
        <v>191</v>
      </c>
      <c r="D165" s="160">
        <v>1065.5999999999999</v>
      </c>
      <c r="E165" s="161" t="s">
        <v>237</v>
      </c>
      <c r="F165" s="160">
        <v>3552</v>
      </c>
      <c r="G165" s="161" t="s">
        <v>380</v>
      </c>
      <c r="H165" s="161" t="s">
        <v>2798</v>
      </c>
      <c r="I165" s="161" t="s">
        <v>2797</v>
      </c>
      <c r="J165" s="160">
        <v>347904</v>
      </c>
      <c r="K165" s="161" t="s">
        <v>380</v>
      </c>
      <c r="L165" s="160">
        <v>266208</v>
      </c>
      <c r="M165" s="161" t="s">
        <v>380</v>
      </c>
      <c r="N165" s="160">
        <v>1</v>
      </c>
      <c r="O165" s="160">
        <v>15.67</v>
      </c>
      <c r="P165" s="160">
        <v>100892.16</v>
      </c>
      <c r="Q165" s="161" t="s">
        <v>237</v>
      </c>
    </row>
    <row r="166" spans="2:17" x14ac:dyDescent="0.3">
      <c r="B166" s="188">
        <v>324168</v>
      </c>
      <c r="C166" s="158" t="s">
        <v>297</v>
      </c>
      <c r="D166" s="160">
        <v>0</v>
      </c>
      <c r="E166" s="161" t="s">
        <v>237</v>
      </c>
      <c r="F166" s="160">
        <v>0</v>
      </c>
      <c r="G166" s="161" t="s">
        <v>380</v>
      </c>
      <c r="H166" s="161" t="s">
        <v>1500</v>
      </c>
      <c r="I166" s="161" t="s">
        <v>2680</v>
      </c>
      <c r="J166" s="160">
        <v>0</v>
      </c>
      <c r="K166" s="161" t="s">
        <v>380</v>
      </c>
      <c r="L166" s="160">
        <v>0</v>
      </c>
      <c r="M166" s="161" t="s">
        <v>380</v>
      </c>
      <c r="N166" s="160">
        <v>0</v>
      </c>
      <c r="O166" s="160">
        <v>0</v>
      </c>
      <c r="P166" s="160">
        <v>0</v>
      </c>
      <c r="Q166" s="161" t="s">
        <v>237</v>
      </c>
    </row>
    <row r="167" spans="2:17" x14ac:dyDescent="0.3">
      <c r="B167" s="188">
        <v>324170</v>
      </c>
      <c r="C167" s="158" t="s">
        <v>2055</v>
      </c>
      <c r="D167" s="160">
        <v>0</v>
      </c>
      <c r="E167" s="161" t="s">
        <v>237</v>
      </c>
      <c r="F167" s="160">
        <v>0</v>
      </c>
      <c r="G167" s="161" t="s">
        <v>380</v>
      </c>
      <c r="H167" s="161" t="s">
        <v>1476</v>
      </c>
      <c r="I167" s="161" t="s">
        <v>1479</v>
      </c>
      <c r="J167" s="160">
        <v>0</v>
      </c>
      <c r="K167" s="161" t="s">
        <v>380</v>
      </c>
      <c r="L167" s="160">
        <v>0</v>
      </c>
      <c r="M167" s="161" t="s">
        <v>380</v>
      </c>
      <c r="N167" s="160">
        <v>0</v>
      </c>
      <c r="O167" s="160">
        <v>0</v>
      </c>
      <c r="P167" s="160">
        <v>0</v>
      </c>
      <c r="Q167" s="161" t="s">
        <v>237</v>
      </c>
    </row>
    <row r="168" spans="2:17" x14ac:dyDescent="0.3">
      <c r="B168" s="188">
        <v>324173</v>
      </c>
      <c r="C168" s="158" t="s">
        <v>96</v>
      </c>
      <c r="D168" s="160">
        <v>8221.5</v>
      </c>
      <c r="E168" s="161" t="s">
        <v>237</v>
      </c>
      <c r="F168" s="160">
        <v>30450</v>
      </c>
      <c r="G168" s="161" t="s">
        <v>380</v>
      </c>
      <c r="H168" s="161" t="s">
        <v>2815</v>
      </c>
      <c r="I168" s="161" t="s">
        <v>2815</v>
      </c>
      <c r="J168" s="160">
        <v>36750</v>
      </c>
      <c r="K168" s="161" t="s">
        <v>380</v>
      </c>
      <c r="L168" s="160">
        <v>42000</v>
      </c>
      <c r="M168" s="161" t="s">
        <v>380</v>
      </c>
      <c r="N168" s="160">
        <v>83</v>
      </c>
      <c r="O168" s="160">
        <v>2.09</v>
      </c>
      <c r="P168" s="160">
        <v>9145.5</v>
      </c>
      <c r="Q168" s="161" t="s">
        <v>237</v>
      </c>
    </row>
    <row r="169" spans="2:17" x14ac:dyDescent="0.3">
      <c r="B169" s="188">
        <v>324174</v>
      </c>
      <c r="C169" s="158" t="s">
        <v>97</v>
      </c>
      <c r="D169" s="160">
        <v>1705.2</v>
      </c>
      <c r="E169" s="161" t="s">
        <v>237</v>
      </c>
      <c r="F169" s="160">
        <v>8120</v>
      </c>
      <c r="G169" s="161" t="s">
        <v>380</v>
      </c>
      <c r="H169" s="161" t="s">
        <v>2744</v>
      </c>
      <c r="I169" s="161" t="s">
        <v>2811</v>
      </c>
      <c r="J169" s="160">
        <v>63945</v>
      </c>
      <c r="K169" s="161" t="s">
        <v>380</v>
      </c>
      <c r="L169" s="160">
        <v>12180</v>
      </c>
      <c r="M169" s="161" t="s">
        <v>380</v>
      </c>
      <c r="N169" s="160">
        <v>13</v>
      </c>
      <c r="O169" s="160">
        <v>1.83</v>
      </c>
      <c r="P169" s="160">
        <v>12291.65</v>
      </c>
      <c r="Q169" s="161" t="s">
        <v>237</v>
      </c>
    </row>
    <row r="170" spans="2:17" x14ac:dyDescent="0.3">
      <c r="B170" s="188">
        <v>324175</v>
      </c>
      <c r="C170" s="158" t="s">
        <v>2056</v>
      </c>
      <c r="D170" s="160">
        <v>0</v>
      </c>
      <c r="E170" s="161" t="s">
        <v>237</v>
      </c>
      <c r="F170" s="160">
        <v>0</v>
      </c>
      <c r="G170" s="161" t="s">
        <v>380</v>
      </c>
      <c r="H170" s="161" t="s">
        <v>1628</v>
      </c>
      <c r="I170" s="161" t="s">
        <v>1629</v>
      </c>
      <c r="J170" s="160">
        <v>0</v>
      </c>
      <c r="K170" s="161" t="s">
        <v>380</v>
      </c>
      <c r="L170" s="160">
        <v>0</v>
      </c>
      <c r="M170" s="161" t="s">
        <v>380</v>
      </c>
      <c r="N170" s="160">
        <v>0</v>
      </c>
      <c r="O170" s="160">
        <v>0</v>
      </c>
      <c r="P170" s="160">
        <v>0</v>
      </c>
      <c r="Q170" s="161" t="s">
        <v>237</v>
      </c>
    </row>
    <row r="171" spans="2:17" x14ac:dyDescent="0.3">
      <c r="B171" s="188">
        <v>324176</v>
      </c>
      <c r="C171" s="158" t="s">
        <v>2057</v>
      </c>
      <c r="D171" s="160">
        <v>0</v>
      </c>
      <c r="E171" s="161" t="s">
        <v>237</v>
      </c>
      <c r="F171" s="160">
        <v>0</v>
      </c>
      <c r="G171" s="161" t="s">
        <v>380</v>
      </c>
      <c r="H171" s="161" t="s">
        <v>1674</v>
      </c>
      <c r="I171" s="161" t="s">
        <v>1675</v>
      </c>
      <c r="J171" s="160">
        <v>0</v>
      </c>
      <c r="K171" s="161" t="s">
        <v>380</v>
      </c>
      <c r="L171" s="160">
        <v>0</v>
      </c>
      <c r="M171" s="161" t="s">
        <v>380</v>
      </c>
      <c r="N171" s="160">
        <v>0</v>
      </c>
      <c r="O171" s="160">
        <v>0</v>
      </c>
      <c r="P171" s="160">
        <v>0</v>
      </c>
      <c r="Q171" s="161" t="s">
        <v>237</v>
      </c>
    </row>
    <row r="172" spans="2:17" x14ac:dyDescent="0.3">
      <c r="B172" s="188">
        <v>324177</v>
      </c>
      <c r="C172" s="158" t="s">
        <v>98</v>
      </c>
      <c r="D172" s="160">
        <v>12387.6</v>
      </c>
      <c r="E172" s="161" t="s">
        <v>237</v>
      </c>
      <c r="F172" s="160">
        <v>45880</v>
      </c>
      <c r="G172" s="161" t="s">
        <v>380</v>
      </c>
      <c r="H172" s="161" t="s">
        <v>2815</v>
      </c>
      <c r="I172" s="161" t="s">
        <v>2817</v>
      </c>
      <c r="J172" s="160">
        <v>70138</v>
      </c>
      <c r="K172" s="161" t="s">
        <v>380</v>
      </c>
      <c r="L172" s="160">
        <v>21638</v>
      </c>
      <c r="M172" s="161" t="s">
        <v>380</v>
      </c>
      <c r="N172" s="160">
        <v>93</v>
      </c>
      <c r="O172" s="160">
        <v>0.71</v>
      </c>
      <c r="P172" s="160">
        <v>12270.12</v>
      </c>
      <c r="Q172" s="161" t="s">
        <v>237</v>
      </c>
    </row>
    <row r="173" spans="2:17" x14ac:dyDescent="0.3">
      <c r="B173" s="188">
        <v>324185</v>
      </c>
      <c r="C173" s="158" t="s">
        <v>2058</v>
      </c>
      <c r="D173" s="160">
        <v>0</v>
      </c>
      <c r="E173" s="161" t="s">
        <v>237</v>
      </c>
      <c r="F173" s="160">
        <v>0</v>
      </c>
      <c r="G173" s="161" t="s">
        <v>380</v>
      </c>
      <c r="H173" s="161" t="s">
        <v>1502</v>
      </c>
      <c r="I173" s="161" t="s">
        <v>1660</v>
      </c>
      <c r="J173" s="160">
        <v>0</v>
      </c>
      <c r="K173" s="161" t="s">
        <v>380</v>
      </c>
      <c r="L173" s="160">
        <v>0</v>
      </c>
      <c r="M173" s="161" t="s">
        <v>380</v>
      </c>
      <c r="N173" s="160">
        <v>0</v>
      </c>
      <c r="O173" s="160">
        <v>0</v>
      </c>
      <c r="P173" s="160">
        <v>0</v>
      </c>
      <c r="Q173" s="161" t="s">
        <v>237</v>
      </c>
    </row>
    <row r="174" spans="2:17" x14ac:dyDescent="0.3">
      <c r="B174" s="188">
        <v>324191</v>
      </c>
      <c r="C174" s="158" t="s">
        <v>1910</v>
      </c>
      <c r="D174" s="160">
        <v>0</v>
      </c>
      <c r="E174" s="161" t="s">
        <v>237</v>
      </c>
      <c r="F174" s="160">
        <v>0</v>
      </c>
      <c r="G174" s="161" t="s">
        <v>380</v>
      </c>
      <c r="H174" s="161" t="s">
        <v>1956</v>
      </c>
      <c r="I174" s="161" t="s">
        <v>1962</v>
      </c>
      <c r="J174" s="160">
        <v>0</v>
      </c>
      <c r="K174" s="161" t="s">
        <v>380</v>
      </c>
      <c r="L174" s="160">
        <v>0</v>
      </c>
      <c r="M174" s="161" t="s">
        <v>380</v>
      </c>
      <c r="N174" s="160">
        <v>0</v>
      </c>
      <c r="O174" s="160">
        <v>0</v>
      </c>
      <c r="P174" s="160">
        <v>0</v>
      </c>
      <c r="Q174" s="161" t="s">
        <v>237</v>
      </c>
    </row>
    <row r="175" spans="2:17" x14ac:dyDescent="0.3">
      <c r="B175" s="188">
        <v>324192</v>
      </c>
      <c r="C175" s="158" t="s">
        <v>2059</v>
      </c>
      <c r="D175" s="160">
        <v>0</v>
      </c>
      <c r="E175" s="161" t="s">
        <v>237</v>
      </c>
      <c r="F175" s="160">
        <v>0</v>
      </c>
      <c r="G175" s="161" t="s">
        <v>380</v>
      </c>
      <c r="H175" s="161" t="s">
        <v>1676</v>
      </c>
      <c r="I175" s="161" t="s">
        <v>1677</v>
      </c>
      <c r="J175" s="160">
        <v>0</v>
      </c>
      <c r="K175" s="161" t="s">
        <v>380</v>
      </c>
      <c r="L175" s="160">
        <v>0</v>
      </c>
      <c r="M175" s="161" t="s">
        <v>380</v>
      </c>
      <c r="N175" s="160">
        <v>0</v>
      </c>
      <c r="O175" s="160">
        <v>0</v>
      </c>
      <c r="P175" s="160">
        <v>0</v>
      </c>
      <c r="Q175" s="161" t="s">
        <v>237</v>
      </c>
    </row>
    <row r="176" spans="2:17" x14ac:dyDescent="0.3">
      <c r="B176" s="188">
        <v>324198</v>
      </c>
      <c r="C176" s="158" t="s">
        <v>99</v>
      </c>
      <c r="D176" s="160">
        <v>1504.8</v>
      </c>
      <c r="E176" s="161" t="s">
        <v>237</v>
      </c>
      <c r="F176" s="160">
        <v>7920</v>
      </c>
      <c r="G176" s="161" t="s">
        <v>380</v>
      </c>
      <c r="H176" s="161" t="s">
        <v>2715</v>
      </c>
      <c r="I176" s="161" t="s">
        <v>2809</v>
      </c>
      <c r="J176" s="160">
        <v>28080</v>
      </c>
      <c r="K176" s="161" t="s">
        <v>380</v>
      </c>
      <c r="L176" s="160">
        <v>25920</v>
      </c>
      <c r="M176" s="161" t="s">
        <v>380</v>
      </c>
      <c r="N176" s="160">
        <v>28</v>
      </c>
      <c r="O176" s="160">
        <v>1.97</v>
      </c>
      <c r="P176" s="160">
        <v>4975.2</v>
      </c>
      <c r="Q176" s="161" t="s">
        <v>237</v>
      </c>
    </row>
    <row r="177" spans="2:17" x14ac:dyDescent="0.3">
      <c r="B177" s="188">
        <v>324203</v>
      </c>
      <c r="C177" s="158" t="s">
        <v>100</v>
      </c>
      <c r="D177" s="160">
        <v>1798</v>
      </c>
      <c r="E177" s="161" t="s">
        <v>237</v>
      </c>
      <c r="F177" s="160">
        <v>6200</v>
      </c>
      <c r="G177" s="161" t="s">
        <v>380</v>
      </c>
      <c r="H177" s="161" t="s">
        <v>2817</v>
      </c>
      <c r="I177" s="161" t="s">
        <v>2817</v>
      </c>
      <c r="J177" s="160">
        <v>1240</v>
      </c>
      <c r="K177" s="161" t="s">
        <v>380</v>
      </c>
      <c r="L177" s="160">
        <v>7440</v>
      </c>
      <c r="M177" s="161" t="s">
        <v>380</v>
      </c>
      <c r="N177" s="160">
        <v>460</v>
      </c>
      <c r="O177" s="160">
        <v>0.8</v>
      </c>
      <c r="P177" s="160">
        <v>359.6</v>
      </c>
      <c r="Q177" s="161" t="s">
        <v>237</v>
      </c>
    </row>
    <row r="178" spans="2:17" x14ac:dyDescent="0.3">
      <c r="B178" s="188">
        <v>324206</v>
      </c>
      <c r="C178" s="158" t="s">
        <v>357</v>
      </c>
      <c r="D178" s="160">
        <v>3640</v>
      </c>
      <c r="E178" s="161" t="s">
        <v>237</v>
      </c>
      <c r="F178" s="160">
        <v>10400</v>
      </c>
      <c r="G178" s="161" t="s">
        <v>380</v>
      </c>
      <c r="H178" s="161" t="s">
        <v>2665</v>
      </c>
      <c r="I178" s="161" t="s">
        <v>2809</v>
      </c>
      <c r="J178" s="160">
        <v>13650</v>
      </c>
      <c r="K178" s="161" t="s">
        <v>380</v>
      </c>
      <c r="L178" s="160">
        <v>0</v>
      </c>
      <c r="M178" s="161" t="s">
        <v>380</v>
      </c>
      <c r="N178" s="160">
        <v>76</v>
      </c>
      <c r="O178" s="160">
        <v>0.8</v>
      </c>
      <c r="P178" s="160">
        <v>4381</v>
      </c>
      <c r="Q178" s="161" t="s">
        <v>237</v>
      </c>
    </row>
    <row r="179" spans="2:17" x14ac:dyDescent="0.3">
      <c r="B179" s="188">
        <v>324207</v>
      </c>
      <c r="C179" s="158" t="s">
        <v>2060</v>
      </c>
      <c r="D179" s="160">
        <v>0</v>
      </c>
      <c r="E179" s="161" t="s">
        <v>237</v>
      </c>
      <c r="F179" s="160">
        <v>0</v>
      </c>
      <c r="G179" s="161" t="s">
        <v>380</v>
      </c>
      <c r="H179" s="161" t="s">
        <v>1678</v>
      </c>
      <c r="I179" s="161" t="s">
        <v>1576</v>
      </c>
      <c r="J179" s="160">
        <v>0</v>
      </c>
      <c r="K179" s="161" t="s">
        <v>380</v>
      </c>
      <c r="L179" s="160">
        <v>0</v>
      </c>
      <c r="M179" s="161" t="s">
        <v>380</v>
      </c>
      <c r="N179" s="160">
        <v>0</v>
      </c>
      <c r="O179" s="160">
        <v>0</v>
      </c>
      <c r="P179" s="160">
        <v>0</v>
      </c>
      <c r="Q179" s="161" t="s">
        <v>237</v>
      </c>
    </row>
    <row r="180" spans="2:17" x14ac:dyDescent="0.3">
      <c r="B180" s="188">
        <v>324212</v>
      </c>
      <c r="C180" s="158" t="s">
        <v>1402</v>
      </c>
      <c r="D180" s="160">
        <v>0</v>
      </c>
      <c r="E180" s="161" t="s">
        <v>237</v>
      </c>
      <c r="F180" s="160">
        <v>0</v>
      </c>
      <c r="G180" s="161" t="s">
        <v>380</v>
      </c>
      <c r="H180" s="161" t="s">
        <v>2709</v>
      </c>
      <c r="I180" s="161" t="s">
        <v>2711</v>
      </c>
      <c r="J180" s="160">
        <v>10240</v>
      </c>
      <c r="K180" s="161" t="s">
        <v>380</v>
      </c>
      <c r="L180" s="160">
        <v>10240</v>
      </c>
      <c r="M180" s="161" t="s">
        <v>380</v>
      </c>
      <c r="N180" s="160">
        <v>0</v>
      </c>
      <c r="O180" s="160">
        <v>99999</v>
      </c>
      <c r="P180" s="160">
        <v>1536</v>
      </c>
      <c r="Q180" s="161" t="s">
        <v>237</v>
      </c>
    </row>
    <row r="181" spans="2:17" x14ac:dyDescent="0.3">
      <c r="B181" s="188">
        <v>324215</v>
      </c>
      <c r="C181" s="158" t="s">
        <v>2061</v>
      </c>
      <c r="D181" s="160">
        <v>0</v>
      </c>
      <c r="E181" s="161" t="s">
        <v>237</v>
      </c>
      <c r="F181" s="160">
        <v>0</v>
      </c>
      <c r="G181" s="161" t="s">
        <v>380</v>
      </c>
      <c r="H181" s="161" t="s">
        <v>2611</v>
      </c>
      <c r="I181" s="161" t="s">
        <v>2628</v>
      </c>
      <c r="J181" s="160">
        <v>0</v>
      </c>
      <c r="K181" s="161" t="s">
        <v>380</v>
      </c>
      <c r="L181" s="160">
        <v>0</v>
      </c>
      <c r="M181" s="161" t="s">
        <v>380</v>
      </c>
      <c r="N181" s="160">
        <v>0</v>
      </c>
      <c r="O181" s="160">
        <v>0</v>
      </c>
      <c r="P181" s="160">
        <v>0</v>
      </c>
      <c r="Q181" s="161" t="s">
        <v>237</v>
      </c>
    </row>
    <row r="182" spans="2:17" x14ac:dyDescent="0.3">
      <c r="B182" s="188">
        <v>324216</v>
      </c>
      <c r="C182" s="158" t="s">
        <v>1560</v>
      </c>
      <c r="D182" s="160">
        <v>9011.52</v>
      </c>
      <c r="E182" s="161" t="s">
        <v>237</v>
      </c>
      <c r="F182" s="160">
        <v>6048</v>
      </c>
      <c r="G182" s="161" t="s">
        <v>380</v>
      </c>
      <c r="H182" s="161" t="s">
        <v>2811</v>
      </c>
      <c r="I182" s="161" t="s">
        <v>2807</v>
      </c>
      <c r="J182" s="160">
        <v>6048</v>
      </c>
      <c r="K182" s="161" t="s">
        <v>380</v>
      </c>
      <c r="L182" s="160">
        <v>12096</v>
      </c>
      <c r="M182" s="161" t="s">
        <v>380</v>
      </c>
      <c r="N182" s="160">
        <v>96</v>
      </c>
      <c r="O182" s="160">
        <v>2.67</v>
      </c>
      <c r="P182" s="160">
        <v>8678.8799999999992</v>
      </c>
      <c r="Q182" s="161" t="s">
        <v>237</v>
      </c>
    </row>
    <row r="183" spans="2:17" x14ac:dyDescent="0.3">
      <c r="B183" s="188">
        <v>324219</v>
      </c>
      <c r="C183" s="158" t="s">
        <v>2062</v>
      </c>
      <c r="D183" s="160">
        <v>0</v>
      </c>
      <c r="E183" s="161" t="s">
        <v>237</v>
      </c>
      <c r="F183" s="160">
        <v>0</v>
      </c>
      <c r="G183" s="161" t="s">
        <v>380</v>
      </c>
      <c r="H183" s="161" t="s">
        <v>1680</v>
      </c>
      <c r="I183" s="161" t="s">
        <v>1488</v>
      </c>
      <c r="J183" s="160">
        <v>0</v>
      </c>
      <c r="K183" s="161" t="s">
        <v>380</v>
      </c>
      <c r="L183" s="160">
        <v>0</v>
      </c>
      <c r="M183" s="161" t="s">
        <v>380</v>
      </c>
      <c r="N183" s="160">
        <v>0</v>
      </c>
      <c r="O183" s="160">
        <v>0</v>
      </c>
      <c r="P183" s="160">
        <v>0</v>
      </c>
      <c r="Q183" s="161" t="s">
        <v>237</v>
      </c>
    </row>
    <row r="184" spans="2:17" x14ac:dyDescent="0.3">
      <c r="B184" s="188">
        <v>324228</v>
      </c>
      <c r="C184" s="158" t="s">
        <v>2063</v>
      </c>
      <c r="D184" s="160">
        <v>0</v>
      </c>
      <c r="E184" s="161" t="s">
        <v>237</v>
      </c>
      <c r="F184" s="160">
        <v>0</v>
      </c>
      <c r="G184" s="161" t="s">
        <v>380</v>
      </c>
      <c r="H184" s="161" t="s">
        <v>2687</v>
      </c>
      <c r="I184" s="161" t="s">
        <v>2680</v>
      </c>
      <c r="J184" s="160">
        <v>0</v>
      </c>
      <c r="K184" s="161" t="s">
        <v>380</v>
      </c>
      <c r="L184" s="160">
        <v>0</v>
      </c>
      <c r="M184" s="161" t="s">
        <v>380</v>
      </c>
      <c r="N184" s="160">
        <v>0</v>
      </c>
      <c r="O184" s="160">
        <v>0</v>
      </c>
      <c r="P184" s="160">
        <v>0</v>
      </c>
      <c r="Q184" s="161" t="s">
        <v>237</v>
      </c>
    </row>
    <row r="185" spans="2:17" x14ac:dyDescent="0.3">
      <c r="B185" s="188">
        <v>324298</v>
      </c>
      <c r="C185" s="158" t="s">
        <v>2064</v>
      </c>
      <c r="D185" s="160">
        <v>0</v>
      </c>
      <c r="E185" s="161" t="s">
        <v>237</v>
      </c>
      <c r="F185" s="160">
        <v>0</v>
      </c>
      <c r="G185" s="161" t="s">
        <v>380</v>
      </c>
      <c r="H185" s="161" t="s">
        <v>1630</v>
      </c>
      <c r="I185" s="161" t="s">
        <v>1659</v>
      </c>
      <c r="J185" s="160">
        <v>0</v>
      </c>
      <c r="K185" s="161" t="s">
        <v>380</v>
      </c>
      <c r="L185" s="160">
        <v>0</v>
      </c>
      <c r="M185" s="161" t="s">
        <v>380</v>
      </c>
      <c r="N185" s="160">
        <v>0</v>
      </c>
      <c r="O185" s="160">
        <v>0</v>
      </c>
      <c r="P185" s="160">
        <v>0</v>
      </c>
      <c r="Q185" s="161" t="s">
        <v>237</v>
      </c>
    </row>
    <row r="186" spans="2:17" x14ac:dyDescent="0.3">
      <c r="B186" s="188">
        <v>324493</v>
      </c>
      <c r="C186" s="158" t="s">
        <v>101</v>
      </c>
      <c r="D186" s="160">
        <v>1455.7</v>
      </c>
      <c r="E186" s="161" t="s">
        <v>237</v>
      </c>
      <c r="F186" s="160">
        <v>35.83</v>
      </c>
      <c r="G186" s="161" t="s">
        <v>374</v>
      </c>
      <c r="H186" s="161" t="s">
        <v>2817</v>
      </c>
      <c r="I186" s="161" t="s">
        <v>2817</v>
      </c>
      <c r="J186" s="160">
        <v>5.4139999999999997</v>
      </c>
      <c r="K186" s="161" t="s">
        <v>374</v>
      </c>
      <c r="L186" s="160">
        <v>5.4139999999999997</v>
      </c>
      <c r="M186" s="161" t="s">
        <v>374</v>
      </c>
      <c r="N186" s="160">
        <v>99999</v>
      </c>
      <c r="O186" s="160">
        <v>0</v>
      </c>
      <c r="P186" s="160">
        <v>0</v>
      </c>
      <c r="Q186" s="161" t="s">
        <v>237</v>
      </c>
    </row>
    <row r="187" spans="2:17" x14ac:dyDescent="0.3">
      <c r="B187" s="188">
        <v>324523</v>
      </c>
      <c r="C187" s="158" t="s">
        <v>137</v>
      </c>
      <c r="D187" s="160">
        <v>0</v>
      </c>
      <c r="E187" s="161" t="s">
        <v>237</v>
      </c>
      <c r="F187" s="160">
        <v>0</v>
      </c>
      <c r="G187" s="161" t="s">
        <v>555</v>
      </c>
      <c r="H187" s="161" t="s">
        <v>236</v>
      </c>
      <c r="I187" s="161" t="s">
        <v>236</v>
      </c>
      <c r="J187" s="160">
        <v>0</v>
      </c>
      <c r="K187" s="161" t="s">
        <v>555</v>
      </c>
      <c r="L187" s="160">
        <v>0</v>
      </c>
      <c r="M187" s="161" t="s">
        <v>555</v>
      </c>
      <c r="N187" s="160">
        <v>0</v>
      </c>
      <c r="O187" s="160">
        <v>99999</v>
      </c>
      <c r="P187" s="160">
        <v>365415.91</v>
      </c>
      <c r="Q187" s="161" t="s">
        <v>237</v>
      </c>
    </row>
    <row r="188" spans="2:17" x14ac:dyDescent="0.3">
      <c r="B188" s="188">
        <v>324638</v>
      </c>
      <c r="C188" s="158" t="s">
        <v>102</v>
      </c>
      <c r="D188" s="160">
        <v>17222.400000000001</v>
      </c>
      <c r="E188" s="161" t="s">
        <v>237</v>
      </c>
      <c r="F188" s="160">
        <v>26496</v>
      </c>
      <c r="G188" s="161" t="s">
        <v>380</v>
      </c>
      <c r="H188" s="161" t="s">
        <v>2814</v>
      </c>
      <c r="I188" s="161" t="s">
        <v>2797</v>
      </c>
      <c r="J188" s="160">
        <v>83904</v>
      </c>
      <c r="K188" s="161" t="s">
        <v>380</v>
      </c>
      <c r="L188" s="160">
        <v>77280</v>
      </c>
      <c r="M188" s="161" t="s">
        <v>380</v>
      </c>
      <c r="N188" s="160">
        <v>31</v>
      </c>
      <c r="O188" s="160">
        <v>3.54</v>
      </c>
      <c r="P188" s="160">
        <v>50319.74</v>
      </c>
      <c r="Q188" s="161" t="s">
        <v>237</v>
      </c>
    </row>
    <row r="189" spans="2:17" x14ac:dyDescent="0.3">
      <c r="B189" s="188">
        <v>324682</v>
      </c>
      <c r="C189" s="158" t="s">
        <v>252</v>
      </c>
      <c r="D189" s="160">
        <v>2864.4</v>
      </c>
      <c r="E189" s="161" t="s">
        <v>237</v>
      </c>
      <c r="F189" s="160">
        <v>9240</v>
      </c>
      <c r="G189" s="161" t="s">
        <v>380</v>
      </c>
      <c r="H189" s="161" t="s">
        <v>2760</v>
      </c>
      <c r="I189" s="161" t="s">
        <v>2741</v>
      </c>
      <c r="J189" s="160">
        <v>18480</v>
      </c>
      <c r="K189" s="161" t="s">
        <v>380</v>
      </c>
      <c r="L189" s="160">
        <v>18480</v>
      </c>
      <c r="M189" s="161" t="s">
        <v>380</v>
      </c>
      <c r="N189" s="160">
        <v>52</v>
      </c>
      <c r="O189" s="160">
        <v>2.5</v>
      </c>
      <c r="P189" s="160">
        <v>5082</v>
      </c>
      <c r="Q189" s="161" t="s">
        <v>237</v>
      </c>
    </row>
    <row r="190" spans="2:17" x14ac:dyDescent="0.3">
      <c r="B190" s="188">
        <v>324730</v>
      </c>
      <c r="C190" s="158" t="s">
        <v>1403</v>
      </c>
      <c r="D190" s="160">
        <v>0</v>
      </c>
      <c r="E190" s="161" t="s">
        <v>237</v>
      </c>
      <c r="F190" s="160">
        <v>0</v>
      </c>
      <c r="G190" s="161" t="s">
        <v>555</v>
      </c>
      <c r="H190" s="161" t="s">
        <v>236</v>
      </c>
      <c r="I190" s="161" t="s">
        <v>236</v>
      </c>
      <c r="J190" s="160">
        <v>0</v>
      </c>
      <c r="K190" s="161" t="s">
        <v>555</v>
      </c>
      <c r="L190" s="160">
        <v>0</v>
      </c>
      <c r="M190" s="161" t="s">
        <v>555</v>
      </c>
      <c r="N190" s="160">
        <v>0</v>
      </c>
      <c r="O190" s="160">
        <v>99999</v>
      </c>
      <c r="P190" s="160">
        <v>75.2</v>
      </c>
      <c r="Q190" s="161" t="s">
        <v>237</v>
      </c>
    </row>
    <row r="191" spans="2:17" x14ac:dyDescent="0.3">
      <c r="B191" s="188">
        <v>325511</v>
      </c>
      <c r="C191" s="158" t="s">
        <v>2065</v>
      </c>
      <c r="D191" s="160">
        <v>990</v>
      </c>
      <c r="E191" s="161" t="s">
        <v>237</v>
      </c>
      <c r="F191" s="160">
        <v>5500</v>
      </c>
      <c r="G191" s="161" t="s">
        <v>380</v>
      </c>
      <c r="H191" s="161" t="s">
        <v>2547</v>
      </c>
      <c r="I191" s="161" t="s">
        <v>2759</v>
      </c>
      <c r="J191" s="160">
        <v>5500</v>
      </c>
      <c r="K191" s="161" t="s">
        <v>380</v>
      </c>
      <c r="L191" s="160">
        <v>0</v>
      </c>
      <c r="M191" s="161" t="s">
        <v>380</v>
      </c>
      <c r="N191" s="160">
        <v>104</v>
      </c>
      <c r="O191" s="160">
        <v>0.67</v>
      </c>
      <c r="P191" s="160">
        <v>880</v>
      </c>
      <c r="Q191" s="161" t="s">
        <v>237</v>
      </c>
    </row>
    <row r="192" spans="2:17" x14ac:dyDescent="0.3">
      <c r="B192" s="188">
        <v>328420</v>
      </c>
      <c r="C192" s="158" t="s">
        <v>1911</v>
      </c>
      <c r="D192" s="160">
        <v>0</v>
      </c>
      <c r="E192" s="161" t="s">
        <v>237</v>
      </c>
      <c r="F192" s="160">
        <v>0</v>
      </c>
      <c r="G192" s="161" t="s">
        <v>380</v>
      </c>
      <c r="H192" s="161" t="s">
        <v>1995</v>
      </c>
      <c r="I192" s="161" t="s">
        <v>1992</v>
      </c>
      <c r="J192" s="160">
        <v>0</v>
      </c>
      <c r="K192" s="161" t="s">
        <v>380</v>
      </c>
      <c r="L192" s="160">
        <v>0</v>
      </c>
      <c r="M192" s="161" t="s">
        <v>380</v>
      </c>
      <c r="N192" s="160">
        <v>0</v>
      </c>
      <c r="O192" s="160">
        <v>0</v>
      </c>
      <c r="P192" s="160">
        <v>0</v>
      </c>
      <c r="Q192" s="161" t="s">
        <v>237</v>
      </c>
    </row>
    <row r="193" spans="2:17" x14ac:dyDescent="0.3">
      <c r="B193" s="188">
        <v>328482</v>
      </c>
      <c r="C193" s="158" t="s">
        <v>2066</v>
      </c>
      <c r="D193" s="160">
        <v>0</v>
      </c>
      <c r="E193" s="161" t="s">
        <v>237</v>
      </c>
      <c r="F193" s="160">
        <v>0</v>
      </c>
      <c r="G193" s="161" t="s">
        <v>380</v>
      </c>
      <c r="H193" s="161" t="s">
        <v>1655</v>
      </c>
      <c r="I193" s="161" t="s">
        <v>1503</v>
      </c>
      <c r="J193" s="160">
        <v>0</v>
      </c>
      <c r="K193" s="161" t="s">
        <v>380</v>
      </c>
      <c r="L193" s="160">
        <v>0</v>
      </c>
      <c r="M193" s="161" t="s">
        <v>380</v>
      </c>
      <c r="N193" s="160">
        <v>0</v>
      </c>
      <c r="O193" s="160">
        <v>0</v>
      </c>
      <c r="P193" s="160">
        <v>0</v>
      </c>
      <c r="Q193" s="161" t="s">
        <v>237</v>
      </c>
    </row>
    <row r="194" spans="2:17" x14ac:dyDescent="0.3">
      <c r="B194" s="188">
        <v>328487</v>
      </c>
      <c r="C194" s="158" t="s">
        <v>1912</v>
      </c>
      <c r="D194" s="160">
        <v>0</v>
      </c>
      <c r="E194" s="161" t="s">
        <v>237</v>
      </c>
      <c r="F194" s="160">
        <v>0</v>
      </c>
      <c r="G194" s="161" t="s">
        <v>380</v>
      </c>
      <c r="H194" s="161" t="s">
        <v>1992</v>
      </c>
      <c r="I194" s="161" t="s">
        <v>1992</v>
      </c>
      <c r="J194" s="160">
        <v>0</v>
      </c>
      <c r="K194" s="161" t="s">
        <v>380</v>
      </c>
      <c r="L194" s="160">
        <v>0</v>
      </c>
      <c r="M194" s="161" t="s">
        <v>380</v>
      </c>
      <c r="N194" s="160">
        <v>0</v>
      </c>
      <c r="O194" s="160">
        <v>0</v>
      </c>
      <c r="P194" s="160">
        <v>0</v>
      </c>
      <c r="Q194" s="161" t="s">
        <v>237</v>
      </c>
    </row>
    <row r="195" spans="2:17" x14ac:dyDescent="0.3">
      <c r="B195" s="188">
        <v>329667</v>
      </c>
      <c r="C195" s="158" t="s">
        <v>2067</v>
      </c>
      <c r="D195" s="160">
        <v>0</v>
      </c>
      <c r="E195" s="161" t="s">
        <v>237</v>
      </c>
      <c r="F195" s="160">
        <v>0</v>
      </c>
      <c r="G195" s="161" t="s">
        <v>380</v>
      </c>
      <c r="H195" s="161" t="s">
        <v>2680</v>
      </c>
      <c r="I195" s="161" t="s">
        <v>2706</v>
      </c>
      <c r="J195" s="160">
        <v>6900</v>
      </c>
      <c r="K195" s="161" t="s">
        <v>380</v>
      </c>
      <c r="L195" s="160">
        <v>0</v>
      </c>
      <c r="M195" s="161" t="s">
        <v>380</v>
      </c>
      <c r="N195" s="160">
        <v>0</v>
      </c>
      <c r="O195" s="160">
        <v>4</v>
      </c>
      <c r="P195" s="160">
        <v>3036</v>
      </c>
      <c r="Q195" s="161" t="s">
        <v>237</v>
      </c>
    </row>
    <row r="196" spans="2:17" x14ac:dyDescent="0.3">
      <c r="B196" s="188">
        <v>329970</v>
      </c>
      <c r="C196" s="158" t="s">
        <v>2068</v>
      </c>
      <c r="D196" s="160">
        <v>0</v>
      </c>
      <c r="E196" s="161" t="s">
        <v>237</v>
      </c>
      <c r="F196" s="160">
        <v>0</v>
      </c>
      <c r="G196" s="161" t="s">
        <v>380</v>
      </c>
      <c r="H196" s="161" t="s">
        <v>2635</v>
      </c>
      <c r="I196" s="161" t="s">
        <v>2632</v>
      </c>
      <c r="J196" s="160">
        <v>0</v>
      </c>
      <c r="K196" s="161" t="s">
        <v>380</v>
      </c>
      <c r="L196" s="160">
        <v>0</v>
      </c>
      <c r="M196" s="161" t="s">
        <v>380</v>
      </c>
      <c r="N196" s="160">
        <v>0</v>
      </c>
      <c r="O196" s="160">
        <v>0</v>
      </c>
      <c r="P196" s="160">
        <v>0</v>
      </c>
      <c r="Q196" s="161" t="s">
        <v>237</v>
      </c>
    </row>
    <row r="197" spans="2:17" x14ac:dyDescent="0.3">
      <c r="B197" s="188">
        <v>330830</v>
      </c>
      <c r="C197" s="158" t="s">
        <v>202</v>
      </c>
      <c r="D197" s="160">
        <v>4516.12</v>
      </c>
      <c r="E197" s="161" t="s">
        <v>237</v>
      </c>
      <c r="F197" s="160">
        <v>122.057</v>
      </c>
      <c r="G197" s="161" t="s">
        <v>374</v>
      </c>
      <c r="H197" s="161" t="s">
        <v>2798</v>
      </c>
      <c r="I197" s="161" t="s">
        <v>2798</v>
      </c>
      <c r="J197" s="160">
        <v>1017.3</v>
      </c>
      <c r="K197" s="161" t="s">
        <v>374</v>
      </c>
      <c r="L197" s="160">
        <v>731.8</v>
      </c>
      <c r="M197" s="161" t="s">
        <v>374</v>
      </c>
      <c r="N197" s="160">
        <v>21</v>
      </c>
      <c r="O197" s="160">
        <v>1.96</v>
      </c>
      <c r="P197" s="160">
        <v>19813.490000000002</v>
      </c>
      <c r="Q197" s="161" t="s">
        <v>237</v>
      </c>
    </row>
    <row r="198" spans="2:17" x14ac:dyDescent="0.3">
      <c r="B198" s="188">
        <v>330867</v>
      </c>
      <c r="C198" s="158" t="s">
        <v>2069</v>
      </c>
      <c r="D198" s="160">
        <v>0</v>
      </c>
      <c r="E198" s="161" t="s">
        <v>237</v>
      </c>
      <c r="F198" s="160">
        <v>0</v>
      </c>
      <c r="G198" s="161" t="s">
        <v>380</v>
      </c>
      <c r="H198" s="161" t="s">
        <v>1556</v>
      </c>
      <c r="I198" s="161" t="s">
        <v>1556</v>
      </c>
      <c r="J198" s="160">
        <v>0</v>
      </c>
      <c r="K198" s="161" t="s">
        <v>380</v>
      </c>
      <c r="L198" s="160">
        <v>0</v>
      </c>
      <c r="M198" s="161" t="s">
        <v>380</v>
      </c>
      <c r="N198" s="160">
        <v>0</v>
      </c>
      <c r="O198" s="160">
        <v>0</v>
      </c>
      <c r="P198" s="160">
        <v>0</v>
      </c>
      <c r="Q198" s="161" t="s">
        <v>237</v>
      </c>
    </row>
    <row r="199" spans="2:17" x14ac:dyDescent="0.3">
      <c r="B199" s="188">
        <v>330920</v>
      </c>
      <c r="C199" s="158" t="s">
        <v>2070</v>
      </c>
      <c r="D199" s="160">
        <v>0</v>
      </c>
      <c r="E199" s="161" t="s">
        <v>237</v>
      </c>
      <c r="F199" s="160">
        <v>0</v>
      </c>
      <c r="G199" s="161" t="s">
        <v>380</v>
      </c>
      <c r="H199" s="161" t="s">
        <v>1468</v>
      </c>
      <c r="I199" s="161" t="s">
        <v>1504</v>
      </c>
      <c r="J199" s="160">
        <v>0</v>
      </c>
      <c r="K199" s="161" t="s">
        <v>380</v>
      </c>
      <c r="L199" s="160">
        <v>0</v>
      </c>
      <c r="M199" s="161" t="s">
        <v>380</v>
      </c>
      <c r="N199" s="160">
        <v>0</v>
      </c>
      <c r="O199" s="160">
        <v>0</v>
      </c>
      <c r="P199" s="160">
        <v>0</v>
      </c>
      <c r="Q199" s="161" t="s">
        <v>237</v>
      </c>
    </row>
    <row r="200" spans="2:17" x14ac:dyDescent="0.3">
      <c r="B200" s="188">
        <v>330922</v>
      </c>
      <c r="C200" s="158" t="s">
        <v>196</v>
      </c>
      <c r="D200" s="160">
        <v>0</v>
      </c>
      <c r="E200" s="161" t="s">
        <v>237</v>
      </c>
      <c r="F200" s="160">
        <v>0</v>
      </c>
      <c r="G200" s="161" t="s">
        <v>380</v>
      </c>
      <c r="H200" s="161" t="s">
        <v>2640</v>
      </c>
      <c r="I200" s="161" t="s">
        <v>2675</v>
      </c>
      <c r="J200" s="160">
        <v>0</v>
      </c>
      <c r="K200" s="161" t="s">
        <v>380</v>
      </c>
      <c r="L200" s="160">
        <v>0</v>
      </c>
      <c r="M200" s="161" t="s">
        <v>380</v>
      </c>
      <c r="N200" s="160">
        <v>0</v>
      </c>
      <c r="O200" s="160">
        <v>0</v>
      </c>
      <c r="P200" s="160">
        <v>0</v>
      </c>
      <c r="Q200" s="161" t="s">
        <v>237</v>
      </c>
    </row>
    <row r="201" spans="2:17" x14ac:dyDescent="0.3">
      <c r="B201" s="188">
        <v>331724</v>
      </c>
      <c r="C201" s="158" t="s">
        <v>221</v>
      </c>
      <c r="D201" s="160">
        <v>484735.78</v>
      </c>
      <c r="E201" s="161" t="s">
        <v>237</v>
      </c>
      <c r="F201" s="160">
        <v>106179.37699999999</v>
      </c>
      <c r="G201" s="161" t="s">
        <v>374</v>
      </c>
      <c r="H201" s="161" t="s">
        <v>2739</v>
      </c>
      <c r="I201" s="161" t="s">
        <v>2595</v>
      </c>
      <c r="J201" s="160">
        <v>606024.44700000004</v>
      </c>
      <c r="K201" s="161" t="s">
        <v>374</v>
      </c>
      <c r="L201" s="160">
        <v>513700</v>
      </c>
      <c r="M201" s="161" t="s">
        <v>374</v>
      </c>
      <c r="N201" s="160">
        <v>34</v>
      </c>
      <c r="O201" s="160">
        <v>2.04</v>
      </c>
      <c r="P201" s="160">
        <v>1301756.1100000001</v>
      </c>
      <c r="Q201" s="161" t="s">
        <v>237</v>
      </c>
    </row>
    <row r="202" spans="2:17" x14ac:dyDescent="0.3">
      <c r="B202" s="188">
        <v>332190</v>
      </c>
      <c r="C202" s="158" t="s">
        <v>2071</v>
      </c>
      <c r="D202" s="160">
        <v>0</v>
      </c>
      <c r="E202" s="161" t="s">
        <v>237</v>
      </c>
      <c r="F202" s="160">
        <v>0</v>
      </c>
      <c r="G202" s="161" t="s">
        <v>380</v>
      </c>
      <c r="H202" s="161" t="s">
        <v>1470</v>
      </c>
      <c r="I202" s="161" t="s">
        <v>1477</v>
      </c>
      <c r="J202" s="160">
        <v>0</v>
      </c>
      <c r="K202" s="161" t="s">
        <v>380</v>
      </c>
      <c r="L202" s="160">
        <v>0</v>
      </c>
      <c r="M202" s="161" t="s">
        <v>380</v>
      </c>
      <c r="N202" s="160">
        <v>0</v>
      </c>
      <c r="O202" s="160">
        <v>0</v>
      </c>
      <c r="P202" s="160">
        <v>0</v>
      </c>
      <c r="Q202" s="161" t="s">
        <v>237</v>
      </c>
    </row>
    <row r="203" spans="2:17" x14ac:dyDescent="0.3">
      <c r="B203" s="188">
        <v>333702</v>
      </c>
      <c r="C203" s="158" t="s">
        <v>2072</v>
      </c>
      <c r="D203" s="160">
        <v>0</v>
      </c>
      <c r="E203" s="161" t="s">
        <v>237</v>
      </c>
      <c r="F203" s="160">
        <v>0</v>
      </c>
      <c r="G203" s="161" t="s">
        <v>380</v>
      </c>
      <c r="H203" s="161" t="s">
        <v>1684</v>
      </c>
      <c r="I203" s="161" t="s">
        <v>1646</v>
      </c>
      <c r="J203" s="160">
        <v>0</v>
      </c>
      <c r="K203" s="161" t="s">
        <v>380</v>
      </c>
      <c r="L203" s="160">
        <v>0</v>
      </c>
      <c r="M203" s="161" t="s">
        <v>380</v>
      </c>
      <c r="N203" s="160">
        <v>0</v>
      </c>
      <c r="O203" s="160">
        <v>0</v>
      </c>
      <c r="P203" s="160">
        <v>0</v>
      </c>
      <c r="Q203" s="161" t="s">
        <v>237</v>
      </c>
    </row>
    <row r="204" spans="2:17" x14ac:dyDescent="0.3">
      <c r="B204" s="188">
        <v>333745</v>
      </c>
      <c r="C204" s="158" t="s">
        <v>2073</v>
      </c>
      <c r="D204" s="160">
        <v>0</v>
      </c>
      <c r="E204" s="161" t="s">
        <v>237</v>
      </c>
      <c r="F204" s="160">
        <v>0</v>
      </c>
      <c r="G204" s="161" t="s">
        <v>380</v>
      </c>
      <c r="H204" s="161" t="s">
        <v>1478</v>
      </c>
      <c r="I204" s="161" t="s">
        <v>1685</v>
      </c>
      <c r="J204" s="160">
        <v>0</v>
      </c>
      <c r="K204" s="161" t="s">
        <v>380</v>
      </c>
      <c r="L204" s="160">
        <v>0</v>
      </c>
      <c r="M204" s="161" t="s">
        <v>380</v>
      </c>
      <c r="N204" s="160">
        <v>0</v>
      </c>
      <c r="O204" s="160">
        <v>0</v>
      </c>
      <c r="P204" s="160">
        <v>0</v>
      </c>
      <c r="Q204" s="161" t="s">
        <v>237</v>
      </c>
    </row>
    <row r="205" spans="2:17" x14ac:dyDescent="0.3">
      <c r="B205" s="188">
        <v>334550</v>
      </c>
      <c r="C205" s="158" t="s">
        <v>2074</v>
      </c>
      <c r="D205" s="160">
        <v>0</v>
      </c>
      <c r="E205" s="161" t="s">
        <v>237</v>
      </c>
      <c r="F205" s="160">
        <v>0</v>
      </c>
      <c r="G205" s="161" t="s">
        <v>380</v>
      </c>
      <c r="H205" s="161" t="s">
        <v>1686</v>
      </c>
      <c r="I205" s="161" t="s">
        <v>1687</v>
      </c>
      <c r="J205" s="160">
        <v>0</v>
      </c>
      <c r="K205" s="161" t="s">
        <v>380</v>
      </c>
      <c r="L205" s="160">
        <v>0</v>
      </c>
      <c r="M205" s="161" t="s">
        <v>380</v>
      </c>
      <c r="N205" s="160">
        <v>0</v>
      </c>
      <c r="O205" s="160">
        <v>0</v>
      </c>
      <c r="P205" s="160">
        <v>0</v>
      </c>
      <c r="Q205" s="161" t="s">
        <v>237</v>
      </c>
    </row>
    <row r="206" spans="2:17" x14ac:dyDescent="0.3">
      <c r="B206" s="188">
        <v>334752</v>
      </c>
      <c r="C206" s="158" t="s">
        <v>2486</v>
      </c>
      <c r="D206" s="160">
        <v>0</v>
      </c>
      <c r="E206" s="161" t="s">
        <v>237</v>
      </c>
      <c r="F206" s="160">
        <v>0</v>
      </c>
      <c r="G206" s="161" t="s">
        <v>380</v>
      </c>
      <c r="H206" s="161" t="s">
        <v>2496</v>
      </c>
      <c r="I206" s="161" t="s">
        <v>2496</v>
      </c>
      <c r="J206" s="160">
        <v>0</v>
      </c>
      <c r="K206" s="161" t="s">
        <v>380</v>
      </c>
      <c r="L206" s="160">
        <v>0</v>
      </c>
      <c r="M206" s="161" t="s">
        <v>380</v>
      </c>
      <c r="N206" s="160">
        <v>0</v>
      </c>
      <c r="O206" s="160">
        <v>0</v>
      </c>
      <c r="P206" s="160">
        <v>0</v>
      </c>
      <c r="Q206" s="161" t="s">
        <v>237</v>
      </c>
    </row>
    <row r="207" spans="2:17" x14ac:dyDescent="0.3">
      <c r="B207" s="188">
        <v>335835</v>
      </c>
      <c r="C207" s="158" t="s">
        <v>105</v>
      </c>
      <c r="D207" s="160">
        <v>3889.33</v>
      </c>
      <c r="E207" s="161" t="s">
        <v>237</v>
      </c>
      <c r="F207" s="160">
        <v>79.858999999999995</v>
      </c>
      <c r="G207" s="161" t="s">
        <v>374</v>
      </c>
      <c r="H207" s="161" t="s">
        <v>2815</v>
      </c>
      <c r="I207" s="161" t="s">
        <v>2799</v>
      </c>
      <c r="J207" s="160">
        <v>54.137</v>
      </c>
      <c r="K207" s="161" t="s">
        <v>374</v>
      </c>
      <c r="L207" s="160">
        <v>80.481999999999999</v>
      </c>
      <c r="M207" s="161" t="s">
        <v>374</v>
      </c>
      <c r="N207" s="160">
        <v>339</v>
      </c>
      <c r="O207" s="160">
        <v>0.27</v>
      </c>
      <c r="P207" s="160">
        <v>1054.6400000000001</v>
      </c>
      <c r="Q207" s="161" t="s">
        <v>237</v>
      </c>
    </row>
    <row r="208" spans="2:17" x14ac:dyDescent="0.3">
      <c r="B208" s="188">
        <v>337468</v>
      </c>
      <c r="C208" s="158" t="s">
        <v>106</v>
      </c>
      <c r="D208" s="160">
        <v>4179.6000000000004</v>
      </c>
      <c r="E208" s="161" t="s">
        <v>237</v>
      </c>
      <c r="F208" s="160">
        <v>72000</v>
      </c>
      <c r="G208" s="161" t="s">
        <v>380</v>
      </c>
      <c r="H208" s="161" t="s">
        <v>2589</v>
      </c>
      <c r="I208" s="161" t="s">
        <v>2808</v>
      </c>
      <c r="J208" s="160">
        <v>33600</v>
      </c>
      <c r="K208" s="161" t="s">
        <v>380</v>
      </c>
      <c r="L208" s="160">
        <v>0</v>
      </c>
      <c r="M208" s="161" t="s">
        <v>380</v>
      </c>
      <c r="N208" s="160">
        <v>197</v>
      </c>
      <c r="O208" s="160">
        <v>0.37</v>
      </c>
      <c r="P208" s="160">
        <v>1950.48</v>
      </c>
      <c r="Q208" s="161" t="s">
        <v>237</v>
      </c>
    </row>
    <row r="209" spans="2:17" x14ac:dyDescent="0.3">
      <c r="B209" s="188">
        <v>337470</v>
      </c>
      <c r="C209" s="158" t="s">
        <v>2075</v>
      </c>
      <c r="D209" s="160">
        <v>0</v>
      </c>
      <c r="E209" s="161" t="s">
        <v>237</v>
      </c>
      <c r="F209" s="160">
        <v>0</v>
      </c>
      <c r="G209" s="161" t="s">
        <v>380</v>
      </c>
      <c r="H209" s="161" t="s">
        <v>1621</v>
      </c>
      <c r="I209" s="161" t="s">
        <v>1940</v>
      </c>
      <c r="J209" s="160">
        <v>0</v>
      </c>
      <c r="K209" s="161" t="s">
        <v>380</v>
      </c>
      <c r="L209" s="160">
        <v>0</v>
      </c>
      <c r="M209" s="161" t="s">
        <v>380</v>
      </c>
      <c r="N209" s="160">
        <v>0</v>
      </c>
      <c r="O209" s="160">
        <v>0</v>
      </c>
      <c r="P209" s="160">
        <v>0</v>
      </c>
      <c r="Q209" s="161" t="s">
        <v>237</v>
      </c>
    </row>
    <row r="210" spans="2:17" x14ac:dyDescent="0.3">
      <c r="B210" s="188">
        <v>339253</v>
      </c>
      <c r="C210" s="158" t="s">
        <v>1985</v>
      </c>
      <c r="D210" s="160">
        <v>0</v>
      </c>
      <c r="E210" s="161" t="s">
        <v>237</v>
      </c>
      <c r="F210" s="160">
        <v>7786</v>
      </c>
      <c r="G210" s="161" t="s">
        <v>380</v>
      </c>
      <c r="H210" s="161" t="s">
        <v>2745</v>
      </c>
      <c r="I210" s="161" t="s">
        <v>236</v>
      </c>
      <c r="J210" s="160">
        <v>-1332</v>
      </c>
      <c r="K210" s="161" t="s">
        <v>380</v>
      </c>
      <c r="L210" s="160">
        <v>-546</v>
      </c>
      <c r="M210" s="161" t="s">
        <v>380</v>
      </c>
      <c r="N210" s="160">
        <v>0</v>
      </c>
      <c r="O210" s="160">
        <v>0</v>
      </c>
      <c r="P210" s="160">
        <v>0</v>
      </c>
      <c r="Q210" s="161" t="s">
        <v>237</v>
      </c>
    </row>
    <row r="211" spans="2:17" x14ac:dyDescent="0.3">
      <c r="B211" s="188">
        <v>340302</v>
      </c>
      <c r="C211" s="158" t="s">
        <v>107</v>
      </c>
      <c r="D211" s="160">
        <v>0</v>
      </c>
      <c r="E211" s="161" t="s">
        <v>237</v>
      </c>
      <c r="F211" s="160">
        <v>12301</v>
      </c>
      <c r="G211" s="161" t="s">
        <v>380</v>
      </c>
      <c r="H211" s="161" t="s">
        <v>2755</v>
      </c>
      <c r="I211" s="161" t="s">
        <v>1502</v>
      </c>
      <c r="J211" s="160">
        <v>170</v>
      </c>
      <c r="K211" s="161" t="s">
        <v>380</v>
      </c>
      <c r="L211" s="160">
        <v>1170</v>
      </c>
      <c r="M211" s="161" t="s">
        <v>380</v>
      </c>
      <c r="N211" s="160">
        <v>0</v>
      </c>
      <c r="O211" s="160">
        <v>0</v>
      </c>
      <c r="P211" s="160">
        <v>0</v>
      </c>
      <c r="Q211" s="161" t="s">
        <v>237</v>
      </c>
    </row>
    <row r="212" spans="2:17" x14ac:dyDescent="0.3">
      <c r="B212" s="188">
        <v>340460</v>
      </c>
      <c r="C212" s="158" t="s">
        <v>1283</v>
      </c>
      <c r="D212" s="160">
        <v>13804</v>
      </c>
      <c r="E212" s="161" t="s">
        <v>237</v>
      </c>
      <c r="F212" s="160">
        <v>81200</v>
      </c>
      <c r="G212" s="161" t="s">
        <v>380</v>
      </c>
      <c r="H212" s="161" t="s">
        <v>2798</v>
      </c>
      <c r="I212" s="161" t="s">
        <v>2799</v>
      </c>
      <c r="J212" s="160">
        <v>60900</v>
      </c>
      <c r="K212" s="161" t="s">
        <v>380</v>
      </c>
      <c r="L212" s="160">
        <v>142100</v>
      </c>
      <c r="M212" s="161" t="s">
        <v>380</v>
      </c>
      <c r="N212" s="160">
        <v>130</v>
      </c>
      <c r="O212" s="160">
        <v>2.4</v>
      </c>
      <c r="P212" s="160">
        <v>9744</v>
      </c>
      <c r="Q212" s="161" t="s">
        <v>237</v>
      </c>
    </row>
    <row r="213" spans="2:17" x14ac:dyDescent="0.3">
      <c r="B213" s="188">
        <v>340979</v>
      </c>
      <c r="C213" s="158" t="s">
        <v>1986</v>
      </c>
      <c r="D213" s="160">
        <v>0</v>
      </c>
      <c r="E213" s="161" t="s">
        <v>237</v>
      </c>
      <c r="F213" s="160">
        <v>4711</v>
      </c>
      <c r="G213" s="161" t="s">
        <v>380</v>
      </c>
      <c r="H213" s="161" t="s">
        <v>2714</v>
      </c>
      <c r="I213" s="161" t="s">
        <v>236</v>
      </c>
      <c r="J213" s="160">
        <v>2528</v>
      </c>
      <c r="K213" s="161" t="s">
        <v>380</v>
      </c>
      <c r="L213" s="160">
        <v>-334964</v>
      </c>
      <c r="M213" s="161" t="s">
        <v>380</v>
      </c>
      <c r="N213" s="160">
        <v>0</v>
      </c>
      <c r="O213" s="160">
        <v>0</v>
      </c>
      <c r="P213" s="160">
        <v>0</v>
      </c>
      <c r="Q213" s="161" t="s">
        <v>237</v>
      </c>
    </row>
    <row r="214" spans="2:17" x14ac:dyDescent="0.3">
      <c r="B214" s="188">
        <v>341134</v>
      </c>
      <c r="C214" s="158" t="s">
        <v>2076</v>
      </c>
      <c r="D214" s="160">
        <v>0</v>
      </c>
      <c r="E214" s="161" t="s">
        <v>237</v>
      </c>
      <c r="F214" s="160">
        <v>0</v>
      </c>
      <c r="G214" s="161" t="s">
        <v>380</v>
      </c>
      <c r="H214" s="161" t="s">
        <v>2642</v>
      </c>
      <c r="I214" s="161" t="s">
        <v>2625</v>
      </c>
      <c r="J214" s="160">
        <v>0</v>
      </c>
      <c r="K214" s="161" t="s">
        <v>380</v>
      </c>
      <c r="L214" s="160">
        <v>0</v>
      </c>
      <c r="M214" s="161" t="s">
        <v>380</v>
      </c>
      <c r="N214" s="160">
        <v>0</v>
      </c>
      <c r="O214" s="160">
        <v>0</v>
      </c>
      <c r="P214" s="160">
        <v>0</v>
      </c>
      <c r="Q214" s="161" t="s">
        <v>237</v>
      </c>
    </row>
    <row r="215" spans="2:17" x14ac:dyDescent="0.3">
      <c r="B215" s="188">
        <v>341157</v>
      </c>
      <c r="C215" s="158" t="s">
        <v>109</v>
      </c>
      <c r="D215" s="160">
        <v>31003.46</v>
      </c>
      <c r="E215" s="161" t="s">
        <v>237</v>
      </c>
      <c r="F215" s="160">
        <v>590400</v>
      </c>
      <c r="G215" s="161" t="s">
        <v>380</v>
      </c>
      <c r="H215" s="161" t="s">
        <v>2815</v>
      </c>
      <c r="I215" s="161" t="s">
        <v>2802</v>
      </c>
      <c r="J215" s="160">
        <v>408000</v>
      </c>
      <c r="K215" s="161" t="s">
        <v>380</v>
      </c>
      <c r="L215" s="160">
        <v>494400</v>
      </c>
      <c r="M215" s="161" t="s">
        <v>380</v>
      </c>
      <c r="N215" s="160">
        <v>138</v>
      </c>
      <c r="O215" s="160">
        <v>0.64</v>
      </c>
      <c r="P215" s="160">
        <v>20733.59</v>
      </c>
      <c r="Q215" s="161" t="s">
        <v>237</v>
      </c>
    </row>
    <row r="216" spans="2:17" x14ac:dyDescent="0.3">
      <c r="B216" s="188">
        <v>345523</v>
      </c>
      <c r="C216" s="158" t="s">
        <v>2077</v>
      </c>
      <c r="D216" s="160">
        <v>0</v>
      </c>
      <c r="E216" s="161" t="s">
        <v>237</v>
      </c>
      <c r="F216" s="160">
        <v>0</v>
      </c>
      <c r="G216" s="161" t="s">
        <v>380</v>
      </c>
      <c r="H216" s="161" t="s">
        <v>1496</v>
      </c>
      <c r="I216" s="161" t="s">
        <v>1496</v>
      </c>
      <c r="J216" s="160">
        <v>0</v>
      </c>
      <c r="K216" s="161" t="s">
        <v>380</v>
      </c>
      <c r="L216" s="160">
        <v>0</v>
      </c>
      <c r="M216" s="161" t="s">
        <v>380</v>
      </c>
      <c r="N216" s="160">
        <v>0</v>
      </c>
      <c r="O216" s="160">
        <v>0</v>
      </c>
      <c r="P216" s="160">
        <v>0</v>
      </c>
      <c r="Q216" s="161" t="s">
        <v>237</v>
      </c>
    </row>
    <row r="217" spans="2:17" x14ac:dyDescent="0.3">
      <c r="B217" s="188">
        <v>345537</v>
      </c>
      <c r="C217" s="158" t="s">
        <v>306</v>
      </c>
      <c r="D217" s="160">
        <v>0</v>
      </c>
      <c r="E217" s="161" t="s">
        <v>237</v>
      </c>
      <c r="F217" s="160">
        <v>0</v>
      </c>
      <c r="G217" s="161" t="s">
        <v>380</v>
      </c>
      <c r="H217" s="161" t="s">
        <v>1480</v>
      </c>
      <c r="I217" s="161" t="s">
        <v>2500</v>
      </c>
      <c r="J217" s="160">
        <v>0</v>
      </c>
      <c r="K217" s="161" t="s">
        <v>380</v>
      </c>
      <c r="L217" s="160">
        <v>0</v>
      </c>
      <c r="M217" s="161" t="s">
        <v>380</v>
      </c>
      <c r="N217" s="160">
        <v>0</v>
      </c>
      <c r="O217" s="160">
        <v>0</v>
      </c>
      <c r="P217" s="160">
        <v>0</v>
      </c>
      <c r="Q217" s="161" t="s">
        <v>237</v>
      </c>
    </row>
    <row r="218" spans="2:17" x14ac:dyDescent="0.3">
      <c r="B218" s="188">
        <v>347623</v>
      </c>
      <c r="C218" s="158" t="s">
        <v>110</v>
      </c>
      <c r="D218" s="160">
        <v>6072</v>
      </c>
      <c r="E218" s="161" t="s">
        <v>237</v>
      </c>
      <c r="F218" s="160">
        <v>20240</v>
      </c>
      <c r="G218" s="161" t="s">
        <v>380</v>
      </c>
      <c r="H218" s="161" t="s">
        <v>236</v>
      </c>
      <c r="I218" s="161" t="s">
        <v>236</v>
      </c>
      <c r="J218" s="160">
        <v>80960</v>
      </c>
      <c r="K218" s="161" t="s">
        <v>380</v>
      </c>
      <c r="L218" s="160">
        <v>101200</v>
      </c>
      <c r="M218" s="161" t="s">
        <v>380</v>
      </c>
      <c r="N218" s="160">
        <v>24</v>
      </c>
      <c r="O218" s="160">
        <v>4</v>
      </c>
      <c r="P218" s="160">
        <v>23680.799999999999</v>
      </c>
      <c r="Q218" s="161" t="s">
        <v>237</v>
      </c>
    </row>
    <row r="219" spans="2:17" x14ac:dyDescent="0.3">
      <c r="B219" s="188">
        <v>359741</v>
      </c>
      <c r="C219" s="158" t="s">
        <v>1913</v>
      </c>
      <c r="D219" s="160">
        <v>0</v>
      </c>
      <c r="E219" s="161" t="s">
        <v>237</v>
      </c>
      <c r="F219" s="160">
        <v>0</v>
      </c>
      <c r="G219" s="161" t="s">
        <v>380</v>
      </c>
      <c r="H219" s="161" t="s">
        <v>1977</v>
      </c>
      <c r="I219" s="161" t="s">
        <v>1974</v>
      </c>
      <c r="J219" s="160">
        <v>0</v>
      </c>
      <c r="K219" s="161" t="s">
        <v>380</v>
      </c>
      <c r="L219" s="160">
        <v>0</v>
      </c>
      <c r="M219" s="161" t="s">
        <v>380</v>
      </c>
      <c r="N219" s="160">
        <v>0</v>
      </c>
      <c r="O219" s="160">
        <v>0</v>
      </c>
      <c r="P219" s="160">
        <v>0</v>
      </c>
      <c r="Q219" s="161" t="s">
        <v>237</v>
      </c>
    </row>
    <row r="220" spans="2:17" x14ac:dyDescent="0.3">
      <c r="B220" s="188">
        <v>359999</v>
      </c>
      <c r="C220" s="158" t="s">
        <v>2078</v>
      </c>
      <c r="D220" s="160">
        <v>0</v>
      </c>
      <c r="E220" s="161" t="s">
        <v>237</v>
      </c>
      <c r="F220" s="160">
        <v>0</v>
      </c>
      <c r="G220" s="161" t="s">
        <v>380</v>
      </c>
      <c r="H220" s="161" t="s">
        <v>1507</v>
      </c>
      <c r="I220" s="161" t="s">
        <v>1508</v>
      </c>
      <c r="J220" s="160">
        <v>0</v>
      </c>
      <c r="K220" s="161" t="s">
        <v>380</v>
      </c>
      <c r="L220" s="160">
        <v>0</v>
      </c>
      <c r="M220" s="161" t="s">
        <v>380</v>
      </c>
      <c r="N220" s="160">
        <v>0</v>
      </c>
      <c r="O220" s="160">
        <v>0</v>
      </c>
      <c r="P220" s="160">
        <v>0</v>
      </c>
      <c r="Q220" s="161" t="s">
        <v>237</v>
      </c>
    </row>
    <row r="221" spans="2:17" x14ac:dyDescent="0.3">
      <c r="B221" s="188">
        <v>361751</v>
      </c>
      <c r="C221" s="158" t="s">
        <v>2079</v>
      </c>
      <c r="D221" s="160">
        <v>0</v>
      </c>
      <c r="E221" s="161" t="s">
        <v>237</v>
      </c>
      <c r="F221" s="160">
        <v>0</v>
      </c>
      <c r="G221" s="161" t="s">
        <v>380</v>
      </c>
      <c r="H221" s="161" t="s">
        <v>1688</v>
      </c>
      <c r="I221" s="161" t="s">
        <v>1689</v>
      </c>
      <c r="J221" s="160">
        <v>0</v>
      </c>
      <c r="K221" s="161" t="s">
        <v>380</v>
      </c>
      <c r="L221" s="160">
        <v>0</v>
      </c>
      <c r="M221" s="161" t="s">
        <v>380</v>
      </c>
      <c r="N221" s="160">
        <v>0</v>
      </c>
      <c r="O221" s="160">
        <v>0</v>
      </c>
      <c r="P221" s="160">
        <v>0</v>
      </c>
      <c r="Q221" s="161" t="s">
        <v>237</v>
      </c>
    </row>
    <row r="222" spans="2:17" x14ac:dyDescent="0.3">
      <c r="B222" s="188">
        <v>365091</v>
      </c>
      <c r="C222" s="158" t="s">
        <v>195</v>
      </c>
      <c r="D222" s="160">
        <v>5953.5</v>
      </c>
      <c r="E222" s="161" t="s">
        <v>237</v>
      </c>
      <c r="F222" s="160">
        <v>17010</v>
      </c>
      <c r="G222" s="161" t="s">
        <v>380</v>
      </c>
      <c r="H222" s="161" t="s">
        <v>2758</v>
      </c>
      <c r="I222" s="161" t="s">
        <v>2752</v>
      </c>
      <c r="J222" s="160">
        <v>50715</v>
      </c>
      <c r="K222" s="161" t="s">
        <v>380</v>
      </c>
      <c r="L222" s="160">
        <v>50715</v>
      </c>
      <c r="M222" s="161" t="s">
        <v>380</v>
      </c>
      <c r="N222" s="160">
        <v>34</v>
      </c>
      <c r="O222" s="160">
        <v>2.68</v>
      </c>
      <c r="P222" s="160">
        <v>16228.8</v>
      </c>
      <c r="Q222" s="161" t="s">
        <v>237</v>
      </c>
    </row>
    <row r="223" spans="2:17" x14ac:dyDescent="0.3">
      <c r="B223" s="188">
        <v>365134</v>
      </c>
      <c r="C223" s="158" t="s">
        <v>216</v>
      </c>
      <c r="D223" s="160">
        <v>7028.36</v>
      </c>
      <c r="E223" s="161" t="s">
        <v>237</v>
      </c>
      <c r="F223" s="160">
        <v>17100</v>
      </c>
      <c r="G223" s="161" t="s">
        <v>380</v>
      </c>
      <c r="H223" s="161" t="s">
        <v>2747</v>
      </c>
      <c r="I223" s="161" t="s">
        <v>2752</v>
      </c>
      <c r="J223" s="160">
        <v>51300</v>
      </c>
      <c r="K223" s="161" t="s">
        <v>380</v>
      </c>
      <c r="L223" s="160">
        <v>51300</v>
      </c>
      <c r="M223" s="161" t="s">
        <v>380</v>
      </c>
      <c r="N223" s="160">
        <v>31</v>
      </c>
      <c r="O223" s="160">
        <v>3</v>
      </c>
      <c r="P223" s="160">
        <v>21101.1</v>
      </c>
      <c r="Q223" s="161" t="s">
        <v>237</v>
      </c>
    </row>
    <row r="224" spans="2:17" x14ac:dyDescent="0.3">
      <c r="B224" s="188">
        <v>368040</v>
      </c>
      <c r="C224" s="158" t="s">
        <v>2618</v>
      </c>
      <c r="D224" s="160">
        <v>0</v>
      </c>
      <c r="E224" s="161" t="s">
        <v>237</v>
      </c>
      <c r="F224" s="160">
        <v>0</v>
      </c>
      <c r="G224" s="161" t="s">
        <v>380</v>
      </c>
      <c r="H224" s="161" t="s">
        <v>2630</v>
      </c>
      <c r="I224" s="161" t="s">
        <v>2630</v>
      </c>
      <c r="J224" s="160">
        <v>0</v>
      </c>
      <c r="K224" s="161" t="s">
        <v>380</v>
      </c>
      <c r="L224" s="160">
        <v>0</v>
      </c>
      <c r="M224" s="161" t="s">
        <v>380</v>
      </c>
      <c r="N224" s="160">
        <v>0</v>
      </c>
      <c r="O224" s="160">
        <v>0</v>
      </c>
      <c r="P224" s="160">
        <v>0</v>
      </c>
      <c r="Q224" s="161" t="s">
        <v>237</v>
      </c>
    </row>
    <row r="225" spans="2:17" x14ac:dyDescent="0.3">
      <c r="B225" s="188">
        <v>369307</v>
      </c>
      <c r="C225" s="158" t="s">
        <v>2080</v>
      </c>
      <c r="D225" s="160">
        <v>0</v>
      </c>
      <c r="E225" s="161" t="s">
        <v>237</v>
      </c>
      <c r="F225" s="160">
        <v>0</v>
      </c>
      <c r="G225" s="161" t="s">
        <v>380</v>
      </c>
      <c r="H225" s="161" t="s">
        <v>2643</v>
      </c>
      <c r="I225" s="161" t="s">
        <v>2633</v>
      </c>
      <c r="J225" s="160">
        <v>0</v>
      </c>
      <c r="K225" s="161" t="s">
        <v>380</v>
      </c>
      <c r="L225" s="160">
        <v>0</v>
      </c>
      <c r="M225" s="161" t="s">
        <v>380</v>
      </c>
      <c r="N225" s="160">
        <v>0</v>
      </c>
      <c r="O225" s="160">
        <v>0</v>
      </c>
      <c r="P225" s="160">
        <v>0</v>
      </c>
      <c r="Q225" s="161" t="s">
        <v>237</v>
      </c>
    </row>
    <row r="226" spans="2:17" x14ac:dyDescent="0.3">
      <c r="B226" s="188">
        <v>369308</v>
      </c>
      <c r="C226" s="158" t="s">
        <v>312</v>
      </c>
      <c r="D226" s="160">
        <v>5356.8</v>
      </c>
      <c r="E226" s="161" t="s">
        <v>237</v>
      </c>
      <c r="F226" s="160">
        <v>17280</v>
      </c>
      <c r="G226" s="161" t="s">
        <v>380</v>
      </c>
      <c r="H226" s="161" t="s">
        <v>2800</v>
      </c>
      <c r="I226" s="161" t="s">
        <v>2800</v>
      </c>
      <c r="J226" s="160">
        <v>34560</v>
      </c>
      <c r="K226" s="161" t="s">
        <v>380</v>
      </c>
      <c r="L226" s="160">
        <v>34560</v>
      </c>
      <c r="M226" s="161" t="s">
        <v>380</v>
      </c>
      <c r="N226" s="160">
        <v>98</v>
      </c>
      <c r="O226" s="160">
        <v>2.67</v>
      </c>
      <c r="P226" s="160">
        <v>5011.2</v>
      </c>
      <c r="Q226" s="161" t="s">
        <v>237</v>
      </c>
    </row>
    <row r="227" spans="2:17" x14ac:dyDescent="0.3">
      <c r="B227" s="188">
        <v>369382</v>
      </c>
      <c r="C227" s="158" t="s">
        <v>224</v>
      </c>
      <c r="D227" s="160">
        <v>8977.24</v>
      </c>
      <c r="E227" s="161" t="s">
        <v>237</v>
      </c>
      <c r="F227" s="160">
        <v>123.227</v>
      </c>
      <c r="G227" s="161" t="s">
        <v>374</v>
      </c>
      <c r="H227" s="161" t="s">
        <v>2740</v>
      </c>
      <c r="I227" s="161" t="s">
        <v>2747</v>
      </c>
      <c r="J227" s="160">
        <v>27.093</v>
      </c>
      <c r="K227" s="161" t="s">
        <v>374</v>
      </c>
      <c r="L227" s="160">
        <v>62</v>
      </c>
      <c r="M227" s="161" t="s">
        <v>374</v>
      </c>
      <c r="N227" s="160">
        <v>1022</v>
      </c>
      <c r="O227" s="160">
        <v>0.1</v>
      </c>
      <c r="P227" s="160">
        <v>808.13</v>
      </c>
      <c r="Q227" s="161" t="s">
        <v>237</v>
      </c>
    </row>
    <row r="228" spans="2:17" x14ac:dyDescent="0.3">
      <c r="B228" s="188">
        <v>371002</v>
      </c>
      <c r="C228" s="158" t="s">
        <v>1216</v>
      </c>
      <c r="D228" s="160">
        <v>0</v>
      </c>
      <c r="E228" s="161" t="s">
        <v>237</v>
      </c>
      <c r="F228" s="160">
        <v>0</v>
      </c>
      <c r="G228" s="161" t="s">
        <v>380</v>
      </c>
      <c r="H228" s="161" t="s">
        <v>1944</v>
      </c>
      <c r="I228" s="161" t="s">
        <v>2634</v>
      </c>
      <c r="J228" s="160">
        <v>0</v>
      </c>
      <c r="K228" s="161" t="s">
        <v>380</v>
      </c>
      <c r="L228" s="160">
        <v>0</v>
      </c>
      <c r="M228" s="161" t="s">
        <v>380</v>
      </c>
      <c r="N228" s="160">
        <v>0</v>
      </c>
      <c r="O228" s="160">
        <v>0</v>
      </c>
      <c r="P228" s="160">
        <v>0</v>
      </c>
      <c r="Q228" s="161" t="s">
        <v>237</v>
      </c>
    </row>
    <row r="229" spans="2:17" x14ac:dyDescent="0.3">
      <c r="B229" s="188">
        <v>372120</v>
      </c>
      <c r="C229" s="158" t="s">
        <v>2081</v>
      </c>
      <c r="D229" s="160">
        <v>0</v>
      </c>
      <c r="E229" s="161" t="s">
        <v>237</v>
      </c>
      <c r="F229" s="160">
        <v>0</v>
      </c>
      <c r="G229" s="161" t="s">
        <v>380</v>
      </c>
      <c r="H229" s="161" t="s">
        <v>1684</v>
      </c>
      <c r="I229" s="161" t="s">
        <v>1646</v>
      </c>
      <c r="J229" s="160">
        <v>0</v>
      </c>
      <c r="K229" s="161" t="s">
        <v>380</v>
      </c>
      <c r="L229" s="160">
        <v>0</v>
      </c>
      <c r="M229" s="161" t="s">
        <v>380</v>
      </c>
      <c r="N229" s="160">
        <v>0</v>
      </c>
      <c r="O229" s="160">
        <v>0</v>
      </c>
      <c r="P229" s="160">
        <v>0</v>
      </c>
      <c r="Q229" s="161" t="s">
        <v>237</v>
      </c>
    </row>
    <row r="230" spans="2:17" x14ac:dyDescent="0.3">
      <c r="B230" s="188">
        <v>372952</v>
      </c>
      <c r="C230" s="158" t="s">
        <v>1914</v>
      </c>
      <c r="D230" s="160">
        <v>0</v>
      </c>
      <c r="E230" s="161" t="s">
        <v>237</v>
      </c>
      <c r="F230" s="160">
        <v>0</v>
      </c>
      <c r="G230" s="161" t="s">
        <v>380</v>
      </c>
      <c r="H230" s="161" t="s">
        <v>1942</v>
      </c>
      <c r="I230" s="161" t="s">
        <v>1965</v>
      </c>
      <c r="J230" s="160">
        <v>0</v>
      </c>
      <c r="K230" s="161" t="s">
        <v>380</v>
      </c>
      <c r="L230" s="160">
        <v>0</v>
      </c>
      <c r="M230" s="161" t="s">
        <v>380</v>
      </c>
      <c r="N230" s="160">
        <v>0</v>
      </c>
      <c r="O230" s="160">
        <v>0</v>
      </c>
      <c r="P230" s="160">
        <v>0</v>
      </c>
      <c r="Q230" s="161" t="s">
        <v>237</v>
      </c>
    </row>
    <row r="231" spans="2:17" x14ac:dyDescent="0.3">
      <c r="B231" s="188">
        <v>374617</v>
      </c>
      <c r="C231" s="158" t="s">
        <v>1915</v>
      </c>
      <c r="D231" s="160">
        <v>295147.15000000002</v>
      </c>
      <c r="E231" s="161" t="s">
        <v>237</v>
      </c>
      <c r="F231" s="160">
        <v>56059.108</v>
      </c>
      <c r="G231" s="161" t="s">
        <v>374</v>
      </c>
      <c r="H231" s="161" t="s">
        <v>2698</v>
      </c>
      <c r="I231" s="161" t="s">
        <v>236</v>
      </c>
      <c r="J231" s="160">
        <v>10615.892</v>
      </c>
      <c r="K231" s="161" t="s">
        <v>374</v>
      </c>
      <c r="L231" s="160">
        <v>55225</v>
      </c>
      <c r="M231" s="161" t="s">
        <v>374</v>
      </c>
      <c r="N231" s="160">
        <v>2157</v>
      </c>
      <c r="O231" s="160">
        <v>0.05</v>
      </c>
      <c r="P231" s="160">
        <v>12587.85</v>
      </c>
      <c r="Q231" s="161" t="s">
        <v>237</v>
      </c>
    </row>
    <row r="232" spans="2:17" x14ac:dyDescent="0.3">
      <c r="B232" s="188">
        <v>377477</v>
      </c>
      <c r="C232" s="158" t="s">
        <v>2082</v>
      </c>
      <c r="D232" s="160">
        <v>0</v>
      </c>
      <c r="E232" s="161" t="s">
        <v>237</v>
      </c>
      <c r="F232" s="160">
        <v>0</v>
      </c>
      <c r="G232" s="161" t="s">
        <v>380</v>
      </c>
      <c r="H232" s="161" t="s">
        <v>236</v>
      </c>
      <c r="I232" s="161" t="s">
        <v>1691</v>
      </c>
      <c r="J232" s="160">
        <v>0</v>
      </c>
      <c r="K232" s="161" t="s">
        <v>380</v>
      </c>
      <c r="L232" s="160">
        <v>0</v>
      </c>
      <c r="M232" s="161" t="s">
        <v>380</v>
      </c>
      <c r="N232" s="160">
        <v>0</v>
      </c>
      <c r="O232" s="160">
        <v>0</v>
      </c>
      <c r="P232" s="160">
        <v>0</v>
      </c>
      <c r="Q232" s="161" t="s">
        <v>237</v>
      </c>
    </row>
    <row r="233" spans="2:17" x14ac:dyDescent="0.3">
      <c r="B233" s="188">
        <v>379402</v>
      </c>
      <c r="C233" s="158" t="s">
        <v>114</v>
      </c>
      <c r="D233" s="160">
        <v>31655.64</v>
      </c>
      <c r="E233" s="161" t="s">
        <v>237</v>
      </c>
      <c r="F233" s="160">
        <v>4691.1540000000005</v>
      </c>
      <c r="G233" s="161" t="s">
        <v>374</v>
      </c>
      <c r="H233" s="161" t="s">
        <v>2800</v>
      </c>
      <c r="I233" s="161" t="s">
        <v>2798</v>
      </c>
      <c r="J233" s="160">
        <v>10842.103999999999</v>
      </c>
      <c r="K233" s="161" t="s">
        <v>374</v>
      </c>
      <c r="L233" s="160">
        <v>8934.9</v>
      </c>
      <c r="M233" s="161" t="s">
        <v>374</v>
      </c>
      <c r="N233" s="160">
        <v>105</v>
      </c>
      <c r="O233" s="160">
        <v>1.06</v>
      </c>
      <c r="P233" s="160">
        <v>27764.01</v>
      </c>
      <c r="Q233" s="161" t="s">
        <v>237</v>
      </c>
    </row>
    <row r="234" spans="2:17" x14ac:dyDescent="0.3">
      <c r="B234" s="188">
        <v>379514</v>
      </c>
      <c r="C234" s="158" t="s">
        <v>2083</v>
      </c>
      <c r="D234" s="160">
        <v>0</v>
      </c>
      <c r="E234" s="161" t="s">
        <v>237</v>
      </c>
      <c r="F234" s="160">
        <v>0</v>
      </c>
      <c r="G234" s="161" t="s">
        <v>380</v>
      </c>
      <c r="H234" s="161" t="s">
        <v>1498</v>
      </c>
      <c r="I234" s="161" t="s">
        <v>1477</v>
      </c>
      <c r="J234" s="160">
        <v>0</v>
      </c>
      <c r="K234" s="161" t="s">
        <v>380</v>
      </c>
      <c r="L234" s="160">
        <v>0</v>
      </c>
      <c r="M234" s="161" t="s">
        <v>380</v>
      </c>
      <c r="N234" s="160">
        <v>0</v>
      </c>
      <c r="O234" s="160">
        <v>0</v>
      </c>
      <c r="P234" s="160">
        <v>0</v>
      </c>
      <c r="Q234" s="161" t="s">
        <v>237</v>
      </c>
    </row>
    <row r="235" spans="2:17" x14ac:dyDescent="0.3">
      <c r="B235" s="188">
        <v>380849</v>
      </c>
      <c r="C235" s="158" t="s">
        <v>115</v>
      </c>
      <c r="D235" s="160">
        <v>0</v>
      </c>
      <c r="E235" s="161" t="s">
        <v>237</v>
      </c>
      <c r="F235" s="160">
        <v>2096</v>
      </c>
      <c r="G235" s="161" t="s">
        <v>380</v>
      </c>
      <c r="H235" s="161" t="s">
        <v>2639</v>
      </c>
      <c r="I235" s="161" t="s">
        <v>236</v>
      </c>
      <c r="J235" s="160">
        <v>-83</v>
      </c>
      <c r="K235" s="161" t="s">
        <v>380</v>
      </c>
      <c r="L235" s="160">
        <v>-83</v>
      </c>
      <c r="M235" s="161" t="s">
        <v>380</v>
      </c>
      <c r="N235" s="160">
        <v>0</v>
      </c>
      <c r="O235" s="160">
        <v>0</v>
      </c>
      <c r="P235" s="160">
        <v>0</v>
      </c>
      <c r="Q235" s="161" t="s">
        <v>237</v>
      </c>
    </row>
    <row r="236" spans="2:17" x14ac:dyDescent="0.3">
      <c r="B236" s="188">
        <v>380964</v>
      </c>
      <c r="C236" s="158" t="s">
        <v>2084</v>
      </c>
      <c r="D236" s="160">
        <v>0</v>
      </c>
      <c r="E236" s="161" t="s">
        <v>237</v>
      </c>
      <c r="F236" s="160">
        <v>0</v>
      </c>
      <c r="G236" s="161" t="s">
        <v>380</v>
      </c>
      <c r="H236" s="161" t="s">
        <v>2493</v>
      </c>
      <c r="I236" s="161" t="s">
        <v>2491</v>
      </c>
      <c r="J236" s="160">
        <v>0</v>
      </c>
      <c r="K236" s="161" t="s">
        <v>380</v>
      </c>
      <c r="L236" s="160">
        <v>0</v>
      </c>
      <c r="M236" s="161" t="s">
        <v>380</v>
      </c>
      <c r="N236" s="160">
        <v>0</v>
      </c>
      <c r="O236" s="160">
        <v>0</v>
      </c>
      <c r="P236" s="160">
        <v>0</v>
      </c>
      <c r="Q236" s="161" t="s">
        <v>237</v>
      </c>
    </row>
    <row r="237" spans="2:17" x14ac:dyDescent="0.3">
      <c r="B237" s="188">
        <v>384007</v>
      </c>
      <c r="C237" s="158" t="s">
        <v>2085</v>
      </c>
      <c r="D237" s="160">
        <v>8996.99</v>
      </c>
      <c r="E237" s="161" t="s">
        <v>237</v>
      </c>
      <c r="F237" s="160">
        <v>50000</v>
      </c>
      <c r="G237" s="161" t="s">
        <v>380</v>
      </c>
      <c r="H237" s="161" t="s">
        <v>2798</v>
      </c>
      <c r="I237" s="161" t="s">
        <v>2552</v>
      </c>
      <c r="J237" s="160">
        <v>0</v>
      </c>
      <c r="K237" s="161" t="s">
        <v>380</v>
      </c>
      <c r="L237" s="160">
        <v>50000</v>
      </c>
      <c r="M237" s="161" t="s">
        <v>380</v>
      </c>
      <c r="N237" s="160">
        <v>99999</v>
      </c>
      <c r="O237" s="160">
        <v>0</v>
      </c>
      <c r="P237" s="160">
        <v>0</v>
      </c>
      <c r="Q237" s="161" t="s">
        <v>237</v>
      </c>
    </row>
    <row r="238" spans="2:17" x14ac:dyDescent="0.3">
      <c r="B238" s="188">
        <v>386036</v>
      </c>
      <c r="C238" s="158" t="s">
        <v>2086</v>
      </c>
      <c r="D238" s="160">
        <v>0</v>
      </c>
      <c r="E238" s="161" t="s">
        <v>237</v>
      </c>
      <c r="F238" s="160">
        <v>0</v>
      </c>
      <c r="G238" s="161" t="s">
        <v>380</v>
      </c>
      <c r="H238" s="161" t="s">
        <v>1692</v>
      </c>
      <c r="I238" s="161" t="s">
        <v>1486</v>
      </c>
      <c r="J238" s="160">
        <v>0</v>
      </c>
      <c r="K238" s="161" t="s">
        <v>380</v>
      </c>
      <c r="L238" s="160">
        <v>0</v>
      </c>
      <c r="M238" s="161" t="s">
        <v>380</v>
      </c>
      <c r="N238" s="160">
        <v>0</v>
      </c>
      <c r="O238" s="160">
        <v>0</v>
      </c>
      <c r="P238" s="160">
        <v>0</v>
      </c>
      <c r="Q238" s="161" t="s">
        <v>237</v>
      </c>
    </row>
    <row r="239" spans="2:17" x14ac:dyDescent="0.3">
      <c r="B239" s="188">
        <v>386731</v>
      </c>
      <c r="C239" s="158" t="s">
        <v>2087</v>
      </c>
      <c r="D239" s="160">
        <v>0</v>
      </c>
      <c r="E239" s="161" t="s">
        <v>237</v>
      </c>
      <c r="F239" s="160">
        <v>0</v>
      </c>
      <c r="G239" s="161" t="s">
        <v>380</v>
      </c>
      <c r="H239" s="161" t="s">
        <v>1493</v>
      </c>
      <c r="I239" s="161" t="s">
        <v>1495</v>
      </c>
      <c r="J239" s="160">
        <v>0</v>
      </c>
      <c r="K239" s="161" t="s">
        <v>380</v>
      </c>
      <c r="L239" s="160">
        <v>0</v>
      </c>
      <c r="M239" s="161" t="s">
        <v>380</v>
      </c>
      <c r="N239" s="160">
        <v>0</v>
      </c>
      <c r="O239" s="160">
        <v>0</v>
      </c>
      <c r="P239" s="160">
        <v>0</v>
      </c>
      <c r="Q239" s="161" t="s">
        <v>237</v>
      </c>
    </row>
    <row r="240" spans="2:17" x14ac:dyDescent="0.3">
      <c r="B240" s="188">
        <v>387396</v>
      </c>
      <c r="C240" s="158" t="s">
        <v>2088</v>
      </c>
      <c r="D240" s="160">
        <v>0</v>
      </c>
      <c r="E240" s="161" t="s">
        <v>237</v>
      </c>
      <c r="F240" s="160">
        <v>0</v>
      </c>
      <c r="G240" s="161" t="s">
        <v>380</v>
      </c>
      <c r="H240" s="161" t="s">
        <v>2626</v>
      </c>
      <c r="I240" s="161" t="s">
        <v>2626</v>
      </c>
      <c r="J240" s="160">
        <v>0</v>
      </c>
      <c r="K240" s="161" t="s">
        <v>380</v>
      </c>
      <c r="L240" s="160">
        <v>0</v>
      </c>
      <c r="M240" s="161" t="s">
        <v>380</v>
      </c>
      <c r="N240" s="160">
        <v>0</v>
      </c>
      <c r="O240" s="160">
        <v>0</v>
      </c>
      <c r="P240" s="160">
        <v>0</v>
      </c>
      <c r="Q240" s="161" t="s">
        <v>237</v>
      </c>
    </row>
    <row r="241" spans="2:17" x14ac:dyDescent="0.3">
      <c r="B241" s="188">
        <v>387467</v>
      </c>
      <c r="C241" s="158" t="s">
        <v>287</v>
      </c>
      <c r="D241" s="160">
        <v>0</v>
      </c>
      <c r="E241" s="161" t="s">
        <v>237</v>
      </c>
      <c r="F241" s="160">
        <v>0</v>
      </c>
      <c r="G241" s="161" t="s">
        <v>380</v>
      </c>
      <c r="H241" s="161" t="s">
        <v>2541</v>
      </c>
      <c r="I241" s="161" t="s">
        <v>2808</v>
      </c>
      <c r="J241" s="160">
        <v>3200</v>
      </c>
      <c r="K241" s="161" t="s">
        <v>380</v>
      </c>
      <c r="L241" s="160">
        <v>0</v>
      </c>
      <c r="M241" s="161" t="s">
        <v>380</v>
      </c>
      <c r="N241" s="160">
        <v>0</v>
      </c>
      <c r="O241" s="160">
        <v>1.33</v>
      </c>
      <c r="P241" s="160">
        <v>515.78</v>
      </c>
      <c r="Q241" s="161" t="s">
        <v>237</v>
      </c>
    </row>
    <row r="242" spans="2:17" x14ac:dyDescent="0.3">
      <c r="B242" s="188">
        <v>388221</v>
      </c>
      <c r="C242" s="158" t="s">
        <v>2089</v>
      </c>
      <c r="D242" s="160">
        <v>0</v>
      </c>
      <c r="E242" s="161" t="s">
        <v>237</v>
      </c>
      <c r="F242" s="160">
        <v>0</v>
      </c>
      <c r="G242" s="161" t="s">
        <v>380</v>
      </c>
      <c r="H242" s="161" t="s">
        <v>1693</v>
      </c>
      <c r="I242" s="161" t="s">
        <v>1501</v>
      </c>
      <c r="J242" s="160">
        <v>0</v>
      </c>
      <c r="K242" s="161" t="s">
        <v>380</v>
      </c>
      <c r="L242" s="160">
        <v>0</v>
      </c>
      <c r="M242" s="161" t="s">
        <v>380</v>
      </c>
      <c r="N242" s="160">
        <v>0</v>
      </c>
      <c r="O242" s="160">
        <v>0</v>
      </c>
      <c r="P242" s="160">
        <v>0</v>
      </c>
      <c r="Q242" s="161" t="s">
        <v>237</v>
      </c>
    </row>
    <row r="243" spans="2:17" x14ac:dyDescent="0.3">
      <c r="B243" s="188">
        <v>393808</v>
      </c>
      <c r="C243" s="158" t="s">
        <v>2090</v>
      </c>
      <c r="D243" s="160">
        <v>0</v>
      </c>
      <c r="E243" s="161" t="s">
        <v>237</v>
      </c>
      <c r="F243" s="160">
        <v>0</v>
      </c>
      <c r="G243" s="161" t="s">
        <v>380</v>
      </c>
      <c r="H243" s="161" t="s">
        <v>1478</v>
      </c>
      <c r="I243" s="161" t="s">
        <v>1643</v>
      </c>
      <c r="J243" s="160">
        <v>0</v>
      </c>
      <c r="K243" s="161" t="s">
        <v>380</v>
      </c>
      <c r="L243" s="160">
        <v>0</v>
      </c>
      <c r="M243" s="161" t="s">
        <v>380</v>
      </c>
      <c r="N243" s="160">
        <v>0</v>
      </c>
      <c r="O243" s="160">
        <v>0</v>
      </c>
      <c r="P243" s="160">
        <v>0</v>
      </c>
      <c r="Q243" s="161" t="s">
        <v>237</v>
      </c>
    </row>
    <row r="244" spans="2:17" x14ac:dyDescent="0.3">
      <c r="B244" s="188">
        <v>397405</v>
      </c>
      <c r="C244" s="158" t="s">
        <v>2091</v>
      </c>
      <c r="D244" s="160">
        <v>0</v>
      </c>
      <c r="E244" s="161" t="s">
        <v>237</v>
      </c>
      <c r="F244" s="160">
        <v>0</v>
      </c>
      <c r="G244" s="161" t="s">
        <v>380</v>
      </c>
      <c r="H244" s="161" t="s">
        <v>1510</v>
      </c>
      <c r="I244" s="161" t="s">
        <v>1510</v>
      </c>
      <c r="J244" s="160">
        <v>0</v>
      </c>
      <c r="K244" s="161" t="s">
        <v>380</v>
      </c>
      <c r="L244" s="160">
        <v>0</v>
      </c>
      <c r="M244" s="161" t="s">
        <v>380</v>
      </c>
      <c r="N244" s="160">
        <v>0</v>
      </c>
      <c r="O244" s="160">
        <v>0</v>
      </c>
      <c r="P244" s="160">
        <v>0</v>
      </c>
      <c r="Q244" s="161" t="s">
        <v>237</v>
      </c>
    </row>
    <row r="245" spans="2:17" x14ac:dyDescent="0.3">
      <c r="B245" s="188">
        <v>397752</v>
      </c>
      <c r="C245" s="158" t="s">
        <v>2092</v>
      </c>
      <c r="D245" s="160">
        <v>0</v>
      </c>
      <c r="E245" s="161" t="s">
        <v>237</v>
      </c>
      <c r="F245" s="160">
        <v>0</v>
      </c>
      <c r="G245" s="161" t="s">
        <v>380</v>
      </c>
      <c r="H245" s="161" t="s">
        <v>1684</v>
      </c>
      <c r="I245" s="161" t="s">
        <v>1646</v>
      </c>
      <c r="J245" s="160">
        <v>0</v>
      </c>
      <c r="K245" s="161" t="s">
        <v>380</v>
      </c>
      <c r="L245" s="160">
        <v>0</v>
      </c>
      <c r="M245" s="161" t="s">
        <v>380</v>
      </c>
      <c r="N245" s="160">
        <v>0</v>
      </c>
      <c r="O245" s="160">
        <v>0</v>
      </c>
      <c r="P245" s="160">
        <v>0</v>
      </c>
      <c r="Q245" s="161" t="s">
        <v>237</v>
      </c>
    </row>
    <row r="246" spans="2:17" x14ac:dyDescent="0.3">
      <c r="B246" s="188">
        <v>399476</v>
      </c>
      <c r="C246" s="158" t="s">
        <v>2093</v>
      </c>
      <c r="D246" s="160">
        <v>0</v>
      </c>
      <c r="E246" s="161" t="s">
        <v>237</v>
      </c>
      <c r="F246" s="160">
        <v>0</v>
      </c>
      <c r="G246" s="161" t="s">
        <v>380</v>
      </c>
      <c r="H246" s="161" t="s">
        <v>2571</v>
      </c>
      <c r="I246" s="161" t="s">
        <v>2582</v>
      </c>
      <c r="J246" s="160">
        <v>0</v>
      </c>
      <c r="K246" s="161" t="s">
        <v>380</v>
      </c>
      <c r="L246" s="160">
        <v>0</v>
      </c>
      <c r="M246" s="161" t="s">
        <v>380</v>
      </c>
      <c r="N246" s="160">
        <v>0</v>
      </c>
      <c r="O246" s="160">
        <v>0</v>
      </c>
      <c r="P246" s="160">
        <v>0</v>
      </c>
      <c r="Q246" s="161" t="s">
        <v>237</v>
      </c>
    </row>
    <row r="247" spans="2:17" x14ac:dyDescent="0.3">
      <c r="B247" s="188">
        <v>400860</v>
      </c>
      <c r="C247" s="158" t="s">
        <v>278</v>
      </c>
      <c r="D247" s="160">
        <v>9480.24</v>
      </c>
      <c r="E247" s="161" t="s">
        <v>237</v>
      </c>
      <c r="F247" s="160">
        <v>39501</v>
      </c>
      <c r="G247" s="161" t="s">
        <v>380</v>
      </c>
      <c r="H247" s="161" t="s">
        <v>2703</v>
      </c>
      <c r="I247" s="161" t="s">
        <v>2800</v>
      </c>
      <c r="J247" s="160">
        <v>16391</v>
      </c>
      <c r="K247" s="161" t="s">
        <v>380</v>
      </c>
      <c r="L247" s="160">
        <v>44704</v>
      </c>
      <c r="M247" s="161" t="s">
        <v>380</v>
      </c>
      <c r="N247" s="160">
        <v>241</v>
      </c>
      <c r="O247" s="160">
        <v>0.41</v>
      </c>
      <c r="P247" s="160">
        <v>3614.94</v>
      </c>
      <c r="Q247" s="161" t="s">
        <v>237</v>
      </c>
    </row>
    <row r="248" spans="2:17" x14ac:dyDescent="0.3">
      <c r="B248" s="188">
        <v>401602</v>
      </c>
      <c r="C248" s="158" t="s">
        <v>279</v>
      </c>
      <c r="D248" s="160">
        <v>128.03</v>
      </c>
      <c r="E248" s="161" t="s">
        <v>237</v>
      </c>
      <c r="F248" s="160">
        <v>413</v>
      </c>
      <c r="G248" s="161" t="s">
        <v>380</v>
      </c>
      <c r="H248" s="161" t="s">
        <v>2816</v>
      </c>
      <c r="I248" s="161" t="s">
        <v>2808</v>
      </c>
      <c r="J248" s="160">
        <v>38250</v>
      </c>
      <c r="K248" s="161" t="s">
        <v>380</v>
      </c>
      <c r="L248" s="160">
        <v>29325</v>
      </c>
      <c r="M248" s="161" t="s">
        <v>380</v>
      </c>
      <c r="N248" s="160">
        <v>1</v>
      </c>
      <c r="O248" s="160">
        <v>6.56</v>
      </c>
      <c r="P248" s="160">
        <v>11322</v>
      </c>
      <c r="Q248" s="161" t="s">
        <v>237</v>
      </c>
    </row>
    <row r="249" spans="2:17" x14ac:dyDescent="0.3">
      <c r="B249" s="188">
        <v>402078</v>
      </c>
      <c r="C249" s="158" t="s">
        <v>2094</v>
      </c>
      <c r="D249" s="160">
        <v>0</v>
      </c>
      <c r="E249" s="161" t="s">
        <v>237</v>
      </c>
      <c r="F249" s="160">
        <v>0</v>
      </c>
      <c r="G249" s="161" t="s">
        <v>380</v>
      </c>
      <c r="H249" s="161" t="s">
        <v>2588</v>
      </c>
      <c r="I249" s="161" t="s">
        <v>2588</v>
      </c>
      <c r="J249" s="160">
        <v>0</v>
      </c>
      <c r="K249" s="161" t="s">
        <v>380</v>
      </c>
      <c r="L249" s="160">
        <v>0</v>
      </c>
      <c r="M249" s="161" t="s">
        <v>380</v>
      </c>
      <c r="N249" s="160">
        <v>0</v>
      </c>
      <c r="O249" s="160">
        <v>0</v>
      </c>
      <c r="P249" s="160">
        <v>0</v>
      </c>
      <c r="Q249" s="161" t="s">
        <v>237</v>
      </c>
    </row>
    <row r="250" spans="2:17" x14ac:dyDescent="0.3">
      <c r="B250" s="188">
        <v>402305</v>
      </c>
      <c r="C250" s="158" t="s">
        <v>360</v>
      </c>
      <c r="D250" s="160">
        <v>5990.4</v>
      </c>
      <c r="E250" s="161" t="s">
        <v>237</v>
      </c>
      <c r="F250" s="160">
        <v>24960</v>
      </c>
      <c r="G250" s="161" t="s">
        <v>380</v>
      </c>
      <c r="H250" s="161" t="s">
        <v>2810</v>
      </c>
      <c r="I250" s="161" t="s">
        <v>2797</v>
      </c>
      <c r="J250" s="160">
        <v>87360</v>
      </c>
      <c r="K250" s="161" t="s">
        <v>380</v>
      </c>
      <c r="L250" s="160">
        <v>82368</v>
      </c>
      <c r="M250" s="161" t="s">
        <v>380</v>
      </c>
      <c r="N250" s="160">
        <v>28</v>
      </c>
      <c r="O250" s="160">
        <v>3.18</v>
      </c>
      <c r="P250" s="160">
        <v>19818.240000000002</v>
      </c>
      <c r="Q250" s="161" t="s">
        <v>237</v>
      </c>
    </row>
    <row r="251" spans="2:17" x14ac:dyDescent="0.3">
      <c r="B251" s="188">
        <v>408094</v>
      </c>
      <c r="C251" s="158" t="s">
        <v>2095</v>
      </c>
      <c r="D251" s="160">
        <v>0</v>
      </c>
      <c r="E251" s="161" t="s">
        <v>237</v>
      </c>
      <c r="F251" s="160">
        <v>0</v>
      </c>
      <c r="G251" s="161" t="s">
        <v>380</v>
      </c>
      <c r="H251" s="161" t="s">
        <v>1695</v>
      </c>
      <c r="I251" s="161" t="s">
        <v>1502</v>
      </c>
      <c r="J251" s="160">
        <v>0</v>
      </c>
      <c r="K251" s="161" t="s">
        <v>380</v>
      </c>
      <c r="L251" s="160">
        <v>0</v>
      </c>
      <c r="M251" s="161" t="s">
        <v>380</v>
      </c>
      <c r="N251" s="160">
        <v>0</v>
      </c>
      <c r="O251" s="160">
        <v>0</v>
      </c>
      <c r="P251" s="160">
        <v>0</v>
      </c>
      <c r="Q251" s="161" t="s">
        <v>237</v>
      </c>
    </row>
    <row r="252" spans="2:17" x14ac:dyDescent="0.3">
      <c r="B252" s="188">
        <v>408095</v>
      </c>
      <c r="C252" s="158" t="s">
        <v>2096</v>
      </c>
      <c r="D252" s="160">
        <v>0</v>
      </c>
      <c r="E252" s="161" t="s">
        <v>237</v>
      </c>
      <c r="F252" s="160">
        <v>0</v>
      </c>
      <c r="G252" s="161" t="s">
        <v>380</v>
      </c>
      <c r="H252" s="161" t="s">
        <v>2610</v>
      </c>
      <c r="I252" s="161" t="s">
        <v>2610</v>
      </c>
      <c r="J252" s="160">
        <v>0</v>
      </c>
      <c r="K252" s="161" t="s">
        <v>380</v>
      </c>
      <c r="L252" s="160">
        <v>0</v>
      </c>
      <c r="M252" s="161" t="s">
        <v>380</v>
      </c>
      <c r="N252" s="160">
        <v>0</v>
      </c>
      <c r="O252" s="160">
        <v>0</v>
      </c>
      <c r="P252" s="160">
        <v>0</v>
      </c>
      <c r="Q252" s="161" t="s">
        <v>237</v>
      </c>
    </row>
    <row r="253" spans="2:17" x14ac:dyDescent="0.3">
      <c r="B253" s="188">
        <v>409579</v>
      </c>
      <c r="C253" s="158" t="s">
        <v>2097</v>
      </c>
      <c r="D253" s="160">
        <v>0</v>
      </c>
      <c r="E253" s="161" t="s">
        <v>237</v>
      </c>
      <c r="F253" s="160">
        <v>0</v>
      </c>
      <c r="G253" s="161" t="s">
        <v>380</v>
      </c>
      <c r="H253" s="161" t="s">
        <v>1696</v>
      </c>
      <c r="I253" s="161" t="s">
        <v>1697</v>
      </c>
      <c r="J253" s="160">
        <v>0</v>
      </c>
      <c r="K253" s="161" t="s">
        <v>380</v>
      </c>
      <c r="L253" s="160">
        <v>0</v>
      </c>
      <c r="M253" s="161" t="s">
        <v>380</v>
      </c>
      <c r="N253" s="160">
        <v>0</v>
      </c>
      <c r="O253" s="160">
        <v>0</v>
      </c>
      <c r="P253" s="160">
        <v>0</v>
      </c>
      <c r="Q253" s="161" t="s">
        <v>237</v>
      </c>
    </row>
    <row r="254" spans="2:17" x14ac:dyDescent="0.3">
      <c r="B254" s="188">
        <v>409670</v>
      </c>
      <c r="C254" s="158" t="s">
        <v>2098</v>
      </c>
      <c r="D254" s="160">
        <v>0</v>
      </c>
      <c r="E254" s="161" t="s">
        <v>237</v>
      </c>
      <c r="F254" s="160">
        <v>0</v>
      </c>
      <c r="G254" s="161" t="s">
        <v>374</v>
      </c>
      <c r="H254" s="161" t="s">
        <v>1698</v>
      </c>
      <c r="I254" s="161" t="s">
        <v>1643</v>
      </c>
      <c r="J254" s="160">
        <v>0</v>
      </c>
      <c r="K254" s="161" t="s">
        <v>374</v>
      </c>
      <c r="L254" s="160">
        <v>0</v>
      </c>
      <c r="M254" s="161" t="s">
        <v>374</v>
      </c>
      <c r="N254" s="160">
        <v>0</v>
      </c>
      <c r="O254" s="160">
        <v>0</v>
      </c>
      <c r="P254" s="160">
        <v>0</v>
      </c>
      <c r="Q254" s="161" t="s">
        <v>237</v>
      </c>
    </row>
    <row r="255" spans="2:17" x14ac:dyDescent="0.3">
      <c r="B255" s="188">
        <v>409780</v>
      </c>
      <c r="C255" s="158" t="s">
        <v>116</v>
      </c>
      <c r="D255" s="160">
        <v>1825.25</v>
      </c>
      <c r="E255" s="161" t="s">
        <v>237</v>
      </c>
      <c r="F255" s="160">
        <v>7301</v>
      </c>
      <c r="G255" s="161" t="s">
        <v>380</v>
      </c>
      <c r="H255" s="161" t="s">
        <v>2687</v>
      </c>
      <c r="I255" s="161" t="s">
        <v>2798</v>
      </c>
      <c r="J255" s="160">
        <v>30738</v>
      </c>
      <c r="K255" s="161" t="s">
        <v>380</v>
      </c>
      <c r="L255" s="160">
        <v>0</v>
      </c>
      <c r="M255" s="161" t="s">
        <v>380</v>
      </c>
      <c r="N255" s="160">
        <v>24</v>
      </c>
      <c r="O255" s="160">
        <v>1.41</v>
      </c>
      <c r="P255" s="160">
        <v>7095.12</v>
      </c>
      <c r="Q255" s="161" t="s">
        <v>237</v>
      </c>
    </row>
    <row r="256" spans="2:17" x14ac:dyDescent="0.3">
      <c r="B256" s="188">
        <v>410269</v>
      </c>
      <c r="C256" s="158" t="s">
        <v>298</v>
      </c>
      <c r="D256" s="160">
        <v>6762</v>
      </c>
      <c r="E256" s="161" t="s">
        <v>237</v>
      </c>
      <c r="F256" s="160">
        <v>14700</v>
      </c>
      <c r="G256" s="161" t="s">
        <v>380</v>
      </c>
      <c r="H256" s="161" t="s">
        <v>2710</v>
      </c>
      <c r="I256" s="161" t="s">
        <v>2699</v>
      </c>
      <c r="J256" s="160">
        <v>0</v>
      </c>
      <c r="K256" s="161" t="s">
        <v>380</v>
      </c>
      <c r="L256" s="160">
        <v>0</v>
      </c>
      <c r="M256" s="161" t="s">
        <v>380</v>
      </c>
      <c r="N256" s="160">
        <v>99999</v>
      </c>
      <c r="O256" s="160">
        <v>0</v>
      </c>
      <c r="P256" s="160">
        <v>-26.65</v>
      </c>
      <c r="Q256" s="161" t="s">
        <v>237</v>
      </c>
    </row>
    <row r="257" spans="2:17" x14ac:dyDescent="0.3">
      <c r="B257" s="188">
        <v>410628</v>
      </c>
      <c r="C257" s="158" t="s">
        <v>2099</v>
      </c>
      <c r="D257" s="160">
        <v>0</v>
      </c>
      <c r="E257" s="161" t="s">
        <v>237</v>
      </c>
      <c r="F257" s="160">
        <v>0</v>
      </c>
      <c r="G257" s="161" t="s">
        <v>374</v>
      </c>
      <c r="H257" s="161" t="s">
        <v>1481</v>
      </c>
      <c r="I257" s="161" t="s">
        <v>1699</v>
      </c>
      <c r="J257" s="160">
        <v>0</v>
      </c>
      <c r="K257" s="161" t="s">
        <v>374</v>
      </c>
      <c r="L257" s="160">
        <v>0</v>
      </c>
      <c r="M257" s="161" t="s">
        <v>374</v>
      </c>
      <c r="N257" s="160">
        <v>0</v>
      </c>
      <c r="O257" s="160">
        <v>0</v>
      </c>
      <c r="P257" s="160">
        <v>0</v>
      </c>
      <c r="Q257" s="161" t="s">
        <v>237</v>
      </c>
    </row>
    <row r="258" spans="2:17" x14ac:dyDescent="0.3">
      <c r="B258" s="188">
        <v>410629</v>
      </c>
      <c r="C258" s="158" t="s">
        <v>117</v>
      </c>
      <c r="D258" s="160">
        <v>5732.94</v>
      </c>
      <c r="E258" s="161" t="s">
        <v>237</v>
      </c>
      <c r="F258" s="160">
        <v>140.86000000000001</v>
      </c>
      <c r="G258" s="161" t="s">
        <v>374</v>
      </c>
      <c r="H258" s="161" t="s">
        <v>2817</v>
      </c>
      <c r="I258" s="161" t="s">
        <v>2817</v>
      </c>
      <c r="J258" s="160">
        <v>86.435000000000002</v>
      </c>
      <c r="K258" s="161" t="s">
        <v>374</v>
      </c>
      <c r="L258" s="160">
        <v>97.227999999999994</v>
      </c>
      <c r="M258" s="161" t="s">
        <v>374</v>
      </c>
      <c r="N258" s="160">
        <v>331</v>
      </c>
      <c r="O258" s="160">
        <v>0.27</v>
      </c>
      <c r="P258" s="160">
        <v>1595.72</v>
      </c>
      <c r="Q258" s="161" t="s">
        <v>237</v>
      </c>
    </row>
    <row r="259" spans="2:17" x14ac:dyDescent="0.3">
      <c r="B259" s="188">
        <v>410764</v>
      </c>
      <c r="C259" s="158" t="s">
        <v>2100</v>
      </c>
      <c r="D259" s="160">
        <v>0</v>
      </c>
      <c r="E259" s="161" t="s">
        <v>237</v>
      </c>
      <c r="F259" s="160">
        <v>0</v>
      </c>
      <c r="G259" s="161" t="s">
        <v>380</v>
      </c>
      <c r="H259" s="161" t="s">
        <v>1684</v>
      </c>
      <c r="I259" s="161" t="s">
        <v>1646</v>
      </c>
      <c r="J259" s="160">
        <v>0</v>
      </c>
      <c r="K259" s="161" t="s">
        <v>380</v>
      </c>
      <c r="L259" s="160">
        <v>0</v>
      </c>
      <c r="M259" s="161" t="s">
        <v>380</v>
      </c>
      <c r="N259" s="160">
        <v>0</v>
      </c>
      <c r="O259" s="160">
        <v>0</v>
      </c>
      <c r="P259" s="160">
        <v>0</v>
      </c>
      <c r="Q259" s="161" t="s">
        <v>237</v>
      </c>
    </row>
    <row r="260" spans="2:17" x14ac:dyDescent="0.3">
      <c r="B260" s="188">
        <v>411451</v>
      </c>
      <c r="C260" s="158" t="s">
        <v>118</v>
      </c>
      <c r="D260" s="160">
        <v>7947.01</v>
      </c>
      <c r="E260" s="161" t="s">
        <v>237</v>
      </c>
      <c r="F260" s="160">
        <v>87.269000000000005</v>
      </c>
      <c r="G260" s="161" t="s">
        <v>374</v>
      </c>
      <c r="H260" s="161" t="s">
        <v>2708</v>
      </c>
      <c r="I260" s="161" t="s">
        <v>2711</v>
      </c>
      <c r="J260" s="160">
        <v>18.273</v>
      </c>
      <c r="K260" s="161" t="s">
        <v>374</v>
      </c>
      <c r="L260" s="160">
        <v>50</v>
      </c>
      <c r="M260" s="161" t="s">
        <v>374</v>
      </c>
      <c r="N260" s="160">
        <v>437</v>
      </c>
      <c r="O260" s="160">
        <v>0.23</v>
      </c>
      <c r="P260" s="160">
        <v>1672.92</v>
      </c>
      <c r="Q260" s="161" t="s">
        <v>237</v>
      </c>
    </row>
    <row r="261" spans="2:17" x14ac:dyDescent="0.3">
      <c r="B261" s="188">
        <v>411716</v>
      </c>
      <c r="C261" s="158" t="s">
        <v>290</v>
      </c>
      <c r="D261" s="160">
        <v>0</v>
      </c>
      <c r="E261" s="161" t="s">
        <v>237</v>
      </c>
      <c r="F261" s="160">
        <v>0</v>
      </c>
      <c r="G261" s="161" t="s">
        <v>380</v>
      </c>
      <c r="H261" s="161" t="s">
        <v>2711</v>
      </c>
      <c r="I261" s="161" t="s">
        <v>2817</v>
      </c>
      <c r="J261" s="160">
        <v>267300</v>
      </c>
      <c r="K261" s="161" t="s">
        <v>380</v>
      </c>
      <c r="L261" s="160">
        <v>158400</v>
      </c>
      <c r="M261" s="161" t="s">
        <v>380</v>
      </c>
      <c r="N261" s="160">
        <v>0</v>
      </c>
      <c r="O261" s="160">
        <v>2.87</v>
      </c>
      <c r="P261" s="160">
        <v>18058.02</v>
      </c>
      <c r="Q261" s="161" t="s">
        <v>237</v>
      </c>
    </row>
    <row r="262" spans="2:17" x14ac:dyDescent="0.3">
      <c r="B262" s="188">
        <v>412421</v>
      </c>
      <c r="C262" s="158" t="s">
        <v>119</v>
      </c>
      <c r="D262" s="160">
        <v>1216.6300000000001</v>
      </c>
      <c r="E262" s="161" t="s">
        <v>237</v>
      </c>
      <c r="F262" s="160">
        <v>31.46</v>
      </c>
      <c r="G262" s="161" t="s">
        <v>374</v>
      </c>
      <c r="H262" s="161" t="s">
        <v>2817</v>
      </c>
      <c r="I262" s="161" t="s">
        <v>2817</v>
      </c>
      <c r="J262" s="160">
        <v>47.262</v>
      </c>
      <c r="K262" s="161" t="s">
        <v>374</v>
      </c>
      <c r="L262" s="160">
        <v>26.338000000000001</v>
      </c>
      <c r="M262" s="161" t="s">
        <v>374</v>
      </c>
      <c r="N262" s="160">
        <v>138</v>
      </c>
      <c r="O262" s="160">
        <v>0.5</v>
      </c>
      <c r="P262" s="160">
        <v>809.19</v>
      </c>
      <c r="Q262" s="161" t="s">
        <v>237</v>
      </c>
    </row>
    <row r="263" spans="2:17" x14ac:dyDescent="0.3">
      <c r="B263" s="188">
        <v>414439</v>
      </c>
      <c r="C263" s="158" t="s">
        <v>199</v>
      </c>
      <c r="D263" s="160">
        <v>8352.9599999999991</v>
      </c>
      <c r="E263" s="161" t="s">
        <v>237</v>
      </c>
      <c r="F263" s="160">
        <v>69608</v>
      </c>
      <c r="G263" s="161" t="s">
        <v>380</v>
      </c>
      <c r="H263" s="161" t="s">
        <v>2803</v>
      </c>
      <c r="I263" s="161" t="s">
        <v>2818</v>
      </c>
      <c r="J263" s="160">
        <v>241472</v>
      </c>
      <c r="K263" s="161" t="s">
        <v>380</v>
      </c>
      <c r="L263" s="160">
        <v>310464</v>
      </c>
      <c r="M263" s="161" t="s">
        <v>380</v>
      </c>
      <c r="N263" s="160">
        <v>30</v>
      </c>
      <c r="O263" s="160">
        <v>5.96</v>
      </c>
      <c r="P263" s="160">
        <v>25816.560000000001</v>
      </c>
      <c r="Q263" s="161" t="s">
        <v>237</v>
      </c>
    </row>
    <row r="264" spans="2:17" x14ac:dyDescent="0.3">
      <c r="B264" s="188">
        <v>416201</v>
      </c>
      <c r="C264" s="158" t="s">
        <v>2101</v>
      </c>
      <c r="D264" s="160">
        <v>0</v>
      </c>
      <c r="E264" s="161" t="s">
        <v>237</v>
      </c>
      <c r="F264" s="160">
        <v>0</v>
      </c>
      <c r="G264" s="161" t="s">
        <v>380</v>
      </c>
      <c r="H264" s="161" t="s">
        <v>2683</v>
      </c>
      <c r="I264" s="161" t="s">
        <v>2683</v>
      </c>
      <c r="J264" s="160">
        <v>0</v>
      </c>
      <c r="K264" s="161" t="s">
        <v>380</v>
      </c>
      <c r="L264" s="160">
        <v>0</v>
      </c>
      <c r="M264" s="161" t="s">
        <v>380</v>
      </c>
      <c r="N264" s="160">
        <v>0</v>
      </c>
      <c r="O264" s="160">
        <v>0</v>
      </c>
      <c r="P264" s="160">
        <v>0</v>
      </c>
      <c r="Q264" s="161" t="s">
        <v>237</v>
      </c>
    </row>
    <row r="265" spans="2:17" x14ac:dyDescent="0.3">
      <c r="B265" s="188">
        <v>416868</v>
      </c>
      <c r="C265" s="158" t="s">
        <v>2102</v>
      </c>
      <c r="D265" s="160">
        <v>0</v>
      </c>
      <c r="E265" s="161" t="s">
        <v>237</v>
      </c>
      <c r="F265" s="160">
        <v>0</v>
      </c>
      <c r="G265" s="161" t="s">
        <v>380</v>
      </c>
      <c r="H265" s="161" t="s">
        <v>1700</v>
      </c>
      <c r="I265" s="161" t="s">
        <v>1700</v>
      </c>
      <c r="J265" s="160">
        <v>0</v>
      </c>
      <c r="K265" s="161" t="s">
        <v>380</v>
      </c>
      <c r="L265" s="160">
        <v>0</v>
      </c>
      <c r="M265" s="161" t="s">
        <v>380</v>
      </c>
      <c r="N265" s="160">
        <v>0</v>
      </c>
      <c r="O265" s="160">
        <v>0</v>
      </c>
      <c r="P265" s="160">
        <v>0</v>
      </c>
      <c r="Q265" s="161" t="s">
        <v>237</v>
      </c>
    </row>
    <row r="266" spans="2:17" x14ac:dyDescent="0.3">
      <c r="B266" s="188">
        <v>423213</v>
      </c>
      <c r="C266" s="158" t="s">
        <v>355</v>
      </c>
      <c r="D266" s="160">
        <v>6621.78</v>
      </c>
      <c r="E266" s="161" t="s">
        <v>237</v>
      </c>
      <c r="F266" s="160">
        <v>30099</v>
      </c>
      <c r="G266" s="161" t="s">
        <v>380</v>
      </c>
      <c r="H266" s="161" t="s">
        <v>2818</v>
      </c>
      <c r="I266" s="161" t="s">
        <v>2818</v>
      </c>
      <c r="J266" s="160">
        <v>152781</v>
      </c>
      <c r="K266" s="161" t="s">
        <v>380</v>
      </c>
      <c r="L266" s="160">
        <v>182880</v>
      </c>
      <c r="M266" s="161" t="s">
        <v>380</v>
      </c>
      <c r="N266" s="160">
        <v>20</v>
      </c>
      <c r="O266" s="160">
        <v>7.32</v>
      </c>
      <c r="P266" s="160">
        <v>31158.18</v>
      </c>
      <c r="Q266" s="161" t="s">
        <v>237</v>
      </c>
    </row>
    <row r="267" spans="2:17" x14ac:dyDescent="0.3">
      <c r="B267" s="188">
        <v>423215</v>
      </c>
      <c r="C267" s="158" t="s">
        <v>1605</v>
      </c>
      <c r="D267" s="160">
        <v>13214.52</v>
      </c>
      <c r="E267" s="161" t="s">
        <v>237</v>
      </c>
      <c r="F267" s="160">
        <v>60066</v>
      </c>
      <c r="G267" s="161" t="s">
        <v>380</v>
      </c>
      <c r="H267" s="161" t="s">
        <v>2800</v>
      </c>
      <c r="I267" s="161" t="s">
        <v>2818</v>
      </c>
      <c r="J267" s="160">
        <v>199656</v>
      </c>
      <c r="K267" s="161" t="s">
        <v>380</v>
      </c>
      <c r="L267" s="160">
        <v>259722</v>
      </c>
      <c r="M267" s="161" t="s">
        <v>380</v>
      </c>
      <c r="N267" s="160">
        <v>30</v>
      </c>
      <c r="O267" s="160">
        <v>6.99</v>
      </c>
      <c r="P267" s="160">
        <v>41132.519999999997</v>
      </c>
      <c r="Q267" s="161" t="s">
        <v>237</v>
      </c>
    </row>
    <row r="268" spans="2:17" x14ac:dyDescent="0.3">
      <c r="B268" s="188">
        <v>425688</v>
      </c>
      <c r="C268" s="158" t="s">
        <v>2103</v>
      </c>
      <c r="D268" s="160">
        <v>0</v>
      </c>
      <c r="E268" s="161" t="s">
        <v>237</v>
      </c>
      <c r="F268" s="160">
        <v>0</v>
      </c>
      <c r="G268" s="161" t="s">
        <v>380</v>
      </c>
      <c r="H268" s="161" t="s">
        <v>1492</v>
      </c>
      <c r="I268" s="161" t="s">
        <v>1489</v>
      </c>
      <c r="J268" s="160">
        <v>0</v>
      </c>
      <c r="K268" s="161" t="s">
        <v>380</v>
      </c>
      <c r="L268" s="160">
        <v>0</v>
      </c>
      <c r="M268" s="161" t="s">
        <v>380</v>
      </c>
      <c r="N268" s="160">
        <v>0</v>
      </c>
      <c r="O268" s="160">
        <v>0</v>
      </c>
      <c r="P268" s="160">
        <v>0</v>
      </c>
      <c r="Q268" s="161" t="s">
        <v>237</v>
      </c>
    </row>
    <row r="269" spans="2:17" x14ac:dyDescent="0.3">
      <c r="B269" s="188">
        <v>426555</v>
      </c>
      <c r="C269" s="158" t="s">
        <v>121</v>
      </c>
      <c r="D269" s="160">
        <v>15555</v>
      </c>
      <c r="E269" s="161" t="s">
        <v>237</v>
      </c>
      <c r="F269" s="160">
        <v>62220</v>
      </c>
      <c r="G269" s="161" t="s">
        <v>380</v>
      </c>
      <c r="H269" s="161" t="s">
        <v>2819</v>
      </c>
      <c r="I269" s="161" t="s">
        <v>2625</v>
      </c>
      <c r="J269" s="160">
        <v>100980</v>
      </c>
      <c r="K269" s="161" t="s">
        <v>380</v>
      </c>
      <c r="L269" s="160">
        <v>163200</v>
      </c>
      <c r="M269" s="161" t="s">
        <v>380</v>
      </c>
      <c r="N269" s="160">
        <v>61</v>
      </c>
      <c r="O269" s="160">
        <v>2.91</v>
      </c>
      <c r="P269" s="160">
        <v>23347.8</v>
      </c>
      <c r="Q269" s="161" t="s">
        <v>237</v>
      </c>
    </row>
    <row r="270" spans="2:17" x14ac:dyDescent="0.3">
      <c r="B270" s="188">
        <v>427379</v>
      </c>
      <c r="C270" s="158" t="s">
        <v>2104</v>
      </c>
      <c r="D270" s="160">
        <v>0</v>
      </c>
      <c r="E270" s="161" t="s">
        <v>237</v>
      </c>
      <c r="F270" s="160">
        <v>0</v>
      </c>
      <c r="G270" s="161" t="s">
        <v>380</v>
      </c>
      <c r="H270" s="161" t="s">
        <v>1701</v>
      </c>
      <c r="I270" s="161" t="s">
        <v>1702</v>
      </c>
      <c r="J270" s="160">
        <v>0</v>
      </c>
      <c r="K270" s="161" t="s">
        <v>380</v>
      </c>
      <c r="L270" s="160">
        <v>0</v>
      </c>
      <c r="M270" s="161" t="s">
        <v>380</v>
      </c>
      <c r="N270" s="160">
        <v>0</v>
      </c>
      <c r="O270" s="160">
        <v>0</v>
      </c>
      <c r="P270" s="160">
        <v>0</v>
      </c>
      <c r="Q270" s="161" t="s">
        <v>237</v>
      </c>
    </row>
    <row r="271" spans="2:17" x14ac:dyDescent="0.3">
      <c r="B271" s="188">
        <v>429880</v>
      </c>
      <c r="C271" s="158" t="s">
        <v>2105</v>
      </c>
      <c r="D271" s="160">
        <v>0</v>
      </c>
      <c r="E271" s="161" t="s">
        <v>237</v>
      </c>
      <c r="F271" s="160">
        <v>0</v>
      </c>
      <c r="G271" s="161" t="s">
        <v>380</v>
      </c>
      <c r="H271" s="161" t="s">
        <v>1703</v>
      </c>
      <c r="I271" s="161" t="s">
        <v>1704</v>
      </c>
      <c r="J271" s="160">
        <v>0</v>
      </c>
      <c r="K271" s="161" t="s">
        <v>380</v>
      </c>
      <c r="L271" s="160">
        <v>0</v>
      </c>
      <c r="M271" s="161" t="s">
        <v>380</v>
      </c>
      <c r="N271" s="160">
        <v>0</v>
      </c>
      <c r="O271" s="160">
        <v>0</v>
      </c>
      <c r="P271" s="160">
        <v>0</v>
      </c>
      <c r="Q271" s="161" t="s">
        <v>237</v>
      </c>
    </row>
    <row r="272" spans="2:17" x14ac:dyDescent="0.3">
      <c r="B272" s="188">
        <v>431387</v>
      </c>
      <c r="C272" s="158" t="s">
        <v>2106</v>
      </c>
      <c r="D272" s="160">
        <v>0</v>
      </c>
      <c r="E272" s="161" t="s">
        <v>237</v>
      </c>
      <c r="F272" s="160">
        <v>0</v>
      </c>
      <c r="G272" s="161" t="s">
        <v>380</v>
      </c>
      <c r="H272" s="161" t="s">
        <v>1663</v>
      </c>
      <c r="I272" s="161" t="s">
        <v>1484</v>
      </c>
      <c r="J272" s="160">
        <v>0</v>
      </c>
      <c r="K272" s="161" t="s">
        <v>380</v>
      </c>
      <c r="L272" s="160">
        <v>0</v>
      </c>
      <c r="M272" s="161" t="s">
        <v>380</v>
      </c>
      <c r="N272" s="160">
        <v>0</v>
      </c>
      <c r="O272" s="160">
        <v>0</v>
      </c>
      <c r="P272" s="160">
        <v>0</v>
      </c>
      <c r="Q272" s="161" t="s">
        <v>237</v>
      </c>
    </row>
    <row r="273" spans="2:17" x14ac:dyDescent="0.3">
      <c r="B273" s="188">
        <v>432203</v>
      </c>
      <c r="C273" s="158" t="s">
        <v>2107</v>
      </c>
      <c r="D273" s="160">
        <v>3606.4</v>
      </c>
      <c r="E273" s="161" t="s">
        <v>237</v>
      </c>
      <c r="F273" s="160">
        <v>12880</v>
      </c>
      <c r="G273" s="161" t="s">
        <v>380</v>
      </c>
      <c r="H273" s="161" t="s">
        <v>2752</v>
      </c>
      <c r="I273" s="161" t="s">
        <v>2753</v>
      </c>
      <c r="J273" s="160">
        <v>0</v>
      </c>
      <c r="K273" s="161" t="s">
        <v>380</v>
      </c>
      <c r="L273" s="160">
        <v>12880</v>
      </c>
      <c r="M273" s="161" t="s">
        <v>380</v>
      </c>
      <c r="N273" s="160">
        <v>99999</v>
      </c>
      <c r="O273" s="160">
        <v>0</v>
      </c>
      <c r="P273" s="160">
        <v>0</v>
      </c>
      <c r="Q273" s="161" t="s">
        <v>237</v>
      </c>
    </row>
    <row r="274" spans="2:17" x14ac:dyDescent="0.3">
      <c r="B274" s="188">
        <v>436445</v>
      </c>
      <c r="C274" s="158" t="s">
        <v>2108</v>
      </c>
      <c r="D274" s="160">
        <v>0</v>
      </c>
      <c r="E274" s="161" t="s">
        <v>237</v>
      </c>
      <c r="F274" s="160">
        <v>0</v>
      </c>
      <c r="G274" s="161" t="s">
        <v>380</v>
      </c>
      <c r="H274" s="161" t="s">
        <v>2576</v>
      </c>
      <c r="I274" s="161" t="s">
        <v>2577</v>
      </c>
      <c r="J274" s="160">
        <v>0</v>
      </c>
      <c r="K274" s="161" t="s">
        <v>380</v>
      </c>
      <c r="L274" s="160">
        <v>0</v>
      </c>
      <c r="M274" s="161" t="s">
        <v>380</v>
      </c>
      <c r="N274" s="160">
        <v>0</v>
      </c>
      <c r="O274" s="160">
        <v>0</v>
      </c>
      <c r="P274" s="160">
        <v>0</v>
      </c>
      <c r="Q274" s="161" t="s">
        <v>237</v>
      </c>
    </row>
    <row r="275" spans="2:17" x14ac:dyDescent="0.3">
      <c r="B275" s="188">
        <v>437371</v>
      </c>
      <c r="C275" s="158" t="s">
        <v>2109</v>
      </c>
      <c r="D275" s="160">
        <v>0</v>
      </c>
      <c r="E275" s="161" t="s">
        <v>237</v>
      </c>
      <c r="F275" s="160">
        <v>0</v>
      </c>
      <c r="G275" s="161" t="s">
        <v>373</v>
      </c>
      <c r="H275" s="161" t="s">
        <v>1512</v>
      </c>
      <c r="I275" s="161" t="s">
        <v>1512</v>
      </c>
      <c r="J275" s="160">
        <v>0</v>
      </c>
      <c r="K275" s="161" t="s">
        <v>373</v>
      </c>
      <c r="L275" s="160">
        <v>0</v>
      </c>
      <c r="M275" s="161" t="s">
        <v>373</v>
      </c>
      <c r="N275" s="160">
        <v>0</v>
      </c>
      <c r="O275" s="160">
        <v>0</v>
      </c>
      <c r="P275" s="160">
        <v>0</v>
      </c>
      <c r="Q275" s="161" t="s">
        <v>237</v>
      </c>
    </row>
    <row r="276" spans="2:17" x14ac:dyDescent="0.3">
      <c r="B276" s="188">
        <v>437808</v>
      </c>
      <c r="C276" s="158" t="s">
        <v>1239</v>
      </c>
      <c r="D276" s="160">
        <v>6300</v>
      </c>
      <c r="E276" s="161" t="s">
        <v>237</v>
      </c>
      <c r="F276" s="160">
        <v>15000</v>
      </c>
      <c r="G276" s="161" t="s">
        <v>380</v>
      </c>
      <c r="H276" s="161" t="s">
        <v>2800</v>
      </c>
      <c r="I276" s="161" t="s">
        <v>2797</v>
      </c>
      <c r="J276" s="160">
        <v>4500</v>
      </c>
      <c r="K276" s="161" t="s">
        <v>380</v>
      </c>
      <c r="L276" s="160">
        <v>18000</v>
      </c>
      <c r="M276" s="161" t="s">
        <v>380</v>
      </c>
      <c r="N276" s="160">
        <v>349</v>
      </c>
      <c r="O276" s="160">
        <v>0.54</v>
      </c>
      <c r="P276" s="160">
        <v>1661.64</v>
      </c>
      <c r="Q276" s="161" t="s">
        <v>237</v>
      </c>
    </row>
    <row r="277" spans="2:17" x14ac:dyDescent="0.3">
      <c r="B277" s="188">
        <v>438507</v>
      </c>
      <c r="C277" s="158" t="s">
        <v>2110</v>
      </c>
      <c r="D277" s="160">
        <v>0</v>
      </c>
      <c r="E277" s="161" t="s">
        <v>237</v>
      </c>
      <c r="F277" s="160">
        <v>0</v>
      </c>
      <c r="G277" s="161" t="s">
        <v>380</v>
      </c>
      <c r="H277" s="161" t="s">
        <v>1634</v>
      </c>
      <c r="I277" s="161" t="s">
        <v>1635</v>
      </c>
      <c r="J277" s="160">
        <v>0</v>
      </c>
      <c r="K277" s="161" t="s">
        <v>380</v>
      </c>
      <c r="L277" s="160">
        <v>0</v>
      </c>
      <c r="M277" s="161" t="s">
        <v>380</v>
      </c>
      <c r="N277" s="160">
        <v>0</v>
      </c>
      <c r="O277" s="160">
        <v>0</v>
      </c>
      <c r="P277" s="160">
        <v>0</v>
      </c>
      <c r="Q277" s="161" t="s">
        <v>237</v>
      </c>
    </row>
    <row r="278" spans="2:17" x14ac:dyDescent="0.3">
      <c r="B278" s="188">
        <v>441778</v>
      </c>
      <c r="C278" s="158" t="s">
        <v>299</v>
      </c>
      <c r="D278" s="160">
        <v>2732.4</v>
      </c>
      <c r="E278" s="161" t="s">
        <v>237</v>
      </c>
      <c r="F278" s="160">
        <v>4140</v>
      </c>
      <c r="G278" s="161" t="s">
        <v>380</v>
      </c>
      <c r="H278" s="161" t="s">
        <v>2710</v>
      </c>
      <c r="I278" s="161" t="s">
        <v>2699</v>
      </c>
      <c r="J278" s="160">
        <v>0</v>
      </c>
      <c r="K278" s="161" t="s">
        <v>380</v>
      </c>
      <c r="L278" s="160">
        <v>0</v>
      </c>
      <c r="M278" s="161" t="s">
        <v>380</v>
      </c>
      <c r="N278" s="160">
        <v>99999</v>
      </c>
      <c r="O278" s="160">
        <v>0</v>
      </c>
      <c r="P278" s="160">
        <v>-342.2</v>
      </c>
      <c r="Q278" s="161" t="s">
        <v>237</v>
      </c>
    </row>
    <row r="279" spans="2:17" x14ac:dyDescent="0.3">
      <c r="B279" s="188">
        <v>441809</v>
      </c>
      <c r="C279" s="158" t="s">
        <v>225</v>
      </c>
      <c r="D279" s="160">
        <v>2112</v>
      </c>
      <c r="E279" s="161" t="s">
        <v>237</v>
      </c>
      <c r="F279" s="160">
        <v>8448</v>
      </c>
      <c r="G279" s="161" t="s">
        <v>380</v>
      </c>
      <c r="H279" s="161" t="s">
        <v>2808</v>
      </c>
      <c r="I279" s="161" t="s">
        <v>2818</v>
      </c>
      <c r="J279" s="160">
        <v>24495</v>
      </c>
      <c r="K279" s="161" t="s">
        <v>380</v>
      </c>
      <c r="L279" s="160">
        <v>30748</v>
      </c>
      <c r="M279" s="161" t="s">
        <v>380</v>
      </c>
      <c r="N279" s="160">
        <v>63</v>
      </c>
      <c r="O279" s="160">
        <v>3.79</v>
      </c>
      <c r="P279" s="160">
        <v>3061.86</v>
      </c>
      <c r="Q279" s="161" t="s">
        <v>237</v>
      </c>
    </row>
    <row r="280" spans="2:17" x14ac:dyDescent="0.3">
      <c r="B280" s="188">
        <v>441811</v>
      </c>
      <c r="C280" s="158" t="s">
        <v>2111</v>
      </c>
      <c r="D280" s="160">
        <v>0</v>
      </c>
      <c r="E280" s="161" t="s">
        <v>237</v>
      </c>
      <c r="F280" s="160">
        <v>0</v>
      </c>
      <c r="G280" s="161" t="s">
        <v>380</v>
      </c>
      <c r="H280" s="161" t="s">
        <v>1628</v>
      </c>
      <c r="I280" s="161" t="s">
        <v>1705</v>
      </c>
      <c r="J280" s="160">
        <v>0</v>
      </c>
      <c r="K280" s="161" t="s">
        <v>380</v>
      </c>
      <c r="L280" s="160">
        <v>0</v>
      </c>
      <c r="M280" s="161" t="s">
        <v>380</v>
      </c>
      <c r="N280" s="160">
        <v>0</v>
      </c>
      <c r="O280" s="160">
        <v>0</v>
      </c>
      <c r="P280" s="160">
        <v>0</v>
      </c>
      <c r="Q280" s="161" t="s">
        <v>237</v>
      </c>
    </row>
    <row r="281" spans="2:17" x14ac:dyDescent="0.3">
      <c r="B281" s="188">
        <v>441812</v>
      </c>
      <c r="C281" s="158" t="s">
        <v>2112</v>
      </c>
      <c r="D281" s="160">
        <v>0</v>
      </c>
      <c r="E281" s="161" t="s">
        <v>237</v>
      </c>
      <c r="F281" s="160">
        <v>0</v>
      </c>
      <c r="G281" s="161" t="s">
        <v>380</v>
      </c>
      <c r="H281" s="161" t="s">
        <v>1706</v>
      </c>
      <c r="I281" s="161" t="s">
        <v>1707</v>
      </c>
      <c r="J281" s="160">
        <v>0</v>
      </c>
      <c r="K281" s="161" t="s">
        <v>380</v>
      </c>
      <c r="L281" s="160">
        <v>0</v>
      </c>
      <c r="M281" s="161" t="s">
        <v>380</v>
      </c>
      <c r="N281" s="160">
        <v>0</v>
      </c>
      <c r="O281" s="160">
        <v>0</v>
      </c>
      <c r="P281" s="160">
        <v>0</v>
      </c>
      <c r="Q281" s="161" t="s">
        <v>237</v>
      </c>
    </row>
    <row r="282" spans="2:17" x14ac:dyDescent="0.3">
      <c r="B282" s="188">
        <v>441813</v>
      </c>
      <c r="C282" s="158" t="s">
        <v>2113</v>
      </c>
      <c r="D282" s="160">
        <v>0</v>
      </c>
      <c r="E282" s="161" t="s">
        <v>237</v>
      </c>
      <c r="F282" s="160">
        <v>0</v>
      </c>
      <c r="G282" s="161" t="s">
        <v>380</v>
      </c>
      <c r="H282" s="161" t="s">
        <v>1708</v>
      </c>
      <c r="I282" s="161" t="s">
        <v>1705</v>
      </c>
      <c r="J282" s="160">
        <v>0</v>
      </c>
      <c r="K282" s="161" t="s">
        <v>380</v>
      </c>
      <c r="L282" s="160">
        <v>0</v>
      </c>
      <c r="M282" s="161" t="s">
        <v>380</v>
      </c>
      <c r="N282" s="160">
        <v>0</v>
      </c>
      <c r="O282" s="160">
        <v>0</v>
      </c>
      <c r="P282" s="160">
        <v>0</v>
      </c>
      <c r="Q282" s="161" t="s">
        <v>237</v>
      </c>
    </row>
    <row r="283" spans="2:17" x14ac:dyDescent="0.3">
      <c r="B283" s="188">
        <v>441894</v>
      </c>
      <c r="C283" s="158" t="s">
        <v>187</v>
      </c>
      <c r="D283" s="160">
        <v>1623.4</v>
      </c>
      <c r="E283" s="161" t="s">
        <v>237</v>
      </c>
      <c r="F283" s="160">
        <v>28.859000000000002</v>
      </c>
      <c r="G283" s="161" t="s">
        <v>374</v>
      </c>
      <c r="H283" s="161" t="s">
        <v>2666</v>
      </c>
      <c r="I283" s="161" t="s">
        <v>2662</v>
      </c>
      <c r="J283" s="160">
        <v>0</v>
      </c>
      <c r="K283" s="161" t="s">
        <v>374</v>
      </c>
      <c r="L283" s="160">
        <v>0</v>
      </c>
      <c r="M283" s="161" t="s">
        <v>374</v>
      </c>
      <c r="N283" s="160">
        <v>99999</v>
      </c>
      <c r="O283" s="160">
        <v>0</v>
      </c>
      <c r="P283" s="160">
        <v>0</v>
      </c>
      <c r="Q283" s="161" t="s">
        <v>237</v>
      </c>
    </row>
    <row r="284" spans="2:17" x14ac:dyDescent="0.3">
      <c r="B284" s="188">
        <v>442034</v>
      </c>
      <c r="C284" s="158" t="s">
        <v>240</v>
      </c>
      <c r="D284" s="160">
        <v>3717.12</v>
      </c>
      <c r="E284" s="161" t="s">
        <v>237</v>
      </c>
      <c r="F284" s="160">
        <v>16896</v>
      </c>
      <c r="G284" s="161" t="s">
        <v>380</v>
      </c>
      <c r="H284" s="161" t="s">
        <v>2742</v>
      </c>
      <c r="I284" s="161" t="s">
        <v>2740</v>
      </c>
      <c r="J284" s="160">
        <v>559104</v>
      </c>
      <c r="K284" s="161" t="s">
        <v>380</v>
      </c>
      <c r="L284" s="160">
        <v>466944</v>
      </c>
      <c r="M284" s="161" t="s">
        <v>380</v>
      </c>
      <c r="N284" s="160">
        <v>3</v>
      </c>
      <c r="O284" s="160">
        <v>8.27</v>
      </c>
      <c r="P284" s="160">
        <v>109025.28</v>
      </c>
      <c r="Q284" s="161" t="s">
        <v>237</v>
      </c>
    </row>
    <row r="285" spans="2:17" x14ac:dyDescent="0.3">
      <c r="B285" s="188">
        <v>442069</v>
      </c>
      <c r="C285" s="158" t="s">
        <v>144</v>
      </c>
      <c r="D285" s="160">
        <v>6033.82</v>
      </c>
      <c r="E285" s="161" t="s">
        <v>237</v>
      </c>
      <c r="F285" s="160">
        <v>99.373999999999995</v>
      </c>
      <c r="G285" s="161" t="s">
        <v>374</v>
      </c>
      <c r="H285" s="161" t="s">
        <v>2739</v>
      </c>
      <c r="I285" s="161" t="s">
        <v>2738</v>
      </c>
      <c r="J285" s="160">
        <v>148.47800000000001</v>
      </c>
      <c r="K285" s="161" t="s">
        <v>374</v>
      </c>
      <c r="L285" s="160">
        <v>100.626</v>
      </c>
      <c r="M285" s="161" t="s">
        <v>374</v>
      </c>
      <c r="N285" s="160">
        <v>98</v>
      </c>
      <c r="O285" s="160">
        <v>0.94</v>
      </c>
      <c r="P285" s="160">
        <v>5655.84</v>
      </c>
      <c r="Q285" s="161" t="s">
        <v>237</v>
      </c>
    </row>
    <row r="286" spans="2:17" x14ac:dyDescent="0.3">
      <c r="B286" s="188">
        <v>442310</v>
      </c>
      <c r="C286" s="158" t="s">
        <v>2114</v>
      </c>
      <c r="D286" s="160">
        <v>3683.68</v>
      </c>
      <c r="E286" s="161" t="s">
        <v>237</v>
      </c>
      <c r="F286" s="160">
        <v>8008</v>
      </c>
      <c r="G286" s="161" t="s">
        <v>380</v>
      </c>
      <c r="H286" s="161" t="s">
        <v>2670</v>
      </c>
      <c r="I286" s="161" t="s">
        <v>2673</v>
      </c>
      <c r="J286" s="160">
        <v>0</v>
      </c>
      <c r="K286" s="161" t="s">
        <v>380</v>
      </c>
      <c r="L286" s="160">
        <v>0</v>
      </c>
      <c r="M286" s="161" t="s">
        <v>380</v>
      </c>
      <c r="N286" s="160">
        <v>99999</v>
      </c>
      <c r="O286" s="160">
        <v>0</v>
      </c>
      <c r="P286" s="160">
        <v>0</v>
      </c>
      <c r="Q286" s="161" t="s">
        <v>237</v>
      </c>
    </row>
    <row r="287" spans="2:17" x14ac:dyDescent="0.3">
      <c r="B287" s="188">
        <v>442311</v>
      </c>
      <c r="C287" s="158" t="s">
        <v>2115</v>
      </c>
      <c r="D287" s="160">
        <v>0</v>
      </c>
      <c r="E287" s="161" t="s">
        <v>237</v>
      </c>
      <c r="F287" s="160">
        <v>0</v>
      </c>
      <c r="G287" s="161" t="s">
        <v>380</v>
      </c>
      <c r="H287" s="161" t="s">
        <v>1635</v>
      </c>
      <c r="I287" s="161" t="s">
        <v>1709</v>
      </c>
      <c r="J287" s="160">
        <v>0</v>
      </c>
      <c r="K287" s="161" t="s">
        <v>380</v>
      </c>
      <c r="L287" s="160">
        <v>0</v>
      </c>
      <c r="M287" s="161" t="s">
        <v>380</v>
      </c>
      <c r="N287" s="160">
        <v>0</v>
      </c>
      <c r="O287" s="160">
        <v>0</v>
      </c>
      <c r="P287" s="160">
        <v>0</v>
      </c>
      <c r="Q287" s="161" t="s">
        <v>237</v>
      </c>
    </row>
    <row r="288" spans="2:17" x14ac:dyDescent="0.3">
      <c r="B288" s="188">
        <v>442322</v>
      </c>
      <c r="C288" s="158" t="s">
        <v>2116</v>
      </c>
      <c r="D288" s="160">
        <v>0</v>
      </c>
      <c r="E288" s="161" t="s">
        <v>237</v>
      </c>
      <c r="F288" s="160">
        <v>0</v>
      </c>
      <c r="G288" s="161" t="s">
        <v>380</v>
      </c>
      <c r="H288" s="161" t="s">
        <v>1635</v>
      </c>
      <c r="I288" s="161" t="s">
        <v>1709</v>
      </c>
      <c r="J288" s="160">
        <v>0</v>
      </c>
      <c r="K288" s="161" t="s">
        <v>380</v>
      </c>
      <c r="L288" s="160">
        <v>0</v>
      </c>
      <c r="M288" s="161" t="s">
        <v>380</v>
      </c>
      <c r="N288" s="160">
        <v>0</v>
      </c>
      <c r="O288" s="160">
        <v>0</v>
      </c>
      <c r="P288" s="160">
        <v>0</v>
      </c>
      <c r="Q288" s="161" t="s">
        <v>237</v>
      </c>
    </row>
    <row r="289" spans="2:17" x14ac:dyDescent="0.3">
      <c r="B289" s="188">
        <v>442323</v>
      </c>
      <c r="C289" s="158" t="s">
        <v>2117</v>
      </c>
      <c r="D289" s="160">
        <v>0</v>
      </c>
      <c r="E289" s="161" t="s">
        <v>237</v>
      </c>
      <c r="F289" s="160">
        <v>0</v>
      </c>
      <c r="G289" s="161" t="s">
        <v>380</v>
      </c>
      <c r="H289" s="161" t="s">
        <v>1635</v>
      </c>
      <c r="I289" s="161" t="s">
        <v>1709</v>
      </c>
      <c r="J289" s="160">
        <v>0</v>
      </c>
      <c r="K289" s="161" t="s">
        <v>380</v>
      </c>
      <c r="L289" s="160">
        <v>0</v>
      </c>
      <c r="M289" s="161" t="s">
        <v>380</v>
      </c>
      <c r="N289" s="160">
        <v>0</v>
      </c>
      <c r="O289" s="160">
        <v>0</v>
      </c>
      <c r="P289" s="160">
        <v>0</v>
      </c>
      <c r="Q289" s="161" t="s">
        <v>237</v>
      </c>
    </row>
    <row r="290" spans="2:17" x14ac:dyDescent="0.3">
      <c r="B290" s="188">
        <v>442642</v>
      </c>
      <c r="C290" s="158" t="s">
        <v>231</v>
      </c>
      <c r="D290" s="160">
        <v>5680.08</v>
      </c>
      <c r="E290" s="161" t="s">
        <v>237</v>
      </c>
      <c r="F290" s="160">
        <v>20286</v>
      </c>
      <c r="G290" s="161" t="s">
        <v>380</v>
      </c>
      <c r="H290" s="161" t="s">
        <v>2746</v>
      </c>
      <c r="I290" s="161" t="s">
        <v>2751</v>
      </c>
      <c r="J290" s="160">
        <v>1932</v>
      </c>
      <c r="K290" s="161" t="s">
        <v>380</v>
      </c>
      <c r="L290" s="160">
        <v>9660</v>
      </c>
      <c r="M290" s="161" t="s">
        <v>380</v>
      </c>
      <c r="N290" s="160">
        <v>1082</v>
      </c>
      <c r="O290" s="160">
        <v>0.12</v>
      </c>
      <c r="P290" s="160">
        <v>483</v>
      </c>
      <c r="Q290" s="161" t="s">
        <v>237</v>
      </c>
    </row>
    <row r="291" spans="2:17" x14ac:dyDescent="0.3">
      <c r="B291" s="188">
        <v>449174</v>
      </c>
      <c r="C291" s="158" t="s">
        <v>1190</v>
      </c>
      <c r="D291" s="160">
        <v>0</v>
      </c>
      <c r="E291" s="161" t="s">
        <v>237</v>
      </c>
      <c r="F291" s="160">
        <v>0</v>
      </c>
      <c r="G291" s="161" t="s">
        <v>380</v>
      </c>
      <c r="H291" s="161" t="s">
        <v>1511</v>
      </c>
      <c r="I291" s="161" t="s">
        <v>2572</v>
      </c>
      <c r="J291" s="160">
        <v>0</v>
      </c>
      <c r="K291" s="161" t="s">
        <v>380</v>
      </c>
      <c r="L291" s="160">
        <v>0</v>
      </c>
      <c r="M291" s="161" t="s">
        <v>380</v>
      </c>
      <c r="N291" s="160">
        <v>0</v>
      </c>
      <c r="O291" s="160">
        <v>0</v>
      </c>
      <c r="P291" s="160">
        <v>0</v>
      </c>
      <c r="Q291" s="161" t="s">
        <v>237</v>
      </c>
    </row>
    <row r="292" spans="2:17" x14ac:dyDescent="0.3">
      <c r="B292" s="188">
        <v>449365</v>
      </c>
      <c r="C292" s="158" t="s">
        <v>122</v>
      </c>
      <c r="D292" s="160">
        <v>128.16</v>
      </c>
      <c r="E292" s="161" t="s">
        <v>237</v>
      </c>
      <c r="F292" s="160">
        <v>534</v>
      </c>
      <c r="G292" s="161" t="s">
        <v>380</v>
      </c>
      <c r="H292" s="161" t="s">
        <v>2593</v>
      </c>
      <c r="I292" s="161" t="s">
        <v>2613</v>
      </c>
      <c r="J292" s="160">
        <v>0</v>
      </c>
      <c r="K292" s="161" t="s">
        <v>380</v>
      </c>
      <c r="L292" s="160">
        <v>0</v>
      </c>
      <c r="M292" s="161" t="s">
        <v>380</v>
      </c>
      <c r="N292" s="160">
        <v>99999</v>
      </c>
      <c r="O292" s="160">
        <v>0</v>
      </c>
      <c r="P292" s="160">
        <v>0</v>
      </c>
      <c r="Q292" s="161" t="s">
        <v>237</v>
      </c>
    </row>
    <row r="293" spans="2:17" x14ac:dyDescent="0.3">
      <c r="B293" s="188">
        <v>449792</v>
      </c>
      <c r="C293" s="158" t="s">
        <v>2118</v>
      </c>
      <c r="D293" s="160">
        <v>0</v>
      </c>
      <c r="E293" s="161" t="s">
        <v>237</v>
      </c>
      <c r="F293" s="160">
        <v>0</v>
      </c>
      <c r="G293" s="161" t="s">
        <v>374</v>
      </c>
      <c r="H293" s="161" t="s">
        <v>1710</v>
      </c>
      <c r="I293" s="161" t="s">
        <v>1711</v>
      </c>
      <c r="J293" s="160">
        <v>0</v>
      </c>
      <c r="K293" s="161" t="s">
        <v>374</v>
      </c>
      <c r="L293" s="160">
        <v>0</v>
      </c>
      <c r="M293" s="161" t="s">
        <v>374</v>
      </c>
      <c r="N293" s="160">
        <v>0</v>
      </c>
      <c r="O293" s="160">
        <v>0</v>
      </c>
      <c r="P293" s="160">
        <v>0</v>
      </c>
      <c r="Q293" s="161" t="s">
        <v>237</v>
      </c>
    </row>
    <row r="294" spans="2:17" x14ac:dyDescent="0.3">
      <c r="B294" s="188">
        <v>451191</v>
      </c>
      <c r="C294" s="158" t="s">
        <v>123</v>
      </c>
      <c r="D294" s="160">
        <v>4590</v>
      </c>
      <c r="E294" s="161" t="s">
        <v>237</v>
      </c>
      <c r="F294" s="160">
        <v>18360</v>
      </c>
      <c r="G294" s="161" t="s">
        <v>380</v>
      </c>
      <c r="H294" s="161" t="s">
        <v>2706</v>
      </c>
      <c r="I294" s="161" t="s">
        <v>2713</v>
      </c>
      <c r="J294" s="160">
        <v>162648.016</v>
      </c>
      <c r="K294" s="161" t="s">
        <v>380</v>
      </c>
      <c r="L294" s="160">
        <v>148878.016</v>
      </c>
      <c r="M294" s="161" t="s">
        <v>380</v>
      </c>
      <c r="N294" s="160">
        <v>11</v>
      </c>
      <c r="O294" s="160">
        <v>2.87</v>
      </c>
      <c r="P294" s="160">
        <v>38178.54</v>
      </c>
      <c r="Q294" s="161" t="s">
        <v>237</v>
      </c>
    </row>
    <row r="295" spans="2:17" x14ac:dyDescent="0.3">
      <c r="B295" s="188">
        <v>453730</v>
      </c>
      <c r="C295" s="158" t="s">
        <v>2119</v>
      </c>
      <c r="D295" s="160">
        <v>0</v>
      </c>
      <c r="E295" s="161" t="s">
        <v>237</v>
      </c>
      <c r="F295" s="160">
        <v>0</v>
      </c>
      <c r="G295" s="161" t="s">
        <v>380</v>
      </c>
      <c r="H295" s="161" t="s">
        <v>1506</v>
      </c>
      <c r="I295" s="161" t="s">
        <v>1712</v>
      </c>
      <c r="J295" s="160">
        <v>0</v>
      </c>
      <c r="K295" s="161" t="s">
        <v>380</v>
      </c>
      <c r="L295" s="160">
        <v>0</v>
      </c>
      <c r="M295" s="161" t="s">
        <v>380</v>
      </c>
      <c r="N295" s="160">
        <v>0</v>
      </c>
      <c r="O295" s="160">
        <v>0</v>
      </c>
      <c r="P295" s="160">
        <v>0</v>
      </c>
      <c r="Q295" s="161" t="s">
        <v>237</v>
      </c>
    </row>
    <row r="296" spans="2:17" x14ac:dyDescent="0.3">
      <c r="B296" s="188">
        <v>453732</v>
      </c>
      <c r="C296" s="158" t="s">
        <v>2120</v>
      </c>
      <c r="D296" s="160">
        <v>0</v>
      </c>
      <c r="E296" s="161" t="s">
        <v>237</v>
      </c>
      <c r="F296" s="160">
        <v>0</v>
      </c>
      <c r="G296" s="161" t="s">
        <v>380</v>
      </c>
      <c r="H296" s="161" t="s">
        <v>1660</v>
      </c>
      <c r="I296" s="161" t="s">
        <v>1660</v>
      </c>
      <c r="J296" s="160">
        <v>0</v>
      </c>
      <c r="K296" s="161" t="s">
        <v>380</v>
      </c>
      <c r="L296" s="160">
        <v>0</v>
      </c>
      <c r="M296" s="161" t="s">
        <v>380</v>
      </c>
      <c r="N296" s="160">
        <v>0</v>
      </c>
      <c r="O296" s="160">
        <v>0</v>
      </c>
      <c r="P296" s="160">
        <v>0</v>
      </c>
      <c r="Q296" s="161" t="s">
        <v>237</v>
      </c>
    </row>
    <row r="297" spans="2:17" x14ac:dyDescent="0.3">
      <c r="B297" s="188">
        <v>453747</v>
      </c>
      <c r="C297" s="158" t="s">
        <v>2121</v>
      </c>
      <c r="D297" s="160">
        <v>0</v>
      </c>
      <c r="E297" s="161" t="s">
        <v>237</v>
      </c>
      <c r="F297" s="160">
        <v>0</v>
      </c>
      <c r="G297" s="161" t="s">
        <v>380</v>
      </c>
      <c r="H297" s="161" t="s">
        <v>1478</v>
      </c>
      <c r="I297" s="161" t="s">
        <v>1473</v>
      </c>
      <c r="J297" s="160">
        <v>0</v>
      </c>
      <c r="K297" s="161" t="s">
        <v>380</v>
      </c>
      <c r="L297" s="160">
        <v>0</v>
      </c>
      <c r="M297" s="161" t="s">
        <v>380</v>
      </c>
      <c r="N297" s="160">
        <v>0</v>
      </c>
      <c r="O297" s="160">
        <v>0</v>
      </c>
      <c r="P297" s="160">
        <v>0</v>
      </c>
      <c r="Q297" s="161" t="s">
        <v>237</v>
      </c>
    </row>
    <row r="298" spans="2:17" x14ac:dyDescent="0.3">
      <c r="B298" s="188">
        <v>453748</v>
      </c>
      <c r="C298" s="158" t="s">
        <v>2122</v>
      </c>
      <c r="D298" s="160">
        <v>0</v>
      </c>
      <c r="E298" s="161" t="s">
        <v>237</v>
      </c>
      <c r="F298" s="160">
        <v>0</v>
      </c>
      <c r="G298" s="161" t="s">
        <v>380</v>
      </c>
      <c r="H298" s="161" t="s">
        <v>1713</v>
      </c>
      <c r="I298" s="161" t="s">
        <v>1473</v>
      </c>
      <c r="J298" s="160">
        <v>0</v>
      </c>
      <c r="K298" s="161" t="s">
        <v>380</v>
      </c>
      <c r="L298" s="160">
        <v>0</v>
      </c>
      <c r="M298" s="161" t="s">
        <v>380</v>
      </c>
      <c r="N298" s="160">
        <v>0</v>
      </c>
      <c r="O298" s="160">
        <v>0</v>
      </c>
      <c r="P298" s="160">
        <v>0</v>
      </c>
      <c r="Q298" s="161" t="s">
        <v>237</v>
      </c>
    </row>
    <row r="299" spans="2:17" x14ac:dyDescent="0.3">
      <c r="B299" s="188">
        <v>453751</v>
      </c>
      <c r="C299" s="158" t="s">
        <v>2123</v>
      </c>
      <c r="D299" s="160">
        <v>0</v>
      </c>
      <c r="E299" s="161" t="s">
        <v>237</v>
      </c>
      <c r="F299" s="160">
        <v>0</v>
      </c>
      <c r="G299" s="161" t="s">
        <v>380</v>
      </c>
      <c r="H299" s="161" t="s">
        <v>1714</v>
      </c>
      <c r="I299" s="161" t="s">
        <v>1715</v>
      </c>
      <c r="J299" s="160">
        <v>0</v>
      </c>
      <c r="K299" s="161" t="s">
        <v>380</v>
      </c>
      <c r="L299" s="160">
        <v>0</v>
      </c>
      <c r="M299" s="161" t="s">
        <v>380</v>
      </c>
      <c r="N299" s="160">
        <v>0</v>
      </c>
      <c r="O299" s="160">
        <v>0</v>
      </c>
      <c r="P299" s="160">
        <v>0</v>
      </c>
      <c r="Q299" s="161" t="s">
        <v>237</v>
      </c>
    </row>
    <row r="300" spans="2:17" x14ac:dyDescent="0.3">
      <c r="B300" s="188">
        <v>453753</v>
      </c>
      <c r="C300" s="158" t="s">
        <v>140</v>
      </c>
      <c r="D300" s="160">
        <v>533.66999999999996</v>
      </c>
      <c r="E300" s="161" t="s">
        <v>237</v>
      </c>
      <c r="F300" s="160">
        <v>3900</v>
      </c>
      <c r="G300" s="161" t="s">
        <v>380</v>
      </c>
      <c r="H300" s="161" t="s">
        <v>2754</v>
      </c>
      <c r="I300" s="161" t="s">
        <v>2751</v>
      </c>
      <c r="J300" s="160">
        <v>15600</v>
      </c>
      <c r="K300" s="161" t="s">
        <v>380</v>
      </c>
      <c r="L300" s="160">
        <v>15600</v>
      </c>
      <c r="M300" s="161" t="s">
        <v>380</v>
      </c>
      <c r="N300" s="160">
        <v>23</v>
      </c>
      <c r="O300" s="160">
        <v>4</v>
      </c>
      <c r="P300" s="160">
        <v>2134.6799999999998</v>
      </c>
      <c r="Q300" s="161" t="s">
        <v>237</v>
      </c>
    </row>
    <row r="301" spans="2:17" x14ac:dyDescent="0.3">
      <c r="B301" s="188">
        <v>453754</v>
      </c>
      <c r="C301" s="158" t="s">
        <v>2124</v>
      </c>
      <c r="D301" s="160">
        <v>0</v>
      </c>
      <c r="E301" s="161" t="s">
        <v>237</v>
      </c>
      <c r="F301" s="160">
        <v>0</v>
      </c>
      <c r="G301" s="161" t="s">
        <v>380</v>
      </c>
      <c r="H301" s="161" t="s">
        <v>1478</v>
      </c>
      <c r="I301" s="161" t="s">
        <v>1643</v>
      </c>
      <c r="J301" s="160">
        <v>0</v>
      </c>
      <c r="K301" s="161" t="s">
        <v>380</v>
      </c>
      <c r="L301" s="160">
        <v>0</v>
      </c>
      <c r="M301" s="161" t="s">
        <v>380</v>
      </c>
      <c r="N301" s="160">
        <v>0</v>
      </c>
      <c r="O301" s="160">
        <v>0</v>
      </c>
      <c r="P301" s="160">
        <v>0</v>
      </c>
      <c r="Q301" s="161" t="s">
        <v>237</v>
      </c>
    </row>
    <row r="302" spans="2:17" x14ac:dyDescent="0.3">
      <c r="B302" s="188">
        <v>453756</v>
      </c>
      <c r="C302" s="158" t="s">
        <v>2125</v>
      </c>
      <c r="D302" s="160">
        <v>0</v>
      </c>
      <c r="E302" s="161" t="s">
        <v>237</v>
      </c>
      <c r="F302" s="160">
        <v>0</v>
      </c>
      <c r="G302" s="161" t="s">
        <v>380</v>
      </c>
      <c r="H302" s="161" t="s">
        <v>1478</v>
      </c>
      <c r="I302" s="161" t="s">
        <v>1643</v>
      </c>
      <c r="J302" s="160">
        <v>0</v>
      </c>
      <c r="K302" s="161" t="s">
        <v>380</v>
      </c>
      <c r="L302" s="160">
        <v>0</v>
      </c>
      <c r="M302" s="161" t="s">
        <v>380</v>
      </c>
      <c r="N302" s="160">
        <v>0</v>
      </c>
      <c r="O302" s="160">
        <v>0</v>
      </c>
      <c r="P302" s="160">
        <v>0</v>
      </c>
      <c r="Q302" s="161" t="s">
        <v>237</v>
      </c>
    </row>
    <row r="303" spans="2:17" x14ac:dyDescent="0.3">
      <c r="B303" s="188">
        <v>453758</v>
      </c>
      <c r="C303" s="158" t="s">
        <v>1606</v>
      </c>
      <c r="D303" s="160">
        <v>0</v>
      </c>
      <c r="E303" s="161" t="s">
        <v>237</v>
      </c>
      <c r="F303" s="160">
        <v>0</v>
      </c>
      <c r="G303" s="161" t="s">
        <v>380</v>
      </c>
      <c r="H303" s="161" t="s">
        <v>2638</v>
      </c>
      <c r="I303" s="161" t="s">
        <v>2634</v>
      </c>
      <c r="J303" s="160">
        <v>0</v>
      </c>
      <c r="K303" s="161" t="s">
        <v>380</v>
      </c>
      <c r="L303" s="160">
        <v>0</v>
      </c>
      <c r="M303" s="161" t="s">
        <v>380</v>
      </c>
      <c r="N303" s="160">
        <v>0</v>
      </c>
      <c r="O303" s="160">
        <v>0</v>
      </c>
      <c r="P303" s="160">
        <v>0</v>
      </c>
      <c r="Q303" s="161" t="s">
        <v>237</v>
      </c>
    </row>
    <row r="304" spans="2:17" x14ac:dyDescent="0.3">
      <c r="B304" s="188">
        <v>453765</v>
      </c>
      <c r="C304" s="158" t="s">
        <v>1916</v>
      </c>
      <c r="D304" s="160">
        <v>0</v>
      </c>
      <c r="E304" s="161" t="s">
        <v>237</v>
      </c>
      <c r="F304" s="160">
        <v>0</v>
      </c>
      <c r="G304" s="161" t="s">
        <v>380</v>
      </c>
      <c r="H304" s="161" t="s">
        <v>2609</v>
      </c>
      <c r="I304" s="161" t="s">
        <v>2607</v>
      </c>
      <c r="J304" s="160">
        <v>0</v>
      </c>
      <c r="K304" s="161" t="s">
        <v>380</v>
      </c>
      <c r="L304" s="160">
        <v>0</v>
      </c>
      <c r="M304" s="161" t="s">
        <v>380</v>
      </c>
      <c r="N304" s="160">
        <v>0</v>
      </c>
      <c r="O304" s="160">
        <v>0</v>
      </c>
      <c r="P304" s="160">
        <v>0</v>
      </c>
      <c r="Q304" s="161" t="s">
        <v>237</v>
      </c>
    </row>
    <row r="305" spans="2:17" x14ac:dyDescent="0.3">
      <c r="B305" s="188">
        <v>453776</v>
      </c>
      <c r="C305" s="158" t="s">
        <v>2126</v>
      </c>
      <c r="D305" s="160">
        <v>0</v>
      </c>
      <c r="E305" s="161" t="s">
        <v>237</v>
      </c>
      <c r="F305" s="160">
        <v>0</v>
      </c>
      <c r="G305" s="161" t="s">
        <v>380</v>
      </c>
      <c r="H305" s="161" t="s">
        <v>1716</v>
      </c>
      <c r="I305" s="161" t="s">
        <v>1717</v>
      </c>
      <c r="J305" s="160">
        <v>0</v>
      </c>
      <c r="K305" s="161" t="s">
        <v>380</v>
      </c>
      <c r="L305" s="160">
        <v>0</v>
      </c>
      <c r="M305" s="161" t="s">
        <v>380</v>
      </c>
      <c r="N305" s="160">
        <v>0</v>
      </c>
      <c r="O305" s="160">
        <v>0</v>
      </c>
      <c r="P305" s="160">
        <v>0</v>
      </c>
      <c r="Q305" s="161" t="s">
        <v>237</v>
      </c>
    </row>
    <row r="306" spans="2:17" x14ac:dyDescent="0.3">
      <c r="B306" s="188">
        <v>453788</v>
      </c>
      <c r="C306" s="158" t="s">
        <v>2127</v>
      </c>
      <c r="D306" s="160">
        <v>0</v>
      </c>
      <c r="E306" s="161" t="s">
        <v>237</v>
      </c>
      <c r="F306" s="160">
        <v>0</v>
      </c>
      <c r="G306" s="161" t="s">
        <v>380</v>
      </c>
      <c r="H306" s="161" t="s">
        <v>1718</v>
      </c>
      <c r="I306" s="161" t="s">
        <v>1647</v>
      </c>
      <c r="J306" s="160">
        <v>0</v>
      </c>
      <c r="K306" s="161" t="s">
        <v>380</v>
      </c>
      <c r="L306" s="160">
        <v>0</v>
      </c>
      <c r="M306" s="161" t="s">
        <v>380</v>
      </c>
      <c r="N306" s="160">
        <v>0</v>
      </c>
      <c r="O306" s="160">
        <v>0</v>
      </c>
      <c r="P306" s="160">
        <v>0</v>
      </c>
      <c r="Q306" s="161" t="s">
        <v>237</v>
      </c>
    </row>
    <row r="307" spans="2:17" x14ac:dyDescent="0.3">
      <c r="B307" s="188">
        <v>453792</v>
      </c>
      <c r="C307" s="158" t="s">
        <v>1917</v>
      </c>
      <c r="D307" s="160">
        <v>639.37</v>
      </c>
      <c r="E307" s="161" t="s">
        <v>237</v>
      </c>
      <c r="F307" s="160">
        <v>2160</v>
      </c>
      <c r="G307" s="161" t="s">
        <v>380</v>
      </c>
      <c r="H307" s="161" t="s">
        <v>2533</v>
      </c>
      <c r="I307" s="161" t="s">
        <v>2532</v>
      </c>
      <c r="J307" s="160">
        <v>0</v>
      </c>
      <c r="K307" s="161" t="s">
        <v>380</v>
      </c>
      <c r="L307" s="160">
        <v>0</v>
      </c>
      <c r="M307" s="161" t="s">
        <v>380</v>
      </c>
      <c r="N307" s="160">
        <v>99999</v>
      </c>
      <c r="O307" s="160">
        <v>0</v>
      </c>
      <c r="P307" s="160">
        <v>0</v>
      </c>
      <c r="Q307" s="161" t="s">
        <v>237</v>
      </c>
    </row>
    <row r="308" spans="2:17" x14ac:dyDescent="0.3">
      <c r="B308" s="188">
        <v>453796</v>
      </c>
      <c r="C308" s="158" t="s">
        <v>232</v>
      </c>
      <c r="D308" s="160">
        <v>20160</v>
      </c>
      <c r="E308" s="161" t="s">
        <v>237</v>
      </c>
      <c r="F308" s="160">
        <v>168000</v>
      </c>
      <c r="G308" s="161" t="s">
        <v>380</v>
      </c>
      <c r="H308" s="161" t="s">
        <v>2763</v>
      </c>
      <c r="I308" s="161" t="s">
        <v>2808</v>
      </c>
      <c r="J308" s="160">
        <v>960000</v>
      </c>
      <c r="K308" s="161" t="s">
        <v>380</v>
      </c>
      <c r="L308" s="160">
        <v>1120000</v>
      </c>
      <c r="M308" s="161" t="s">
        <v>380</v>
      </c>
      <c r="N308" s="160">
        <v>17</v>
      </c>
      <c r="O308" s="160">
        <v>6.49</v>
      </c>
      <c r="P308" s="160">
        <v>108800</v>
      </c>
      <c r="Q308" s="161" t="s">
        <v>237</v>
      </c>
    </row>
    <row r="309" spans="2:17" x14ac:dyDescent="0.3">
      <c r="B309" s="188">
        <v>453797</v>
      </c>
      <c r="C309" s="158" t="s">
        <v>2128</v>
      </c>
      <c r="D309" s="160">
        <v>0</v>
      </c>
      <c r="E309" s="161" t="s">
        <v>237</v>
      </c>
      <c r="F309" s="160">
        <v>0</v>
      </c>
      <c r="G309" s="161" t="s">
        <v>380</v>
      </c>
      <c r="H309" s="161" t="s">
        <v>1719</v>
      </c>
      <c r="I309" s="161" t="s">
        <v>1681</v>
      </c>
      <c r="J309" s="160">
        <v>0</v>
      </c>
      <c r="K309" s="161" t="s">
        <v>380</v>
      </c>
      <c r="L309" s="160">
        <v>0</v>
      </c>
      <c r="M309" s="161" t="s">
        <v>380</v>
      </c>
      <c r="N309" s="160">
        <v>0</v>
      </c>
      <c r="O309" s="160">
        <v>0</v>
      </c>
      <c r="P309" s="160">
        <v>0</v>
      </c>
      <c r="Q309" s="161" t="s">
        <v>237</v>
      </c>
    </row>
    <row r="310" spans="2:17" x14ac:dyDescent="0.3">
      <c r="B310" s="188">
        <v>453798</v>
      </c>
      <c r="C310" s="158" t="s">
        <v>2129</v>
      </c>
      <c r="D310" s="160">
        <v>0</v>
      </c>
      <c r="E310" s="161" t="s">
        <v>237</v>
      </c>
      <c r="F310" s="160">
        <v>0</v>
      </c>
      <c r="G310" s="161" t="s">
        <v>380</v>
      </c>
      <c r="H310" s="161" t="s">
        <v>1720</v>
      </c>
      <c r="I310" s="161" t="s">
        <v>1503</v>
      </c>
      <c r="J310" s="160">
        <v>0</v>
      </c>
      <c r="K310" s="161" t="s">
        <v>380</v>
      </c>
      <c r="L310" s="160">
        <v>0</v>
      </c>
      <c r="M310" s="161" t="s">
        <v>380</v>
      </c>
      <c r="N310" s="160">
        <v>0</v>
      </c>
      <c r="O310" s="160">
        <v>0</v>
      </c>
      <c r="P310" s="160">
        <v>0</v>
      </c>
      <c r="Q310" s="161" t="s">
        <v>237</v>
      </c>
    </row>
    <row r="311" spans="2:17" x14ac:dyDescent="0.3">
      <c r="B311" s="188">
        <v>453803</v>
      </c>
      <c r="C311" s="158" t="s">
        <v>2130</v>
      </c>
      <c r="D311" s="160">
        <v>0</v>
      </c>
      <c r="E311" s="161" t="s">
        <v>237</v>
      </c>
      <c r="F311" s="160">
        <v>0</v>
      </c>
      <c r="G311" s="161" t="s">
        <v>380</v>
      </c>
      <c r="H311" s="161" t="s">
        <v>1721</v>
      </c>
      <c r="I311" s="161" t="s">
        <v>1722</v>
      </c>
      <c r="J311" s="160">
        <v>0</v>
      </c>
      <c r="K311" s="161" t="s">
        <v>380</v>
      </c>
      <c r="L311" s="160">
        <v>0</v>
      </c>
      <c r="M311" s="161" t="s">
        <v>380</v>
      </c>
      <c r="N311" s="160">
        <v>0</v>
      </c>
      <c r="O311" s="160">
        <v>0</v>
      </c>
      <c r="P311" s="160">
        <v>0</v>
      </c>
      <c r="Q311" s="161" t="s">
        <v>237</v>
      </c>
    </row>
    <row r="312" spans="2:17" x14ac:dyDescent="0.3">
      <c r="B312" s="188">
        <v>453811</v>
      </c>
      <c r="C312" s="158" t="s">
        <v>125</v>
      </c>
      <c r="D312" s="160">
        <v>0</v>
      </c>
      <c r="E312" s="161" t="s">
        <v>237</v>
      </c>
      <c r="F312" s="160">
        <v>0</v>
      </c>
      <c r="G312" s="161" t="s">
        <v>380</v>
      </c>
      <c r="H312" s="161" t="s">
        <v>2755</v>
      </c>
      <c r="I312" s="161" t="s">
        <v>2755</v>
      </c>
      <c r="J312" s="160">
        <v>4350</v>
      </c>
      <c r="K312" s="161" t="s">
        <v>380</v>
      </c>
      <c r="L312" s="160">
        <v>4350</v>
      </c>
      <c r="M312" s="161" t="s">
        <v>380</v>
      </c>
      <c r="N312" s="160">
        <v>0</v>
      </c>
      <c r="O312" s="160">
        <v>99999</v>
      </c>
      <c r="P312" s="160">
        <v>2044.5</v>
      </c>
      <c r="Q312" s="161" t="s">
        <v>237</v>
      </c>
    </row>
    <row r="313" spans="2:17" x14ac:dyDescent="0.3">
      <c r="B313" s="188">
        <v>453820</v>
      </c>
      <c r="C313" s="158" t="s">
        <v>2131</v>
      </c>
      <c r="D313" s="160">
        <v>0</v>
      </c>
      <c r="E313" s="161" t="s">
        <v>237</v>
      </c>
      <c r="F313" s="160">
        <v>0</v>
      </c>
      <c r="G313" s="161" t="s">
        <v>380</v>
      </c>
      <c r="H313" s="161" t="s">
        <v>1679</v>
      </c>
      <c r="I313" s="161" t="s">
        <v>1723</v>
      </c>
      <c r="J313" s="160">
        <v>0</v>
      </c>
      <c r="K313" s="161" t="s">
        <v>380</v>
      </c>
      <c r="L313" s="160">
        <v>0</v>
      </c>
      <c r="M313" s="161" t="s">
        <v>380</v>
      </c>
      <c r="N313" s="160">
        <v>0</v>
      </c>
      <c r="O313" s="160">
        <v>0</v>
      </c>
      <c r="P313" s="160">
        <v>0</v>
      </c>
      <c r="Q313" s="161" t="s">
        <v>237</v>
      </c>
    </row>
    <row r="314" spans="2:17" x14ac:dyDescent="0.3">
      <c r="B314" s="188">
        <v>453826</v>
      </c>
      <c r="C314" s="158" t="s">
        <v>2132</v>
      </c>
      <c r="D314" s="160">
        <v>0</v>
      </c>
      <c r="E314" s="161" t="s">
        <v>237</v>
      </c>
      <c r="F314" s="160">
        <v>0</v>
      </c>
      <c r="G314" s="161" t="s">
        <v>380</v>
      </c>
      <c r="H314" s="161" t="s">
        <v>2581</v>
      </c>
      <c r="I314" s="161" t="s">
        <v>2577</v>
      </c>
      <c r="J314" s="160">
        <v>0</v>
      </c>
      <c r="K314" s="161" t="s">
        <v>380</v>
      </c>
      <c r="L314" s="160">
        <v>0</v>
      </c>
      <c r="M314" s="161" t="s">
        <v>380</v>
      </c>
      <c r="N314" s="160">
        <v>0</v>
      </c>
      <c r="O314" s="160">
        <v>0</v>
      </c>
      <c r="P314" s="160">
        <v>0</v>
      </c>
      <c r="Q314" s="161" t="s">
        <v>237</v>
      </c>
    </row>
    <row r="315" spans="2:17" x14ac:dyDescent="0.3">
      <c r="B315" s="188">
        <v>453833</v>
      </c>
      <c r="C315" s="158" t="s">
        <v>356</v>
      </c>
      <c r="D315" s="160">
        <v>171.42</v>
      </c>
      <c r="E315" s="161" t="s">
        <v>237</v>
      </c>
      <c r="F315" s="160">
        <v>720</v>
      </c>
      <c r="G315" s="161" t="s">
        <v>380</v>
      </c>
      <c r="H315" s="161" t="s">
        <v>2638</v>
      </c>
      <c r="I315" s="161" t="s">
        <v>2634</v>
      </c>
      <c r="J315" s="160">
        <v>0</v>
      </c>
      <c r="K315" s="161" t="s">
        <v>380</v>
      </c>
      <c r="L315" s="160">
        <v>0</v>
      </c>
      <c r="M315" s="161" t="s">
        <v>380</v>
      </c>
      <c r="N315" s="160">
        <v>99999</v>
      </c>
      <c r="O315" s="160">
        <v>0</v>
      </c>
      <c r="P315" s="160">
        <v>0</v>
      </c>
      <c r="Q315" s="161" t="s">
        <v>237</v>
      </c>
    </row>
    <row r="316" spans="2:17" x14ac:dyDescent="0.3">
      <c r="B316" s="188">
        <v>453836</v>
      </c>
      <c r="C316" s="158" t="s">
        <v>2133</v>
      </c>
      <c r="D316" s="160">
        <v>0</v>
      </c>
      <c r="E316" s="161" t="s">
        <v>237</v>
      </c>
      <c r="F316" s="160">
        <v>0</v>
      </c>
      <c r="G316" s="161" t="s">
        <v>380</v>
      </c>
      <c r="H316" s="161" t="s">
        <v>1722</v>
      </c>
      <c r="I316" s="161" t="s">
        <v>1722</v>
      </c>
      <c r="J316" s="160">
        <v>0</v>
      </c>
      <c r="K316" s="161" t="s">
        <v>380</v>
      </c>
      <c r="L316" s="160">
        <v>0</v>
      </c>
      <c r="M316" s="161" t="s">
        <v>380</v>
      </c>
      <c r="N316" s="160">
        <v>0</v>
      </c>
      <c r="O316" s="160">
        <v>0</v>
      </c>
      <c r="P316" s="160">
        <v>0</v>
      </c>
      <c r="Q316" s="161" t="s">
        <v>237</v>
      </c>
    </row>
    <row r="317" spans="2:17" x14ac:dyDescent="0.3">
      <c r="B317" s="188">
        <v>453839</v>
      </c>
      <c r="C317" s="158" t="s">
        <v>2134</v>
      </c>
      <c r="D317" s="160">
        <v>0</v>
      </c>
      <c r="E317" s="161" t="s">
        <v>237</v>
      </c>
      <c r="F317" s="160">
        <v>0</v>
      </c>
      <c r="G317" s="161" t="s">
        <v>380</v>
      </c>
      <c r="H317" s="161" t="s">
        <v>1577</v>
      </c>
      <c r="I317" s="161" t="s">
        <v>1724</v>
      </c>
      <c r="J317" s="160">
        <v>0</v>
      </c>
      <c r="K317" s="161" t="s">
        <v>380</v>
      </c>
      <c r="L317" s="160">
        <v>0</v>
      </c>
      <c r="M317" s="161" t="s">
        <v>380</v>
      </c>
      <c r="N317" s="160">
        <v>0</v>
      </c>
      <c r="O317" s="160">
        <v>0</v>
      </c>
      <c r="P317" s="160">
        <v>0</v>
      </c>
      <c r="Q317" s="161" t="s">
        <v>237</v>
      </c>
    </row>
    <row r="318" spans="2:17" x14ac:dyDescent="0.3">
      <c r="B318" s="188">
        <v>453840</v>
      </c>
      <c r="C318" s="158" t="s">
        <v>284</v>
      </c>
      <c r="D318" s="160">
        <v>1220.4100000000001</v>
      </c>
      <c r="E318" s="161" t="s">
        <v>237</v>
      </c>
      <c r="F318" s="160">
        <v>3600</v>
      </c>
      <c r="G318" s="161" t="s">
        <v>380</v>
      </c>
      <c r="H318" s="161" t="s">
        <v>2552</v>
      </c>
      <c r="I318" s="161" t="s">
        <v>2548</v>
      </c>
      <c r="J318" s="160">
        <v>0</v>
      </c>
      <c r="K318" s="161" t="s">
        <v>380</v>
      </c>
      <c r="L318" s="160">
        <v>0</v>
      </c>
      <c r="M318" s="161" t="s">
        <v>380</v>
      </c>
      <c r="N318" s="160">
        <v>99999</v>
      </c>
      <c r="O318" s="160">
        <v>0</v>
      </c>
      <c r="P318" s="160">
        <v>0</v>
      </c>
      <c r="Q318" s="161" t="s">
        <v>237</v>
      </c>
    </row>
    <row r="319" spans="2:17" x14ac:dyDescent="0.3">
      <c r="B319" s="188">
        <v>453845</v>
      </c>
      <c r="C319" s="158" t="s">
        <v>2135</v>
      </c>
      <c r="D319" s="160">
        <v>0</v>
      </c>
      <c r="E319" s="161" t="s">
        <v>237</v>
      </c>
      <c r="F319" s="160">
        <v>0</v>
      </c>
      <c r="G319" s="161" t="s">
        <v>380</v>
      </c>
      <c r="H319" s="161" t="s">
        <v>1716</v>
      </c>
      <c r="I319" s="161" t="s">
        <v>1717</v>
      </c>
      <c r="J319" s="160">
        <v>0</v>
      </c>
      <c r="K319" s="161" t="s">
        <v>380</v>
      </c>
      <c r="L319" s="160">
        <v>0</v>
      </c>
      <c r="M319" s="161" t="s">
        <v>380</v>
      </c>
      <c r="N319" s="160">
        <v>0</v>
      </c>
      <c r="O319" s="160">
        <v>0</v>
      </c>
      <c r="P319" s="160">
        <v>0</v>
      </c>
      <c r="Q319" s="161" t="s">
        <v>237</v>
      </c>
    </row>
    <row r="320" spans="2:17" x14ac:dyDescent="0.3">
      <c r="B320" s="188">
        <v>453856</v>
      </c>
      <c r="C320" s="158" t="s">
        <v>2136</v>
      </c>
      <c r="D320" s="160">
        <v>0</v>
      </c>
      <c r="E320" s="161" t="s">
        <v>237</v>
      </c>
      <c r="F320" s="160">
        <v>0</v>
      </c>
      <c r="G320" s="161" t="s">
        <v>380</v>
      </c>
      <c r="H320" s="161" t="s">
        <v>1675</v>
      </c>
      <c r="I320" s="161" t="s">
        <v>1503</v>
      </c>
      <c r="J320" s="160">
        <v>0</v>
      </c>
      <c r="K320" s="161" t="s">
        <v>380</v>
      </c>
      <c r="L320" s="160">
        <v>0</v>
      </c>
      <c r="M320" s="161" t="s">
        <v>380</v>
      </c>
      <c r="N320" s="160">
        <v>0</v>
      </c>
      <c r="O320" s="160">
        <v>0</v>
      </c>
      <c r="P320" s="160">
        <v>0</v>
      </c>
      <c r="Q320" s="161" t="s">
        <v>237</v>
      </c>
    </row>
    <row r="321" spans="2:17" x14ac:dyDescent="0.3">
      <c r="B321" s="188">
        <v>453858</v>
      </c>
      <c r="C321" s="158" t="s">
        <v>2137</v>
      </c>
      <c r="D321" s="160">
        <v>0</v>
      </c>
      <c r="E321" s="161" t="s">
        <v>237</v>
      </c>
      <c r="F321" s="160">
        <v>0</v>
      </c>
      <c r="G321" s="161" t="s">
        <v>380</v>
      </c>
      <c r="H321" s="161" t="s">
        <v>1725</v>
      </c>
      <c r="I321" s="161" t="s">
        <v>1647</v>
      </c>
      <c r="J321" s="160">
        <v>0</v>
      </c>
      <c r="K321" s="161" t="s">
        <v>380</v>
      </c>
      <c r="L321" s="160">
        <v>0</v>
      </c>
      <c r="M321" s="161" t="s">
        <v>380</v>
      </c>
      <c r="N321" s="160">
        <v>0</v>
      </c>
      <c r="O321" s="160">
        <v>0</v>
      </c>
      <c r="P321" s="160">
        <v>0</v>
      </c>
      <c r="Q321" s="161" t="s">
        <v>237</v>
      </c>
    </row>
    <row r="322" spans="2:17" x14ac:dyDescent="0.3">
      <c r="B322" s="188">
        <v>453860</v>
      </c>
      <c r="C322" s="158" t="s">
        <v>2138</v>
      </c>
      <c r="D322" s="160">
        <v>0</v>
      </c>
      <c r="E322" s="161" t="s">
        <v>237</v>
      </c>
      <c r="F322" s="160">
        <v>0</v>
      </c>
      <c r="G322" s="161" t="s">
        <v>380</v>
      </c>
      <c r="H322" s="161" t="s">
        <v>1497</v>
      </c>
      <c r="I322" s="161" t="s">
        <v>1497</v>
      </c>
      <c r="J322" s="160">
        <v>0</v>
      </c>
      <c r="K322" s="161" t="s">
        <v>380</v>
      </c>
      <c r="L322" s="160">
        <v>0</v>
      </c>
      <c r="M322" s="161" t="s">
        <v>380</v>
      </c>
      <c r="N322" s="160">
        <v>0</v>
      </c>
      <c r="O322" s="160">
        <v>0</v>
      </c>
      <c r="P322" s="160">
        <v>0</v>
      </c>
      <c r="Q322" s="161" t="s">
        <v>237</v>
      </c>
    </row>
    <row r="323" spans="2:17" x14ac:dyDescent="0.3">
      <c r="B323" s="188">
        <v>453865</v>
      </c>
      <c r="C323" s="158" t="s">
        <v>1918</v>
      </c>
      <c r="D323" s="160">
        <v>0</v>
      </c>
      <c r="E323" s="161" t="s">
        <v>237</v>
      </c>
      <c r="F323" s="160">
        <v>0</v>
      </c>
      <c r="G323" s="161" t="s">
        <v>380</v>
      </c>
      <c r="H323" s="161" t="s">
        <v>1994</v>
      </c>
      <c r="I323" s="161" t="s">
        <v>1990</v>
      </c>
      <c r="J323" s="160">
        <v>0</v>
      </c>
      <c r="K323" s="161" t="s">
        <v>380</v>
      </c>
      <c r="L323" s="160">
        <v>0</v>
      </c>
      <c r="M323" s="161" t="s">
        <v>380</v>
      </c>
      <c r="N323" s="160">
        <v>0</v>
      </c>
      <c r="O323" s="160">
        <v>0</v>
      </c>
      <c r="P323" s="160">
        <v>0</v>
      </c>
      <c r="Q323" s="161" t="s">
        <v>237</v>
      </c>
    </row>
    <row r="324" spans="2:17" x14ac:dyDescent="0.3">
      <c r="B324" s="188">
        <v>453888</v>
      </c>
      <c r="C324" s="158" t="s">
        <v>1256</v>
      </c>
      <c r="D324" s="160">
        <v>456</v>
      </c>
      <c r="E324" s="161" t="s">
        <v>237</v>
      </c>
      <c r="F324" s="160">
        <v>3040</v>
      </c>
      <c r="G324" s="161" t="s">
        <v>380</v>
      </c>
      <c r="H324" s="161" t="s">
        <v>1995</v>
      </c>
      <c r="I324" s="161" t="s">
        <v>1993</v>
      </c>
      <c r="J324" s="160">
        <v>0</v>
      </c>
      <c r="K324" s="161" t="s">
        <v>380</v>
      </c>
      <c r="L324" s="160">
        <v>0</v>
      </c>
      <c r="M324" s="161" t="s">
        <v>380</v>
      </c>
      <c r="N324" s="160">
        <v>99999</v>
      </c>
      <c r="O324" s="160">
        <v>0</v>
      </c>
      <c r="P324" s="160">
        <v>0</v>
      </c>
      <c r="Q324" s="161" t="s">
        <v>237</v>
      </c>
    </row>
    <row r="325" spans="2:17" x14ac:dyDescent="0.3">
      <c r="B325" s="188">
        <v>453895</v>
      </c>
      <c r="C325" s="158" t="s">
        <v>1211</v>
      </c>
      <c r="D325" s="160">
        <v>1600</v>
      </c>
      <c r="E325" s="161" t="s">
        <v>237</v>
      </c>
      <c r="F325" s="160">
        <v>10000</v>
      </c>
      <c r="G325" s="161" t="s">
        <v>380</v>
      </c>
      <c r="H325" s="161" t="s">
        <v>2707</v>
      </c>
      <c r="I325" s="161" t="s">
        <v>2745</v>
      </c>
      <c r="J325" s="160">
        <v>10000</v>
      </c>
      <c r="K325" s="161" t="s">
        <v>380</v>
      </c>
      <c r="L325" s="160">
        <v>20000</v>
      </c>
      <c r="M325" s="161" t="s">
        <v>380</v>
      </c>
      <c r="N325" s="160">
        <v>92</v>
      </c>
      <c r="O325" s="160">
        <v>1</v>
      </c>
      <c r="P325" s="160">
        <v>1600</v>
      </c>
      <c r="Q325" s="161" t="s">
        <v>237</v>
      </c>
    </row>
    <row r="326" spans="2:17" x14ac:dyDescent="0.3">
      <c r="B326" s="188">
        <v>453901</v>
      </c>
      <c r="C326" s="158" t="s">
        <v>2139</v>
      </c>
      <c r="D326" s="160">
        <v>0</v>
      </c>
      <c r="E326" s="161" t="s">
        <v>237</v>
      </c>
      <c r="F326" s="160">
        <v>0</v>
      </c>
      <c r="G326" s="161" t="s">
        <v>380</v>
      </c>
      <c r="H326" s="161" t="s">
        <v>1727</v>
      </c>
      <c r="I326" s="161" t="s">
        <v>1728</v>
      </c>
      <c r="J326" s="160">
        <v>0</v>
      </c>
      <c r="K326" s="161" t="s">
        <v>380</v>
      </c>
      <c r="L326" s="160">
        <v>0</v>
      </c>
      <c r="M326" s="161" t="s">
        <v>380</v>
      </c>
      <c r="N326" s="160">
        <v>0</v>
      </c>
      <c r="O326" s="160">
        <v>0</v>
      </c>
      <c r="P326" s="160">
        <v>0</v>
      </c>
      <c r="Q326" s="161" t="s">
        <v>237</v>
      </c>
    </row>
    <row r="327" spans="2:17" x14ac:dyDescent="0.3">
      <c r="B327" s="188">
        <v>453903</v>
      </c>
      <c r="C327" s="158" t="s">
        <v>2140</v>
      </c>
      <c r="D327" s="160">
        <v>0</v>
      </c>
      <c r="E327" s="161" t="s">
        <v>237</v>
      </c>
      <c r="F327" s="160">
        <v>0</v>
      </c>
      <c r="G327" s="161" t="s">
        <v>380</v>
      </c>
      <c r="H327" s="161" t="s">
        <v>1729</v>
      </c>
      <c r="I327" s="161" t="s">
        <v>1473</v>
      </c>
      <c r="J327" s="160">
        <v>0</v>
      </c>
      <c r="K327" s="161" t="s">
        <v>380</v>
      </c>
      <c r="L327" s="160">
        <v>0</v>
      </c>
      <c r="M327" s="161" t="s">
        <v>380</v>
      </c>
      <c r="N327" s="160">
        <v>0</v>
      </c>
      <c r="O327" s="160">
        <v>0</v>
      </c>
      <c r="P327" s="160">
        <v>0</v>
      </c>
      <c r="Q327" s="161" t="s">
        <v>237</v>
      </c>
    </row>
    <row r="328" spans="2:17" x14ac:dyDescent="0.3">
      <c r="B328" s="188">
        <v>453915</v>
      </c>
      <c r="C328" s="158" t="s">
        <v>2141</v>
      </c>
      <c r="D328" s="160">
        <v>0</v>
      </c>
      <c r="E328" s="161" t="s">
        <v>237</v>
      </c>
      <c r="F328" s="160">
        <v>0</v>
      </c>
      <c r="G328" s="161" t="s">
        <v>380</v>
      </c>
      <c r="H328" s="161" t="s">
        <v>1474</v>
      </c>
      <c r="I328" s="161" t="s">
        <v>1553</v>
      </c>
      <c r="J328" s="160">
        <v>0</v>
      </c>
      <c r="K328" s="161" t="s">
        <v>380</v>
      </c>
      <c r="L328" s="160">
        <v>0</v>
      </c>
      <c r="M328" s="161" t="s">
        <v>380</v>
      </c>
      <c r="N328" s="160">
        <v>0</v>
      </c>
      <c r="O328" s="160">
        <v>0</v>
      </c>
      <c r="P328" s="160">
        <v>0</v>
      </c>
      <c r="Q328" s="161" t="s">
        <v>237</v>
      </c>
    </row>
    <row r="329" spans="2:17" x14ac:dyDescent="0.3">
      <c r="B329" s="188">
        <v>453916</v>
      </c>
      <c r="C329" s="158" t="s">
        <v>2142</v>
      </c>
      <c r="D329" s="160">
        <v>0</v>
      </c>
      <c r="E329" s="161" t="s">
        <v>237</v>
      </c>
      <c r="F329" s="160">
        <v>0</v>
      </c>
      <c r="G329" s="161" t="s">
        <v>380</v>
      </c>
      <c r="H329" s="161" t="s">
        <v>1730</v>
      </c>
      <c r="I329" s="161" t="s">
        <v>1730</v>
      </c>
      <c r="J329" s="160">
        <v>0</v>
      </c>
      <c r="K329" s="161" t="s">
        <v>380</v>
      </c>
      <c r="L329" s="160">
        <v>0</v>
      </c>
      <c r="M329" s="161" t="s">
        <v>380</v>
      </c>
      <c r="N329" s="160">
        <v>0</v>
      </c>
      <c r="O329" s="160">
        <v>0</v>
      </c>
      <c r="P329" s="160">
        <v>0</v>
      </c>
      <c r="Q329" s="161" t="s">
        <v>237</v>
      </c>
    </row>
    <row r="330" spans="2:17" x14ac:dyDescent="0.3">
      <c r="B330" s="188">
        <v>453920</v>
      </c>
      <c r="C330" s="158" t="s">
        <v>2143</v>
      </c>
      <c r="D330" s="160">
        <v>0</v>
      </c>
      <c r="E330" s="161" t="s">
        <v>237</v>
      </c>
      <c r="F330" s="160">
        <v>0</v>
      </c>
      <c r="G330" s="161" t="s">
        <v>380</v>
      </c>
      <c r="H330" s="161" t="s">
        <v>1731</v>
      </c>
      <c r="I330" s="161" t="s">
        <v>1732</v>
      </c>
      <c r="J330" s="160">
        <v>0</v>
      </c>
      <c r="K330" s="161" t="s">
        <v>380</v>
      </c>
      <c r="L330" s="160">
        <v>0</v>
      </c>
      <c r="M330" s="161" t="s">
        <v>380</v>
      </c>
      <c r="N330" s="160">
        <v>0</v>
      </c>
      <c r="O330" s="160">
        <v>0</v>
      </c>
      <c r="P330" s="160">
        <v>0</v>
      </c>
      <c r="Q330" s="161" t="s">
        <v>237</v>
      </c>
    </row>
    <row r="331" spans="2:17" x14ac:dyDescent="0.3">
      <c r="B331" s="188">
        <v>453926</v>
      </c>
      <c r="C331" s="158" t="s">
        <v>2144</v>
      </c>
      <c r="D331" s="160">
        <v>0</v>
      </c>
      <c r="E331" s="161" t="s">
        <v>237</v>
      </c>
      <c r="F331" s="160">
        <v>0</v>
      </c>
      <c r="G331" s="161" t="s">
        <v>380</v>
      </c>
      <c r="H331" s="161" t="s">
        <v>1628</v>
      </c>
      <c r="I331" s="161" t="s">
        <v>1629</v>
      </c>
      <c r="J331" s="160">
        <v>0</v>
      </c>
      <c r="K331" s="161" t="s">
        <v>380</v>
      </c>
      <c r="L331" s="160">
        <v>0</v>
      </c>
      <c r="M331" s="161" t="s">
        <v>380</v>
      </c>
      <c r="N331" s="160">
        <v>0</v>
      </c>
      <c r="O331" s="160">
        <v>0</v>
      </c>
      <c r="P331" s="160">
        <v>0</v>
      </c>
      <c r="Q331" s="161" t="s">
        <v>237</v>
      </c>
    </row>
    <row r="332" spans="2:17" x14ac:dyDescent="0.3">
      <c r="B332" s="188">
        <v>453928</v>
      </c>
      <c r="C332" s="158" t="s">
        <v>1533</v>
      </c>
      <c r="D332" s="160">
        <v>0</v>
      </c>
      <c r="E332" s="161" t="s">
        <v>237</v>
      </c>
      <c r="F332" s="160">
        <v>0</v>
      </c>
      <c r="G332" s="161" t="s">
        <v>380</v>
      </c>
      <c r="H332" s="161" t="s">
        <v>2758</v>
      </c>
      <c r="I332" s="161" t="s">
        <v>2751</v>
      </c>
      <c r="J332" s="160">
        <v>16800</v>
      </c>
      <c r="K332" s="161" t="s">
        <v>380</v>
      </c>
      <c r="L332" s="160">
        <v>16800</v>
      </c>
      <c r="M332" s="161" t="s">
        <v>380</v>
      </c>
      <c r="N332" s="160">
        <v>0</v>
      </c>
      <c r="O332" s="160">
        <v>37.5</v>
      </c>
      <c r="P332" s="160">
        <v>5208</v>
      </c>
      <c r="Q332" s="161" t="s">
        <v>237</v>
      </c>
    </row>
    <row r="333" spans="2:17" x14ac:dyDescent="0.3">
      <c r="B333" s="188">
        <v>453929</v>
      </c>
      <c r="C333" s="158" t="s">
        <v>316</v>
      </c>
      <c r="D333" s="160">
        <v>9031.68</v>
      </c>
      <c r="E333" s="161" t="s">
        <v>237</v>
      </c>
      <c r="F333" s="160">
        <v>28224</v>
      </c>
      <c r="G333" s="161" t="s">
        <v>380</v>
      </c>
      <c r="H333" s="161" t="s">
        <v>236</v>
      </c>
      <c r="I333" s="161" t="s">
        <v>236</v>
      </c>
      <c r="J333" s="160">
        <v>120960</v>
      </c>
      <c r="K333" s="161" t="s">
        <v>380</v>
      </c>
      <c r="L333" s="160">
        <v>68544</v>
      </c>
      <c r="M333" s="161" t="s">
        <v>380</v>
      </c>
      <c r="N333" s="160">
        <v>22</v>
      </c>
      <c r="O333" s="160">
        <v>2.5499999999999998</v>
      </c>
      <c r="P333" s="160">
        <v>37094.400000000001</v>
      </c>
      <c r="Q333" s="161" t="s">
        <v>237</v>
      </c>
    </row>
    <row r="334" spans="2:17" x14ac:dyDescent="0.3">
      <c r="B334" s="188">
        <v>453931</v>
      </c>
      <c r="C334" s="158" t="s">
        <v>1919</v>
      </c>
      <c r="D334" s="160">
        <v>0</v>
      </c>
      <c r="E334" s="161" t="s">
        <v>237</v>
      </c>
      <c r="F334" s="160">
        <v>0</v>
      </c>
      <c r="G334" s="161" t="s">
        <v>380</v>
      </c>
      <c r="H334" s="161" t="s">
        <v>2578</v>
      </c>
      <c r="I334" s="161" t="s">
        <v>2582</v>
      </c>
      <c r="J334" s="160">
        <v>0</v>
      </c>
      <c r="K334" s="161" t="s">
        <v>380</v>
      </c>
      <c r="L334" s="160">
        <v>0</v>
      </c>
      <c r="M334" s="161" t="s">
        <v>380</v>
      </c>
      <c r="N334" s="160">
        <v>0</v>
      </c>
      <c r="O334" s="160">
        <v>0</v>
      </c>
      <c r="P334" s="160">
        <v>0</v>
      </c>
      <c r="Q334" s="161" t="s">
        <v>237</v>
      </c>
    </row>
    <row r="335" spans="2:17" x14ac:dyDescent="0.3">
      <c r="B335" s="188">
        <v>453932</v>
      </c>
      <c r="C335" s="158" t="s">
        <v>257</v>
      </c>
      <c r="D335" s="160">
        <v>22377.599999999999</v>
      </c>
      <c r="E335" s="161" t="s">
        <v>237</v>
      </c>
      <c r="F335" s="160">
        <v>60480</v>
      </c>
      <c r="G335" s="161" t="s">
        <v>380</v>
      </c>
      <c r="H335" s="161" t="s">
        <v>2812</v>
      </c>
      <c r="I335" s="161" t="s">
        <v>2811</v>
      </c>
      <c r="J335" s="160">
        <v>120960</v>
      </c>
      <c r="K335" s="161" t="s">
        <v>380</v>
      </c>
      <c r="L335" s="160">
        <v>141120</v>
      </c>
      <c r="M335" s="161" t="s">
        <v>380</v>
      </c>
      <c r="N335" s="160">
        <v>46</v>
      </c>
      <c r="O335" s="160">
        <v>1.74</v>
      </c>
      <c r="P335" s="160">
        <v>44755.199999999997</v>
      </c>
      <c r="Q335" s="161" t="s">
        <v>237</v>
      </c>
    </row>
    <row r="336" spans="2:17" x14ac:dyDescent="0.3">
      <c r="B336" s="188">
        <v>453933</v>
      </c>
      <c r="C336" s="158" t="s">
        <v>1346</v>
      </c>
      <c r="D336" s="160">
        <v>8078.4</v>
      </c>
      <c r="E336" s="161" t="s">
        <v>237</v>
      </c>
      <c r="F336" s="160">
        <v>24480</v>
      </c>
      <c r="G336" s="161" t="s">
        <v>380</v>
      </c>
      <c r="H336" s="161" t="s">
        <v>2797</v>
      </c>
      <c r="I336" s="161" t="s">
        <v>2797</v>
      </c>
      <c r="J336" s="160">
        <v>57080</v>
      </c>
      <c r="K336" s="161" t="s">
        <v>380</v>
      </c>
      <c r="L336" s="160">
        <v>41760</v>
      </c>
      <c r="M336" s="161" t="s">
        <v>380</v>
      </c>
      <c r="N336" s="160">
        <v>56</v>
      </c>
      <c r="O336" s="160">
        <v>1.94</v>
      </c>
      <c r="P336" s="160">
        <v>13305.6</v>
      </c>
      <c r="Q336" s="161" t="s">
        <v>237</v>
      </c>
    </row>
    <row r="337" spans="2:17" x14ac:dyDescent="0.3">
      <c r="B337" s="188">
        <v>453935</v>
      </c>
      <c r="C337" s="158" t="s">
        <v>1920</v>
      </c>
      <c r="D337" s="160">
        <v>0</v>
      </c>
      <c r="E337" s="161" t="s">
        <v>237</v>
      </c>
      <c r="F337" s="160">
        <v>0</v>
      </c>
      <c r="G337" s="161" t="s">
        <v>380</v>
      </c>
      <c r="H337" s="161" t="s">
        <v>1943</v>
      </c>
      <c r="I337" s="161" t="s">
        <v>1963</v>
      </c>
      <c r="J337" s="160">
        <v>0</v>
      </c>
      <c r="K337" s="161" t="s">
        <v>380</v>
      </c>
      <c r="L337" s="160">
        <v>0</v>
      </c>
      <c r="M337" s="161" t="s">
        <v>380</v>
      </c>
      <c r="N337" s="160">
        <v>0</v>
      </c>
      <c r="O337" s="160">
        <v>0</v>
      </c>
      <c r="P337" s="160">
        <v>0</v>
      </c>
      <c r="Q337" s="161" t="s">
        <v>237</v>
      </c>
    </row>
    <row r="338" spans="2:17" x14ac:dyDescent="0.3">
      <c r="B338" s="188">
        <v>453936</v>
      </c>
      <c r="C338" s="158" t="s">
        <v>2145</v>
      </c>
      <c r="D338" s="160">
        <v>0</v>
      </c>
      <c r="E338" s="161" t="s">
        <v>237</v>
      </c>
      <c r="F338" s="160">
        <v>0</v>
      </c>
      <c r="G338" s="161" t="s">
        <v>380</v>
      </c>
      <c r="H338" s="161" t="s">
        <v>1736</v>
      </c>
      <c r="I338" s="161" t="s">
        <v>1737</v>
      </c>
      <c r="J338" s="160">
        <v>0</v>
      </c>
      <c r="K338" s="161" t="s">
        <v>380</v>
      </c>
      <c r="L338" s="160">
        <v>0</v>
      </c>
      <c r="M338" s="161" t="s">
        <v>380</v>
      </c>
      <c r="N338" s="160">
        <v>0</v>
      </c>
      <c r="O338" s="160">
        <v>0</v>
      </c>
      <c r="P338" s="160">
        <v>0</v>
      </c>
      <c r="Q338" s="161" t="s">
        <v>237</v>
      </c>
    </row>
    <row r="339" spans="2:17" x14ac:dyDescent="0.3">
      <c r="B339" s="188">
        <v>453940</v>
      </c>
      <c r="C339" s="158" t="s">
        <v>2146</v>
      </c>
      <c r="D339" s="160">
        <v>0</v>
      </c>
      <c r="E339" s="161" t="s">
        <v>237</v>
      </c>
      <c r="F339" s="160">
        <v>0</v>
      </c>
      <c r="G339" s="161" t="s">
        <v>380</v>
      </c>
      <c r="H339" s="161" t="s">
        <v>1490</v>
      </c>
      <c r="I339" s="161" t="s">
        <v>1692</v>
      </c>
      <c r="J339" s="160">
        <v>0</v>
      </c>
      <c r="K339" s="161" t="s">
        <v>380</v>
      </c>
      <c r="L339" s="160">
        <v>0</v>
      </c>
      <c r="M339" s="161" t="s">
        <v>380</v>
      </c>
      <c r="N339" s="160">
        <v>0</v>
      </c>
      <c r="O339" s="160">
        <v>0</v>
      </c>
      <c r="P339" s="160">
        <v>0</v>
      </c>
      <c r="Q339" s="161" t="s">
        <v>237</v>
      </c>
    </row>
    <row r="340" spans="2:17" x14ac:dyDescent="0.3">
      <c r="B340" s="188">
        <v>453944</v>
      </c>
      <c r="C340" s="158" t="s">
        <v>1235</v>
      </c>
      <c r="D340" s="160">
        <v>2808</v>
      </c>
      <c r="E340" s="161" t="s">
        <v>237</v>
      </c>
      <c r="F340" s="160">
        <v>4680</v>
      </c>
      <c r="G340" s="161" t="s">
        <v>380</v>
      </c>
      <c r="H340" s="161" t="s">
        <v>1947</v>
      </c>
      <c r="I340" s="161" t="s">
        <v>2745</v>
      </c>
      <c r="J340" s="160">
        <v>2160</v>
      </c>
      <c r="K340" s="161" t="s">
        <v>380</v>
      </c>
      <c r="L340" s="160">
        <v>0</v>
      </c>
      <c r="M340" s="161" t="s">
        <v>380</v>
      </c>
      <c r="N340" s="160">
        <v>285</v>
      </c>
      <c r="O340" s="160">
        <v>0.38</v>
      </c>
      <c r="P340" s="160">
        <v>907.2</v>
      </c>
      <c r="Q340" s="161" t="s">
        <v>237</v>
      </c>
    </row>
    <row r="341" spans="2:17" x14ac:dyDescent="0.3">
      <c r="B341" s="188">
        <v>453945</v>
      </c>
      <c r="C341" s="158" t="s">
        <v>2147</v>
      </c>
      <c r="D341" s="160">
        <v>0</v>
      </c>
      <c r="E341" s="161" t="s">
        <v>237</v>
      </c>
      <c r="F341" s="160">
        <v>0</v>
      </c>
      <c r="G341" s="161" t="s">
        <v>380</v>
      </c>
      <c r="H341" s="161" t="s">
        <v>2808</v>
      </c>
      <c r="I341" s="161" t="s">
        <v>2808</v>
      </c>
      <c r="J341" s="160">
        <v>10640</v>
      </c>
      <c r="K341" s="161" t="s">
        <v>380</v>
      </c>
      <c r="L341" s="160">
        <v>10640</v>
      </c>
      <c r="M341" s="161" t="s">
        <v>380</v>
      </c>
      <c r="N341" s="160">
        <v>0</v>
      </c>
      <c r="O341" s="160">
        <v>99999</v>
      </c>
      <c r="P341" s="160">
        <v>5684</v>
      </c>
      <c r="Q341" s="161" t="s">
        <v>237</v>
      </c>
    </row>
    <row r="342" spans="2:17" x14ac:dyDescent="0.3">
      <c r="B342" s="188">
        <v>453946</v>
      </c>
      <c r="C342" s="158" t="s">
        <v>2148</v>
      </c>
      <c r="D342" s="160">
        <v>0</v>
      </c>
      <c r="E342" s="161" t="s">
        <v>237</v>
      </c>
      <c r="F342" s="160">
        <v>0</v>
      </c>
      <c r="G342" s="161" t="s">
        <v>380</v>
      </c>
      <c r="H342" s="161" t="s">
        <v>1738</v>
      </c>
      <c r="I342" s="161" t="s">
        <v>1739</v>
      </c>
      <c r="J342" s="160">
        <v>0</v>
      </c>
      <c r="K342" s="161" t="s">
        <v>380</v>
      </c>
      <c r="L342" s="160">
        <v>0</v>
      </c>
      <c r="M342" s="161" t="s">
        <v>380</v>
      </c>
      <c r="N342" s="160">
        <v>0</v>
      </c>
      <c r="O342" s="160">
        <v>0</v>
      </c>
      <c r="P342" s="160">
        <v>0</v>
      </c>
      <c r="Q342" s="161" t="s">
        <v>237</v>
      </c>
    </row>
    <row r="343" spans="2:17" x14ac:dyDescent="0.3">
      <c r="B343" s="188">
        <v>453950</v>
      </c>
      <c r="C343" s="158" t="s">
        <v>2149</v>
      </c>
      <c r="D343" s="160">
        <v>0</v>
      </c>
      <c r="E343" s="161" t="s">
        <v>237</v>
      </c>
      <c r="F343" s="160">
        <v>0</v>
      </c>
      <c r="G343" s="161" t="s">
        <v>380</v>
      </c>
      <c r="H343" s="161" t="s">
        <v>1604</v>
      </c>
      <c r="I343" s="161" t="s">
        <v>1604</v>
      </c>
      <c r="J343" s="160">
        <v>0</v>
      </c>
      <c r="K343" s="161" t="s">
        <v>380</v>
      </c>
      <c r="L343" s="160">
        <v>0</v>
      </c>
      <c r="M343" s="161" t="s">
        <v>380</v>
      </c>
      <c r="N343" s="160">
        <v>0</v>
      </c>
      <c r="O343" s="160">
        <v>0</v>
      </c>
      <c r="P343" s="160">
        <v>0</v>
      </c>
      <c r="Q343" s="161" t="s">
        <v>237</v>
      </c>
    </row>
    <row r="344" spans="2:17" x14ac:dyDescent="0.3">
      <c r="B344" s="188">
        <v>453953</v>
      </c>
      <c r="C344" s="158" t="s">
        <v>210</v>
      </c>
      <c r="D344" s="160">
        <v>16998.55</v>
      </c>
      <c r="E344" s="161" t="s">
        <v>237</v>
      </c>
      <c r="F344" s="160">
        <v>205408</v>
      </c>
      <c r="G344" s="161" t="s">
        <v>380</v>
      </c>
      <c r="H344" s="161" t="s">
        <v>2805</v>
      </c>
      <c r="I344" s="161" t="s">
        <v>2817</v>
      </c>
      <c r="J344" s="160">
        <v>2298000</v>
      </c>
      <c r="K344" s="161" t="s">
        <v>380</v>
      </c>
      <c r="L344" s="160">
        <v>1154000</v>
      </c>
      <c r="M344" s="161" t="s">
        <v>380</v>
      </c>
      <c r="N344" s="160">
        <v>17</v>
      </c>
      <c r="O344" s="160">
        <v>1.63</v>
      </c>
      <c r="P344" s="160">
        <v>94671.8</v>
      </c>
      <c r="Q344" s="161" t="s">
        <v>237</v>
      </c>
    </row>
    <row r="345" spans="2:17" x14ac:dyDescent="0.3">
      <c r="B345" s="188">
        <v>453976</v>
      </c>
      <c r="C345" s="158" t="s">
        <v>2150</v>
      </c>
      <c r="D345" s="160">
        <v>0</v>
      </c>
      <c r="E345" s="161" t="s">
        <v>237</v>
      </c>
      <c r="F345" s="160">
        <v>0</v>
      </c>
      <c r="G345" s="161" t="s">
        <v>380</v>
      </c>
      <c r="H345" s="161" t="s">
        <v>2632</v>
      </c>
      <c r="I345" s="161" t="s">
        <v>2676</v>
      </c>
      <c r="J345" s="160">
        <v>0</v>
      </c>
      <c r="K345" s="161" t="s">
        <v>380</v>
      </c>
      <c r="L345" s="160">
        <v>0</v>
      </c>
      <c r="M345" s="161" t="s">
        <v>380</v>
      </c>
      <c r="N345" s="160">
        <v>0</v>
      </c>
      <c r="O345" s="160">
        <v>0</v>
      </c>
      <c r="P345" s="160">
        <v>0</v>
      </c>
      <c r="Q345" s="161" t="s">
        <v>237</v>
      </c>
    </row>
    <row r="346" spans="2:17" x14ac:dyDescent="0.3">
      <c r="B346" s="188">
        <v>453990</v>
      </c>
      <c r="C346" s="158" t="s">
        <v>2151</v>
      </c>
      <c r="D346" s="160">
        <v>0</v>
      </c>
      <c r="E346" s="161" t="s">
        <v>237</v>
      </c>
      <c r="F346" s="160">
        <v>0</v>
      </c>
      <c r="G346" s="161" t="s">
        <v>380</v>
      </c>
      <c r="H346" s="161" t="s">
        <v>1577</v>
      </c>
      <c r="I346" s="161" t="s">
        <v>1464</v>
      </c>
      <c r="J346" s="160">
        <v>0</v>
      </c>
      <c r="K346" s="161" t="s">
        <v>380</v>
      </c>
      <c r="L346" s="160">
        <v>0</v>
      </c>
      <c r="M346" s="161" t="s">
        <v>380</v>
      </c>
      <c r="N346" s="160">
        <v>0</v>
      </c>
      <c r="O346" s="160">
        <v>0</v>
      </c>
      <c r="P346" s="160">
        <v>0</v>
      </c>
      <c r="Q346" s="161" t="s">
        <v>237</v>
      </c>
    </row>
    <row r="347" spans="2:17" x14ac:dyDescent="0.3">
      <c r="B347" s="188">
        <v>453991</v>
      </c>
      <c r="C347" s="158" t="s">
        <v>1921</v>
      </c>
      <c r="D347" s="160">
        <v>0</v>
      </c>
      <c r="E347" s="161" t="s">
        <v>237</v>
      </c>
      <c r="F347" s="160">
        <v>0</v>
      </c>
      <c r="G347" s="161" t="s">
        <v>380</v>
      </c>
      <c r="H347" s="161" t="s">
        <v>1994</v>
      </c>
      <c r="I347" s="161" t="s">
        <v>1990</v>
      </c>
      <c r="J347" s="160">
        <v>0</v>
      </c>
      <c r="K347" s="161" t="s">
        <v>380</v>
      </c>
      <c r="L347" s="160">
        <v>0</v>
      </c>
      <c r="M347" s="161" t="s">
        <v>380</v>
      </c>
      <c r="N347" s="160">
        <v>0</v>
      </c>
      <c r="O347" s="160">
        <v>0</v>
      </c>
      <c r="P347" s="160">
        <v>0</v>
      </c>
      <c r="Q347" s="161" t="s">
        <v>237</v>
      </c>
    </row>
    <row r="348" spans="2:17" x14ac:dyDescent="0.3">
      <c r="B348" s="188">
        <v>454115</v>
      </c>
      <c r="C348" s="158" t="s">
        <v>2152</v>
      </c>
      <c r="D348" s="160">
        <v>0</v>
      </c>
      <c r="E348" s="161" t="s">
        <v>237</v>
      </c>
      <c r="F348" s="160">
        <v>0</v>
      </c>
      <c r="G348" s="161" t="s">
        <v>380</v>
      </c>
      <c r="H348" s="161" t="s">
        <v>1666</v>
      </c>
      <c r="I348" s="161" t="s">
        <v>1577</v>
      </c>
      <c r="J348" s="160">
        <v>0</v>
      </c>
      <c r="K348" s="161" t="s">
        <v>380</v>
      </c>
      <c r="L348" s="160">
        <v>0</v>
      </c>
      <c r="M348" s="161" t="s">
        <v>380</v>
      </c>
      <c r="N348" s="160">
        <v>0</v>
      </c>
      <c r="O348" s="160">
        <v>0</v>
      </c>
      <c r="P348" s="160">
        <v>0</v>
      </c>
      <c r="Q348" s="161" t="s">
        <v>237</v>
      </c>
    </row>
    <row r="349" spans="2:17" x14ac:dyDescent="0.3">
      <c r="B349" s="188">
        <v>454164</v>
      </c>
      <c r="C349" s="158" t="s">
        <v>2153</v>
      </c>
      <c r="D349" s="160">
        <v>0</v>
      </c>
      <c r="E349" s="161" t="s">
        <v>237</v>
      </c>
      <c r="F349" s="160">
        <v>0</v>
      </c>
      <c r="G349" s="161" t="s">
        <v>380</v>
      </c>
      <c r="H349" s="161" t="s">
        <v>1740</v>
      </c>
      <c r="I349" s="161" t="s">
        <v>1739</v>
      </c>
      <c r="J349" s="160">
        <v>0</v>
      </c>
      <c r="K349" s="161" t="s">
        <v>380</v>
      </c>
      <c r="L349" s="160">
        <v>0</v>
      </c>
      <c r="M349" s="161" t="s">
        <v>380</v>
      </c>
      <c r="N349" s="160">
        <v>0</v>
      </c>
      <c r="O349" s="160">
        <v>0</v>
      </c>
      <c r="P349" s="160">
        <v>0</v>
      </c>
      <c r="Q349" s="161" t="s">
        <v>237</v>
      </c>
    </row>
    <row r="350" spans="2:17" x14ac:dyDescent="0.3">
      <c r="B350" s="188">
        <v>454180</v>
      </c>
      <c r="C350" s="158" t="s">
        <v>2154</v>
      </c>
      <c r="D350" s="160">
        <v>0</v>
      </c>
      <c r="E350" s="161" t="s">
        <v>237</v>
      </c>
      <c r="F350" s="160">
        <v>0</v>
      </c>
      <c r="G350" s="161" t="s">
        <v>380</v>
      </c>
      <c r="H350" s="161" t="s">
        <v>1741</v>
      </c>
      <c r="I350" s="161" t="s">
        <v>1742</v>
      </c>
      <c r="J350" s="160">
        <v>0</v>
      </c>
      <c r="K350" s="161" t="s">
        <v>380</v>
      </c>
      <c r="L350" s="160">
        <v>0</v>
      </c>
      <c r="M350" s="161" t="s">
        <v>380</v>
      </c>
      <c r="N350" s="160">
        <v>0</v>
      </c>
      <c r="O350" s="160">
        <v>0</v>
      </c>
      <c r="P350" s="160">
        <v>0</v>
      </c>
      <c r="Q350" s="161" t="s">
        <v>237</v>
      </c>
    </row>
    <row r="351" spans="2:17" x14ac:dyDescent="0.3">
      <c r="B351" s="188">
        <v>454185</v>
      </c>
      <c r="C351" s="158" t="s">
        <v>2155</v>
      </c>
      <c r="D351" s="160">
        <v>0</v>
      </c>
      <c r="E351" s="161" t="s">
        <v>237</v>
      </c>
      <c r="F351" s="160">
        <v>0</v>
      </c>
      <c r="G351" s="161" t="s">
        <v>380</v>
      </c>
      <c r="H351" s="161" t="s">
        <v>1743</v>
      </c>
      <c r="I351" s="161" t="s">
        <v>1744</v>
      </c>
      <c r="J351" s="160">
        <v>0</v>
      </c>
      <c r="K351" s="161" t="s">
        <v>380</v>
      </c>
      <c r="L351" s="160">
        <v>0</v>
      </c>
      <c r="M351" s="161" t="s">
        <v>380</v>
      </c>
      <c r="N351" s="160">
        <v>0</v>
      </c>
      <c r="O351" s="160">
        <v>0</v>
      </c>
      <c r="P351" s="160">
        <v>0</v>
      </c>
      <c r="Q351" s="161" t="s">
        <v>237</v>
      </c>
    </row>
    <row r="352" spans="2:17" x14ac:dyDescent="0.3">
      <c r="B352" s="188">
        <v>454186</v>
      </c>
      <c r="C352" s="158" t="s">
        <v>2156</v>
      </c>
      <c r="D352" s="160">
        <v>0</v>
      </c>
      <c r="E352" s="161" t="s">
        <v>237</v>
      </c>
      <c r="F352" s="160">
        <v>0</v>
      </c>
      <c r="G352" s="161" t="s">
        <v>380</v>
      </c>
      <c r="H352" s="161" t="s">
        <v>1941</v>
      </c>
      <c r="I352" s="161" t="s">
        <v>1945</v>
      </c>
      <c r="J352" s="160">
        <v>0</v>
      </c>
      <c r="K352" s="161" t="s">
        <v>380</v>
      </c>
      <c r="L352" s="160">
        <v>0</v>
      </c>
      <c r="M352" s="161" t="s">
        <v>380</v>
      </c>
      <c r="N352" s="160">
        <v>0</v>
      </c>
      <c r="O352" s="160">
        <v>0</v>
      </c>
      <c r="P352" s="160">
        <v>0</v>
      </c>
      <c r="Q352" s="161" t="s">
        <v>237</v>
      </c>
    </row>
    <row r="353" spans="2:17" x14ac:dyDescent="0.3">
      <c r="B353" s="188">
        <v>454201</v>
      </c>
      <c r="C353" s="158" t="s">
        <v>2157</v>
      </c>
      <c r="D353" s="160">
        <v>0</v>
      </c>
      <c r="E353" s="161" t="s">
        <v>237</v>
      </c>
      <c r="F353" s="160">
        <v>0</v>
      </c>
      <c r="G353" s="161" t="s">
        <v>380</v>
      </c>
      <c r="H353" s="161" t="s">
        <v>1684</v>
      </c>
      <c r="I353" s="161" t="s">
        <v>1646</v>
      </c>
      <c r="J353" s="160">
        <v>0</v>
      </c>
      <c r="K353" s="161" t="s">
        <v>380</v>
      </c>
      <c r="L353" s="160">
        <v>0</v>
      </c>
      <c r="M353" s="161" t="s">
        <v>380</v>
      </c>
      <c r="N353" s="160">
        <v>0</v>
      </c>
      <c r="O353" s="160">
        <v>0</v>
      </c>
      <c r="P353" s="160">
        <v>0</v>
      </c>
      <c r="Q353" s="161" t="s">
        <v>237</v>
      </c>
    </row>
    <row r="354" spans="2:17" x14ac:dyDescent="0.3">
      <c r="B354" s="188">
        <v>454213</v>
      </c>
      <c r="C354" s="158" t="s">
        <v>129</v>
      </c>
      <c r="D354" s="160">
        <v>25025.47</v>
      </c>
      <c r="E354" s="161" t="s">
        <v>237</v>
      </c>
      <c r="F354" s="160">
        <v>75600</v>
      </c>
      <c r="G354" s="161" t="s">
        <v>380</v>
      </c>
      <c r="H354" s="161" t="s">
        <v>2800</v>
      </c>
      <c r="I354" s="161" t="s">
        <v>2800</v>
      </c>
      <c r="J354" s="160">
        <v>216000</v>
      </c>
      <c r="K354" s="161" t="s">
        <v>380</v>
      </c>
      <c r="L354" s="160">
        <v>259200</v>
      </c>
      <c r="M354" s="161" t="s">
        <v>380</v>
      </c>
      <c r="N354" s="160">
        <v>130</v>
      </c>
      <c r="O354" s="160">
        <v>4</v>
      </c>
      <c r="P354" s="160">
        <v>17730.07</v>
      </c>
      <c r="Q354" s="161" t="s">
        <v>237</v>
      </c>
    </row>
    <row r="355" spans="2:17" x14ac:dyDescent="0.3">
      <c r="B355" s="188">
        <v>454214</v>
      </c>
      <c r="C355" s="158" t="s">
        <v>2158</v>
      </c>
      <c r="D355" s="160">
        <v>0</v>
      </c>
      <c r="E355" s="161" t="s">
        <v>237</v>
      </c>
      <c r="F355" s="160">
        <v>0</v>
      </c>
      <c r="G355" s="161" t="s">
        <v>380</v>
      </c>
      <c r="H355" s="161" t="s">
        <v>1684</v>
      </c>
      <c r="I355" s="161" t="s">
        <v>1646</v>
      </c>
      <c r="J355" s="160">
        <v>0</v>
      </c>
      <c r="K355" s="161" t="s">
        <v>380</v>
      </c>
      <c r="L355" s="160">
        <v>0</v>
      </c>
      <c r="M355" s="161" t="s">
        <v>380</v>
      </c>
      <c r="N355" s="160">
        <v>0</v>
      </c>
      <c r="O355" s="160">
        <v>0</v>
      </c>
      <c r="P355" s="160">
        <v>0</v>
      </c>
      <c r="Q355" s="161" t="s">
        <v>237</v>
      </c>
    </row>
    <row r="356" spans="2:17" x14ac:dyDescent="0.3">
      <c r="B356" s="188">
        <v>454215</v>
      </c>
      <c r="C356" s="158" t="s">
        <v>130</v>
      </c>
      <c r="D356" s="160">
        <v>41909.81</v>
      </c>
      <c r="E356" s="161" t="s">
        <v>237</v>
      </c>
      <c r="F356" s="160">
        <v>41760</v>
      </c>
      <c r="G356" s="161" t="s">
        <v>380</v>
      </c>
      <c r="H356" s="161" t="s">
        <v>2818</v>
      </c>
      <c r="I356" s="161" t="s">
        <v>2818</v>
      </c>
      <c r="J356" s="160">
        <v>79200</v>
      </c>
      <c r="K356" s="161" t="s">
        <v>380</v>
      </c>
      <c r="L356" s="160">
        <v>115920</v>
      </c>
      <c r="M356" s="161" t="s">
        <v>380</v>
      </c>
      <c r="N356" s="160">
        <v>67</v>
      </c>
      <c r="O356" s="160">
        <v>2</v>
      </c>
      <c r="P356" s="160">
        <v>57160.07</v>
      </c>
      <c r="Q356" s="161" t="s">
        <v>237</v>
      </c>
    </row>
    <row r="357" spans="2:17" x14ac:dyDescent="0.3">
      <c r="B357" s="188">
        <v>454217</v>
      </c>
      <c r="C357" s="158" t="s">
        <v>2159</v>
      </c>
      <c r="D357" s="160">
        <v>0</v>
      </c>
      <c r="E357" s="161" t="s">
        <v>237</v>
      </c>
      <c r="F357" s="160">
        <v>0</v>
      </c>
      <c r="G357" s="161" t="s">
        <v>380</v>
      </c>
      <c r="H357" s="161" t="s">
        <v>1745</v>
      </c>
      <c r="I357" s="161" t="s">
        <v>1715</v>
      </c>
      <c r="J357" s="160">
        <v>0</v>
      </c>
      <c r="K357" s="161" t="s">
        <v>380</v>
      </c>
      <c r="L357" s="160">
        <v>0</v>
      </c>
      <c r="M357" s="161" t="s">
        <v>380</v>
      </c>
      <c r="N357" s="160">
        <v>0</v>
      </c>
      <c r="O357" s="160">
        <v>0</v>
      </c>
      <c r="P357" s="160">
        <v>0</v>
      </c>
      <c r="Q357" s="161" t="s">
        <v>237</v>
      </c>
    </row>
    <row r="358" spans="2:17" x14ac:dyDescent="0.3">
      <c r="B358" s="188">
        <v>454225</v>
      </c>
      <c r="C358" s="158" t="s">
        <v>2160</v>
      </c>
      <c r="D358" s="160">
        <v>0</v>
      </c>
      <c r="E358" s="161" t="s">
        <v>237</v>
      </c>
      <c r="F358" s="160">
        <v>0</v>
      </c>
      <c r="G358" s="161" t="s">
        <v>380</v>
      </c>
      <c r="H358" s="161" t="s">
        <v>1614</v>
      </c>
      <c r="I358" s="161" t="s">
        <v>1614</v>
      </c>
      <c r="J358" s="160">
        <v>0</v>
      </c>
      <c r="K358" s="161" t="s">
        <v>380</v>
      </c>
      <c r="L358" s="160">
        <v>0</v>
      </c>
      <c r="M358" s="161" t="s">
        <v>380</v>
      </c>
      <c r="N358" s="160">
        <v>0</v>
      </c>
      <c r="O358" s="160">
        <v>0</v>
      </c>
      <c r="P358" s="160">
        <v>0</v>
      </c>
      <c r="Q358" s="161" t="s">
        <v>237</v>
      </c>
    </row>
    <row r="359" spans="2:17" x14ac:dyDescent="0.3">
      <c r="B359" s="188">
        <v>454226</v>
      </c>
      <c r="C359" s="158" t="s">
        <v>2161</v>
      </c>
      <c r="D359" s="160">
        <v>0</v>
      </c>
      <c r="E359" s="161" t="s">
        <v>237</v>
      </c>
      <c r="F359" s="160">
        <v>0</v>
      </c>
      <c r="G359" s="161" t="s">
        <v>380</v>
      </c>
      <c r="H359" s="161" t="s">
        <v>1636</v>
      </c>
      <c r="I359" s="161" t="s">
        <v>1614</v>
      </c>
      <c r="J359" s="160">
        <v>0</v>
      </c>
      <c r="K359" s="161" t="s">
        <v>380</v>
      </c>
      <c r="L359" s="160">
        <v>0</v>
      </c>
      <c r="M359" s="161" t="s">
        <v>380</v>
      </c>
      <c r="N359" s="160">
        <v>0</v>
      </c>
      <c r="O359" s="160">
        <v>0</v>
      </c>
      <c r="P359" s="160">
        <v>0</v>
      </c>
      <c r="Q359" s="161" t="s">
        <v>237</v>
      </c>
    </row>
    <row r="360" spans="2:17" x14ac:dyDescent="0.3">
      <c r="B360" s="188">
        <v>454228</v>
      </c>
      <c r="C360" s="158" t="s">
        <v>2162</v>
      </c>
      <c r="D360" s="160">
        <v>0</v>
      </c>
      <c r="E360" s="161" t="s">
        <v>237</v>
      </c>
      <c r="F360" s="160">
        <v>0</v>
      </c>
      <c r="G360" s="161" t="s">
        <v>380</v>
      </c>
      <c r="H360" s="161" t="s">
        <v>1746</v>
      </c>
      <c r="I360" s="161" t="s">
        <v>1746</v>
      </c>
      <c r="J360" s="160">
        <v>0</v>
      </c>
      <c r="K360" s="161" t="s">
        <v>380</v>
      </c>
      <c r="L360" s="160">
        <v>0</v>
      </c>
      <c r="M360" s="161" t="s">
        <v>380</v>
      </c>
      <c r="N360" s="160">
        <v>0</v>
      </c>
      <c r="O360" s="160">
        <v>0</v>
      </c>
      <c r="P360" s="160">
        <v>0</v>
      </c>
      <c r="Q360" s="161" t="s">
        <v>237</v>
      </c>
    </row>
    <row r="361" spans="2:17" x14ac:dyDescent="0.3">
      <c r="B361" s="188">
        <v>454254</v>
      </c>
      <c r="C361" s="158" t="s">
        <v>233</v>
      </c>
      <c r="D361" s="160">
        <v>0</v>
      </c>
      <c r="E361" s="161" t="s">
        <v>237</v>
      </c>
      <c r="F361" s="160">
        <v>0</v>
      </c>
      <c r="G361" s="161" t="s">
        <v>380</v>
      </c>
      <c r="H361" s="161" t="s">
        <v>2816</v>
      </c>
      <c r="I361" s="161" t="s">
        <v>2806</v>
      </c>
      <c r="J361" s="160">
        <v>40000</v>
      </c>
      <c r="K361" s="161" t="s">
        <v>380</v>
      </c>
      <c r="L361" s="160">
        <v>40000</v>
      </c>
      <c r="M361" s="161" t="s">
        <v>380</v>
      </c>
      <c r="N361" s="160">
        <v>0</v>
      </c>
      <c r="O361" s="160">
        <v>8.89</v>
      </c>
      <c r="P361" s="160">
        <v>29928.57</v>
      </c>
      <c r="Q361" s="161" t="s">
        <v>237</v>
      </c>
    </row>
    <row r="362" spans="2:17" x14ac:dyDescent="0.3">
      <c r="B362" s="188">
        <v>454255</v>
      </c>
      <c r="C362" s="158" t="s">
        <v>1607</v>
      </c>
      <c r="D362" s="160">
        <v>0</v>
      </c>
      <c r="E362" s="161" t="s">
        <v>237</v>
      </c>
      <c r="F362" s="160">
        <v>0</v>
      </c>
      <c r="G362" s="161" t="s">
        <v>380</v>
      </c>
      <c r="H362" s="161" t="s">
        <v>2816</v>
      </c>
      <c r="I362" s="161" t="s">
        <v>2806</v>
      </c>
      <c r="J362" s="160">
        <v>20000</v>
      </c>
      <c r="K362" s="161" t="s">
        <v>380</v>
      </c>
      <c r="L362" s="160">
        <v>20000</v>
      </c>
      <c r="M362" s="161" t="s">
        <v>380</v>
      </c>
      <c r="N362" s="160">
        <v>0</v>
      </c>
      <c r="O362" s="160">
        <v>10</v>
      </c>
      <c r="P362" s="160">
        <v>6223.97</v>
      </c>
      <c r="Q362" s="161" t="s">
        <v>237</v>
      </c>
    </row>
    <row r="363" spans="2:17" x14ac:dyDescent="0.3">
      <c r="B363" s="188">
        <v>454256</v>
      </c>
      <c r="C363" s="158" t="s">
        <v>1284</v>
      </c>
      <c r="D363" s="160">
        <v>0</v>
      </c>
      <c r="E363" s="161" t="s">
        <v>237</v>
      </c>
      <c r="F363" s="160">
        <v>0</v>
      </c>
      <c r="G363" s="161" t="s">
        <v>380</v>
      </c>
      <c r="H363" s="161" t="s">
        <v>2743</v>
      </c>
      <c r="I363" s="161" t="s">
        <v>2806</v>
      </c>
      <c r="J363" s="160">
        <v>20000</v>
      </c>
      <c r="K363" s="161" t="s">
        <v>380</v>
      </c>
      <c r="L363" s="160">
        <v>20000</v>
      </c>
      <c r="M363" s="161" t="s">
        <v>380</v>
      </c>
      <c r="N363" s="160">
        <v>0</v>
      </c>
      <c r="O363" s="160">
        <v>8</v>
      </c>
      <c r="P363" s="160">
        <v>6336.75</v>
      </c>
      <c r="Q363" s="161" t="s">
        <v>237</v>
      </c>
    </row>
    <row r="364" spans="2:17" x14ac:dyDescent="0.3">
      <c r="B364" s="188">
        <v>454258</v>
      </c>
      <c r="C364" s="158" t="s">
        <v>2163</v>
      </c>
      <c r="D364" s="160">
        <v>0</v>
      </c>
      <c r="E364" s="161" t="s">
        <v>237</v>
      </c>
      <c r="F364" s="160">
        <v>0</v>
      </c>
      <c r="G364" s="161" t="s">
        <v>380</v>
      </c>
      <c r="H364" s="161" t="s">
        <v>2553</v>
      </c>
      <c r="I364" s="161" t="s">
        <v>2578</v>
      </c>
      <c r="J364" s="160">
        <v>0</v>
      </c>
      <c r="K364" s="161" t="s">
        <v>380</v>
      </c>
      <c r="L364" s="160">
        <v>0</v>
      </c>
      <c r="M364" s="161" t="s">
        <v>380</v>
      </c>
      <c r="N364" s="160">
        <v>0</v>
      </c>
      <c r="O364" s="160">
        <v>0</v>
      </c>
      <c r="P364" s="160">
        <v>0</v>
      </c>
      <c r="Q364" s="161" t="s">
        <v>237</v>
      </c>
    </row>
    <row r="365" spans="2:17" x14ac:dyDescent="0.3">
      <c r="B365" s="188">
        <v>454259</v>
      </c>
      <c r="C365" s="158" t="s">
        <v>1316</v>
      </c>
      <c r="D365" s="160">
        <v>0</v>
      </c>
      <c r="E365" s="161" t="s">
        <v>237</v>
      </c>
      <c r="F365" s="160">
        <v>0</v>
      </c>
      <c r="G365" s="161" t="s">
        <v>380</v>
      </c>
      <c r="H365" s="161" t="s">
        <v>2594</v>
      </c>
      <c r="I365" s="161" t="s">
        <v>2606</v>
      </c>
      <c r="J365" s="160">
        <v>0</v>
      </c>
      <c r="K365" s="161" t="s">
        <v>380</v>
      </c>
      <c r="L365" s="160">
        <v>0</v>
      </c>
      <c r="M365" s="161" t="s">
        <v>380</v>
      </c>
      <c r="N365" s="160">
        <v>0</v>
      </c>
      <c r="O365" s="160">
        <v>0</v>
      </c>
      <c r="P365" s="160">
        <v>0</v>
      </c>
      <c r="Q365" s="161" t="s">
        <v>237</v>
      </c>
    </row>
    <row r="366" spans="2:17" x14ac:dyDescent="0.3">
      <c r="B366" s="188">
        <v>454612</v>
      </c>
      <c r="C366" s="158" t="s">
        <v>148</v>
      </c>
      <c r="D366" s="160">
        <v>167544.14000000001</v>
      </c>
      <c r="E366" s="161" t="s">
        <v>237</v>
      </c>
      <c r="F366" s="160">
        <v>27728.564999999999</v>
      </c>
      <c r="G366" s="161" t="s">
        <v>374</v>
      </c>
      <c r="H366" s="161" t="s">
        <v>2798</v>
      </c>
      <c r="I366" s="161" t="s">
        <v>2798</v>
      </c>
      <c r="J366" s="160">
        <v>17262.004000000001</v>
      </c>
      <c r="K366" s="161" t="s">
        <v>374</v>
      </c>
      <c r="L366" s="160">
        <v>22631.3</v>
      </c>
      <c r="M366" s="161" t="s">
        <v>374</v>
      </c>
      <c r="N366" s="160">
        <v>344</v>
      </c>
      <c r="O366" s="160">
        <v>0.44</v>
      </c>
      <c r="P366" s="160">
        <v>44761.919999999998</v>
      </c>
      <c r="Q366" s="161" t="s">
        <v>237</v>
      </c>
    </row>
    <row r="367" spans="2:17" x14ac:dyDescent="0.3">
      <c r="B367" s="188">
        <v>454613</v>
      </c>
      <c r="C367" s="158" t="s">
        <v>149</v>
      </c>
      <c r="D367" s="160">
        <v>116184.37</v>
      </c>
      <c r="E367" s="161" t="s">
        <v>237</v>
      </c>
      <c r="F367" s="160">
        <v>15738.743</v>
      </c>
      <c r="G367" s="161" t="s">
        <v>374</v>
      </c>
      <c r="H367" s="161" t="s">
        <v>2798</v>
      </c>
      <c r="I367" s="161" t="s">
        <v>2798</v>
      </c>
      <c r="J367" s="160">
        <v>47518.521000000001</v>
      </c>
      <c r="K367" s="161" t="s">
        <v>374</v>
      </c>
      <c r="L367" s="160">
        <v>45461.3</v>
      </c>
      <c r="M367" s="161" t="s">
        <v>374</v>
      </c>
      <c r="N367" s="160">
        <v>75</v>
      </c>
      <c r="O367" s="160">
        <v>1.45</v>
      </c>
      <c r="P367" s="160">
        <v>141962.82999999999</v>
      </c>
      <c r="Q367" s="161" t="s">
        <v>237</v>
      </c>
    </row>
    <row r="368" spans="2:17" x14ac:dyDescent="0.3">
      <c r="B368" s="188">
        <v>454614</v>
      </c>
      <c r="C368" s="158" t="s">
        <v>291</v>
      </c>
      <c r="D368" s="160">
        <v>0</v>
      </c>
      <c r="E368" s="161" t="s">
        <v>237</v>
      </c>
      <c r="F368" s="160">
        <v>0</v>
      </c>
      <c r="G368" s="161" t="s">
        <v>374</v>
      </c>
      <c r="H368" s="161" t="s">
        <v>1513</v>
      </c>
      <c r="I368" s="161" t="s">
        <v>2572</v>
      </c>
      <c r="J368" s="160">
        <v>0</v>
      </c>
      <c r="K368" s="161" t="s">
        <v>374</v>
      </c>
      <c r="L368" s="160">
        <v>0</v>
      </c>
      <c r="M368" s="161" t="s">
        <v>374</v>
      </c>
      <c r="N368" s="160">
        <v>0</v>
      </c>
      <c r="O368" s="160">
        <v>0</v>
      </c>
      <c r="P368" s="160">
        <v>0</v>
      </c>
      <c r="Q368" s="161" t="s">
        <v>237</v>
      </c>
    </row>
    <row r="369" spans="2:17" x14ac:dyDescent="0.3">
      <c r="B369" s="188">
        <v>454618</v>
      </c>
      <c r="C369" s="158" t="s">
        <v>188</v>
      </c>
      <c r="D369" s="160">
        <v>3990.52</v>
      </c>
      <c r="E369" s="161" t="s">
        <v>237</v>
      </c>
      <c r="F369" s="160">
        <v>265.286</v>
      </c>
      <c r="G369" s="161" t="s">
        <v>374</v>
      </c>
      <c r="H369" s="161" t="s">
        <v>2799</v>
      </c>
      <c r="I369" s="161" t="s">
        <v>2799</v>
      </c>
      <c r="J369" s="160">
        <v>338.02199999999999</v>
      </c>
      <c r="K369" s="161" t="s">
        <v>374</v>
      </c>
      <c r="L369" s="160">
        <v>478.51900000000001</v>
      </c>
      <c r="M369" s="161" t="s">
        <v>374</v>
      </c>
      <c r="N369" s="160">
        <v>162</v>
      </c>
      <c r="O369" s="160">
        <v>0.73</v>
      </c>
      <c r="P369" s="160">
        <v>2268.87</v>
      </c>
      <c r="Q369" s="161" t="s">
        <v>237</v>
      </c>
    </row>
    <row r="370" spans="2:17" x14ac:dyDescent="0.3">
      <c r="B370" s="188">
        <v>454619</v>
      </c>
      <c r="C370" s="158" t="s">
        <v>131</v>
      </c>
      <c r="D370" s="160">
        <v>626.62</v>
      </c>
      <c r="E370" s="161" t="s">
        <v>237</v>
      </c>
      <c r="F370" s="160">
        <v>31.545999999999999</v>
      </c>
      <c r="G370" s="161" t="s">
        <v>374</v>
      </c>
      <c r="H370" s="161" t="s">
        <v>2630</v>
      </c>
      <c r="I370" s="161" t="s">
        <v>2630</v>
      </c>
      <c r="J370" s="160">
        <v>0</v>
      </c>
      <c r="K370" s="161" t="s">
        <v>374</v>
      </c>
      <c r="L370" s="160">
        <v>0</v>
      </c>
      <c r="M370" s="161" t="s">
        <v>374</v>
      </c>
      <c r="N370" s="160">
        <v>99999</v>
      </c>
      <c r="O370" s="160">
        <v>0</v>
      </c>
      <c r="P370" s="160">
        <v>0</v>
      </c>
      <c r="Q370" s="161" t="s">
        <v>237</v>
      </c>
    </row>
    <row r="371" spans="2:17" x14ac:dyDescent="0.3">
      <c r="B371" s="188">
        <v>454623</v>
      </c>
      <c r="C371" s="158" t="s">
        <v>132</v>
      </c>
      <c r="D371" s="160">
        <v>0</v>
      </c>
      <c r="E371" s="161" t="s">
        <v>237</v>
      </c>
      <c r="F371" s="160">
        <v>0</v>
      </c>
      <c r="G371" s="161" t="s">
        <v>374</v>
      </c>
      <c r="H371" s="161" t="s">
        <v>1481</v>
      </c>
      <c r="I371" s="161" t="s">
        <v>2572</v>
      </c>
      <c r="J371" s="160">
        <v>0</v>
      </c>
      <c r="K371" s="161" t="s">
        <v>374</v>
      </c>
      <c r="L371" s="160">
        <v>0</v>
      </c>
      <c r="M371" s="161" t="s">
        <v>374</v>
      </c>
      <c r="N371" s="160">
        <v>0</v>
      </c>
      <c r="O371" s="160">
        <v>0</v>
      </c>
      <c r="P371" s="160">
        <v>0</v>
      </c>
      <c r="Q371" s="161" t="s">
        <v>237</v>
      </c>
    </row>
    <row r="372" spans="2:17" x14ac:dyDescent="0.3">
      <c r="B372" s="188">
        <v>454625</v>
      </c>
      <c r="C372" s="158" t="s">
        <v>2164</v>
      </c>
      <c r="D372" s="160">
        <v>0</v>
      </c>
      <c r="E372" s="161" t="s">
        <v>237</v>
      </c>
      <c r="F372" s="160">
        <v>0</v>
      </c>
      <c r="G372" s="161" t="s">
        <v>374</v>
      </c>
      <c r="H372" s="161" t="s">
        <v>1634</v>
      </c>
      <c r="I372" s="161" t="s">
        <v>1635</v>
      </c>
      <c r="J372" s="160">
        <v>0</v>
      </c>
      <c r="K372" s="161" t="s">
        <v>374</v>
      </c>
      <c r="L372" s="160">
        <v>0</v>
      </c>
      <c r="M372" s="161" t="s">
        <v>374</v>
      </c>
      <c r="N372" s="160">
        <v>0</v>
      </c>
      <c r="O372" s="160">
        <v>0</v>
      </c>
      <c r="P372" s="160">
        <v>0</v>
      </c>
      <c r="Q372" s="161" t="s">
        <v>237</v>
      </c>
    </row>
    <row r="373" spans="2:17" x14ac:dyDescent="0.3">
      <c r="B373" s="188">
        <v>454626</v>
      </c>
      <c r="C373" s="158" t="s">
        <v>133</v>
      </c>
      <c r="D373" s="160">
        <v>3033.63</v>
      </c>
      <c r="E373" s="161" t="s">
        <v>237</v>
      </c>
      <c r="F373" s="160">
        <v>94.801000000000002</v>
      </c>
      <c r="G373" s="161" t="s">
        <v>374</v>
      </c>
      <c r="H373" s="161" t="s">
        <v>2595</v>
      </c>
      <c r="I373" s="161" t="s">
        <v>2625</v>
      </c>
      <c r="J373" s="160">
        <v>0</v>
      </c>
      <c r="K373" s="161" t="s">
        <v>374</v>
      </c>
      <c r="L373" s="160">
        <v>0</v>
      </c>
      <c r="M373" s="161" t="s">
        <v>374</v>
      </c>
      <c r="N373" s="160">
        <v>99999</v>
      </c>
      <c r="O373" s="160">
        <v>0</v>
      </c>
      <c r="P373" s="160">
        <v>0</v>
      </c>
      <c r="Q373" s="161" t="s">
        <v>237</v>
      </c>
    </row>
    <row r="374" spans="2:17" x14ac:dyDescent="0.3">
      <c r="B374" s="188">
        <v>454630</v>
      </c>
      <c r="C374" s="158" t="s">
        <v>2165</v>
      </c>
      <c r="D374" s="160">
        <v>0</v>
      </c>
      <c r="E374" s="161" t="s">
        <v>237</v>
      </c>
      <c r="F374" s="160">
        <v>0</v>
      </c>
      <c r="G374" s="161" t="s">
        <v>374</v>
      </c>
      <c r="H374" s="161" t="s">
        <v>1478</v>
      </c>
      <c r="I374" s="161" t="s">
        <v>1643</v>
      </c>
      <c r="J374" s="160">
        <v>0</v>
      </c>
      <c r="K374" s="161" t="s">
        <v>374</v>
      </c>
      <c r="L374" s="160">
        <v>0</v>
      </c>
      <c r="M374" s="161" t="s">
        <v>374</v>
      </c>
      <c r="N374" s="160">
        <v>0</v>
      </c>
      <c r="O374" s="160">
        <v>0</v>
      </c>
      <c r="P374" s="160">
        <v>0</v>
      </c>
      <c r="Q374" s="161" t="s">
        <v>237</v>
      </c>
    </row>
    <row r="375" spans="2:17" x14ac:dyDescent="0.3">
      <c r="B375" s="188">
        <v>454631</v>
      </c>
      <c r="C375" s="158" t="s">
        <v>260</v>
      </c>
      <c r="D375" s="160">
        <v>0</v>
      </c>
      <c r="E375" s="161" t="s">
        <v>237</v>
      </c>
      <c r="F375" s="160">
        <v>0</v>
      </c>
      <c r="G375" s="161" t="s">
        <v>374</v>
      </c>
      <c r="H375" s="161" t="s">
        <v>1515</v>
      </c>
      <c r="I375" s="161" t="s">
        <v>2572</v>
      </c>
      <c r="J375" s="160">
        <v>0</v>
      </c>
      <c r="K375" s="161" t="s">
        <v>374</v>
      </c>
      <c r="L375" s="160">
        <v>0</v>
      </c>
      <c r="M375" s="161" t="s">
        <v>374</v>
      </c>
      <c r="N375" s="160">
        <v>0</v>
      </c>
      <c r="O375" s="160">
        <v>0</v>
      </c>
      <c r="P375" s="160">
        <v>0</v>
      </c>
      <c r="Q375" s="161" t="s">
        <v>237</v>
      </c>
    </row>
    <row r="376" spans="2:17" x14ac:dyDescent="0.3">
      <c r="B376" s="188">
        <v>454633</v>
      </c>
      <c r="C376" s="158" t="s">
        <v>2166</v>
      </c>
      <c r="D376" s="160">
        <v>0</v>
      </c>
      <c r="E376" s="161" t="s">
        <v>237</v>
      </c>
      <c r="F376" s="160">
        <v>0</v>
      </c>
      <c r="G376" s="161" t="s">
        <v>374</v>
      </c>
      <c r="H376" s="161" t="s">
        <v>1488</v>
      </c>
      <c r="I376" s="161" t="s">
        <v>1691</v>
      </c>
      <c r="J376" s="160">
        <v>0</v>
      </c>
      <c r="K376" s="161" t="s">
        <v>374</v>
      </c>
      <c r="L376" s="160">
        <v>0</v>
      </c>
      <c r="M376" s="161" t="s">
        <v>374</v>
      </c>
      <c r="N376" s="160">
        <v>0</v>
      </c>
      <c r="O376" s="160">
        <v>0</v>
      </c>
      <c r="P376" s="160">
        <v>0</v>
      </c>
      <c r="Q376" s="161" t="s">
        <v>237</v>
      </c>
    </row>
    <row r="377" spans="2:17" x14ac:dyDescent="0.3">
      <c r="B377" s="188">
        <v>454640</v>
      </c>
      <c r="C377" s="158" t="s">
        <v>134</v>
      </c>
      <c r="D377" s="160">
        <v>3657.86</v>
      </c>
      <c r="E377" s="161" t="s">
        <v>237</v>
      </c>
      <c r="F377" s="160">
        <v>99.02</v>
      </c>
      <c r="G377" s="161" t="s">
        <v>374</v>
      </c>
      <c r="H377" s="161" t="s">
        <v>2805</v>
      </c>
      <c r="I377" s="161" t="s">
        <v>2811</v>
      </c>
      <c r="J377" s="160">
        <v>88.024000000000001</v>
      </c>
      <c r="K377" s="161" t="s">
        <v>374</v>
      </c>
      <c r="L377" s="160">
        <v>109.7</v>
      </c>
      <c r="M377" s="161" t="s">
        <v>374</v>
      </c>
      <c r="N377" s="160">
        <v>322</v>
      </c>
      <c r="O377" s="160">
        <v>0.32</v>
      </c>
      <c r="P377" s="160">
        <v>1044.9100000000001</v>
      </c>
      <c r="Q377" s="161" t="s">
        <v>237</v>
      </c>
    </row>
    <row r="378" spans="2:17" x14ac:dyDescent="0.3">
      <c r="B378" s="188">
        <v>454641</v>
      </c>
      <c r="C378" s="158" t="s">
        <v>200</v>
      </c>
      <c r="D378" s="160">
        <v>0</v>
      </c>
      <c r="E378" s="161" t="s">
        <v>237</v>
      </c>
      <c r="F378" s="160">
        <v>0</v>
      </c>
      <c r="G378" s="161" t="s">
        <v>374</v>
      </c>
      <c r="H378" s="161" t="s">
        <v>1516</v>
      </c>
      <c r="I378" s="161" t="s">
        <v>2572</v>
      </c>
      <c r="J378" s="160">
        <v>0</v>
      </c>
      <c r="K378" s="161" t="s">
        <v>374</v>
      </c>
      <c r="L378" s="160">
        <v>0</v>
      </c>
      <c r="M378" s="161" t="s">
        <v>374</v>
      </c>
      <c r="N378" s="160">
        <v>0</v>
      </c>
      <c r="O378" s="160">
        <v>0</v>
      </c>
      <c r="P378" s="160">
        <v>0</v>
      </c>
      <c r="Q378" s="161" t="s">
        <v>237</v>
      </c>
    </row>
    <row r="379" spans="2:17" x14ac:dyDescent="0.3">
      <c r="B379" s="188">
        <v>454649</v>
      </c>
      <c r="C379" s="158" t="s">
        <v>2167</v>
      </c>
      <c r="D379" s="160">
        <v>0</v>
      </c>
      <c r="E379" s="161" t="s">
        <v>237</v>
      </c>
      <c r="F379" s="160">
        <v>0</v>
      </c>
      <c r="G379" s="161" t="s">
        <v>374</v>
      </c>
      <c r="H379" s="161" t="s">
        <v>2758</v>
      </c>
      <c r="I379" s="161" t="s">
        <v>2754</v>
      </c>
      <c r="J379" s="160">
        <v>2.3140000000000001</v>
      </c>
      <c r="K379" s="161" t="s">
        <v>374</v>
      </c>
      <c r="L379" s="160">
        <v>2.3140000000000001</v>
      </c>
      <c r="M379" s="161" t="s">
        <v>374</v>
      </c>
      <c r="N379" s="160">
        <v>0</v>
      </c>
      <c r="O379" s="160">
        <v>99999</v>
      </c>
      <c r="P379" s="160">
        <v>0</v>
      </c>
      <c r="Q379" s="161" t="s">
        <v>237</v>
      </c>
    </row>
    <row r="380" spans="2:17" x14ac:dyDescent="0.3">
      <c r="B380" s="188">
        <v>454654</v>
      </c>
      <c r="C380" s="158" t="s">
        <v>2168</v>
      </c>
      <c r="D380" s="160">
        <v>0</v>
      </c>
      <c r="E380" s="161" t="s">
        <v>237</v>
      </c>
      <c r="F380" s="160">
        <v>0</v>
      </c>
      <c r="G380" s="161" t="s">
        <v>374</v>
      </c>
      <c r="H380" s="161" t="s">
        <v>1747</v>
      </c>
      <c r="I380" s="161" t="s">
        <v>1643</v>
      </c>
      <c r="J380" s="160">
        <v>0</v>
      </c>
      <c r="K380" s="161" t="s">
        <v>374</v>
      </c>
      <c r="L380" s="160">
        <v>0</v>
      </c>
      <c r="M380" s="161" t="s">
        <v>374</v>
      </c>
      <c r="N380" s="160">
        <v>0</v>
      </c>
      <c r="O380" s="160">
        <v>0</v>
      </c>
      <c r="P380" s="160">
        <v>0</v>
      </c>
      <c r="Q380" s="161" t="s">
        <v>237</v>
      </c>
    </row>
    <row r="381" spans="2:17" x14ac:dyDescent="0.3">
      <c r="B381" s="188">
        <v>454657</v>
      </c>
      <c r="C381" s="158" t="s">
        <v>205</v>
      </c>
      <c r="D381" s="160">
        <v>4114</v>
      </c>
      <c r="E381" s="161" t="s">
        <v>237</v>
      </c>
      <c r="F381" s="160">
        <v>321.40899999999999</v>
      </c>
      <c r="G381" s="161" t="s">
        <v>374</v>
      </c>
      <c r="H381" s="161" t="s">
        <v>2816</v>
      </c>
      <c r="I381" s="161" t="s">
        <v>2808</v>
      </c>
      <c r="J381" s="160">
        <v>717.38900000000001</v>
      </c>
      <c r="K381" s="161" t="s">
        <v>374</v>
      </c>
      <c r="L381" s="160">
        <v>639.98199999999997</v>
      </c>
      <c r="M381" s="161" t="s">
        <v>374</v>
      </c>
      <c r="N381" s="160">
        <v>78</v>
      </c>
      <c r="O381" s="160">
        <v>1.1200000000000001</v>
      </c>
      <c r="P381" s="160">
        <v>4830.68</v>
      </c>
      <c r="Q381" s="161" t="s">
        <v>237</v>
      </c>
    </row>
    <row r="382" spans="2:17" x14ac:dyDescent="0.3">
      <c r="B382" s="188">
        <v>454661</v>
      </c>
      <c r="C382" s="158" t="s">
        <v>1404</v>
      </c>
      <c r="D382" s="160">
        <v>0.03</v>
      </c>
      <c r="E382" s="161" t="s">
        <v>237</v>
      </c>
      <c r="F382" s="160">
        <v>2.9969999999999999</v>
      </c>
      <c r="G382" s="161" t="s">
        <v>374</v>
      </c>
      <c r="H382" s="161" t="s">
        <v>1654</v>
      </c>
      <c r="I382" s="161" t="s">
        <v>1941</v>
      </c>
      <c r="J382" s="160">
        <v>0</v>
      </c>
      <c r="K382" s="161" t="s">
        <v>374</v>
      </c>
      <c r="L382" s="160">
        <v>0</v>
      </c>
      <c r="M382" s="161" t="s">
        <v>374</v>
      </c>
      <c r="N382" s="160">
        <v>99999</v>
      </c>
      <c r="O382" s="160">
        <v>0</v>
      </c>
      <c r="P382" s="160">
        <v>0</v>
      </c>
      <c r="Q382" s="161" t="s">
        <v>237</v>
      </c>
    </row>
    <row r="383" spans="2:17" x14ac:dyDescent="0.3">
      <c r="B383" s="188">
        <v>454663</v>
      </c>
      <c r="C383" s="158" t="s">
        <v>2169</v>
      </c>
      <c r="D383" s="160">
        <v>0</v>
      </c>
      <c r="E383" s="161" t="s">
        <v>237</v>
      </c>
      <c r="F383" s="160">
        <v>0</v>
      </c>
      <c r="G383" s="161" t="s">
        <v>374</v>
      </c>
      <c r="H383" s="161" t="s">
        <v>1698</v>
      </c>
      <c r="I383" s="161" t="s">
        <v>1643</v>
      </c>
      <c r="J383" s="160">
        <v>0</v>
      </c>
      <c r="K383" s="161" t="s">
        <v>374</v>
      </c>
      <c r="L383" s="160">
        <v>0</v>
      </c>
      <c r="M383" s="161" t="s">
        <v>374</v>
      </c>
      <c r="N383" s="160">
        <v>0</v>
      </c>
      <c r="O383" s="160">
        <v>0</v>
      </c>
      <c r="P383" s="160">
        <v>0</v>
      </c>
      <c r="Q383" s="161" t="s">
        <v>237</v>
      </c>
    </row>
    <row r="384" spans="2:17" x14ac:dyDescent="0.3">
      <c r="B384" s="188">
        <v>454671</v>
      </c>
      <c r="C384" s="158" t="s">
        <v>150</v>
      </c>
      <c r="D384" s="160">
        <v>3727.47</v>
      </c>
      <c r="E384" s="161" t="s">
        <v>237</v>
      </c>
      <c r="F384" s="160">
        <v>712.83699999999999</v>
      </c>
      <c r="G384" s="161" t="s">
        <v>374</v>
      </c>
      <c r="H384" s="161" t="s">
        <v>2805</v>
      </c>
      <c r="I384" s="161" t="s">
        <v>2817</v>
      </c>
      <c r="J384" s="160">
        <v>355.10599999999999</v>
      </c>
      <c r="K384" s="161" t="s">
        <v>374</v>
      </c>
      <c r="L384" s="160">
        <v>177.553</v>
      </c>
      <c r="M384" s="161" t="s">
        <v>374</v>
      </c>
      <c r="N384" s="160">
        <v>369</v>
      </c>
      <c r="O384" s="160">
        <v>0.22</v>
      </c>
      <c r="P384" s="160">
        <v>928.43</v>
      </c>
      <c r="Q384" s="161" t="s">
        <v>237</v>
      </c>
    </row>
    <row r="385" spans="2:17" x14ac:dyDescent="0.3">
      <c r="B385" s="188">
        <v>454674</v>
      </c>
      <c r="C385" s="158" t="s">
        <v>151</v>
      </c>
      <c r="D385" s="160">
        <v>49947.360000000001</v>
      </c>
      <c r="E385" s="161" t="s">
        <v>237</v>
      </c>
      <c r="F385" s="160">
        <v>10199.254000000001</v>
      </c>
      <c r="G385" s="161" t="s">
        <v>374</v>
      </c>
      <c r="H385" s="161" t="s">
        <v>2760</v>
      </c>
      <c r="I385" s="161" t="s">
        <v>236</v>
      </c>
      <c r="J385" s="160">
        <v>8537.7469999999994</v>
      </c>
      <c r="K385" s="161" t="s">
        <v>374</v>
      </c>
      <c r="L385" s="160">
        <v>6746.9</v>
      </c>
      <c r="M385" s="161" t="s">
        <v>374</v>
      </c>
      <c r="N385" s="160">
        <v>225</v>
      </c>
      <c r="O385" s="160">
        <v>0.37</v>
      </c>
      <c r="P385" s="160">
        <v>20431.09</v>
      </c>
      <c r="Q385" s="161" t="s">
        <v>237</v>
      </c>
    </row>
    <row r="386" spans="2:17" x14ac:dyDescent="0.3">
      <c r="B386" s="188">
        <v>454676</v>
      </c>
      <c r="C386" s="158" t="s">
        <v>218</v>
      </c>
      <c r="D386" s="160">
        <v>0</v>
      </c>
      <c r="E386" s="161" t="s">
        <v>237</v>
      </c>
      <c r="F386" s="160">
        <v>0</v>
      </c>
      <c r="G386" s="161" t="s">
        <v>374</v>
      </c>
      <c r="H386" s="161" t="s">
        <v>1478</v>
      </c>
      <c r="I386" s="161" t="s">
        <v>2572</v>
      </c>
      <c r="J386" s="160">
        <v>0</v>
      </c>
      <c r="K386" s="161" t="s">
        <v>374</v>
      </c>
      <c r="L386" s="160">
        <v>0</v>
      </c>
      <c r="M386" s="161" t="s">
        <v>374</v>
      </c>
      <c r="N386" s="160">
        <v>0</v>
      </c>
      <c r="O386" s="160">
        <v>0</v>
      </c>
      <c r="P386" s="160">
        <v>0</v>
      </c>
      <c r="Q386" s="161" t="s">
        <v>237</v>
      </c>
    </row>
    <row r="387" spans="2:17" x14ac:dyDescent="0.3">
      <c r="B387" s="188">
        <v>454678</v>
      </c>
      <c r="C387" s="158" t="s">
        <v>2170</v>
      </c>
      <c r="D387" s="160">
        <v>0</v>
      </c>
      <c r="E387" s="161" t="s">
        <v>237</v>
      </c>
      <c r="F387" s="160">
        <v>0</v>
      </c>
      <c r="G387" s="161" t="s">
        <v>374</v>
      </c>
      <c r="H387" s="161" t="s">
        <v>236</v>
      </c>
      <c r="I387" s="161" t="s">
        <v>1748</v>
      </c>
      <c r="J387" s="160">
        <v>0</v>
      </c>
      <c r="K387" s="161" t="s">
        <v>374</v>
      </c>
      <c r="L387" s="160">
        <v>0</v>
      </c>
      <c r="M387" s="161" t="s">
        <v>374</v>
      </c>
      <c r="N387" s="160">
        <v>0</v>
      </c>
      <c r="O387" s="160">
        <v>0</v>
      </c>
      <c r="P387" s="160">
        <v>0</v>
      </c>
      <c r="Q387" s="161" t="s">
        <v>237</v>
      </c>
    </row>
    <row r="388" spans="2:17" x14ac:dyDescent="0.3">
      <c r="B388" s="188">
        <v>454679</v>
      </c>
      <c r="C388" s="158" t="s">
        <v>152</v>
      </c>
      <c r="D388" s="160">
        <v>96557.51</v>
      </c>
      <c r="E388" s="161" t="s">
        <v>237</v>
      </c>
      <c r="F388" s="160">
        <v>14431.276</v>
      </c>
      <c r="G388" s="161" t="s">
        <v>374</v>
      </c>
      <c r="H388" s="161" t="s">
        <v>2808</v>
      </c>
      <c r="I388" s="161" t="s">
        <v>2808</v>
      </c>
      <c r="J388" s="160">
        <v>30643.368999999999</v>
      </c>
      <c r="K388" s="161" t="s">
        <v>374</v>
      </c>
      <c r="L388" s="160">
        <v>29015.063999999998</v>
      </c>
      <c r="M388" s="161" t="s">
        <v>374</v>
      </c>
      <c r="N388" s="160">
        <v>107</v>
      </c>
      <c r="O388" s="160">
        <v>1.22</v>
      </c>
      <c r="P388" s="160">
        <v>83161.240000000005</v>
      </c>
      <c r="Q388" s="161" t="s">
        <v>237</v>
      </c>
    </row>
    <row r="389" spans="2:17" x14ac:dyDescent="0.3">
      <c r="B389" s="188">
        <v>454688</v>
      </c>
      <c r="C389" s="158" t="s">
        <v>2171</v>
      </c>
      <c r="D389" s="160">
        <v>0</v>
      </c>
      <c r="E389" s="161" t="s">
        <v>237</v>
      </c>
      <c r="F389" s="160">
        <v>0</v>
      </c>
      <c r="G389" s="161" t="s">
        <v>374</v>
      </c>
      <c r="H389" s="161" t="s">
        <v>1698</v>
      </c>
      <c r="I389" s="161" t="s">
        <v>1643</v>
      </c>
      <c r="J389" s="160">
        <v>0</v>
      </c>
      <c r="K389" s="161" t="s">
        <v>374</v>
      </c>
      <c r="L389" s="160">
        <v>0</v>
      </c>
      <c r="M389" s="161" t="s">
        <v>374</v>
      </c>
      <c r="N389" s="160">
        <v>0</v>
      </c>
      <c r="O389" s="160">
        <v>0</v>
      </c>
      <c r="P389" s="160">
        <v>0</v>
      </c>
      <c r="Q389" s="161" t="s">
        <v>237</v>
      </c>
    </row>
    <row r="390" spans="2:17" x14ac:dyDescent="0.3">
      <c r="B390" s="188">
        <v>454695</v>
      </c>
      <c r="C390" s="158" t="s">
        <v>2172</v>
      </c>
      <c r="D390" s="160">
        <v>0</v>
      </c>
      <c r="E390" s="161" t="s">
        <v>237</v>
      </c>
      <c r="F390" s="160">
        <v>0</v>
      </c>
      <c r="G390" s="161" t="s">
        <v>374</v>
      </c>
      <c r="H390" s="161" t="s">
        <v>1481</v>
      </c>
      <c r="I390" s="161" t="s">
        <v>1691</v>
      </c>
      <c r="J390" s="160">
        <v>0</v>
      </c>
      <c r="K390" s="161" t="s">
        <v>374</v>
      </c>
      <c r="L390" s="160">
        <v>0</v>
      </c>
      <c r="M390" s="161" t="s">
        <v>374</v>
      </c>
      <c r="N390" s="160">
        <v>0</v>
      </c>
      <c r="O390" s="160">
        <v>0</v>
      </c>
      <c r="P390" s="160">
        <v>0</v>
      </c>
      <c r="Q390" s="161" t="s">
        <v>237</v>
      </c>
    </row>
    <row r="391" spans="2:17" x14ac:dyDescent="0.3">
      <c r="B391" s="188">
        <v>454696</v>
      </c>
      <c r="C391" s="158" t="s">
        <v>2173</v>
      </c>
      <c r="D391" s="160">
        <v>0</v>
      </c>
      <c r="E391" s="161" t="s">
        <v>237</v>
      </c>
      <c r="F391" s="160">
        <v>0</v>
      </c>
      <c r="G391" s="161" t="s">
        <v>374</v>
      </c>
      <c r="H391" s="161" t="s">
        <v>1658</v>
      </c>
      <c r="I391" s="161" t="s">
        <v>1658</v>
      </c>
      <c r="J391" s="160">
        <v>0</v>
      </c>
      <c r="K391" s="161" t="s">
        <v>374</v>
      </c>
      <c r="L391" s="160">
        <v>0</v>
      </c>
      <c r="M391" s="161" t="s">
        <v>374</v>
      </c>
      <c r="N391" s="160">
        <v>0</v>
      </c>
      <c r="O391" s="160">
        <v>0</v>
      </c>
      <c r="P391" s="160">
        <v>0</v>
      </c>
      <c r="Q391" s="161" t="s">
        <v>237</v>
      </c>
    </row>
    <row r="392" spans="2:17" x14ac:dyDescent="0.3">
      <c r="B392" s="188">
        <v>454698</v>
      </c>
      <c r="C392" s="158" t="s">
        <v>145</v>
      </c>
      <c r="D392" s="160">
        <v>678.68</v>
      </c>
      <c r="E392" s="161" t="s">
        <v>237</v>
      </c>
      <c r="F392" s="160">
        <v>33.933999999999997</v>
      </c>
      <c r="G392" s="161" t="s">
        <v>374</v>
      </c>
      <c r="H392" s="161" t="s">
        <v>2750</v>
      </c>
      <c r="I392" s="161" t="s">
        <v>2816</v>
      </c>
      <c r="J392" s="160">
        <v>31.312000000000001</v>
      </c>
      <c r="K392" s="161" t="s">
        <v>374</v>
      </c>
      <c r="L392" s="160">
        <v>15.656000000000001</v>
      </c>
      <c r="M392" s="161" t="s">
        <v>374</v>
      </c>
      <c r="N392" s="160">
        <v>199</v>
      </c>
      <c r="O392" s="160">
        <v>0.38</v>
      </c>
      <c r="P392" s="160">
        <v>313.12</v>
      </c>
      <c r="Q392" s="161" t="s">
        <v>237</v>
      </c>
    </row>
    <row r="393" spans="2:17" x14ac:dyDescent="0.3">
      <c r="B393" s="188">
        <v>454699</v>
      </c>
      <c r="C393" s="158" t="s">
        <v>2174</v>
      </c>
      <c r="D393" s="160">
        <v>0</v>
      </c>
      <c r="E393" s="161" t="s">
        <v>237</v>
      </c>
      <c r="F393" s="160">
        <v>0</v>
      </c>
      <c r="G393" s="161" t="s">
        <v>374</v>
      </c>
      <c r="H393" s="161" t="s">
        <v>2547</v>
      </c>
      <c r="I393" s="161" t="s">
        <v>2547</v>
      </c>
      <c r="J393" s="160">
        <v>0</v>
      </c>
      <c r="K393" s="161" t="s">
        <v>374</v>
      </c>
      <c r="L393" s="160">
        <v>0</v>
      </c>
      <c r="M393" s="161" t="s">
        <v>374</v>
      </c>
      <c r="N393" s="160">
        <v>0</v>
      </c>
      <c r="O393" s="160">
        <v>0</v>
      </c>
      <c r="P393" s="160">
        <v>0</v>
      </c>
      <c r="Q393" s="161" t="s">
        <v>237</v>
      </c>
    </row>
    <row r="394" spans="2:17" x14ac:dyDescent="0.3">
      <c r="B394" s="188">
        <v>454700</v>
      </c>
      <c r="C394" s="158" t="s">
        <v>203</v>
      </c>
      <c r="D394" s="160">
        <v>1036.44</v>
      </c>
      <c r="E394" s="161" t="s">
        <v>237</v>
      </c>
      <c r="F394" s="160">
        <v>44.322000000000003</v>
      </c>
      <c r="G394" s="161" t="s">
        <v>374</v>
      </c>
      <c r="H394" s="161" t="s">
        <v>2808</v>
      </c>
      <c r="I394" s="161" t="s">
        <v>2743</v>
      </c>
      <c r="J394" s="160">
        <v>46.968000000000004</v>
      </c>
      <c r="K394" s="161" t="s">
        <v>374</v>
      </c>
      <c r="L394" s="160">
        <v>48.484000000000002</v>
      </c>
      <c r="M394" s="161" t="s">
        <v>374</v>
      </c>
      <c r="N394" s="160">
        <v>203</v>
      </c>
      <c r="O394" s="160">
        <v>0.68</v>
      </c>
      <c r="P394" s="160">
        <v>469.68</v>
      </c>
      <c r="Q394" s="161" t="s">
        <v>237</v>
      </c>
    </row>
    <row r="395" spans="2:17" x14ac:dyDescent="0.3">
      <c r="B395" s="188">
        <v>454702</v>
      </c>
      <c r="C395" s="158" t="s">
        <v>2175</v>
      </c>
      <c r="D395" s="160">
        <v>0</v>
      </c>
      <c r="E395" s="161" t="s">
        <v>237</v>
      </c>
      <c r="F395" s="160">
        <v>0</v>
      </c>
      <c r="G395" s="161" t="s">
        <v>374</v>
      </c>
      <c r="H395" s="161" t="s">
        <v>1749</v>
      </c>
      <c r="I395" s="161" t="s">
        <v>1749</v>
      </c>
      <c r="J395" s="160">
        <v>0</v>
      </c>
      <c r="K395" s="161" t="s">
        <v>374</v>
      </c>
      <c r="L395" s="160">
        <v>0</v>
      </c>
      <c r="M395" s="161" t="s">
        <v>374</v>
      </c>
      <c r="N395" s="160">
        <v>0</v>
      </c>
      <c r="O395" s="160">
        <v>0</v>
      </c>
      <c r="P395" s="160">
        <v>0</v>
      </c>
      <c r="Q395" s="161" t="s">
        <v>237</v>
      </c>
    </row>
    <row r="396" spans="2:17" x14ac:dyDescent="0.3">
      <c r="B396" s="188">
        <v>457837</v>
      </c>
      <c r="C396" s="158" t="s">
        <v>1922</v>
      </c>
      <c r="D396" s="160">
        <v>0</v>
      </c>
      <c r="E396" s="161" t="s">
        <v>237</v>
      </c>
      <c r="F396" s="160">
        <v>0</v>
      </c>
      <c r="G396" s="161" t="s">
        <v>380</v>
      </c>
      <c r="H396" s="161" t="s">
        <v>2674</v>
      </c>
      <c r="I396" s="161" t="s">
        <v>2671</v>
      </c>
      <c r="J396" s="160">
        <v>0</v>
      </c>
      <c r="K396" s="161" t="s">
        <v>380</v>
      </c>
      <c r="L396" s="160">
        <v>0</v>
      </c>
      <c r="M396" s="161" t="s">
        <v>380</v>
      </c>
      <c r="N396" s="160">
        <v>0</v>
      </c>
      <c r="O396" s="160">
        <v>0</v>
      </c>
      <c r="P396" s="160">
        <v>0</v>
      </c>
      <c r="Q396" s="161" t="s">
        <v>237</v>
      </c>
    </row>
    <row r="397" spans="2:17" x14ac:dyDescent="0.3">
      <c r="B397" s="188">
        <v>459267</v>
      </c>
      <c r="C397" s="158" t="s">
        <v>2176</v>
      </c>
      <c r="D397" s="160">
        <v>0</v>
      </c>
      <c r="E397" s="161" t="s">
        <v>237</v>
      </c>
      <c r="F397" s="160">
        <v>0</v>
      </c>
      <c r="G397" s="161" t="s">
        <v>380</v>
      </c>
      <c r="H397" s="161" t="s">
        <v>1750</v>
      </c>
      <c r="I397" s="161" t="s">
        <v>1750</v>
      </c>
      <c r="J397" s="160">
        <v>0</v>
      </c>
      <c r="K397" s="161" t="s">
        <v>380</v>
      </c>
      <c r="L397" s="160">
        <v>0</v>
      </c>
      <c r="M397" s="161" t="s">
        <v>380</v>
      </c>
      <c r="N397" s="160">
        <v>0</v>
      </c>
      <c r="O397" s="160">
        <v>0</v>
      </c>
      <c r="P397" s="160">
        <v>0</v>
      </c>
      <c r="Q397" s="161" t="s">
        <v>237</v>
      </c>
    </row>
    <row r="398" spans="2:17" x14ac:dyDescent="0.3">
      <c r="B398" s="188">
        <v>459326</v>
      </c>
      <c r="C398" s="158" t="s">
        <v>194</v>
      </c>
      <c r="D398" s="160">
        <v>2114.04</v>
      </c>
      <c r="E398" s="161" t="s">
        <v>237</v>
      </c>
      <c r="F398" s="160">
        <v>84500</v>
      </c>
      <c r="G398" s="161" t="s">
        <v>380</v>
      </c>
      <c r="H398" s="161" t="s">
        <v>2807</v>
      </c>
      <c r="I398" s="161" t="s">
        <v>2759</v>
      </c>
      <c r="J398" s="160">
        <v>35200</v>
      </c>
      <c r="K398" s="161" t="s">
        <v>380</v>
      </c>
      <c r="L398" s="160">
        <v>115200</v>
      </c>
      <c r="M398" s="161" t="s">
        <v>380</v>
      </c>
      <c r="N398" s="160">
        <v>99999</v>
      </c>
      <c r="O398" s="160">
        <v>0</v>
      </c>
      <c r="P398" s="160">
        <v>0</v>
      </c>
      <c r="Q398" s="161" t="s">
        <v>237</v>
      </c>
    </row>
    <row r="399" spans="2:17" x14ac:dyDescent="0.3">
      <c r="B399" s="188">
        <v>459351</v>
      </c>
      <c r="C399" s="158" t="s">
        <v>2177</v>
      </c>
      <c r="D399" s="160">
        <v>0</v>
      </c>
      <c r="E399" s="161" t="s">
        <v>237</v>
      </c>
      <c r="F399" s="160">
        <v>0</v>
      </c>
      <c r="G399" s="161" t="s">
        <v>380</v>
      </c>
      <c r="H399" s="161" t="s">
        <v>1490</v>
      </c>
      <c r="I399" s="161" t="s">
        <v>1490</v>
      </c>
      <c r="J399" s="160">
        <v>0</v>
      </c>
      <c r="K399" s="161" t="s">
        <v>380</v>
      </c>
      <c r="L399" s="160">
        <v>0</v>
      </c>
      <c r="M399" s="161" t="s">
        <v>380</v>
      </c>
      <c r="N399" s="160">
        <v>0</v>
      </c>
      <c r="O399" s="160">
        <v>0</v>
      </c>
      <c r="P399" s="160">
        <v>0</v>
      </c>
      <c r="Q399" s="161" t="s">
        <v>237</v>
      </c>
    </row>
    <row r="400" spans="2:17" x14ac:dyDescent="0.3">
      <c r="B400" s="188">
        <v>461195</v>
      </c>
      <c r="C400" s="158" t="s">
        <v>2178</v>
      </c>
      <c r="D400" s="160">
        <v>0</v>
      </c>
      <c r="E400" s="161" t="s">
        <v>237</v>
      </c>
      <c r="F400" s="160">
        <v>0</v>
      </c>
      <c r="G400" s="161" t="s">
        <v>380</v>
      </c>
      <c r="H400" s="161" t="s">
        <v>1751</v>
      </c>
      <c r="I400" s="161" t="s">
        <v>1752</v>
      </c>
      <c r="J400" s="160">
        <v>0</v>
      </c>
      <c r="K400" s="161" t="s">
        <v>380</v>
      </c>
      <c r="L400" s="160">
        <v>0</v>
      </c>
      <c r="M400" s="161" t="s">
        <v>380</v>
      </c>
      <c r="N400" s="160">
        <v>0</v>
      </c>
      <c r="O400" s="160">
        <v>0</v>
      </c>
      <c r="P400" s="160">
        <v>0</v>
      </c>
      <c r="Q400" s="161" t="s">
        <v>237</v>
      </c>
    </row>
    <row r="401" spans="2:17" x14ac:dyDescent="0.3">
      <c r="B401" s="188">
        <v>463143</v>
      </c>
      <c r="C401" s="158" t="s">
        <v>135</v>
      </c>
      <c r="D401" s="160">
        <v>720.78</v>
      </c>
      <c r="E401" s="161" t="s">
        <v>237</v>
      </c>
      <c r="F401" s="160">
        <v>24.617000000000001</v>
      </c>
      <c r="G401" s="161" t="s">
        <v>374</v>
      </c>
      <c r="H401" s="161" t="s">
        <v>2738</v>
      </c>
      <c r="I401" s="161" t="s">
        <v>2738</v>
      </c>
      <c r="J401" s="160">
        <v>91.082999999999998</v>
      </c>
      <c r="K401" s="161" t="s">
        <v>374</v>
      </c>
      <c r="L401" s="160">
        <v>87.7</v>
      </c>
      <c r="M401" s="161" t="s">
        <v>374</v>
      </c>
      <c r="N401" s="160">
        <v>66</v>
      </c>
      <c r="O401" s="160">
        <v>1.31</v>
      </c>
      <c r="P401" s="160">
        <v>1009.66</v>
      </c>
      <c r="Q401" s="161" t="s">
        <v>237</v>
      </c>
    </row>
    <row r="402" spans="2:17" x14ac:dyDescent="0.3">
      <c r="B402" s="188">
        <v>463202</v>
      </c>
      <c r="C402" s="158" t="s">
        <v>206</v>
      </c>
      <c r="D402" s="160">
        <v>0</v>
      </c>
      <c r="E402" s="161" t="s">
        <v>237</v>
      </c>
      <c r="F402" s="160">
        <v>0</v>
      </c>
      <c r="G402" s="161" t="s">
        <v>380</v>
      </c>
      <c r="H402" s="161" t="s">
        <v>2811</v>
      </c>
      <c r="I402" s="161" t="s">
        <v>2799</v>
      </c>
      <c r="J402" s="160">
        <v>225060</v>
      </c>
      <c r="K402" s="161" t="s">
        <v>380</v>
      </c>
      <c r="L402" s="160">
        <v>225060</v>
      </c>
      <c r="M402" s="161" t="s">
        <v>380</v>
      </c>
      <c r="N402" s="160">
        <v>0</v>
      </c>
      <c r="O402" s="160">
        <v>53.78</v>
      </c>
      <c r="P402" s="160">
        <v>47467.199999999997</v>
      </c>
      <c r="Q402" s="161" t="s">
        <v>237</v>
      </c>
    </row>
    <row r="403" spans="2:17" x14ac:dyDescent="0.3">
      <c r="B403" s="188">
        <v>464690</v>
      </c>
      <c r="C403" s="158" t="s">
        <v>2179</v>
      </c>
      <c r="D403" s="160">
        <v>0</v>
      </c>
      <c r="E403" s="161" t="s">
        <v>237</v>
      </c>
      <c r="F403" s="160">
        <v>0</v>
      </c>
      <c r="G403" s="161" t="s">
        <v>380</v>
      </c>
      <c r="H403" s="161" t="s">
        <v>2738</v>
      </c>
      <c r="I403" s="161" t="s">
        <v>2803</v>
      </c>
      <c r="J403" s="160">
        <v>46000</v>
      </c>
      <c r="K403" s="161" t="s">
        <v>380</v>
      </c>
      <c r="L403" s="160">
        <v>46000</v>
      </c>
      <c r="M403" s="161" t="s">
        <v>380</v>
      </c>
      <c r="N403" s="160">
        <v>0</v>
      </c>
      <c r="O403" s="160">
        <v>25</v>
      </c>
      <c r="P403" s="160">
        <v>14020.8</v>
      </c>
      <c r="Q403" s="161" t="s">
        <v>237</v>
      </c>
    </row>
    <row r="404" spans="2:17" x14ac:dyDescent="0.3">
      <c r="B404" s="188">
        <v>465196</v>
      </c>
      <c r="C404" s="158" t="s">
        <v>2180</v>
      </c>
      <c r="D404" s="160">
        <v>0</v>
      </c>
      <c r="E404" s="161" t="s">
        <v>237</v>
      </c>
      <c r="F404" s="160">
        <v>0</v>
      </c>
      <c r="G404" s="161" t="s">
        <v>374</v>
      </c>
      <c r="H404" s="161" t="s">
        <v>1753</v>
      </c>
      <c r="I404" s="161" t="s">
        <v>1499</v>
      </c>
      <c r="J404" s="160">
        <v>0</v>
      </c>
      <c r="K404" s="161" t="s">
        <v>374</v>
      </c>
      <c r="L404" s="160">
        <v>0</v>
      </c>
      <c r="M404" s="161" t="s">
        <v>374</v>
      </c>
      <c r="N404" s="160">
        <v>0</v>
      </c>
      <c r="O404" s="160">
        <v>0</v>
      </c>
      <c r="P404" s="160">
        <v>0</v>
      </c>
      <c r="Q404" s="161" t="s">
        <v>237</v>
      </c>
    </row>
    <row r="405" spans="2:17" x14ac:dyDescent="0.3">
      <c r="B405" s="188">
        <v>467961</v>
      </c>
      <c r="C405" s="158" t="s">
        <v>2181</v>
      </c>
      <c r="D405" s="160">
        <v>0</v>
      </c>
      <c r="E405" s="161" t="s">
        <v>237</v>
      </c>
      <c r="F405" s="160">
        <v>0</v>
      </c>
      <c r="G405" s="161" t="s">
        <v>374</v>
      </c>
      <c r="H405" s="161" t="s">
        <v>1754</v>
      </c>
      <c r="I405" s="161" t="s">
        <v>1754</v>
      </c>
      <c r="J405" s="160">
        <v>0</v>
      </c>
      <c r="K405" s="161" t="s">
        <v>374</v>
      </c>
      <c r="L405" s="160">
        <v>0</v>
      </c>
      <c r="M405" s="161" t="s">
        <v>374</v>
      </c>
      <c r="N405" s="160">
        <v>0</v>
      </c>
      <c r="O405" s="160">
        <v>0</v>
      </c>
      <c r="P405" s="160">
        <v>0</v>
      </c>
      <c r="Q405" s="161" t="s">
        <v>237</v>
      </c>
    </row>
    <row r="406" spans="2:17" x14ac:dyDescent="0.3">
      <c r="B406" s="188">
        <v>468168</v>
      </c>
      <c r="C406" s="158" t="s">
        <v>2182</v>
      </c>
      <c r="D406" s="160">
        <v>0</v>
      </c>
      <c r="E406" s="161" t="s">
        <v>237</v>
      </c>
      <c r="F406" s="160">
        <v>0</v>
      </c>
      <c r="G406" s="161" t="s">
        <v>380</v>
      </c>
      <c r="H406" s="161" t="s">
        <v>1478</v>
      </c>
      <c r="I406" s="161" t="s">
        <v>1643</v>
      </c>
      <c r="J406" s="160">
        <v>0</v>
      </c>
      <c r="K406" s="161" t="s">
        <v>380</v>
      </c>
      <c r="L406" s="160">
        <v>0</v>
      </c>
      <c r="M406" s="161" t="s">
        <v>380</v>
      </c>
      <c r="N406" s="160">
        <v>0</v>
      </c>
      <c r="O406" s="160">
        <v>0</v>
      </c>
      <c r="P406" s="160">
        <v>0</v>
      </c>
      <c r="Q406" s="161" t="s">
        <v>237</v>
      </c>
    </row>
    <row r="407" spans="2:17" x14ac:dyDescent="0.3">
      <c r="B407" s="188">
        <v>468170</v>
      </c>
      <c r="C407" s="158" t="s">
        <v>2183</v>
      </c>
      <c r="D407" s="160">
        <v>0</v>
      </c>
      <c r="E407" s="161" t="s">
        <v>237</v>
      </c>
      <c r="F407" s="160">
        <v>0</v>
      </c>
      <c r="G407" s="161" t="s">
        <v>380</v>
      </c>
      <c r="H407" s="161" t="s">
        <v>1755</v>
      </c>
      <c r="I407" s="161" t="s">
        <v>1756</v>
      </c>
      <c r="J407" s="160">
        <v>0</v>
      </c>
      <c r="K407" s="161" t="s">
        <v>380</v>
      </c>
      <c r="L407" s="160">
        <v>0</v>
      </c>
      <c r="M407" s="161" t="s">
        <v>380</v>
      </c>
      <c r="N407" s="160">
        <v>0</v>
      </c>
      <c r="O407" s="160">
        <v>0</v>
      </c>
      <c r="P407" s="160">
        <v>0</v>
      </c>
      <c r="Q407" s="161" t="s">
        <v>237</v>
      </c>
    </row>
    <row r="408" spans="2:17" x14ac:dyDescent="0.3">
      <c r="B408" s="188">
        <v>470373</v>
      </c>
      <c r="C408" s="158" t="s">
        <v>2184</v>
      </c>
      <c r="D408" s="160">
        <v>0</v>
      </c>
      <c r="E408" s="161" t="s">
        <v>237</v>
      </c>
      <c r="F408" s="160">
        <v>0</v>
      </c>
      <c r="G408" s="161" t="s">
        <v>380</v>
      </c>
      <c r="H408" s="161" t="s">
        <v>1698</v>
      </c>
      <c r="I408" s="161" t="s">
        <v>1643</v>
      </c>
      <c r="J408" s="160">
        <v>0</v>
      </c>
      <c r="K408" s="161" t="s">
        <v>380</v>
      </c>
      <c r="L408" s="160">
        <v>0</v>
      </c>
      <c r="M408" s="161" t="s">
        <v>380</v>
      </c>
      <c r="N408" s="160">
        <v>0</v>
      </c>
      <c r="O408" s="160">
        <v>0</v>
      </c>
      <c r="P408" s="160">
        <v>0</v>
      </c>
      <c r="Q408" s="161" t="s">
        <v>237</v>
      </c>
    </row>
    <row r="409" spans="2:17" x14ac:dyDescent="0.3">
      <c r="B409" s="188">
        <v>471353</v>
      </c>
      <c r="C409" s="158" t="s">
        <v>2185</v>
      </c>
      <c r="D409" s="160">
        <v>0</v>
      </c>
      <c r="E409" s="161" t="s">
        <v>237</v>
      </c>
      <c r="F409" s="160">
        <v>0</v>
      </c>
      <c r="G409" s="161" t="s">
        <v>380</v>
      </c>
      <c r="H409" s="161" t="s">
        <v>1757</v>
      </c>
      <c r="I409" s="161" t="s">
        <v>1758</v>
      </c>
      <c r="J409" s="160">
        <v>0</v>
      </c>
      <c r="K409" s="161" t="s">
        <v>380</v>
      </c>
      <c r="L409" s="160">
        <v>0</v>
      </c>
      <c r="M409" s="161" t="s">
        <v>380</v>
      </c>
      <c r="N409" s="160">
        <v>0</v>
      </c>
      <c r="O409" s="160">
        <v>0</v>
      </c>
      <c r="P409" s="160">
        <v>0</v>
      </c>
      <c r="Q409" s="161" t="s">
        <v>237</v>
      </c>
    </row>
    <row r="410" spans="2:17" x14ac:dyDescent="0.3">
      <c r="B410" s="188">
        <v>471417</v>
      </c>
      <c r="C410" s="158" t="s">
        <v>2186</v>
      </c>
      <c r="D410" s="160">
        <v>0</v>
      </c>
      <c r="E410" s="161" t="s">
        <v>237</v>
      </c>
      <c r="F410" s="160">
        <v>0</v>
      </c>
      <c r="G410" s="161" t="s">
        <v>380</v>
      </c>
      <c r="H410" s="161" t="s">
        <v>1517</v>
      </c>
      <c r="I410" s="161" t="s">
        <v>1759</v>
      </c>
      <c r="J410" s="160">
        <v>0</v>
      </c>
      <c r="K410" s="161" t="s">
        <v>380</v>
      </c>
      <c r="L410" s="160">
        <v>0</v>
      </c>
      <c r="M410" s="161" t="s">
        <v>380</v>
      </c>
      <c r="N410" s="160">
        <v>0</v>
      </c>
      <c r="O410" s="160">
        <v>0</v>
      </c>
      <c r="P410" s="160">
        <v>0</v>
      </c>
      <c r="Q410" s="161" t="s">
        <v>237</v>
      </c>
    </row>
    <row r="411" spans="2:17" x14ac:dyDescent="0.3">
      <c r="B411" s="188">
        <v>472132</v>
      </c>
      <c r="C411" s="158" t="s">
        <v>2187</v>
      </c>
      <c r="D411" s="160">
        <v>0</v>
      </c>
      <c r="E411" s="161" t="s">
        <v>237</v>
      </c>
      <c r="F411" s="160">
        <v>0</v>
      </c>
      <c r="G411" s="161" t="s">
        <v>380</v>
      </c>
      <c r="H411" s="161" t="s">
        <v>1760</v>
      </c>
      <c r="I411" s="161" t="s">
        <v>1761</v>
      </c>
      <c r="J411" s="160">
        <v>0</v>
      </c>
      <c r="K411" s="161" t="s">
        <v>380</v>
      </c>
      <c r="L411" s="160">
        <v>0</v>
      </c>
      <c r="M411" s="161" t="s">
        <v>380</v>
      </c>
      <c r="N411" s="160">
        <v>0</v>
      </c>
      <c r="O411" s="160">
        <v>0</v>
      </c>
      <c r="P411" s="160">
        <v>0</v>
      </c>
      <c r="Q411" s="161" t="s">
        <v>237</v>
      </c>
    </row>
    <row r="412" spans="2:17" x14ac:dyDescent="0.3">
      <c r="B412" s="188">
        <v>473708</v>
      </c>
      <c r="C412" s="158" t="s">
        <v>242</v>
      </c>
      <c r="D412" s="160">
        <v>0</v>
      </c>
      <c r="E412" s="161" t="s">
        <v>237</v>
      </c>
      <c r="F412" s="160">
        <v>0</v>
      </c>
      <c r="G412" s="161" t="s">
        <v>380</v>
      </c>
      <c r="H412" s="161" t="s">
        <v>2738</v>
      </c>
      <c r="I412" s="161" t="s">
        <v>2740</v>
      </c>
      <c r="J412" s="160">
        <v>560000</v>
      </c>
      <c r="K412" s="161" t="s">
        <v>380</v>
      </c>
      <c r="L412" s="160">
        <v>496000</v>
      </c>
      <c r="M412" s="161" t="s">
        <v>380</v>
      </c>
      <c r="N412" s="160">
        <v>0</v>
      </c>
      <c r="O412" s="160">
        <v>9.66</v>
      </c>
      <c r="P412" s="160">
        <v>123147.13</v>
      </c>
      <c r="Q412" s="161" t="s">
        <v>237</v>
      </c>
    </row>
    <row r="413" spans="2:17" x14ac:dyDescent="0.3">
      <c r="B413" s="188">
        <v>473712</v>
      </c>
      <c r="C413" s="158" t="s">
        <v>1236</v>
      </c>
      <c r="D413" s="160">
        <v>7942.2</v>
      </c>
      <c r="E413" s="161" t="s">
        <v>237</v>
      </c>
      <c r="F413" s="160">
        <v>378200</v>
      </c>
      <c r="G413" s="161" t="s">
        <v>380</v>
      </c>
      <c r="H413" s="161" t="s">
        <v>2806</v>
      </c>
      <c r="I413" s="161" t="s">
        <v>2798</v>
      </c>
      <c r="J413" s="160">
        <v>760000</v>
      </c>
      <c r="K413" s="161" t="s">
        <v>380</v>
      </c>
      <c r="L413" s="160">
        <v>132000</v>
      </c>
      <c r="M413" s="161" t="s">
        <v>380</v>
      </c>
      <c r="N413" s="160">
        <v>55</v>
      </c>
      <c r="O413" s="160">
        <v>1</v>
      </c>
      <c r="P413" s="160">
        <v>13188</v>
      </c>
      <c r="Q413" s="161" t="s">
        <v>237</v>
      </c>
    </row>
    <row r="414" spans="2:17" x14ac:dyDescent="0.3">
      <c r="B414" s="188">
        <v>474380</v>
      </c>
      <c r="C414" s="158" t="s">
        <v>2188</v>
      </c>
      <c r="D414" s="160">
        <v>0</v>
      </c>
      <c r="E414" s="161" t="s">
        <v>237</v>
      </c>
      <c r="F414" s="160">
        <v>0</v>
      </c>
      <c r="G414" s="161" t="s">
        <v>380</v>
      </c>
      <c r="H414" s="161" t="s">
        <v>1744</v>
      </c>
      <c r="I414" s="161" t="s">
        <v>1744</v>
      </c>
      <c r="J414" s="160">
        <v>0</v>
      </c>
      <c r="K414" s="161" t="s">
        <v>380</v>
      </c>
      <c r="L414" s="160">
        <v>0</v>
      </c>
      <c r="M414" s="161" t="s">
        <v>380</v>
      </c>
      <c r="N414" s="160">
        <v>0</v>
      </c>
      <c r="O414" s="160">
        <v>0</v>
      </c>
      <c r="P414" s="160">
        <v>0</v>
      </c>
      <c r="Q414" s="161" t="s">
        <v>237</v>
      </c>
    </row>
    <row r="415" spans="2:17" x14ac:dyDescent="0.3">
      <c r="B415" s="188">
        <v>474849</v>
      </c>
      <c r="C415" s="158" t="s">
        <v>2189</v>
      </c>
      <c r="D415" s="160">
        <v>0</v>
      </c>
      <c r="E415" s="161" t="s">
        <v>237</v>
      </c>
      <c r="F415" s="160">
        <v>0</v>
      </c>
      <c r="G415" s="161" t="s">
        <v>380</v>
      </c>
      <c r="H415" s="161" t="s">
        <v>2498</v>
      </c>
      <c r="I415" s="161" t="s">
        <v>2529</v>
      </c>
      <c r="J415" s="160">
        <v>0</v>
      </c>
      <c r="K415" s="161" t="s">
        <v>380</v>
      </c>
      <c r="L415" s="160">
        <v>0</v>
      </c>
      <c r="M415" s="161" t="s">
        <v>380</v>
      </c>
      <c r="N415" s="160">
        <v>0</v>
      </c>
      <c r="O415" s="160">
        <v>0</v>
      </c>
      <c r="P415" s="160">
        <v>0</v>
      </c>
      <c r="Q415" s="161" t="s">
        <v>237</v>
      </c>
    </row>
    <row r="416" spans="2:17" x14ac:dyDescent="0.3">
      <c r="B416" s="188">
        <v>475923</v>
      </c>
      <c r="C416" s="158" t="s">
        <v>292</v>
      </c>
      <c r="D416" s="160">
        <v>1382.72</v>
      </c>
      <c r="E416" s="161" t="s">
        <v>237</v>
      </c>
      <c r="F416" s="160">
        <v>26.116</v>
      </c>
      <c r="G416" s="161" t="s">
        <v>374</v>
      </c>
      <c r="H416" s="161" t="s">
        <v>2815</v>
      </c>
      <c r="I416" s="161" t="s">
        <v>2815</v>
      </c>
      <c r="J416" s="160">
        <v>12.38</v>
      </c>
      <c r="K416" s="161" t="s">
        <v>374</v>
      </c>
      <c r="L416" s="160">
        <v>7.6740000000000004</v>
      </c>
      <c r="M416" s="161" t="s">
        <v>374</v>
      </c>
      <c r="N416" s="160">
        <v>511</v>
      </c>
      <c r="O416" s="160">
        <v>0.17</v>
      </c>
      <c r="P416" s="160">
        <v>249.16</v>
      </c>
      <c r="Q416" s="161" t="s">
        <v>237</v>
      </c>
    </row>
    <row r="417" spans="2:17" x14ac:dyDescent="0.3">
      <c r="B417" s="188">
        <v>475924</v>
      </c>
      <c r="C417" s="158" t="s">
        <v>2190</v>
      </c>
      <c r="D417" s="160">
        <v>0</v>
      </c>
      <c r="E417" s="161" t="s">
        <v>237</v>
      </c>
      <c r="F417" s="160">
        <v>0</v>
      </c>
      <c r="G417" s="161" t="s">
        <v>374</v>
      </c>
      <c r="H417" s="161" t="s">
        <v>1478</v>
      </c>
      <c r="I417" s="161" t="s">
        <v>1661</v>
      </c>
      <c r="J417" s="160">
        <v>0</v>
      </c>
      <c r="K417" s="161" t="s">
        <v>374</v>
      </c>
      <c r="L417" s="160">
        <v>0</v>
      </c>
      <c r="M417" s="161" t="s">
        <v>374</v>
      </c>
      <c r="N417" s="160">
        <v>0</v>
      </c>
      <c r="O417" s="160">
        <v>0</v>
      </c>
      <c r="P417" s="160">
        <v>0</v>
      </c>
      <c r="Q417" s="161" t="s">
        <v>237</v>
      </c>
    </row>
    <row r="418" spans="2:17" x14ac:dyDescent="0.3">
      <c r="B418" s="188">
        <v>476105</v>
      </c>
      <c r="C418" s="158" t="s">
        <v>2191</v>
      </c>
      <c r="D418" s="160">
        <v>0</v>
      </c>
      <c r="E418" s="161" t="s">
        <v>237</v>
      </c>
      <c r="F418" s="160">
        <v>0</v>
      </c>
      <c r="G418" s="161" t="s">
        <v>380</v>
      </c>
      <c r="H418" s="161" t="s">
        <v>1762</v>
      </c>
      <c r="I418" s="161" t="s">
        <v>1556</v>
      </c>
      <c r="J418" s="160">
        <v>0</v>
      </c>
      <c r="K418" s="161" t="s">
        <v>380</v>
      </c>
      <c r="L418" s="160">
        <v>0</v>
      </c>
      <c r="M418" s="161" t="s">
        <v>380</v>
      </c>
      <c r="N418" s="160">
        <v>0</v>
      </c>
      <c r="O418" s="160">
        <v>0</v>
      </c>
      <c r="P418" s="160">
        <v>0</v>
      </c>
      <c r="Q418" s="161" t="s">
        <v>237</v>
      </c>
    </row>
    <row r="419" spans="2:17" x14ac:dyDescent="0.3">
      <c r="B419" s="188">
        <v>476794</v>
      </c>
      <c r="C419" s="158" t="s">
        <v>136</v>
      </c>
      <c r="D419" s="160">
        <v>3970.55</v>
      </c>
      <c r="E419" s="161" t="s">
        <v>237</v>
      </c>
      <c r="F419" s="160">
        <v>30240</v>
      </c>
      <c r="G419" s="161" t="s">
        <v>380</v>
      </c>
      <c r="H419" s="161" t="s">
        <v>2744</v>
      </c>
      <c r="I419" s="161" t="s">
        <v>236</v>
      </c>
      <c r="J419" s="160">
        <v>30240</v>
      </c>
      <c r="K419" s="161" t="s">
        <v>380</v>
      </c>
      <c r="L419" s="160">
        <v>60480</v>
      </c>
      <c r="M419" s="161" t="s">
        <v>380</v>
      </c>
      <c r="N419" s="160">
        <v>92</v>
      </c>
      <c r="O419" s="160">
        <v>1.71</v>
      </c>
      <c r="P419" s="160">
        <v>3970.56</v>
      </c>
      <c r="Q419" s="161" t="s">
        <v>237</v>
      </c>
    </row>
    <row r="420" spans="2:17" x14ac:dyDescent="0.3">
      <c r="B420" s="188">
        <v>477632</v>
      </c>
      <c r="C420" s="158" t="s">
        <v>1923</v>
      </c>
      <c r="D420" s="160">
        <v>39255.08</v>
      </c>
      <c r="E420" s="161" t="s">
        <v>237</v>
      </c>
      <c r="F420" s="160">
        <v>8197</v>
      </c>
      <c r="G420" s="161" t="s">
        <v>374</v>
      </c>
      <c r="H420" s="161" t="s">
        <v>2666</v>
      </c>
      <c r="I420" s="161" t="s">
        <v>2666</v>
      </c>
      <c r="J420" s="160">
        <v>0</v>
      </c>
      <c r="K420" s="161" t="s">
        <v>374</v>
      </c>
      <c r="L420" s="160">
        <v>0</v>
      </c>
      <c r="M420" s="161" t="s">
        <v>374</v>
      </c>
      <c r="N420" s="160">
        <v>99999</v>
      </c>
      <c r="O420" s="160">
        <v>0</v>
      </c>
      <c r="P420" s="160">
        <v>0</v>
      </c>
      <c r="Q420" s="161" t="s">
        <v>237</v>
      </c>
    </row>
    <row r="421" spans="2:17" x14ac:dyDescent="0.3">
      <c r="B421" s="188">
        <v>478170</v>
      </c>
      <c r="C421" s="158" t="s">
        <v>141</v>
      </c>
      <c r="D421" s="160">
        <v>2403.89</v>
      </c>
      <c r="E421" s="161" t="s">
        <v>237</v>
      </c>
      <c r="F421" s="160">
        <v>28.024999999999999</v>
      </c>
      <c r="G421" s="161" t="s">
        <v>374</v>
      </c>
      <c r="H421" s="161" t="s">
        <v>2748</v>
      </c>
      <c r="I421" s="161" t="s">
        <v>2748</v>
      </c>
      <c r="J421" s="160">
        <v>4.5110000000000001</v>
      </c>
      <c r="K421" s="161" t="s">
        <v>374</v>
      </c>
      <c r="L421" s="160">
        <v>4.5110000000000001</v>
      </c>
      <c r="M421" s="161" t="s">
        <v>374</v>
      </c>
      <c r="N421" s="160">
        <v>99999</v>
      </c>
      <c r="O421" s="160">
        <v>0</v>
      </c>
      <c r="P421" s="160">
        <v>0</v>
      </c>
      <c r="Q421" s="161" t="s">
        <v>237</v>
      </c>
    </row>
    <row r="422" spans="2:17" x14ac:dyDescent="0.3">
      <c r="B422" s="188">
        <v>478933</v>
      </c>
      <c r="C422" s="158" t="s">
        <v>2192</v>
      </c>
      <c r="D422" s="160">
        <v>2714.25</v>
      </c>
      <c r="E422" s="161" t="s">
        <v>237</v>
      </c>
      <c r="F422" s="160">
        <v>9000</v>
      </c>
      <c r="G422" s="161" t="s">
        <v>380</v>
      </c>
      <c r="H422" s="161" t="s">
        <v>2687</v>
      </c>
      <c r="I422" s="161" t="s">
        <v>2809</v>
      </c>
      <c r="J422" s="160">
        <v>1000</v>
      </c>
      <c r="K422" s="161" t="s">
        <v>380</v>
      </c>
      <c r="L422" s="160">
        <v>0</v>
      </c>
      <c r="M422" s="161" t="s">
        <v>380</v>
      </c>
      <c r="N422" s="160">
        <v>828</v>
      </c>
      <c r="O422" s="160">
        <v>0.1</v>
      </c>
      <c r="P422" s="160">
        <v>301.58</v>
      </c>
      <c r="Q422" s="161" t="s">
        <v>237</v>
      </c>
    </row>
    <row r="423" spans="2:17" x14ac:dyDescent="0.3">
      <c r="B423" s="188">
        <v>479882</v>
      </c>
      <c r="C423" s="158" t="s">
        <v>153</v>
      </c>
      <c r="D423" s="160">
        <v>0</v>
      </c>
      <c r="E423" s="161" t="s">
        <v>237</v>
      </c>
      <c r="F423" s="160">
        <v>0</v>
      </c>
      <c r="G423" s="161" t="s">
        <v>374</v>
      </c>
      <c r="H423" s="161" t="s">
        <v>1488</v>
      </c>
      <c r="I423" s="161" t="s">
        <v>2572</v>
      </c>
      <c r="J423" s="160">
        <v>0</v>
      </c>
      <c r="K423" s="161" t="s">
        <v>374</v>
      </c>
      <c r="L423" s="160">
        <v>0</v>
      </c>
      <c r="M423" s="161" t="s">
        <v>374</v>
      </c>
      <c r="N423" s="160">
        <v>0</v>
      </c>
      <c r="O423" s="160">
        <v>0</v>
      </c>
      <c r="P423" s="160">
        <v>0</v>
      </c>
      <c r="Q423" s="161" t="s">
        <v>237</v>
      </c>
    </row>
    <row r="424" spans="2:17" x14ac:dyDescent="0.3">
      <c r="B424" s="188">
        <v>480192</v>
      </c>
      <c r="C424" s="158" t="s">
        <v>2193</v>
      </c>
      <c r="D424" s="160">
        <v>0</v>
      </c>
      <c r="E424" s="161" t="s">
        <v>237</v>
      </c>
      <c r="F424" s="160">
        <v>0</v>
      </c>
      <c r="G424" s="161" t="s">
        <v>380</v>
      </c>
      <c r="H424" s="161" t="s">
        <v>2491</v>
      </c>
      <c r="I424" s="161" t="s">
        <v>2494</v>
      </c>
      <c r="J424" s="160">
        <v>0</v>
      </c>
      <c r="K424" s="161" t="s">
        <v>380</v>
      </c>
      <c r="L424" s="160">
        <v>0</v>
      </c>
      <c r="M424" s="161" t="s">
        <v>380</v>
      </c>
      <c r="N424" s="160">
        <v>0</v>
      </c>
      <c r="O424" s="160">
        <v>0</v>
      </c>
      <c r="P424" s="160">
        <v>0</v>
      </c>
      <c r="Q424" s="161" t="s">
        <v>237</v>
      </c>
    </row>
    <row r="425" spans="2:17" x14ac:dyDescent="0.3">
      <c r="B425" s="188">
        <v>480195</v>
      </c>
      <c r="C425" s="158" t="s">
        <v>2194</v>
      </c>
      <c r="D425" s="160">
        <v>0</v>
      </c>
      <c r="E425" s="161" t="s">
        <v>237</v>
      </c>
      <c r="F425" s="160">
        <v>0</v>
      </c>
      <c r="G425" s="161" t="s">
        <v>380</v>
      </c>
      <c r="H425" s="161" t="s">
        <v>1763</v>
      </c>
      <c r="I425" s="161" t="s">
        <v>1764</v>
      </c>
      <c r="J425" s="160">
        <v>0</v>
      </c>
      <c r="K425" s="161" t="s">
        <v>380</v>
      </c>
      <c r="L425" s="160">
        <v>0</v>
      </c>
      <c r="M425" s="161" t="s">
        <v>380</v>
      </c>
      <c r="N425" s="160">
        <v>0</v>
      </c>
      <c r="O425" s="160">
        <v>0</v>
      </c>
      <c r="P425" s="160">
        <v>0</v>
      </c>
      <c r="Q425" s="161" t="s">
        <v>237</v>
      </c>
    </row>
    <row r="426" spans="2:17" x14ac:dyDescent="0.3">
      <c r="B426" s="188">
        <v>480196</v>
      </c>
      <c r="C426" s="158" t="s">
        <v>2195</v>
      </c>
      <c r="D426" s="160">
        <v>0</v>
      </c>
      <c r="E426" s="161" t="s">
        <v>237</v>
      </c>
      <c r="F426" s="160">
        <v>0</v>
      </c>
      <c r="G426" s="161" t="s">
        <v>380</v>
      </c>
      <c r="H426" s="161" t="s">
        <v>1765</v>
      </c>
      <c r="I426" s="161" t="s">
        <v>1766</v>
      </c>
      <c r="J426" s="160">
        <v>0</v>
      </c>
      <c r="K426" s="161" t="s">
        <v>380</v>
      </c>
      <c r="L426" s="160">
        <v>0</v>
      </c>
      <c r="M426" s="161" t="s">
        <v>380</v>
      </c>
      <c r="N426" s="160">
        <v>0</v>
      </c>
      <c r="O426" s="160">
        <v>0</v>
      </c>
      <c r="P426" s="160">
        <v>0</v>
      </c>
      <c r="Q426" s="161" t="s">
        <v>237</v>
      </c>
    </row>
    <row r="427" spans="2:17" x14ac:dyDescent="0.3">
      <c r="B427" s="188">
        <v>480198</v>
      </c>
      <c r="C427" s="158" t="s">
        <v>2196</v>
      </c>
      <c r="D427" s="160">
        <v>0</v>
      </c>
      <c r="E427" s="161" t="s">
        <v>237</v>
      </c>
      <c r="F427" s="160">
        <v>0</v>
      </c>
      <c r="G427" s="161" t="s">
        <v>380</v>
      </c>
      <c r="H427" s="161" t="s">
        <v>1765</v>
      </c>
      <c r="I427" s="161" t="s">
        <v>1766</v>
      </c>
      <c r="J427" s="160">
        <v>0</v>
      </c>
      <c r="K427" s="161" t="s">
        <v>380</v>
      </c>
      <c r="L427" s="160">
        <v>0</v>
      </c>
      <c r="M427" s="161" t="s">
        <v>380</v>
      </c>
      <c r="N427" s="160">
        <v>0</v>
      </c>
      <c r="O427" s="160">
        <v>0</v>
      </c>
      <c r="P427" s="160">
        <v>0</v>
      </c>
      <c r="Q427" s="161" t="s">
        <v>237</v>
      </c>
    </row>
    <row r="428" spans="2:17" x14ac:dyDescent="0.3">
      <c r="B428" s="188">
        <v>480199</v>
      </c>
      <c r="C428" s="158" t="s">
        <v>2197</v>
      </c>
      <c r="D428" s="160">
        <v>0</v>
      </c>
      <c r="E428" s="161" t="s">
        <v>237</v>
      </c>
      <c r="F428" s="160">
        <v>0</v>
      </c>
      <c r="G428" s="161" t="s">
        <v>380</v>
      </c>
      <c r="H428" s="161" t="s">
        <v>1765</v>
      </c>
      <c r="I428" s="161" t="s">
        <v>1766</v>
      </c>
      <c r="J428" s="160">
        <v>0</v>
      </c>
      <c r="K428" s="161" t="s">
        <v>380</v>
      </c>
      <c r="L428" s="160">
        <v>0</v>
      </c>
      <c r="M428" s="161" t="s">
        <v>380</v>
      </c>
      <c r="N428" s="160">
        <v>0</v>
      </c>
      <c r="O428" s="160">
        <v>0</v>
      </c>
      <c r="P428" s="160">
        <v>0</v>
      </c>
      <c r="Q428" s="161" t="s">
        <v>237</v>
      </c>
    </row>
    <row r="429" spans="2:17" x14ac:dyDescent="0.3">
      <c r="B429" s="188">
        <v>480215</v>
      </c>
      <c r="C429" s="158" t="s">
        <v>146</v>
      </c>
      <c r="D429" s="160">
        <v>0</v>
      </c>
      <c r="E429" s="161" t="s">
        <v>237</v>
      </c>
      <c r="F429" s="160">
        <v>0</v>
      </c>
      <c r="G429" s="161" t="s">
        <v>374</v>
      </c>
      <c r="H429" s="161" t="s">
        <v>1480</v>
      </c>
      <c r="I429" s="161" t="s">
        <v>2572</v>
      </c>
      <c r="J429" s="160">
        <v>0</v>
      </c>
      <c r="K429" s="161" t="s">
        <v>374</v>
      </c>
      <c r="L429" s="160">
        <v>0</v>
      </c>
      <c r="M429" s="161" t="s">
        <v>374</v>
      </c>
      <c r="N429" s="160">
        <v>0</v>
      </c>
      <c r="O429" s="160">
        <v>0</v>
      </c>
      <c r="P429" s="160">
        <v>0</v>
      </c>
      <c r="Q429" s="161" t="s">
        <v>237</v>
      </c>
    </row>
    <row r="430" spans="2:17" x14ac:dyDescent="0.3">
      <c r="B430" s="188">
        <v>481769</v>
      </c>
      <c r="C430" s="158" t="s">
        <v>2198</v>
      </c>
      <c r="D430" s="160">
        <v>0</v>
      </c>
      <c r="E430" s="161" t="s">
        <v>237</v>
      </c>
      <c r="F430" s="160">
        <v>0</v>
      </c>
      <c r="G430" s="161" t="s">
        <v>380</v>
      </c>
      <c r="H430" s="161" t="s">
        <v>1767</v>
      </c>
      <c r="I430" s="161" t="s">
        <v>1768</v>
      </c>
      <c r="J430" s="160">
        <v>0</v>
      </c>
      <c r="K430" s="161" t="s">
        <v>380</v>
      </c>
      <c r="L430" s="160">
        <v>0</v>
      </c>
      <c r="M430" s="161" t="s">
        <v>380</v>
      </c>
      <c r="N430" s="160">
        <v>0</v>
      </c>
      <c r="O430" s="160">
        <v>0</v>
      </c>
      <c r="P430" s="160">
        <v>0</v>
      </c>
      <c r="Q430" s="161" t="s">
        <v>237</v>
      </c>
    </row>
    <row r="431" spans="2:17" x14ac:dyDescent="0.3">
      <c r="B431" s="188">
        <v>483356</v>
      </c>
      <c r="C431" s="158" t="s">
        <v>2199</v>
      </c>
      <c r="D431" s="160">
        <v>0</v>
      </c>
      <c r="E431" s="161" t="s">
        <v>237</v>
      </c>
      <c r="F431" s="160">
        <v>0</v>
      </c>
      <c r="G431" s="161" t="s">
        <v>380</v>
      </c>
      <c r="H431" s="161" t="s">
        <v>1769</v>
      </c>
      <c r="I431" s="161" t="s">
        <v>1769</v>
      </c>
      <c r="J431" s="160">
        <v>0</v>
      </c>
      <c r="K431" s="161" t="s">
        <v>380</v>
      </c>
      <c r="L431" s="160">
        <v>0</v>
      </c>
      <c r="M431" s="161" t="s">
        <v>380</v>
      </c>
      <c r="N431" s="160">
        <v>0</v>
      </c>
      <c r="O431" s="160">
        <v>0</v>
      </c>
      <c r="P431" s="160">
        <v>0</v>
      </c>
      <c r="Q431" s="161" t="s">
        <v>237</v>
      </c>
    </row>
    <row r="432" spans="2:17" x14ac:dyDescent="0.3">
      <c r="B432" s="188">
        <v>483357</v>
      </c>
      <c r="C432" s="158" t="s">
        <v>2200</v>
      </c>
      <c r="D432" s="160">
        <v>0</v>
      </c>
      <c r="E432" s="161" t="s">
        <v>237</v>
      </c>
      <c r="F432" s="160">
        <v>0</v>
      </c>
      <c r="G432" s="161" t="s">
        <v>380</v>
      </c>
      <c r="H432" s="161" t="s">
        <v>1770</v>
      </c>
      <c r="I432" s="161" t="s">
        <v>1771</v>
      </c>
      <c r="J432" s="160">
        <v>0</v>
      </c>
      <c r="K432" s="161" t="s">
        <v>380</v>
      </c>
      <c r="L432" s="160">
        <v>0</v>
      </c>
      <c r="M432" s="161" t="s">
        <v>380</v>
      </c>
      <c r="N432" s="160">
        <v>0</v>
      </c>
      <c r="O432" s="160">
        <v>0</v>
      </c>
      <c r="P432" s="160">
        <v>0</v>
      </c>
      <c r="Q432" s="161" t="s">
        <v>237</v>
      </c>
    </row>
    <row r="433" spans="2:17" x14ac:dyDescent="0.3">
      <c r="B433" s="188">
        <v>485939</v>
      </c>
      <c r="C433" s="158" t="s">
        <v>2201</v>
      </c>
      <c r="D433" s="160">
        <v>0</v>
      </c>
      <c r="E433" s="161" t="s">
        <v>237</v>
      </c>
      <c r="F433" s="160">
        <v>0</v>
      </c>
      <c r="G433" s="161" t="s">
        <v>380</v>
      </c>
      <c r="H433" s="161" t="s">
        <v>1698</v>
      </c>
      <c r="I433" s="161" t="s">
        <v>1643</v>
      </c>
      <c r="J433" s="160">
        <v>0</v>
      </c>
      <c r="K433" s="161" t="s">
        <v>380</v>
      </c>
      <c r="L433" s="160">
        <v>0</v>
      </c>
      <c r="M433" s="161" t="s">
        <v>380</v>
      </c>
      <c r="N433" s="160">
        <v>0</v>
      </c>
      <c r="O433" s="160">
        <v>0</v>
      </c>
      <c r="P433" s="160">
        <v>0</v>
      </c>
      <c r="Q433" s="161" t="s">
        <v>237</v>
      </c>
    </row>
    <row r="434" spans="2:17" x14ac:dyDescent="0.3">
      <c r="B434" s="188">
        <v>485964</v>
      </c>
      <c r="C434" s="158" t="s">
        <v>2202</v>
      </c>
      <c r="D434" s="160">
        <v>0</v>
      </c>
      <c r="E434" s="161" t="s">
        <v>237</v>
      </c>
      <c r="F434" s="160">
        <v>0</v>
      </c>
      <c r="G434" s="161" t="s">
        <v>380</v>
      </c>
      <c r="H434" s="161" t="s">
        <v>1772</v>
      </c>
      <c r="I434" s="161" t="s">
        <v>1670</v>
      </c>
      <c r="J434" s="160">
        <v>0</v>
      </c>
      <c r="K434" s="161" t="s">
        <v>380</v>
      </c>
      <c r="L434" s="160">
        <v>0</v>
      </c>
      <c r="M434" s="161" t="s">
        <v>380</v>
      </c>
      <c r="N434" s="160">
        <v>0</v>
      </c>
      <c r="O434" s="160">
        <v>0</v>
      </c>
      <c r="P434" s="160">
        <v>0</v>
      </c>
      <c r="Q434" s="161" t="s">
        <v>237</v>
      </c>
    </row>
    <row r="435" spans="2:17" x14ac:dyDescent="0.3">
      <c r="B435" s="188">
        <v>486135</v>
      </c>
      <c r="C435" s="158" t="s">
        <v>2203</v>
      </c>
      <c r="D435" s="160">
        <v>0</v>
      </c>
      <c r="E435" s="161" t="s">
        <v>237</v>
      </c>
      <c r="F435" s="160">
        <v>0</v>
      </c>
      <c r="G435" s="161" t="s">
        <v>380</v>
      </c>
      <c r="H435" s="161" t="s">
        <v>1765</v>
      </c>
      <c r="I435" s="161" t="s">
        <v>1764</v>
      </c>
      <c r="J435" s="160">
        <v>0</v>
      </c>
      <c r="K435" s="161" t="s">
        <v>380</v>
      </c>
      <c r="L435" s="160">
        <v>0</v>
      </c>
      <c r="M435" s="161" t="s">
        <v>380</v>
      </c>
      <c r="N435" s="160">
        <v>0</v>
      </c>
      <c r="O435" s="160">
        <v>0</v>
      </c>
      <c r="P435" s="160">
        <v>0</v>
      </c>
      <c r="Q435" s="161" t="s">
        <v>237</v>
      </c>
    </row>
    <row r="436" spans="2:17" x14ac:dyDescent="0.3">
      <c r="B436" s="188">
        <v>486568</v>
      </c>
      <c r="C436" s="158" t="s">
        <v>2204</v>
      </c>
      <c r="D436" s="160">
        <v>0</v>
      </c>
      <c r="E436" s="161" t="s">
        <v>237</v>
      </c>
      <c r="F436" s="160">
        <v>0</v>
      </c>
      <c r="G436" s="161" t="s">
        <v>380</v>
      </c>
      <c r="H436" s="161" t="s">
        <v>1773</v>
      </c>
      <c r="I436" s="161" t="s">
        <v>1773</v>
      </c>
      <c r="J436" s="160">
        <v>0</v>
      </c>
      <c r="K436" s="161" t="s">
        <v>380</v>
      </c>
      <c r="L436" s="160">
        <v>0</v>
      </c>
      <c r="M436" s="161" t="s">
        <v>380</v>
      </c>
      <c r="N436" s="160">
        <v>0</v>
      </c>
      <c r="O436" s="160">
        <v>0</v>
      </c>
      <c r="P436" s="160">
        <v>0</v>
      </c>
      <c r="Q436" s="161" t="s">
        <v>237</v>
      </c>
    </row>
    <row r="437" spans="2:17" x14ac:dyDescent="0.3">
      <c r="B437" s="188">
        <v>486895</v>
      </c>
      <c r="C437" s="158" t="s">
        <v>1534</v>
      </c>
      <c r="D437" s="160">
        <v>0</v>
      </c>
      <c r="E437" s="161" t="s">
        <v>237</v>
      </c>
      <c r="F437" s="160">
        <v>0</v>
      </c>
      <c r="G437" s="161" t="s">
        <v>380</v>
      </c>
      <c r="H437" s="161" t="s">
        <v>2548</v>
      </c>
      <c r="I437" s="161" t="s">
        <v>2548</v>
      </c>
      <c r="J437" s="160">
        <v>0</v>
      </c>
      <c r="K437" s="161" t="s">
        <v>380</v>
      </c>
      <c r="L437" s="160">
        <v>0</v>
      </c>
      <c r="M437" s="161" t="s">
        <v>380</v>
      </c>
      <c r="N437" s="160">
        <v>0</v>
      </c>
      <c r="O437" s="160">
        <v>0</v>
      </c>
      <c r="P437" s="160">
        <v>0</v>
      </c>
      <c r="Q437" s="161" t="s">
        <v>237</v>
      </c>
    </row>
    <row r="438" spans="2:17" x14ac:dyDescent="0.3">
      <c r="B438" s="188">
        <v>486896</v>
      </c>
      <c r="C438" s="158" t="s">
        <v>1191</v>
      </c>
      <c r="D438" s="160">
        <v>1680</v>
      </c>
      <c r="E438" s="161" t="s">
        <v>237</v>
      </c>
      <c r="F438" s="160">
        <v>4800</v>
      </c>
      <c r="G438" s="161" t="s">
        <v>380</v>
      </c>
      <c r="H438" s="161" t="s">
        <v>2556</v>
      </c>
      <c r="I438" s="161" t="s">
        <v>2551</v>
      </c>
      <c r="J438" s="160">
        <v>0</v>
      </c>
      <c r="K438" s="161" t="s">
        <v>380</v>
      </c>
      <c r="L438" s="160">
        <v>0</v>
      </c>
      <c r="M438" s="161" t="s">
        <v>380</v>
      </c>
      <c r="N438" s="160">
        <v>99999</v>
      </c>
      <c r="O438" s="160">
        <v>0</v>
      </c>
      <c r="P438" s="160">
        <v>0</v>
      </c>
      <c r="Q438" s="161" t="s">
        <v>237</v>
      </c>
    </row>
    <row r="439" spans="2:17" x14ac:dyDescent="0.3">
      <c r="B439" s="188">
        <v>487444</v>
      </c>
      <c r="C439" s="158" t="s">
        <v>2205</v>
      </c>
      <c r="D439" s="160">
        <v>0</v>
      </c>
      <c r="E439" s="161" t="s">
        <v>237</v>
      </c>
      <c r="F439" s="160">
        <v>0</v>
      </c>
      <c r="G439" s="161" t="s">
        <v>380</v>
      </c>
      <c r="H439" s="161" t="s">
        <v>1774</v>
      </c>
      <c r="I439" s="161" t="s">
        <v>1774</v>
      </c>
      <c r="J439" s="160">
        <v>0</v>
      </c>
      <c r="K439" s="161" t="s">
        <v>380</v>
      </c>
      <c r="L439" s="160">
        <v>0</v>
      </c>
      <c r="M439" s="161" t="s">
        <v>380</v>
      </c>
      <c r="N439" s="160">
        <v>0</v>
      </c>
      <c r="O439" s="160">
        <v>0</v>
      </c>
      <c r="P439" s="160">
        <v>0</v>
      </c>
      <c r="Q439" s="161" t="s">
        <v>237</v>
      </c>
    </row>
    <row r="440" spans="2:17" x14ac:dyDescent="0.3">
      <c r="B440" s="188">
        <v>487447</v>
      </c>
      <c r="C440" s="158" t="s">
        <v>2206</v>
      </c>
      <c r="D440" s="160">
        <v>0</v>
      </c>
      <c r="E440" s="161" t="s">
        <v>237</v>
      </c>
      <c r="F440" s="160">
        <v>0</v>
      </c>
      <c r="G440" s="161" t="s">
        <v>380</v>
      </c>
      <c r="H440" s="161" t="s">
        <v>1653</v>
      </c>
      <c r="I440" s="161" t="s">
        <v>1653</v>
      </c>
      <c r="J440" s="160">
        <v>0</v>
      </c>
      <c r="K440" s="161" t="s">
        <v>380</v>
      </c>
      <c r="L440" s="160">
        <v>0</v>
      </c>
      <c r="M440" s="161" t="s">
        <v>380</v>
      </c>
      <c r="N440" s="160">
        <v>0</v>
      </c>
      <c r="O440" s="160">
        <v>0</v>
      </c>
      <c r="P440" s="160">
        <v>0</v>
      </c>
      <c r="Q440" s="161" t="s">
        <v>237</v>
      </c>
    </row>
    <row r="441" spans="2:17" x14ac:dyDescent="0.3">
      <c r="B441" s="188">
        <v>487451</v>
      </c>
      <c r="C441" s="158" t="s">
        <v>2207</v>
      </c>
      <c r="D441" s="160">
        <v>0</v>
      </c>
      <c r="E441" s="161" t="s">
        <v>237</v>
      </c>
      <c r="F441" s="160">
        <v>0</v>
      </c>
      <c r="G441" s="161" t="s">
        <v>380</v>
      </c>
      <c r="H441" s="161" t="s">
        <v>1775</v>
      </c>
      <c r="I441" s="161" t="s">
        <v>1775</v>
      </c>
      <c r="J441" s="160">
        <v>0</v>
      </c>
      <c r="K441" s="161" t="s">
        <v>380</v>
      </c>
      <c r="L441" s="160">
        <v>0</v>
      </c>
      <c r="M441" s="161" t="s">
        <v>380</v>
      </c>
      <c r="N441" s="160">
        <v>0</v>
      </c>
      <c r="O441" s="160">
        <v>0</v>
      </c>
      <c r="P441" s="160">
        <v>0</v>
      </c>
      <c r="Q441" s="161" t="s">
        <v>237</v>
      </c>
    </row>
    <row r="442" spans="2:17" x14ac:dyDescent="0.3">
      <c r="B442" s="188">
        <v>487472</v>
      </c>
      <c r="C442" s="158" t="s">
        <v>2208</v>
      </c>
      <c r="D442" s="160">
        <v>0</v>
      </c>
      <c r="E442" s="161" t="s">
        <v>237</v>
      </c>
      <c r="F442" s="160">
        <v>0</v>
      </c>
      <c r="G442" s="161" t="s">
        <v>380</v>
      </c>
      <c r="H442" s="161" t="s">
        <v>1669</v>
      </c>
      <c r="I442" s="161" t="s">
        <v>1776</v>
      </c>
      <c r="J442" s="160">
        <v>0</v>
      </c>
      <c r="K442" s="161" t="s">
        <v>380</v>
      </c>
      <c r="L442" s="160">
        <v>0</v>
      </c>
      <c r="M442" s="161" t="s">
        <v>380</v>
      </c>
      <c r="N442" s="160">
        <v>0</v>
      </c>
      <c r="O442" s="160">
        <v>0</v>
      </c>
      <c r="P442" s="160">
        <v>0</v>
      </c>
      <c r="Q442" s="161" t="s">
        <v>237</v>
      </c>
    </row>
    <row r="443" spans="2:17" x14ac:dyDescent="0.3">
      <c r="B443" s="188">
        <v>487473</v>
      </c>
      <c r="C443" s="158" t="s">
        <v>2209</v>
      </c>
      <c r="D443" s="160">
        <v>0</v>
      </c>
      <c r="E443" s="161" t="s">
        <v>237</v>
      </c>
      <c r="F443" s="160">
        <v>0</v>
      </c>
      <c r="G443" s="161" t="s">
        <v>380</v>
      </c>
      <c r="H443" s="161" t="s">
        <v>1683</v>
      </c>
      <c r="I443" s="161" t="s">
        <v>1473</v>
      </c>
      <c r="J443" s="160">
        <v>0</v>
      </c>
      <c r="K443" s="161" t="s">
        <v>380</v>
      </c>
      <c r="L443" s="160">
        <v>0</v>
      </c>
      <c r="M443" s="161" t="s">
        <v>380</v>
      </c>
      <c r="N443" s="160">
        <v>0</v>
      </c>
      <c r="O443" s="160">
        <v>0</v>
      </c>
      <c r="P443" s="160">
        <v>0</v>
      </c>
      <c r="Q443" s="161" t="s">
        <v>237</v>
      </c>
    </row>
    <row r="444" spans="2:17" x14ac:dyDescent="0.3">
      <c r="B444" s="188">
        <v>487474</v>
      </c>
      <c r="C444" s="158" t="s">
        <v>2210</v>
      </c>
      <c r="D444" s="160">
        <v>0</v>
      </c>
      <c r="E444" s="161" t="s">
        <v>237</v>
      </c>
      <c r="F444" s="160">
        <v>0</v>
      </c>
      <c r="G444" s="161" t="s">
        <v>380</v>
      </c>
      <c r="H444" s="161" t="s">
        <v>1689</v>
      </c>
      <c r="I444" s="161" t="s">
        <v>1689</v>
      </c>
      <c r="J444" s="160">
        <v>0</v>
      </c>
      <c r="K444" s="161" t="s">
        <v>380</v>
      </c>
      <c r="L444" s="160">
        <v>0</v>
      </c>
      <c r="M444" s="161" t="s">
        <v>380</v>
      </c>
      <c r="N444" s="160">
        <v>0</v>
      </c>
      <c r="O444" s="160">
        <v>0</v>
      </c>
      <c r="P444" s="160">
        <v>0</v>
      </c>
      <c r="Q444" s="161" t="s">
        <v>237</v>
      </c>
    </row>
    <row r="445" spans="2:17" x14ac:dyDescent="0.3">
      <c r="B445" s="188">
        <v>488889</v>
      </c>
      <c r="C445" s="158" t="s">
        <v>2211</v>
      </c>
      <c r="D445" s="160">
        <v>0</v>
      </c>
      <c r="E445" s="161" t="s">
        <v>237</v>
      </c>
      <c r="F445" s="160">
        <v>0</v>
      </c>
      <c r="G445" s="161" t="s">
        <v>374</v>
      </c>
      <c r="H445" s="161" t="s">
        <v>1777</v>
      </c>
      <c r="I445" s="161" t="s">
        <v>1556</v>
      </c>
      <c r="J445" s="160">
        <v>0</v>
      </c>
      <c r="K445" s="161" t="s">
        <v>374</v>
      </c>
      <c r="L445" s="160">
        <v>0</v>
      </c>
      <c r="M445" s="161" t="s">
        <v>374</v>
      </c>
      <c r="N445" s="160">
        <v>0</v>
      </c>
      <c r="O445" s="160">
        <v>0</v>
      </c>
      <c r="P445" s="160">
        <v>0</v>
      </c>
      <c r="Q445" s="161" t="s">
        <v>237</v>
      </c>
    </row>
    <row r="446" spans="2:17" x14ac:dyDescent="0.3">
      <c r="B446" s="188">
        <v>488982</v>
      </c>
      <c r="C446" s="158" t="s">
        <v>2212</v>
      </c>
      <c r="D446" s="160">
        <v>0</v>
      </c>
      <c r="E446" s="161" t="s">
        <v>237</v>
      </c>
      <c r="F446" s="160">
        <v>0</v>
      </c>
      <c r="G446" s="161" t="s">
        <v>374</v>
      </c>
      <c r="H446" s="161" t="s">
        <v>1778</v>
      </c>
      <c r="I446" s="161" t="s">
        <v>1599</v>
      </c>
      <c r="J446" s="160">
        <v>0</v>
      </c>
      <c r="K446" s="161" t="s">
        <v>374</v>
      </c>
      <c r="L446" s="160">
        <v>0</v>
      </c>
      <c r="M446" s="161" t="s">
        <v>374</v>
      </c>
      <c r="N446" s="160">
        <v>0</v>
      </c>
      <c r="O446" s="160">
        <v>0</v>
      </c>
      <c r="P446" s="160">
        <v>0</v>
      </c>
      <c r="Q446" s="161" t="s">
        <v>237</v>
      </c>
    </row>
    <row r="447" spans="2:17" x14ac:dyDescent="0.3">
      <c r="B447" s="188">
        <v>488984</v>
      </c>
      <c r="C447" s="158" t="s">
        <v>227</v>
      </c>
      <c r="D447" s="160">
        <v>0</v>
      </c>
      <c r="E447" s="161" t="s">
        <v>237</v>
      </c>
      <c r="F447" s="160">
        <v>0</v>
      </c>
      <c r="G447" s="161" t="s">
        <v>374</v>
      </c>
      <c r="H447" s="161" t="s">
        <v>1482</v>
      </c>
      <c r="I447" s="161" t="s">
        <v>2572</v>
      </c>
      <c r="J447" s="160">
        <v>0</v>
      </c>
      <c r="K447" s="161" t="s">
        <v>374</v>
      </c>
      <c r="L447" s="160">
        <v>0</v>
      </c>
      <c r="M447" s="161" t="s">
        <v>374</v>
      </c>
      <c r="N447" s="160">
        <v>0</v>
      </c>
      <c r="O447" s="160">
        <v>0</v>
      </c>
      <c r="P447" s="160">
        <v>0</v>
      </c>
      <c r="Q447" s="161" t="s">
        <v>237</v>
      </c>
    </row>
    <row r="448" spans="2:17" x14ac:dyDescent="0.3">
      <c r="B448" s="188">
        <v>489199</v>
      </c>
      <c r="C448" s="158" t="s">
        <v>1170</v>
      </c>
      <c r="D448" s="160">
        <v>0</v>
      </c>
      <c r="E448" s="161" t="s">
        <v>237</v>
      </c>
      <c r="F448" s="160">
        <v>4720</v>
      </c>
      <c r="G448" s="161" t="s">
        <v>380</v>
      </c>
      <c r="H448" s="161" t="s">
        <v>2554</v>
      </c>
      <c r="I448" s="161" t="s">
        <v>2553</v>
      </c>
      <c r="J448" s="160">
        <v>0</v>
      </c>
      <c r="K448" s="161" t="s">
        <v>380</v>
      </c>
      <c r="L448" s="160">
        <v>0</v>
      </c>
      <c r="M448" s="161" t="s">
        <v>380</v>
      </c>
      <c r="N448" s="160">
        <v>0</v>
      </c>
      <c r="O448" s="160">
        <v>0</v>
      </c>
      <c r="P448" s="160">
        <v>0</v>
      </c>
      <c r="Q448" s="161" t="s">
        <v>237</v>
      </c>
    </row>
    <row r="449" spans="2:17" x14ac:dyDescent="0.3">
      <c r="B449" s="188">
        <v>489200</v>
      </c>
      <c r="C449" s="158" t="s">
        <v>261</v>
      </c>
      <c r="D449" s="160">
        <v>0</v>
      </c>
      <c r="E449" s="161" t="s">
        <v>237</v>
      </c>
      <c r="F449" s="160">
        <v>0</v>
      </c>
      <c r="G449" s="161" t="s">
        <v>380</v>
      </c>
      <c r="H449" s="161" t="s">
        <v>1480</v>
      </c>
      <c r="I449" s="161" t="s">
        <v>2553</v>
      </c>
      <c r="J449" s="160">
        <v>0</v>
      </c>
      <c r="K449" s="161" t="s">
        <v>380</v>
      </c>
      <c r="L449" s="160">
        <v>0</v>
      </c>
      <c r="M449" s="161" t="s">
        <v>380</v>
      </c>
      <c r="N449" s="160">
        <v>0</v>
      </c>
      <c r="O449" s="160">
        <v>0</v>
      </c>
      <c r="P449" s="160">
        <v>0</v>
      </c>
      <c r="Q449" s="161" t="s">
        <v>237</v>
      </c>
    </row>
    <row r="450" spans="2:17" x14ac:dyDescent="0.3">
      <c r="B450" s="188">
        <v>489201</v>
      </c>
      <c r="C450" s="158" t="s">
        <v>1177</v>
      </c>
      <c r="D450" s="160">
        <v>0</v>
      </c>
      <c r="E450" s="161" t="s">
        <v>237</v>
      </c>
      <c r="F450" s="160">
        <v>1200</v>
      </c>
      <c r="G450" s="161" t="s">
        <v>380</v>
      </c>
      <c r="H450" s="161" t="s">
        <v>2537</v>
      </c>
      <c r="I450" s="161" t="s">
        <v>2549</v>
      </c>
      <c r="J450" s="160">
        <v>0</v>
      </c>
      <c r="K450" s="161" t="s">
        <v>380</v>
      </c>
      <c r="L450" s="160">
        <v>0</v>
      </c>
      <c r="M450" s="161" t="s">
        <v>380</v>
      </c>
      <c r="N450" s="160">
        <v>0</v>
      </c>
      <c r="O450" s="160">
        <v>0</v>
      </c>
      <c r="P450" s="160">
        <v>0</v>
      </c>
      <c r="Q450" s="161" t="s">
        <v>237</v>
      </c>
    </row>
    <row r="451" spans="2:17" x14ac:dyDescent="0.3">
      <c r="B451" s="188">
        <v>489210</v>
      </c>
      <c r="C451" s="158" t="s">
        <v>307</v>
      </c>
      <c r="D451" s="160">
        <v>0</v>
      </c>
      <c r="E451" s="161" t="s">
        <v>237</v>
      </c>
      <c r="F451" s="160">
        <v>0</v>
      </c>
      <c r="G451" s="161" t="s">
        <v>380</v>
      </c>
      <c r="H451" s="161" t="s">
        <v>1519</v>
      </c>
      <c r="I451" s="161" t="s">
        <v>2501</v>
      </c>
      <c r="J451" s="160">
        <v>0</v>
      </c>
      <c r="K451" s="161" t="s">
        <v>380</v>
      </c>
      <c r="L451" s="160">
        <v>0</v>
      </c>
      <c r="M451" s="161" t="s">
        <v>380</v>
      </c>
      <c r="N451" s="160">
        <v>0</v>
      </c>
      <c r="O451" s="160">
        <v>0</v>
      </c>
      <c r="P451" s="160">
        <v>0</v>
      </c>
      <c r="Q451" s="161" t="s">
        <v>237</v>
      </c>
    </row>
    <row r="452" spans="2:17" x14ac:dyDescent="0.3">
      <c r="B452" s="188">
        <v>489211</v>
      </c>
      <c r="C452" s="158" t="s">
        <v>334</v>
      </c>
      <c r="D452" s="160">
        <v>0</v>
      </c>
      <c r="E452" s="161" t="s">
        <v>237</v>
      </c>
      <c r="F452" s="160">
        <v>0</v>
      </c>
      <c r="G452" s="161" t="s">
        <v>380</v>
      </c>
      <c r="H452" s="161" t="s">
        <v>1480</v>
      </c>
      <c r="I452" s="161" t="s">
        <v>2501</v>
      </c>
      <c r="J452" s="160">
        <v>0</v>
      </c>
      <c r="K452" s="161" t="s">
        <v>380</v>
      </c>
      <c r="L452" s="160">
        <v>0</v>
      </c>
      <c r="M452" s="161" t="s">
        <v>380</v>
      </c>
      <c r="N452" s="160">
        <v>0</v>
      </c>
      <c r="O452" s="160">
        <v>0</v>
      </c>
      <c r="P452" s="160">
        <v>0</v>
      </c>
      <c r="Q452" s="161" t="s">
        <v>237</v>
      </c>
    </row>
    <row r="453" spans="2:17" x14ac:dyDescent="0.3">
      <c r="B453" s="188">
        <v>489212</v>
      </c>
      <c r="C453" s="158" t="s">
        <v>262</v>
      </c>
      <c r="D453" s="160">
        <v>0</v>
      </c>
      <c r="E453" s="161" t="s">
        <v>237</v>
      </c>
      <c r="F453" s="160">
        <v>6040</v>
      </c>
      <c r="G453" s="161" t="s">
        <v>380</v>
      </c>
      <c r="H453" s="161" t="s">
        <v>2625</v>
      </c>
      <c r="I453" s="161" t="s">
        <v>2553</v>
      </c>
      <c r="J453" s="160">
        <v>0</v>
      </c>
      <c r="K453" s="161" t="s">
        <v>380</v>
      </c>
      <c r="L453" s="160">
        <v>0</v>
      </c>
      <c r="M453" s="161" t="s">
        <v>380</v>
      </c>
      <c r="N453" s="160">
        <v>0</v>
      </c>
      <c r="O453" s="160">
        <v>0</v>
      </c>
      <c r="P453" s="160">
        <v>0</v>
      </c>
      <c r="Q453" s="161" t="s">
        <v>237</v>
      </c>
    </row>
    <row r="454" spans="2:17" x14ac:dyDescent="0.3">
      <c r="B454" s="188">
        <v>489213</v>
      </c>
      <c r="C454" s="158" t="s">
        <v>263</v>
      </c>
      <c r="D454" s="160">
        <v>0</v>
      </c>
      <c r="E454" s="161" t="s">
        <v>237</v>
      </c>
      <c r="F454" s="160">
        <v>0</v>
      </c>
      <c r="G454" s="161" t="s">
        <v>380</v>
      </c>
      <c r="H454" s="161" t="s">
        <v>1481</v>
      </c>
      <c r="I454" s="161" t="s">
        <v>2553</v>
      </c>
      <c r="J454" s="160">
        <v>0</v>
      </c>
      <c r="K454" s="161" t="s">
        <v>380</v>
      </c>
      <c r="L454" s="160">
        <v>0</v>
      </c>
      <c r="M454" s="161" t="s">
        <v>380</v>
      </c>
      <c r="N454" s="160">
        <v>0</v>
      </c>
      <c r="O454" s="160">
        <v>0</v>
      </c>
      <c r="P454" s="160">
        <v>0</v>
      </c>
      <c r="Q454" s="161" t="s">
        <v>237</v>
      </c>
    </row>
    <row r="455" spans="2:17" x14ac:dyDescent="0.3">
      <c r="B455" s="188">
        <v>489242</v>
      </c>
      <c r="C455" s="158" t="s">
        <v>264</v>
      </c>
      <c r="D455" s="160">
        <v>0</v>
      </c>
      <c r="E455" s="161" t="s">
        <v>237</v>
      </c>
      <c r="F455" s="160">
        <v>4200</v>
      </c>
      <c r="G455" s="161" t="s">
        <v>380</v>
      </c>
      <c r="H455" s="161" t="s">
        <v>2625</v>
      </c>
      <c r="I455" s="161" t="s">
        <v>2638</v>
      </c>
      <c r="J455" s="160">
        <v>0</v>
      </c>
      <c r="K455" s="161" t="s">
        <v>380</v>
      </c>
      <c r="L455" s="160">
        <v>0</v>
      </c>
      <c r="M455" s="161" t="s">
        <v>380</v>
      </c>
      <c r="N455" s="160">
        <v>0</v>
      </c>
      <c r="O455" s="160">
        <v>0</v>
      </c>
      <c r="P455" s="160">
        <v>0</v>
      </c>
      <c r="Q455" s="161" t="s">
        <v>237</v>
      </c>
    </row>
    <row r="456" spans="2:17" x14ac:dyDescent="0.3">
      <c r="B456" s="188">
        <v>489243</v>
      </c>
      <c r="C456" s="158" t="s">
        <v>327</v>
      </c>
      <c r="D456" s="160">
        <v>0</v>
      </c>
      <c r="E456" s="161" t="s">
        <v>237</v>
      </c>
      <c r="F456" s="160">
        <v>3900</v>
      </c>
      <c r="G456" s="161" t="s">
        <v>380</v>
      </c>
      <c r="H456" s="161" t="s">
        <v>2637</v>
      </c>
      <c r="I456" s="161" t="s">
        <v>2629</v>
      </c>
      <c r="J456" s="160">
        <v>0</v>
      </c>
      <c r="K456" s="161" t="s">
        <v>380</v>
      </c>
      <c r="L456" s="160">
        <v>0</v>
      </c>
      <c r="M456" s="161" t="s">
        <v>380</v>
      </c>
      <c r="N456" s="160">
        <v>0</v>
      </c>
      <c r="O456" s="160">
        <v>0</v>
      </c>
      <c r="P456" s="160">
        <v>0</v>
      </c>
      <c r="Q456" s="161" t="s">
        <v>237</v>
      </c>
    </row>
    <row r="457" spans="2:17" x14ac:dyDescent="0.3">
      <c r="B457" s="188">
        <v>489244</v>
      </c>
      <c r="C457" s="158" t="s">
        <v>318</v>
      </c>
      <c r="D457" s="160">
        <v>0</v>
      </c>
      <c r="E457" s="161" t="s">
        <v>237</v>
      </c>
      <c r="F457" s="160">
        <v>3400</v>
      </c>
      <c r="G457" s="161" t="s">
        <v>380</v>
      </c>
      <c r="H457" s="161" t="s">
        <v>2637</v>
      </c>
      <c r="I457" s="161" t="s">
        <v>2629</v>
      </c>
      <c r="J457" s="160">
        <v>0</v>
      </c>
      <c r="K457" s="161" t="s">
        <v>380</v>
      </c>
      <c r="L457" s="160">
        <v>0</v>
      </c>
      <c r="M457" s="161" t="s">
        <v>380</v>
      </c>
      <c r="N457" s="160">
        <v>0</v>
      </c>
      <c r="O457" s="160">
        <v>0</v>
      </c>
      <c r="P457" s="160">
        <v>0</v>
      </c>
      <c r="Q457" s="161" t="s">
        <v>237</v>
      </c>
    </row>
    <row r="458" spans="2:17" x14ac:dyDescent="0.3">
      <c r="B458" s="188">
        <v>489245</v>
      </c>
      <c r="C458" s="158" t="s">
        <v>1285</v>
      </c>
      <c r="D458" s="160">
        <v>0</v>
      </c>
      <c r="E458" s="161" t="s">
        <v>237</v>
      </c>
      <c r="F458" s="160">
        <v>2600</v>
      </c>
      <c r="G458" s="161" t="s">
        <v>380</v>
      </c>
      <c r="H458" s="161" t="s">
        <v>2637</v>
      </c>
      <c r="I458" s="161" t="s">
        <v>2644</v>
      </c>
      <c r="J458" s="160">
        <v>0</v>
      </c>
      <c r="K458" s="161" t="s">
        <v>380</v>
      </c>
      <c r="L458" s="160">
        <v>0</v>
      </c>
      <c r="M458" s="161" t="s">
        <v>380</v>
      </c>
      <c r="N458" s="160">
        <v>0</v>
      </c>
      <c r="O458" s="160">
        <v>0</v>
      </c>
      <c r="P458" s="160">
        <v>0</v>
      </c>
      <c r="Q458" s="161" t="s">
        <v>237</v>
      </c>
    </row>
    <row r="459" spans="2:17" x14ac:dyDescent="0.3">
      <c r="B459" s="188">
        <v>489247</v>
      </c>
      <c r="C459" s="158" t="s">
        <v>1535</v>
      </c>
      <c r="D459" s="160">
        <v>0</v>
      </c>
      <c r="E459" s="161" t="s">
        <v>237</v>
      </c>
      <c r="F459" s="160">
        <v>0</v>
      </c>
      <c r="G459" s="161" t="s">
        <v>380</v>
      </c>
      <c r="H459" s="161" t="s">
        <v>2547</v>
      </c>
      <c r="I459" s="161" t="s">
        <v>2554</v>
      </c>
      <c r="J459" s="160">
        <v>0</v>
      </c>
      <c r="K459" s="161" t="s">
        <v>380</v>
      </c>
      <c r="L459" s="160">
        <v>0</v>
      </c>
      <c r="M459" s="161" t="s">
        <v>380</v>
      </c>
      <c r="N459" s="160">
        <v>0</v>
      </c>
      <c r="O459" s="160">
        <v>0</v>
      </c>
      <c r="P459" s="160">
        <v>0</v>
      </c>
      <c r="Q459" s="161" t="s">
        <v>237</v>
      </c>
    </row>
    <row r="460" spans="2:17" x14ac:dyDescent="0.3">
      <c r="B460" s="188">
        <v>489249</v>
      </c>
      <c r="C460" s="158" t="s">
        <v>301</v>
      </c>
      <c r="D460" s="160">
        <v>0</v>
      </c>
      <c r="E460" s="161" t="s">
        <v>237</v>
      </c>
      <c r="F460" s="160">
        <v>0</v>
      </c>
      <c r="G460" s="161" t="s">
        <v>380</v>
      </c>
      <c r="H460" s="161" t="s">
        <v>1481</v>
      </c>
      <c r="I460" s="161" t="s">
        <v>2553</v>
      </c>
      <c r="J460" s="160">
        <v>0</v>
      </c>
      <c r="K460" s="161" t="s">
        <v>380</v>
      </c>
      <c r="L460" s="160">
        <v>0</v>
      </c>
      <c r="M460" s="161" t="s">
        <v>380</v>
      </c>
      <c r="N460" s="160">
        <v>0</v>
      </c>
      <c r="O460" s="160">
        <v>0</v>
      </c>
      <c r="P460" s="160">
        <v>0</v>
      </c>
      <c r="Q460" s="161" t="s">
        <v>237</v>
      </c>
    </row>
    <row r="461" spans="2:17" x14ac:dyDescent="0.3">
      <c r="B461" s="188">
        <v>489250</v>
      </c>
      <c r="C461" s="158" t="s">
        <v>265</v>
      </c>
      <c r="D461" s="160">
        <v>0</v>
      </c>
      <c r="E461" s="161" t="s">
        <v>237</v>
      </c>
      <c r="F461" s="160">
        <v>0</v>
      </c>
      <c r="G461" s="161" t="s">
        <v>380</v>
      </c>
      <c r="H461" s="161" t="s">
        <v>1464</v>
      </c>
      <c r="I461" s="161" t="s">
        <v>2553</v>
      </c>
      <c r="J461" s="160">
        <v>0</v>
      </c>
      <c r="K461" s="161" t="s">
        <v>380</v>
      </c>
      <c r="L461" s="160">
        <v>0</v>
      </c>
      <c r="M461" s="161" t="s">
        <v>380</v>
      </c>
      <c r="N461" s="160">
        <v>0</v>
      </c>
      <c r="O461" s="160">
        <v>0</v>
      </c>
      <c r="P461" s="160">
        <v>0</v>
      </c>
      <c r="Q461" s="161" t="s">
        <v>237</v>
      </c>
    </row>
    <row r="462" spans="2:17" x14ac:dyDescent="0.3">
      <c r="B462" s="188">
        <v>489251</v>
      </c>
      <c r="C462" s="158" t="s">
        <v>266</v>
      </c>
      <c r="D462" s="160">
        <v>0</v>
      </c>
      <c r="E462" s="161" t="s">
        <v>237</v>
      </c>
      <c r="F462" s="160">
        <v>0</v>
      </c>
      <c r="G462" s="161" t="s">
        <v>380</v>
      </c>
      <c r="H462" s="161" t="s">
        <v>1481</v>
      </c>
      <c r="I462" s="161" t="s">
        <v>2553</v>
      </c>
      <c r="J462" s="160">
        <v>0</v>
      </c>
      <c r="K462" s="161" t="s">
        <v>380</v>
      </c>
      <c r="L462" s="160">
        <v>0</v>
      </c>
      <c r="M462" s="161" t="s">
        <v>380</v>
      </c>
      <c r="N462" s="160">
        <v>0</v>
      </c>
      <c r="O462" s="160">
        <v>0</v>
      </c>
      <c r="P462" s="160">
        <v>0</v>
      </c>
      <c r="Q462" s="161" t="s">
        <v>237</v>
      </c>
    </row>
    <row r="463" spans="2:17" x14ac:dyDescent="0.3">
      <c r="B463" s="188">
        <v>489261</v>
      </c>
      <c r="C463" s="158" t="s">
        <v>267</v>
      </c>
      <c r="D463" s="160">
        <v>0</v>
      </c>
      <c r="E463" s="161" t="s">
        <v>237</v>
      </c>
      <c r="F463" s="160">
        <v>0</v>
      </c>
      <c r="G463" s="161" t="s">
        <v>380</v>
      </c>
      <c r="H463" s="161" t="s">
        <v>1481</v>
      </c>
      <c r="I463" s="161" t="s">
        <v>2501</v>
      </c>
      <c r="J463" s="160">
        <v>0</v>
      </c>
      <c r="K463" s="161" t="s">
        <v>380</v>
      </c>
      <c r="L463" s="160">
        <v>0</v>
      </c>
      <c r="M463" s="161" t="s">
        <v>380</v>
      </c>
      <c r="N463" s="160">
        <v>0</v>
      </c>
      <c r="O463" s="160">
        <v>0</v>
      </c>
      <c r="P463" s="160">
        <v>0</v>
      </c>
      <c r="Q463" s="161" t="s">
        <v>237</v>
      </c>
    </row>
    <row r="464" spans="2:17" x14ac:dyDescent="0.3">
      <c r="B464" s="188">
        <v>489262</v>
      </c>
      <c r="C464" s="158" t="s">
        <v>2213</v>
      </c>
      <c r="D464" s="160">
        <v>0</v>
      </c>
      <c r="E464" s="161" t="s">
        <v>237</v>
      </c>
      <c r="F464" s="160">
        <v>0</v>
      </c>
      <c r="G464" s="161" t="s">
        <v>380</v>
      </c>
      <c r="H464" s="161" t="s">
        <v>1779</v>
      </c>
      <c r="I464" s="161" t="s">
        <v>236</v>
      </c>
      <c r="J464" s="160">
        <v>0</v>
      </c>
      <c r="K464" s="161" t="s">
        <v>380</v>
      </c>
      <c r="L464" s="160">
        <v>0</v>
      </c>
      <c r="M464" s="161" t="s">
        <v>380</v>
      </c>
      <c r="N464" s="160">
        <v>0</v>
      </c>
      <c r="O464" s="160">
        <v>0</v>
      </c>
      <c r="P464" s="160">
        <v>0</v>
      </c>
      <c r="Q464" s="161" t="s">
        <v>237</v>
      </c>
    </row>
    <row r="465" spans="2:17" x14ac:dyDescent="0.3">
      <c r="B465" s="188">
        <v>490787</v>
      </c>
      <c r="C465" s="158" t="s">
        <v>2214</v>
      </c>
      <c r="D465" s="160">
        <v>0</v>
      </c>
      <c r="E465" s="161" t="s">
        <v>237</v>
      </c>
      <c r="F465" s="160">
        <v>0</v>
      </c>
      <c r="G465" s="161" t="s">
        <v>380</v>
      </c>
      <c r="H465" s="161" t="s">
        <v>1644</v>
      </c>
      <c r="I465" s="161" t="s">
        <v>1780</v>
      </c>
      <c r="J465" s="160">
        <v>0</v>
      </c>
      <c r="K465" s="161" t="s">
        <v>380</v>
      </c>
      <c r="L465" s="160">
        <v>0</v>
      </c>
      <c r="M465" s="161" t="s">
        <v>380</v>
      </c>
      <c r="N465" s="160">
        <v>0</v>
      </c>
      <c r="O465" s="160">
        <v>0</v>
      </c>
      <c r="P465" s="160">
        <v>0</v>
      </c>
      <c r="Q465" s="161" t="s">
        <v>237</v>
      </c>
    </row>
    <row r="466" spans="2:17" x14ac:dyDescent="0.3">
      <c r="B466" s="188">
        <v>490788</v>
      </c>
      <c r="C466" s="158" t="s">
        <v>2215</v>
      </c>
      <c r="D466" s="160">
        <v>0</v>
      </c>
      <c r="E466" s="161" t="s">
        <v>237</v>
      </c>
      <c r="F466" s="160">
        <v>0</v>
      </c>
      <c r="G466" s="161" t="s">
        <v>380</v>
      </c>
      <c r="H466" s="161" t="s">
        <v>1644</v>
      </c>
      <c r="I466" s="161" t="s">
        <v>1780</v>
      </c>
      <c r="J466" s="160">
        <v>0</v>
      </c>
      <c r="K466" s="161" t="s">
        <v>380</v>
      </c>
      <c r="L466" s="160">
        <v>0</v>
      </c>
      <c r="M466" s="161" t="s">
        <v>380</v>
      </c>
      <c r="N466" s="160">
        <v>0</v>
      </c>
      <c r="O466" s="160">
        <v>0</v>
      </c>
      <c r="P466" s="160">
        <v>0</v>
      </c>
      <c r="Q466" s="161" t="s">
        <v>237</v>
      </c>
    </row>
    <row r="467" spans="2:17" x14ac:dyDescent="0.3">
      <c r="B467" s="188">
        <v>490789</v>
      </c>
      <c r="C467" s="158" t="s">
        <v>2216</v>
      </c>
      <c r="D467" s="160">
        <v>0</v>
      </c>
      <c r="E467" s="161" t="s">
        <v>237</v>
      </c>
      <c r="F467" s="160">
        <v>0</v>
      </c>
      <c r="G467" s="161" t="s">
        <v>380</v>
      </c>
      <c r="H467" s="161" t="s">
        <v>1644</v>
      </c>
      <c r="I467" s="161" t="s">
        <v>1780</v>
      </c>
      <c r="J467" s="160">
        <v>0</v>
      </c>
      <c r="K467" s="161" t="s">
        <v>380</v>
      </c>
      <c r="L467" s="160">
        <v>0</v>
      </c>
      <c r="M467" s="161" t="s">
        <v>380</v>
      </c>
      <c r="N467" s="160">
        <v>0</v>
      </c>
      <c r="O467" s="160">
        <v>0</v>
      </c>
      <c r="P467" s="160">
        <v>0</v>
      </c>
      <c r="Q467" s="161" t="s">
        <v>237</v>
      </c>
    </row>
    <row r="468" spans="2:17" x14ac:dyDescent="0.3">
      <c r="B468" s="188">
        <v>490790</v>
      </c>
      <c r="C468" s="158" t="s">
        <v>2217</v>
      </c>
      <c r="D468" s="160">
        <v>0</v>
      </c>
      <c r="E468" s="161" t="s">
        <v>237</v>
      </c>
      <c r="F468" s="160">
        <v>0</v>
      </c>
      <c r="G468" s="161" t="s">
        <v>380</v>
      </c>
      <c r="H468" s="161" t="s">
        <v>1644</v>
      </c>
      <c r="I468" s="161" t="s">
        <v>1780</v>
      </c>
      <c r="J468" s="160">
        <v>0</v>
      </c>
      <c r="K468" s="161" t="s">
        <v>380</v>
      </c>
      <c r="L468" s="160">
        <v>0</v>
      </c>
      <c r="M468" s="161" t="s">
        <v>380</v>
      </c>
      <c r="N468" s="160">
        <v>0</v>
      </c>
      <c r="O468" s="160">
        <v>0</v>
      </c>
      <c r="P468" s="160">
        <v>0</v>
      </c>
      <c r="Q468" s="161" t="s">
        <v>237</v>
      </c>
    </row>
    <row r="469" spans="2:17" x14ac:dyDescent="0.3">
      <c r="B469" s="188">
        <v>490791</v>
      </c>
      <c r="C469" s="158" t="s">
        <v>2218</v>
      </c>
      <c r="D469" s="160">
        <v>0</v>
      </c>
      <c r="E469" s="161" t="s">
        <v>237</v>
      </c>
      <c r="F469" s="160">
        <v>0</v>
      </c>
      <c r="G469" s="161" t="s">
        <v>380</v>
      </c>
      <c r="H469" s="161" t="s">
        <v>1781</v>
      </c>
      <c r="I469" s="161" t="s">
        <v>1780</v>
      </c>
      <c r="J469" s="160">
        <v>0</v>
      </c>
      <c r="K469" s="161" t="s">
        <v>380</v>
      </c>
      <c r="L469" s="160">
        <v>0</v>
      </c>
      <c r="M469" s="161" t="s">
        <v>380</v>
      </c>
      <c r="N469" s="160">
        <v>0</v>
      </c>
      <c r="O469" s="160">
        <v>0</v>
      </c>
      <c r="P469" s="160">
        <v>0</v>
      </c>
      <c r="Q469" s="161" t="s">
        <v>237</v>
      </c>
    </row>
    <row r="470" spans="2:17" x14ac:dyDescent="0.3">
      <c r="B470" s="188">
        <v>491085</v>
      </c>
      <c r="C470" s="158" t="s">
        <v>2219</v>
      </c>
      <c r="D470" s="160">
        <v>0</v>
      </c>
      <c r="E470" s="161" t="s">
        <v>237</v>
      </c>
      <c r="F470" s="160">
        <v>0</v>
      </c>
      <c r="G470" s="161" t="s">
        <v>380</v>
      </c>
      <c r="H470" s="161" t="s">
        <v>1478</v>
      </c>
      <c r="I470" s="161" t="s">
        <v>1478</v>
      </c>
      <c r="J470" s="160">
        <v>0</v>
      </c>
      <c r="K470" s="161" t="s">
        <v>380</v>
      </c>
      <c r="L470" s="160">
        <v>0</v>
      </c>
      <c r="M470" s="161" t="s">
        <v>380</v>
      </c>
      <c r="N470" s="160">
        <v>0</v>
      </c>
      <c r="O470" s="160">
        <v>0</v>
      </c>
      <c r="P470" s="160">
        <v>0</v>
      </c>
      <c r="Q470" s="161" t="s">
        <v>237</v>
      </c>
    </row>
    <row r="471" spans="2:17" x14ac:dyDescent="0.3">
      <c r="B471" s="188">
        <v>491920</v>
      </c>
      <c r="C471" s="158" t="s">
        <v>2220</v>
      </c>
      <c r="D471" s="160">
        <v>0</v>
      </c>
      <c r="E471" s="161" t="s">
        <v>237</v>
      </c>
      <c r="F471" s="160">
        <v>0</v>
      </c>
      <c r="G471" s="161" t="s">
        <v>380</v>
      </c>
      <c r="H471" s="161" t="s">
        <v>1478</v>
      </c>
      <c r="I471" s="161" t="s">
        <v>1661</v>
      </c>
      <c r="J471" s="160">
        <v>0</v>
      </c>
      <c r="K471" s="161" t="s">
        <v>380</v>
      </c>
      <c r="L471" s="160">
        <v>0</v>
      </c>
      <c r="M471" s="161" t="s">
        <v>380</v>
      </c>
      <c r="N471" s="160">
        <v>0</v>
      </c>
      <c r="O471" s="160">
        <v>0</v>
      </c>
      <c r="P471" s="160">
        <v>0</v>
      </c>
      <c r="Q471" s="161" t="s">
        <v>237</v>
      </c>
    </row>
    <row r="472" spans="2:17" x14ac:dyDescent="0.3">
      <c r="B472" s="188">
        <v>491921</v>
      </c>
      <c r="C472" s="158" t="s">
        <v>2221</v>
      </c>
      <c r="D472" s="160">
        <v>0</v>
      </c>
      <c r="E472" s="161" t="s">
        <v>237</v>
      </c>
      <c r="F472" s="160">
        <v>0</v>
      </c>
      <c r="G472" s="161" t="s">
        <v>380</v>
      </c>
      <c r="H472" s="161" t="s">
        <v>1478</v>
      </c>
      <c r="I472" s="161" t="s">
        <v>1661</v>
      </c>
      <c r="J472" s="160">
        <v>0</v>
      </c>
      <c r="K472" s="161" t="s">
        <v>380</v>
      </c>
      <c r="L472" s="160">
        <v>0</v>
      </c>
      <c r="M472" s="161" t="s">
        <v>380</v>
      </c>
      <c r="N472" s="160">
        <v>0</v>
      </c>
      <c r="O472" s="160">
        <v>0</v>
      </c>
      <c r="P472" s="160">
        <v>0</v>
      </c>
      <c r="Q472" s="161" t="s">
        <v>237</v>
      </c>
    </row>
    <row r="473" spans="2:17" x14ac:dyDescent="0.3">
      <c r="B473" s="188">
        <v>492555</v>
      </c>
      <c r="C473" s="158" t="s">
        <v>142</v>
      </c>
      <c r="D473" s="160">
        <v>0</v>
      </c>
      <c r="E473" s="161" t="s">
        <v>237</v>
      </c>
      <c r="F473" s="160">
        <v>456</v>
      </c>
      <c r="G473" s="161" t="s">
        <v>380</v>
      </c>
      <c r="H473" s="161" t="s">
        <v>2801</v>
      </c>
      <c r="I473" s="161" t="s">
        <v>2801</v>
      </c>
      <c r="J473" s="160">
        <v>82</v>
      </c>
      <c r="K473" s="161" t="s">
        <v>380</v>
      </c>
      <c r="L473" s="160">
        <v>82</v>
      </c>
      <c r="M473" s="161" t="s">
        <v>380</v>
      </c>
      <c r="N473" s="160">
        <v>0</v>
      </c>
      <c r="O473" s="160">
        <v>0</v>
      </c>
      <c r="P473" s="160">
        <v>0</v>
      </c>
      <c r="Q473" s="161" t="s">
        <v>237</v>
      </c>
    </row>
    <row r="474" spans="2:17" x14ac:dyDescent="0.3">
      <c r="B474" s="188">
        <v>493995</v>
      </c>
      <c r="C474" s="158" t="s">
        <v>2222</v>
      </c>
      <c r="D474" s="160">
        <v>0</v>
      </c>
      <c r="E474" s="161" t="s">
        <v>237</v>
      </c>
      <c r="F474" s="160">
        <v>0</v>
      </c>
      <c r="G474" s="161" t="s">
        <v>380</v>
      </c>
      <c r="H474" s="161" t="s">
        <v>1517</v>
      </c>
      <c r="I474" s="161" t="s">
        <v>1782</v>
      </c>
      <c r="J474" s="160">
        <v>0</v>
      </c>
      <c r="K474" s="161" t="s">
        <v>380</v>
      </c>
      <c r="L474" s="160">
        <v>0</v>
      </c>
      <c r="M474" s="161" t="s">
        <v>380</v>
      </c>
      <c r="N474" s="160">
        <v>0</v>
      </c>
      <c r="O474" s="160">
        <v>0</v>
      </c>
      <c r="P474" s="160">
        <v>0</v>
      </c>
      <c r="Q474" s="161" t="s">
        <v>237</v>
      </c>
    </row>
    <row r="475" spans="2:17" x14ac:dyDescent="0.3">
      <c r="B475" s="188">
        <v>494015</v>
      </c>
      <c r="C475" s="158" t="s">
        <v>2223</v>
      </c>
      <c r="D475" s="160">
        <v>0</v>
      </c>
      <c r="E475" s="161" t="s">
        <v>237</v>
      </c>
      <c r="F475" s="160">
        <v>0</v>
      </c>
      <c r="G475" s="161" t="s">
        <v>380</v>
      </c>
      <c r="H475" s="161" t="s">
        <v>1478</v>
      </c>
      <c r="I475" s="161" t="s">
        <v>1478</v>
      </c>
      <c r="J475" s="160">
        <v>0</v>
      </c>
      <c r="K475" s="161" t="s">
        <v>380</v>
      </c>
      <c r="L475" s="160">
        <v>0</v>
      </c>
      <c r="M475" s="161" t="s">
        <v>380</v>
      </c>
      <c r="N475" s="160">
        <v>0</v>
      </c>
      <c r="O475" s="160">
        <v>0</v>
      </c>
      <c r="P475" s="160">
        <v>0</v>
      </c>
      <c r="Q475" s="161" t="s">
        <v>237</v>
      </c>
    </row>
    <row r="476" spans="2:17" x14ac:dyDescent="0.3">
      <c r="B476" s="188">
        <v>494018</v>
      </c>
      <c r="C476" s="158" t="s">
        <v>2224</v>
      </c>
      <c r="D476" s="160">
        <v>0</v>
      </c>
      <c r="E476" s="161" t="s">
        <v>237</v>
      </c>
      <c r="F476" s="160">
        <v>0</v>
      </c>
      <c r="G476" s="161" t="s">
        <v>380</v>
      </c>
      <c r="H476" s="161" t="s">
        <v>1783</v>
      </c>
      <c r="I476" s="161" t="s">
        <v>1783</v>
      </c>
      <c r="J476" s="160">
        <v>0</v>
      </c>
      <c r="K476" s="161" t="s">
        <v>380</v>
      </c>
      <c r="L476" s="160">
        <v>0</v>
      </c>
      <c r="M476" s="161" t="s">
        <v>380</v>
      </c>
      <c r="N476" s="160">
        <v>0</v>
      </c>
      <c r="O476" s="160">
        <v>0</v>
      </c>
      <c r="P476" s="160">
        <v>0</v>
      </c>
      <c r="Q476" s="161" t="s">
        <v>237</v>
      </c>
    </row>
    <row r="477" spans="2:17" x14ac:dyDescent="0.3">
      <c r="B477" s="188">
        <v>494019</v>
      </c>
      <c r="C477" s="158" t="s">
        <v>2225</v>
      </c>
      <c r="D477" s="160">
        <v>0</v>
      </c>
      <c r="E477" s="161" t="s">
        <v>237</v>
      </c>
      <c r="F477" s="160">
        <v>0</v>
      </c>
      <c r="G477" s="161" t="s">
        <v>380</v>
      </c>
      <c r="H477" s="161" t="s">
        <v>1478</v>
      </c>
      <c r="I477" s="161" t="s">
        <v>1661</v>
      </c>
      <c r="J477" s="160">
        <v>0</v>
      </c>
      <c r="K477" s="161" t="s">
        <v>380</v>
      </c>
      <c r="L477" s="160">
        <v>0</v>
      </c>
      <c r="M477" s="161" t="s">
        <v>380</v>
      </c>
      <c r="N477" s="160">
        <v>0</v>
      </c>
      <c r="O477" s="160">
        <v>0</v>
      </c>
      <c r="P477" s="160">
        <v>0</v>
      </c>
      <c r="Q477" s="161" t="s">
        <v>237</v>
      </c>
    </row>
    <row r="478" spans="2:17" x14ac:dyDescent="0.3">
      <c r="B478" s="188">
        <v>494020</v>
      </c>
      <c r="C478" s="158" t="s">
        <v>2226</v>
      </c>
      <c r="D478" s="160">
        <v>0</v>
      </c>
      <c r="E478" s="161" t="s">
        <v>237</v>
      </c>
      <c r="F478" s="160">
        <v>0</v>
      </c>
      <c r="G478" s="161" t="s">
        <v>380</v>
      </c>
      <c r="H478" s="161" t="s">
        <v>1783</v>
      </c>
      <c r="I478" s="161" t="s">
        <v>1783</v>
      </c>
      <c r="J478" s="160">
        <v>0</v>
      </c>
      <c r="K478" s="161" t="s">
        <v>380</v>
      </c>
      <c r="L478" s="160">
        <v>0</v>
      </c>
      <c r="M478" s="161" t="s">
        <v>380</v>
      </c>
      <c r="N478" s="160">
        <v>0</v>
      </c>
      <c r="O478" s="160">
        <v>0</v>
      </c>
      <c r="P478" s="160">
        <v>0</v>
      </c>
      <c r="Q478" s="161" t="s">
        <v>237</v>
      </c>
    </row>
    <row r="479" spans="2:17" x14ac:dyDescent="0.3">
      <c r="B479" s="188">
        <v>494021</v>
      </c>
      <c r="C479" s="158" t="s">
        <v>2227</v>
      </c>
      <c r="D479" s="160">
        <v>0</v>
      </c>
      <c r="E479" s="161" t="s">
        <v>237</v>
      </c>
      <c r="F479" s="160">
        <v>0</v>
      </c>
      <c r="G479" s="161" t="s">
        <v>380</v>
      </c>
      <c r="H479" s="161" t="s">
        <v>1478</v>
      </c>
      <c r="I479" s="161" t="s">
        <v>1478</v>
      </c>
      <c r="J479" s="160">
        <v>0</v>
      </c>
      <c r="K479" s="161" t="s">
        <v>380</v>
      </c>
      <c r="L479" s="160">
        <v>0</v>
      </c>
      <c r="M479" s="161" t="s">
        <v>380</v>
      </c>
      <c r="N479" s="160">
        <v>0</v>
      </c>
      <c r="O479" s="160">
        <v>0</v>
      </c>
      <c r="P479" s="160">
        <v>0</v>
      </c>
      <c r="Q479" s="161" t="s">
        <v>237</v>
      </c>
    </row>
    <row r="480" spans="2:17" x14ac:dyDescent="0.3">
      <c r="B480" s="188">
        <v>494371</v>
      </c>
      <c r="C480" s="158" t="s">
        <v>2228</v>
      </c>
      <c r="D480" s="160">
        <v>0</v>
      </c>
      <c r="E480" s="161" t="s">
        <v>237</v>
      </c>
      <c r="F480" s="160">
        <v>0</v>
      </c>
      <c r="G480" s="161" t="s">
        <v>380</v>
      </c>
      <c r="H480" s="161" t="s">
        <v>1517</v>
      </c>
      <c r="I480" s="161" t="s">
        <v>1759</v>
      </c>
      <c r="J480" s="160">
        <v>0</v>
      </c>
      <c r="K480" s="161" t="s">
        <v>380</v>
      </c>
      <c r="L480" s="160">
        <v>0</v>
      </c>
      <c r="M480" s="161" t="s">
        <v>380</v>
      </c>
      <c r="N480" s="160">
        <v>0</v>
      </c>
      <c r="O480" s="160">
        <v>0</v>
      </c>
      <c r="P480" s="160">
        <v>0</v>
      </c>
      <c r="Q480" s="161" t="s">
        <v>237</v>
      </c>
    </row>
    <row r="481" spans="2:17" x14ac:dyDescent="0.3">
      <c r="B481" s="188">
        <v>502881</v>
      </c>
      <c r="C481" s="158" t="s">
        <v>2229</v>
      </c>
      <c r="D481" s="160">
        <v>0</v>
      </c>
      <c r="E481" s="161" t="s">
        <v>237</v>
      </c>
      <c r="F481" s="160">
        <v>0</v>
      </c>
      <c r="G481" s="161" t="s">
        <v>380</v>
      </c>
      <c r="H481" s="161" t="s">
        <v>1671</v>
      </c>
      <c r="I481" s="161" t="s">
        <v>1784</v>
      </c>
      <c r="J481" s="160">
        <v>0</v>
      </c>
      <c r="K481" s="161" t="s">
        <v>380</v>
      </c>
      <c r="L481" s="160">
        <v>0</v>
      </c>
      <c r="M481" s="161" t="s">
        <v>380</v>
      </c>
      <c r="N481" s="160">
        <v>0</v>
      </c>
      <c r="O481" s="160">
        <v>0</v>
      </c>
      <c r="P481" s="160">
        <v>0</v>
      </c>
      <c r="Q481" s="161" t="s">
        <v>237</v>
      </c>
    </row>
    <row r="482" spans="2:17" x14ac:dyDescent="0.3">
      <c r="B482" s="188">
        <v>502907</v>
      </c>
      <c r="C482" s="158" t="s">
        <v>2230</v>
      </c>
      <c r="D482" s="160">
        <v>0</v>
      </c>
      <c r="E482" s="161" t="s">
        <v>237</v>
      </c>
      <c r="F482" s="160">
        <v>0</v>
      </c>
      <c r="G482" s="161" t="s">
        <v>380</v>
      </c>
      <c r="H482" s="161" t="s">
        <v>1785</v>
      </c>
      <c r="I482" s="161" t="s">
        <v>1785</v>
      </c>
      <c r="J482" s="160">
        <v>0</v>
      </c>
      <c r="K482" s="161" t="s">
        <v>380</v>
      </c>
      <c r="L482" s="160">
        <v>0</v>
      </c>
      <c r="M482" s="161" t="s">
        <v>380</v>
      </c>
      <c r="N482" s="160">
        <v>0</v>
      </c>
      <c r="O482" s="160">
        <v>0</v>
      </c>
      <c r="P482" s="160">
        <v>0</v>
      </c>
      <c r="Q482" s="161" t="s">
        <v>237</v>
      </c>
    </row>
    <row r="483" spans="2:17" x14ac:dyDescent="0.3">
      <c r="B483" s="188">
        <v>502963</v>
      </c>
      <c r="C483" s="158" t="s">
        <v>2231</v>
      </c>
      <c r="D483" s="160">
        <v>0</v>
      </c>
      <c r="E483" s="161" t="s">
        <v>237</v>
      </c>
      <c r="F483" s="160">
        <v>0</v>
      </c>
      <c r="G483" s="161" t="s">
        <v>380</v>
      </c>
      <c r="H483" s="161" t="s">
        <v>1699</v>
      </c>
      <c r="I483" s="161" t="s">
        <v>1786</v>
      </c>
      <c r="J483" s="160">
        <v>0</v>
      </c>
      <c r="K483" s="161" t="s">
        <v>380</v>
      </c>
      <c r="L483" s="160">
        <v>0</v>
      </c>
      <c r="M483" s="161" t="s">
        <v>380</v>
      </c>
      <c r="N483" s="160">
        <v>0</v>
      </c>
      <c r="O483" s="160">
        <v>0</v>
      </c>
      <c r="P483" s="160">
        <v>0</v>
      </c>
      <c r="Q483" s="161" t="s">
        <v>237</v>
      </c>
    </row>
    <row r="484" spans="2:17" x14ac:dyDescent="0.3">
      <c r="B484" s="188">
        <v>503660</v>
      </c>
      <c r="C484" s="158" t="s">
        <v>2232</v>
      </c>
      <c r="D484" s="160">
        <v>0</v>
      </c>
      <c r="E484" s="161" t="s">
        <v>237</v>
      </c>
      <c r="F484" s="160">
        <v>0</v>
      </c>
      <c r="G484" s="161" t="s">
        <v>380</v>
      </c>
      <c r="H484" s="161" t="s">
        <v>1721</v>
      </c>
      <c r="I484" s="161" t="s">
        <v>1721</v>
      </c>
      <c r="J484" s="160">
        <v>0</v>
      </c>
      <c r="K484" s="161" t="s">
        <v>380</v>
      </c>
      <c r="L484" s="160">
        <v>0</v>
      </c>
      <c r="M484" s="161" t="s">
        <v>380</v>
      </c>
      <c r="N484" s="160">
        <v>0</v>
      </c>
      <c r="O484" s="160">
        <v>0</v>
      </c>
      <c r="P484" s="160">
        <v>0</v>
      </c>
      <c r="Q484" s="161" t="s">
        <v>237</v>
      </c>
    </row>
    <row r="485" spans="2:17" x14ac:dyDescent="0.3">
      <c r="B485" s="188">
        <v>503816</v>
      </c>
      <c r="C485" s="158" t="s">
        <v>2233</v>
      </c>
      <c r="D485" s="160">
        <v>0</v>
      </c>
      <c r="E485" s="161" t="s">
        <v>237</v>
      </c>
      <c r="F485" s="160">
        <v>0</v>
      </c>
      <c r="G485" s="161" t="s">
        <v>380</v>
      </c>
      <c r="H485" s="161" t="s">
        <v>1627</v>
      </c>
      <c r="I485" s="161" t="s">
        <v>1619</v>
      </c>
      <c r="J485" s="160">
        <v>0</v>
      </c>
      <c r="K485" s="161" t="s">
        <v>380</v>
      </c>
      <c r="L485" s="160">
        <v>0</v>
      </c>
      <c r="M485" s="161" t="s">
        <v>380</v>
      </c>
      <c r="N485" s="160">
        <v>0</v>
      </c>
      <c r="O485" s="160">
        <v>0</v>
      </c>
      <c r="P485" s="160">
        <v>0</v>
      </c>
      <c r="Q485" s="161" t="s">
        <v>237</v>
      </c>
    </row>
    <row r="486" spans="2:17" x14ac:dyDescent="0.3">
      <c r="B486" s="188">
        <v>503940</v>
      </c>
      <c r="C486" s="158" t="s">
        <v>1924</v>
      </c>
      <c r="D486" s="160">
        <v>0</v>
      </c>
      <c r="E486" s="161" t="s">
        <v>237</v>
      </c>
      <c r="F486" s="160">
        <v>0</v>
      </c>
      <c r="G486" s="161" t="s">
        <v>380</v>
      </c>
      <c r="H486" s="161" t="s">
        <v>2638</v>
      </c>
      <c r="I486" s="161" t="s">
        <v>2634</v>
      </c>
      <c r="J486" s="160">
        <v>0</v>
      </c>
      <c r="K486" s="161" t="s">
        <v>380</v>
      </c>
      <c r="L486" s="160">
        <v>0</v>
      </c>
      <c r="M486" s="161" t="s">
        <v>380</v>
      </c>
      <c r="N486" s="160">
        <v>0</v>
      </c>
      <c r="O486" s="160">
        <v>0</v>
      </c>
      <c r="P486" s="160">
        <v>0</v>
      </c>
      <c r="Q486" s="161" t="s">
        <v>237</v>
      </c>
    </row>
    <row r="487" spans="2:17" x14ac:dyDescent="0.3">
      <c r="B487" s="188">
        <v>503974</v>
      </c>
      <c r="C487" s="158" t="s">
        <v>1925</v>
      </c>
      <c r="D487" s="160">
        <v>0</v>
      </c>
      <c r="E487" s="161" t="s">
        <v>237</v>
      </c>
      <c r="F487" s="160">
        <v>0</v>
      </c>
      <c r="G487" s="161" t="s">
        <v>380</v>
      </c>
      <c r="H487" s="161" t="s">
        <v>2638</v>
      </c>
      <c r="I487" s="161" t="s">
        <v>2634</v>
      </c>
      <c r="J487" s="160">
        <v>0</v>
      </c>
      <c r="K487" s="161" t="s">
        <v>380</v>
      </c>
      <c r="L487" s="160">
        <v>0</v>
      </c>
      <c r="M487" s="161" t="s">
        <v>380</v>
      </c>
      <c r="N487" s="160">
        <v>0</v>
      </c>
      <c r="O487" s="160">
        <v>0</v>
      </c>
      <c r="P487" s="160">
        <v>0</v>
      </c>
      <c r="Q487" s="161" t="s">
        <v>237</v>
      </c>
    </row>
    <row r="488" spans="2:17" x14ac:dyDescent="0.3">
      <c r="B488" s="188">
        <v>503976</v>
      </c>
      <c r="C488" s="158" t="s">
        <v>2234</v>
      </c>
      <c r="D488" s="160">
        <v>157.46</v>
      </c>
      <c r="E488" s="161" t="s">
        <v>237</v>
      </c>
      <c r="F488" s="160">
        <v>600</v>
      </c>
      <c r="G488" s="161" t="s">
        <v>380</v>
      </c>
      <c r="H488" s="161" t="s">
        <v>2638</v>
      </c>
      <c r="I488" s="161" t="s">
        <v>2634</v>
      </c>
      <c r="J488" s="160">
        <v>0</v>
      </c>
      <c r="K488" s="161" t="s">
        <v>380</v>
      </c>
      <c r="L488" s="160">
        <v>0</v>
      </c>
      <c r="M488" s="161" t="s">
        <v>380</v>
      </c>
      <c r="N488" s="160">
        <v>99999</v>
      </c>
      <c r="O488" s="160">
        <v>0</v>
      </c>
      <c r="P488" s="160">
        <v>0</v>
      </c>
      <c r="Q488" s="161" t="s">
        <v>237</v>
      </c>
    </row>
    <row r="489" spans="2:17" x14ac:dyDescent="0.3">
      <c r="B489" s="188">
        <v>503980</v>
      </c>
      <c r="C489" s="158" t="s">
        <v>1926</v>
      </c>
      <c r="D489" s="160">
        <v>0</v>
      </c>
      <c r="E489" s="161" t="s">
        <v>237</v>
      </c>
      <c r="F489" s="160">
        <v>0</v>
      </c>
      <c r="G489" s="161" t="s">
        <v>380</v>
      </c>
      <c r="H489" s="161" t="s">
        <v>2638</v>
      </c>
      <c r="I489" s="161" t="s">
        <v>2634</v>
      </c>
      <c r="J489" s="160">
        <v>0</v>
      </c>
      <c r="K489" s="161" t="s">
        <v>380</v>
      </c>
      <c r="L489" s="160">
        <v>0</v>
      </c>
      <c r="M489" s="161" t="s">
        <v>380</v>
      </c>
      <c r="N489" s="160">
        <v>0</v>
      </c>
      <c r="O489" s="160">
        <v>0</v>
      </c>
      <c r="P489" s="160">
        <v>0</v>
      </c>
      <c r="Q489" s="161" t="s">
        <v>237</v>
      </c>
    </row>
    <row r="490" spans="2:17" x14ac:dyDescent="0.3">
      <c r="B490" s="188">
        <v>504130</v>
      </c>
      <c r="C490" s="158" t="s">
        <v>2235</v>
      </c>
      <c r="D490" s="160">
        <v>0</v>
      </c>
      <c r="E490" s="161" t="s">
        <v>237</v>
      </c>
      <c r="F490" s="160">
        <v>0</v>
      </c>
      <c r="G490" s="161" t="s">
        <v>380</v>
      </c>
      <c r="H490" s="161" t="s">
        <v>1579</v>
      </c>
      <c r="I490" s="161" t="s">
        <v>1579</v>
      </c>
      <c r="J490" s="160">
        <v>0</v>
      </c>
      <c r="K490" s="161" t="s">
        <v>380</v>
      </c>
      <c r="L490" s="160">
        <v>0</v>
      </c>
      <c r="M490" s="161" t="s">
        <v>380</v>
      </c>
      <c r="N490" s="160">
        <v>0</v>
      </c>
      <c r="O490" s="160">
        <v>0</v>
      </c>
      <c r="P490" s="160">
        <v>0</v>
      </c>
      <c r="Q490" s="161" t="s">
        <v>237</v>
      </c>
    </row>
    <row r="491" spans="2:17" x14ac:dyDescent="0.3">
      <c r="B491" s="188">
        <v>504598</v>
      </c>
      <c r="C491" s="158" t="s">
        <v>2236</v>
      </c>
      <c r="D491" s="160">
        <v>0</v>
      </c>
      <c r="E491" s="161" t="s">
        <v>237</v>
      </c>
      <c r="F491" s="160">
        <v>0</v>
      </c>
      <c r="G491" s="161" t="s">
        <v>380</v>
      </c>
      <c r="H491" s="161" t="s">
        <v>2717</v>
      </c>
      <c r="I491" s="161" t="s">
        <v>2756</v>
      </c>
      <c r="J491" s="160">
        <v>20160</v>
      </c>
      <c r="K491" s="161" t="s">
        <v>380</v>
      </c>
      <c r="L491" s="160">
        <v>20160</v>
      </c>
      <c r="M491" s="161" t="s">
        <v>380</v>
      </c>
      <c r="N491" s="160">
        <v>0</v>
      </c>
      <c r="O491" s="160">
        <v>8</v>
      </c>
      <c r="P491" s="160">
        <v>4334.3999999999996</v>
      </c>
      <c r="Q491" s="161" t="s">
        <v>237</v>
      </c>
    </row>
    <row r="492" spans="2:17" x14ac:dyDescent="0.3">
      <c r="B492" s="188">
        <v>504770</v>
      </c>
      <c r="C492" s="158" t="s">
        <v>2237</v>
      </c>
      <c r="D492" s="160">
        <v>0</v>
      </c>
      <c r="E492" s="161" t="s">
        <v>237</v>
      </c>
      <c r="F492" s="160">
        <v>0</v>
      </c>
      <c r="G492" s="161" t="s">
        <v>380</v>
      </c>
      <c r="H492" s="161" t="s">
        <v>236</v>
      </c>
      <c r="I492" s="161" t="s">
        <v>1756</v>
      </c>
      <c r="J492" s="160">
        <v>0</v>
      </c>
      <c r="K492" s="161" t="s">
        <v>380</v>
      </c>
      <c r="L492" s="160">
        <v>0</v>
      </c>
      <c r="M492" s="161" t="s">
        <v>380</v>
      </c>
      <c r="N492" s="160">
        <v>0</v>
      </c>
      <c r="O492" s="160">
        <v>0</v>
      </c>
      <c r="P492" s="160">
        <v>0</v>
      </c>
      <c r="Q492" s="161" t="s">
        <v>237</v>
      </c>
    </row>
    <row r="493" spans="2:17" x14ac:dyDescent="0.3">
      <c r="B493" s="188">
        <v>504840</v>
      </c>
      <c r="C493" s="158" t="s">
        <v>2238</v>
      </c>
      <c r="D493" s="160">
        <v>0</v>
      </c>
      <c r="E493" s="161" t="s">
        <v>237</v>
      </c>
      <c r="F493" s="160">
        <v>0</v>
      </c>
      <c r="G493" s="161" t="s">
        <v>380</v>
      </c>
      <c r="H493" s="161" t="s">
        <v>1787</v>
      </c>
      <c r="I493" s="161" t="s">
        <v>1788</v>
      </c>
      <c r="J493" s="160">
        <v>0</v>
      </c>
      <c r="K493" s="161" t="s">
        <v>380</v>
      </c>
      <c r="L493" s="160">
        <v>0</v>
      </c>
      <c r="M493" s="161" t="s">
        <v>380</v>
      </c>
      <c r="N493" s="160">
        <v>0</v>
      </c>
      <c r="O493" s="160">
        <v>0</v>
      </c>
      <c r="P493" s="160">
        <v>0</v>
      </c>
      <c r="Q493" s="161" t="s">
        <v>237</v>
      </c>
    </row>
    <row r="494" spans="2:17" x14ac:dyDescent="0.3">
      <c r="B494" s="188">
        <v>505282</v>
      </c>
      <c r="C494" s="158" t="s">
        <v>2239</v>
      </c>
      <c r="D494" s="160">
        <v>0</v>
      </c>
      <c r="E494" s="161" t="s">
        <v>237</v>
      </c>
      <c r="F494" s="160">
        <v>0</v>
      </c>
      <c r="G494" s="161" t="s">
        <v>380</v>
      </c>
      <c r="H494" s="161" t="s">
        <v>1756</v>
      </c>
      <c r="I494" s="161" t="s">
        <v>1756</v>
      </c>
      <c r="J494" s="160">
        <v>0</v>
      </c>
      <c r="K494" s="161" t="s">
        <v>380</v>
      </c>
      <c r="L494" s="160">
        <v>0</v>
      </c>
      <c r="M494" s="161" t="s">
        <v>380</v>
      </c>
      <c r="N494" s="160">
        <v>0</v>
      </c>
      <c r="O494" s="160">
        <v>0</v>
      </c>
      <c r="P494" s="160">
        <v>0</v>
      </c>
      <c r="Q494" s="161" t="s">
        <v>237</v>
      </c>
    </row>
    <row r="495" spans="2:17" x14ac:dyDescent="0.3">
      <c r="B495" s="188">
        <v>505492</v>
      </c>
      <c r="C495" s="158" t="s">
        <v>2240</v>
      </c>
      <c r="D495" s="160">
        <v>0</v>
      </c>
      <c r="E495" s="161" t="s">
        <v>237</v>
      </c>
      <c r="F495" s="160">
        <v>0</v>
      </c>
      <c r="G495" s="161" t="s">
        <v>380</v>
      </c>
      <c r="H495" s="161" t="s">
        <v>1789</v>
      </c>
      <c r="I495" s="161" t="s">
        <v>1790</v>
      </c>
      <c r="J495" s="160">
        <v>0</v>
      </c>
      <c r="K495" s="161" t="s">
        <v>380</v>
      </c>
      <c r="L495" s="160">
        <v>0</v>
      </c>
      <c r="M495" s="161" t="s">
        <v>380</v>
      </c>
      <c r="N495" s="160">
        <v>0</v>
      </c>
      <c r="O495" s="160">
        <v>0</v>
      </c>
      <c r="P495" s="160">
        <v>0</v>
      </c>
      <c r="Q495" s="161" t="s">
        <v>237</v>
      </c>
    </row>
    <row r="496" spans="2:17" x14ac:dyDescent="0.3">
      <c r="B496" s="188">
        <v>507127</v>
      </c>
      <c r="C496" s="158" t="s">
        <v>180</v>
      </c>
      <c r="D496" s="160">
        <v>2333.79</v>
      </c>
      <c r="E496" s="161" t="s">
        <v>237</v>
      </c>
      <c r="F496" s="160">
        <v>86.436999999999998</v>
      </c>
      <c r="G496" s="161" t="s">
        <v>374</v>
      </c>
      <c r="H496" s="161" t="s">
        <v>2644</v>
      </c>
      <c r="I496" s="161" t="s">
        <v>2638</v>
      </c>
      <c r="J496" s="160">
        <v>0</v>
      </c>
      <c r="K496" s="161" t="s">
        <v>374</v>
      </c>
      <c r="L496" s="160">
        <v>0</v>
      </c>
      <c r="M496" s="161" t="s">
        <v>374</v>
      </c>
      <c r="N496" s="160">
        <v>99999</v>
      </c>
      <c r="O496" s="160">
        <v>0</v>
      </c>
      <c r="P496" s="160">
        <v>0</v>
      </c>
      <c r="Q496" s="161" t="s">
        <v>237</v>
      </c>
    </row>
    <row r="497" spans="2:17" x14ac:dyDescent="0.3">
      <c r="B497" s="188">
        <v>507565</v>
      </c>
      <c r="C497" s="158" t="s">
        <v>181</v>
      </c>
      <c r="D497" s="160">
        <v>1464.9</v>
      </c>
      <c r="E497" s="161" t="s">
        <v>237</v>
      </c>
      <c r="F497" s="160">
        <v>33.406999999999996</v>
      </c>
      <c r="G497" s="161" t="s">
        <v>374</v>
      </c>
      <c r="H497" s="161" t="s">
        <v>2703</v>
      </c>
      <c r="I497" s="161" t="s">
        <v>2806</v>
      </c>
      <c r="J497" s="160">
        <v>20.076000000000001</v>
      </c>
      <c r="K497" s="161" t="s">
        <v>374</v>
      </c>
      <c r="L497" s="160">
        <v>10.038</v>
      </c>
      <c r="M497" s="161" t="s">
        <v>374</v>
      </c>
      <c r="N497" s="160">
        <v>306</v>
      </c>
      <c r="O497" s="160">
        <v>0.27</v>
      </c>
      <c r="P497" s="160">
        <v>440.16</v>
      </c>
      <c r="Q497" s="161" t="s">
        <v>237</v>
      </c>
    </row>
    <row r="498" spans="2:17" x14ac:dyDescent="0.3">
      <c r="B498" s="188">
        <v>509852</v>
      </c>
      <c r="C498" s="158" t="s">
        <v>1927</v>
      </c>
      <c r="D498" s="160">
        <v>0</v>
      </c>
      <c r="E498" s="161" t="s">
        <v>237</v>
      </c>
      <c r="F498" s="160">
        <v>0</v>
      </c>
      <c r="G498" s="161" t="s">
        <v>380</v>
      </c>
      <c r="H498" s="161" t="s">
        <v>2638</v>
      </c>
      <c r="I498" s="161" t="s">
        <v>2634</v>
      </c>
      <c r="J498" s="160">
        <v>0</v>
      </c>
      <c r="K498" s="161" t="s">
        <v>380</v>
      </c>
      <c r="L498" s="160">
        <v>0</v>
      </c>
      <c r="M498" s="161" t="s">
        <v>380</v>
      </c>
      <c r="N498" s="160">
        <v>0</v>
      </c>
      <c r="O498" s="160">
        <v>0</v>
      </c>
      <c r="P498" s="160">
        <v>0</v>
      </c>
      <c r="Q498" s="161" t="s">
        <v>237</v>
      </c>
    </row>
    <row r="499" spans="2:17" x14ac:dyDescent="0.3">
      <c r="B499" s="188">
        <v>509876</v>
      </c>
      <c r="C499" s="158" t="s">
        <v>2241</v>
      </c>
      <c r="D499" s="160">
        <v>0</v>
      </c>
      <c r="E499" s="161" t="s">
        <v>237</v>
      </c>
      <c r="F499" s="160">
        <v>0</v>
      </c>
      <c r="G499" s="161" t="s">
        <v>380</v>
      </c>
      <c r="H499" s="161" t="s">
        <v>2638</v>
      </c>
      <c r="I499" s="161" t="s">
        <v>2634</v>
      </c>
      <c r="J499" s="160">
        <v>0</v>
      </c>
      <c r="K499" s="161" t="s">
        <v>380</v>
      </c>
      <c r="L499" s="160">
        <v>0</v>
      </c>
      <c r="M499" s="161" t="s">
        <v>380</v>
      </c>
      <c r="N499" s="160">
        <v>0</v>
      </c>
      <c r="O499" s="160">
        <v>0</v>
      </c>
      <c r="P499" s="160">
        <v>0</v>
      </c>
      <c r="Q499" s="161" t="s">
        <v>237</v>
      </c>
    </row>
    <row r="500" spans="2:17" x14ac:dyDescent="0.3">
      <c r="B500" s="188">
        <v>518888</v>
      </c>
      <c r="C500" s="158" t="s">
        <v>268</v>
      </c>
      <c r="D500" s="160">
        <v>0</v>
      </c>
      <c r="E500" s="161" t="s">
        <v>237</v>
      </c>
      <c r="F500" s="160">
        <v>2390</v>
      </c>
      <c r="G500" s="161" t="s">
        <v>380</v>
      </c>
      <c r="H500" s="161" t="s">
        <v>2637</v>
      </c>
      <c r="I500" s="161" t="s">
        <v>2625</v>
      </c>
      <c r="J500" s="160">
        <v>0</v>
      </c>
      <c r="K500" s="161" t="s">
        <v>380</v>
      </c>
      <c r="L500" s="160">
        <v>0</v>
      </c>
      <c r="M500" s="161" t="s">
        <v>380</v>
      </c>
      <c r="N500" s="160">
        <v>0</v>
      </c>
      <c r="O500" s="160">
        <v>0</v>
      </c>
      <c r="P500" s="160">
        <v>0</v>
      </c>
      <c r="Q500" s="161" t="s">
        <v>237</v>
      </c>
    </row>
    <row r="501" spans="2:17" x14ac:dyDescent="0.3">
      <c r="B501" s="188">
        <v>518889</v>
      </c>
      <c r="C501" s="158" t="s">
        <v>1286</v>
      </c>
      <c r="D501" s="160">
        <v>0</v>
      </c>
      <c r="E501" s="161" t="s">
        <v>237</v>
      </c>
      <c r="F501" s="160">
        <v>2000</v>
      </c>
      <c r="G501" s="161" t="s">
        <v>380</v>
      </c>
      <c r="H501" s="161" t="s">
        <v>2637</v>
      </c>
      <c r="I501" s="161" t="s">
        <v>2629</v>
      </c>
      <c r="J501" s="160">
        <v>0</v>
      </c>
      <c r="K501" s="161" t="s">
        <v>380</v>
      </c>
      <c r="L501" s="160">
        <v>0</v>
      </c>
      <c r="M501" s="161" t="s">
        <v>380</v>
      </c>
      <c r="N501" s="160">
        <v>0</v>
      </c>
      <c r="O501" s="160">
        <v>0</v>
      </c>
      <c r="P501" s="160">
        <v>0</v>
      </c>
      <c r="Q501" s="161" t="s">
        <v>237</v>
      </c>
    </row>
    <row r="502" spans="2:17" x14ac:dyDescent="0.3">
      <c r="B502" s="188">
        <v>519060</v>
      </c>
      <c r="C502" s="158" t="s">
        <v>1237</v>
      </c>
      <c r="D502" s="160">
        <v>0</v>
      </c>
      <c r="E502" s="161" t="s">
        <v>237</v>
      </c>
      <c r="F502" s="160">
        <v>0</v>
      </c>
      <c r="G502" s="161" t="s">
        <v>376</v>
      </c>
      <c r="H502" s="161" t="s">
        <v>1499</v>
      </c>
      <c r="I502" s="161" t="s">
        <v>2612</v>
      </c>
      <c r="J502" s="160">
        <v>0</v>
      </c>
      <c r="K502" s="161" t="s">
        <v>376</v>
      </c>
      <c r="L502" s="160">
        <v>0</v>
      </c>
      <c r="M502" s="161" t="s">
        <v>376</v>
      </c>
      <c r="N502" s="160">
        <v>0</v>
      </c>
      <c r="O502" s="160">
        <v>0</v>
      </c>
      <c r="P502" s="160">
        <v>0</v>
      </c>
      <c r="Q502" s="161" t="s">
        <v>237</v>
      </c>
    </row>
    <row r="503" spans="2:17" x14ac:dyDescent="0.3">
      <c r="B503" s="188">
        <v>520137</v>
      </c>
      <c r="C503" s="158" t="s">
        <v>2242</v>
      </c>
      <c r="D503" s="160">
        <v>0</v>
      </c>
      <c r="E503" s="161" t="s">
        <v>237</v>
      </c>
      <c r="F503" s="160">
        <v>0</v>
      </c>
      <c r="G503" s="161" t="s">
        <v>380</v>
      </c>
      <c r="H503" s="161" t="s">
        <v>1478</v>
      </c>
      <c r="I503" s="161" t="s">
        <v>1478</v>
      </c>
      <c r="J503" s="160">
        <v>0</v>
      </c>
      <c r="K503" s="161" t="s">
        <v>380</v>
      </c>
      <c r="L503" s="160">
        <v>0</v>
      </c>
      <c r="M503" s="161" t="s">
        <v>380</v>
      </c>
      <c r="N503" s="160">
        <v>0</v>
      </c>
      <c r="O503" s="160">
        <v>0</v>
      </c>
      <c r="P503" s="160">
        <v>0</v>
      </c>
      <c r="Q503" s="161" t="s">
        <v>237</v>
      </c>
    </row>
    <row r="504" spans="2:17" x14ac:dyDescent="0.3">
      <c r="B504" s="188">
        <v>520138</v>
      </c>
      <c r="C504" s="158" t="s">
        <v>2243</v>
      </c>
      <c r="D504" s="160">
        <v>0</v>
      </c>
      <c r="E504" s="161" t="s">
        <v>237</v>
      </c>
      <c r="F504" s="160">
        <v>0</v>
      </c>
      <c r="G504" s="161" t="s">
        <v>380</v>
      </c>
      <c r="H504" s="161" t="s">
        <v>1783</v>
      </c>
      <c r="I504" s="161" t="s">
        <v>1783</v>
      </c>
      <c r="J504" s="160">
        <v>0</v>
      </c>
      <c r="K504" s="161" t="s">
        <v>380</v>
      </c>
      <c r="L504" s="160">
        <v>0</v>
      </c>
      <c r="M504" s="161" t="s">
        <v>380</v>
      </c>
      <c r="N504" s="160">
        <v>0</v>
      </c>
      <c r="O504" s="160">
        <v>0</v>
      </c>
      <c r="P504" s="160">
        <v>0</v>
      </c>
      <c r="Q504" s="161" t="s">
        <v>237</v>
      </c>
    </row>
    <row r="505" spans="2:17" x14ac:dyDescent="0.3">
      <c r="B505" s="188">
        <v>520277</v>
      </c>
      <c r="C505" s="158" t="s">
        <v>2244</v>
      </c>
      <c r="D505" s="160">
        <v>0</v>
      </c>
      <c r="E505" s="161" t="s">
        <v>237</v>
      </c>
      <c r="F505" s="160">
        <v>0</v>
      </c>
      <c r="G505" s="161" t="s">
        <v>380</v>
      </c>
      <c r="H505" s="161" t="s">
        <v>1478</v>
      </c>
      <c r="I505" s="161" t="s">
        <v>1611</v>
      </c>
      <c r="J505" s="160">
        <v>0</v>
      </c>
      <c r="K505" s="161" t="s">
        <v>380</v>
      </c>
      <c r="L505" s="160">
        <v>0</v>
      </c>
      <c r="M505" s="161" t="s">
        <v>380</v>
      </c>
      <c r="N505" s="160">
        <v>0</v>
      </c>
      <c r="O505" s="160">
        <v>0</v>
      </c>
      <c r="P505" s="160">
        <v>0</v>
      </c>
      <c r="Q505" s="161" t="s">
        <v>237</v>
      </c>
    </row>
    <row r="506" spans="2:17" x14ac:dyDescent="0.3">
      <c r="B506" s="188">
        <v>521997</v>
      </c>
      <c r="C506" s="158" t="s">
        <v>2245</v>
      </c>
      <c r="D506" s="160">
        <v>0</v>
      </c>
      <c r="E506" s="161" t="s">
        <v>237</v>
      </c>
      <c r="F506" s="160">
        <v>0</v>
      </c>
      <c r="G506" s="161" t="s">
        <v>380</v>
      </c>
      <c r="H506" s="161" t="s">
        <v>1684</v>
      </c>
      <c r="I506" s="161" t="s">
        <v>1646</v>
      </c>
      <c r="J506" s="160">
        <v>0</v>
      </c>
      <c r="K506" s="161" t="s">
        <v>380</v>
      </c>
      <c r="L506" s="160">
        <v>0</v>
      </c>
      <c r="M506" s="161" t="s">
        <v>380</v>
      </c>
      <c r="N506" s="160">
        <v>0</v>
      </c>
      <c r="O506" s="160">
        <v>0</v>
      </c>
      <c r="P506" s="160">
        <v>0</v>
      </c>
      <c r="Q506" s="161" t="s">
        <v>237</v>
      </c>
    </row>
    <row r="507" spans="2:17" x14ac:dyDescent="0.3">
      <c r="B507" s="188">
        <v>523009</v>
      </c>
      <c r="C507" s="158" t="s">
        <v>2246</v>
      </c>
      <c r="D507" s="160">
        <v>0</v>
      </c>
      <c r="E507" s="161" t="s">
        <v>237</v>
      </c>
      <c r="F507" s="160">
        <v>0</v>
      </c>
      <c r="G507" s="161" t="s">
        <v>380</v>
      </c>
      <c r="H507" s="161" t="s">
        <v>1791</v>
      </c>
      <c r="I507" s="161" t="s">
        <v>1792</v>
      </c>
      <c r="J507" s="160">
        <v>0</v>
      </c>
      <c r="K507" s="161" t="s">
        <v>380</v>
      </c>
      <c r="L507" s="160">
        <v>0</v>
      </c>
      <c r="M507" s="161" t="s">
        <v>380</v>
      </c>
      <c r="N507" s="160">
        <v>0</v>
      </c>
      <c r="O507" s="160">
        <v>0</v>
      </c>
      <c r="P507" s="160">
        <v>0</v>
      </c>
      <c r="Q507" s="161" t="s">
        <v>237</v>
      </c>
    </row>
    <row r="508" spans="2:17" x14ac:dyDescent="0.3">
      <c r="B508" s="188">
        <v>523802</v>
      </c>
      <c r="C508" s="158" t="s">
        <v>2247</v>
      </c>
      <c r="D508" s="160">
        <v>0</v>
      </c>
      <c r="E508" s="161" t="s">
        <v>237</v>
      </c>
      <c r="F508" s="160">
        <v>0</v>
      </c>
      <c r="G508" s="161" t="s">
        <v>380</v>
      </c>
      <c r="H508" s="161" t="s">
        <v>1515</v>
      </c>
      <c r="I508" s="161" t="s">
        <v>1643</v>
      </c>
      <c r="J508" s="160">
        <v>0</v>
      </c>
      <c r="K508" s="161" t="s">
        <v>380</v>
      </c>
      <c r="L508" s="160">
        <v>0</v>
      </c>
      <c r="M508" s="161" t="s">
        <v>380</v>
      </c>
      <c r="N508" s="160">
        <v>0</v>
      </c>
      <c r="O508" s="160">
        <v>0</v>
      </c>
      <c r="P508" s="160">
        <v>0</v>
      </c>
      <c r="Q508" s="161" t="s">
        <v>237</v>
      </c>
    </row>
    <row r="509" spans="2:17" x14ac:dyDescent="0.3">
      <c r="B509" s="188">
        <v>523813</v>
      </c>
      <c r="C509" s="158" t="s">
        <v>2248</v>
      </c>
      <c r="D509" s="160">
        <v>0</v>
      </c>
      <c r="E509" s="161" t="s">
        <v>237</v>
      </c>
      <c r="F509" s="160">
        <v>0</v>
      </c>
      <c r="G509" s="161" t="s">
        <v>380</v>
      </c>
      <c r="H509" s="161" t="s">
        <v>1684</v>
      </c>
      <c r="I509" s="161" t="s">
        <v>1646</v>
      </c>
      <c r="J509" s="160">
        <v>0</v>
      </c>
      <c r="K509" s="161" t="s">
        <v>380</v>
      </c>
      <c r="L509" s="160">
        <v>0</v>
      </c>
      <c r="M509" s="161" t="s">
        <v>380</v>
      </c>
      <c r="N509" s="160">
        <v>0</v>
      </c>
      <c r="O509" s="160">
        <v>0</v>
      </c>
      <c r="P509" s="160">
        <v>0</v>
      </c>
      <c r="Q509" s="161" t="s">
        <v>237</v>
      </c>
    </row>
    <row r="510" spans="2:17" x14ac:dyDescent="0.3">
      <c r="B510" s="188">
        <v>524214</v>
      </c>
      <c r="C510" s="158" t="s">
        <v>2249</v>
      </c>
      <c r="D510" s="160">
        <v>0</v>
      </c>
      <c r="E510" s="161" t="s">
        <v>237</v>
      </c>
      <c r="F510" s="160">
        <v>0</v>
      </c>
      <c r="G510" s="161" t="s">
        <v>380</v>
      </c>
      <c r="H510" s="161" t="s">
        <v>1478</v>
      </c>
      <c r="I510" s="161" t="s">
        <v>1515</v>
      </c>
      <c r="J510" s="160">
        <v>0</v>
      </c>
      <c r="K510" s="161" t="s">
        <v>380</v>
      </c>
      <c r="L510" s="160">
        <v>0</v>
      </c>
      <c r="M510" s="161" t="s">
        <v>380</v>
      </c>
      <c r="N510" s="160">
        <v>0</v>
      </c>
      <c r="O510" s="160">
        <v>0</v>
      </c>
      <c r="P510" s="160">
        <v>0</v>
      </c>
      <c r="Q510" s="161" t="s">
        <v>237</v>
      </c>
    </row>
    <row r="511" spans="2:17" x14ac:dyDescent="0.3">
      <c r="B511" s="188">
        <v>524215</v>
      </c>
      <c r="C511" s="158" t="s">
        <v>2250</v>
      </c>
      <c r="D511" s="160">
        <v>0</v>
      </c>
      <c r="E511" s="161" t="s">
        <v>237</v>
      </c>
      <c r="F511" s="160">
        <v>0</v>
      </c>
      <c r="G511" s="161" t="s">
        <v>380</v>
      </c>
      <c r="H511" s="161" t="s">
        <v>1478</v>
      </c>
      <c r="I511" s="161" t="s">
        <v>1515</v>
      </c>
      <c r="J511" s="160">
        <v>0</v>
      </c>
      <c r="K511" s="161" t="s">
        <v>380</v>
      </c>
      <c r="L511" s="160">
        <v>0</v>
      </c>
      <c r="M511" s="161" t="s">
        <v>380</v>
      </c>
      <c r="N511" s="160">
        <v>0</v>
      </c>
      <c r="O511" s="160">
        <v>0</v>
      </c>
      <c r="P511" s="160">
        <v>0</v>
      </c>
      <c r="Q511" s="161" t="s">
        <v>237</v>
      </c>
    </row>
    <row r="512" spans="2:17" x14ac:dyDescent="0.3">
      <c r="B512" s="188">
        <v>524216</v>
      </c>
      <c r="C512" s="158" t="s">
        <v>2251</v>
      </c>
      <c r="D512" s="160">
        <v>0</v>
      </c>
      <c r="E512" s="161" t="s">
        <v>237</v>
      </c>
      <c r="F512" s="160">
        <v>0</v>
      </c>
      <c r="G512" s="161" t="s">
        <v>380</v>
      </c>
      <c r="H512" s="161" t="s">
        <v>1478</v>
      </c>
      <c r="I512" s="161" t="s">
        <v>1735</v>
      </c>
      <c r="J512" s="160">
        <v>0</v>
      </c>
      <c r="K512" s="161" t="s">
        <v>380</v>
      </c>
      <c r="L512" s="160">
        <v>0</v>
      </c>
      <c r="M512" s="161" t="s">
        <v>380</v>
      </c>
      <c r="N512" s="160">
        <v>0</v>
      </c>
      <c r="O512" s="160">
        <v>0</v>
      </c>
      <c r="P512" s="160">
        <v>0</v>
      </c>
      <c r="Q512" s="161" t="s">
        <v>237</v>
      </c>
    </row>
    <row r="513" spans="2:17" x14ac:dyDescent="0.3">
      <c r="B513" s="188">
        <v>524217</v>
      </c>
      <c r="C513" s="158" t="s">
        <v>2252</v>
      </c>
      <c r="D513" s="160">
        <v>0</v>
      </c>
      <c r="E513" s="161" t="s">
        <v>237</v>
      </c>
      <c r="F513" s="160">
        <v>0</v>
      </c>
      <c r="G513" s="161" t="s">
        <v>380</v>
      </c>
      <c r="H513" s="161" t="s">
        <v>1478</v>
      </c>
      <c r="I513" s="161" t="s">
        <v>1515</v>
      </c>
      <c r="J513" s="160">
        <v>0</v>
      </c>
      <c r="K513" s="161" t="s">
        <v>380</v>
      </c>
      <c r="L513" s="160">
        <v>0</v>
      </c>
      <c r="M513" s="161" t="s">
        <v>380</v>
      </c>
      <c r="N513" s="160">
        <v>0</v>
      </c>
      <c r="O513" s="160">
        <v>0</v>
      </c>
      <c r="P513" s="160">
        <v>0</v>
      </c>
      <c r="Q513" s="161" t="s">
        <v>237</v>
      </c>
    </row>
    <row r="514" spans="2:17" x14ac:dyDescent="0.3">
      <c r="B514" s="188">
        <v>524218</v>
      </c>
      <c r="C514" s="158" t="s">
        <v>2253</v>
      </c>
      <c r="D514" s="160">
        <v>0</v>
      </c>
      <c r="E514" s="161" t="s">
        <v>237</v>
      </c>
      <c r="F514" s="160">
        <v>0</v>
      </c>
      <c r="G514" s="161" t="s">
        <v>380</v>
      </c>
      <c r="H514" s="161" t="s">
        <v>1478</v>
      </c>
      <c r="I514" s="161" t="s">
        <v>1515</v>
      </c>
      <c r="J514" s="160">
        <v>0</v>
      </c>
      <c r="K514" s="161" t="s">
        <v>380</v>
      </c>
      <c r="L514" s="160">
        <v>0</v>
      </c>
      <c r="M514" s="161" t="s">
        <v>380</v>
      </c>
      <c r="N514" s="160">
        <v>0</v>
      </c>
      <c r="O514" s="160">
        <v>0</v>
      </c>
      <c r="P514" s="160">
        <v>0</v>
      </c>
      <c r="Q514" s="161" t="s">
        <v>237</v>
      </c>
    </row>
    <row r="515" spans="2:17" x14ac:dyDescent="0.3">
      <c r="B515" s="188">
        <v>524250</v>
      </c>
      <c r="C515" s="158" t="s">
        <v>2254</v>
      </c>
      <c r="D515" s="160">
        <v>0</v>
      </c>
      <c r="E515" s="161" t="s">
        <v>237</v>
      </c>
      <c r="F515" s="160">
        <v>0</v>
      </c>
      <c r="G515" s="161" t="s">
        <v>380</v>
      </c>
      <c r="H515" s="161" t="s">
        <v>1653</v>
      </c>
      <c r="I515" s="161" t="s">
        <v>1653</v>
      </c>
      <c r="J515" s="160">
        <v>0</v>
      </c>
      <c r="K515" s="161" t="s">
        <v>380</v>
      </c>
      <c r="L515" s="160">
        <v>0</v>
      </c>
      <c r="M515" s="161" t="s">
        <v>380</v>
      </c>
      <c r="N515" s="160">
        <v>0</v>
      </c>
      <c r="O515" s="160">
        <v>0</v>
      </c>
      <c r="P515" s="160">
        <v>0</v>
      </c>
      <c r="Q515" s="161" t="s">
        <v>237</v>
      </c>
    </row>
    <row r="516" spans="2:17" x14ac:dyDescent="0.3">
      <c r="B516" s="188">
        <v>524251</v>
      </c>
      <c r="C516" s="158" t="s">
        <v>2255</v>
      </c>
      <c r="D516" s="160">
        <v>0</v>
      </c>
      <c r="E516" s="161" t="s">
        <v>237</v>
      </c>
      <c r="F516" s="160">
        <v>0</v>
      </c>
      <c r="G516" s="161" t="s">
        <v>380</v>
      </c>
      <c r="H516" s="161" t="s">
        <v>1793</v>
      </c>
      <c r="I516" s="161" t="s">
        <v>1793</v>
      </c>
      <c r="J516" s="160">
        <v>0</v>
      </c>
      <c r="K516" s="161" t="s">
        <v>380</v>
      </c>
      <c r="L516" s="160">
        <v>0</v>
      </c>
      <c r="M516" s="161" t="s">
        <v>380</v>
      </c>
      <c r="N516" s="160">
        <v>0</v>
      </c>
      <c r="O516" s="160">
        <v>0</v>
      </c>
      <c r="P516" s="160">
        <v>0</v>
      </c>
      <c r="Q516" s="161" t="s">
        <v>237</v>
      </c>
    </row>
    <row r="517" spans="2:17" x14ac:dyDescent="0.3">
      <c r="B517" s="188">
        <v>524295</v>
      </c>
      <c r="C517" s="158" t="s">
        <v>2256</v>
      </c>
      <c r="D517" s="160">
        <v>0</v>
      </c>
      <c r="E517" s="161" t="s">
        <v>237</v>
      </c>
      <c r="F517" s="160">
        <v>0</v>
      </c>
      <c r="G517" s="161" t="s">
        <v>380</v>
      </c>
      <c r="H517" s="161" t="s">
        <v>1794</v>
      </c>
      <c r="I517" s="161" t="s">
        <v>1795</v>
      </c>
      <c r="J517" s="160">
        <v>0</v>
      </c>
      <c r="K517" s="161" t="s">
        <v>380</v>
      </c>
      <c r="L517" s="160">
        <v>0</v>
      </c>
      <c r="M517" s="161" t="s">
        <v>380</v>
      </c>
      <c r="N517" s="160">
        <v>0</v>
      </c>
      <c r="O517" s="160">
        <v>0</v>
      </c>
      <c r="P517" s="160">
        <v>0</v>
      </c>
      <c r="Q517" s="161" t="s">
        <v>237</v>
      </c>
    </row>
    <row r="518" spans="2:17" x14ac:dyDescent="0.3">
      <c r="B518" s="188">
        <v>524918</v>
      </c>
      <c r="C518" s="158" t="s">
        <v>2257</v>
      </c>
      <c r="D518" s="160">
        <v>0</v>
      </c>
      <c r="E518" s="161" t="s">
        <v>237</v>
      </c>
      <c r="F518" s="160">
        <v>0</v>
      </c>
      <c r="G518" s="161" t="s">
        <v>380</v>
      </c>
      <c r="H518" s="161" t="s">
        <v>1576</v>
      </c>
      <c r="I518" s="161" t="s">
        <v>1623</v>
      </c>
      <c r="J518" s="160">
        <v>0</v>
      </c>
      <c r="K518" s="161" t="s">
        <v>380</v>
      </c>
      <c r="L518" s="160">
        <v>0</v>
      </c>
      <c r="M518" s="161" t="s">
        <v>380</v>
      </c>
      <c r="N518" s="160">
        <v>0</v>
      </c>
      <c r="O518" s="160">
        <v>0</v>
      </c>
      <c r="P518" s="160">
        <v>0</v>
      </c>
      <c r="Q518" s="161" t="s">
        <v>237</v>
      </c>
    </row>
    <row r="519" spans="2:17" x14ac:dyDescent="0.3">
      <c r="B519" s="188">
        <v>529002</v>
      </c>
      <c r="C519" s="158" t="s">
        <v>2258</v>
      </c>
      <c r="D519" s="160">
        <v>0</v>
      </c>
      <c r="E519" s="161" t="s">
        <v>237</v>
      </c>
      <c r="F519" s="160">
        <v>0</v>
      </c>
      <c r="G519" s="161" t="s">
        <v>380</v>
      </c>
      <c r="H519" s="161" t="s">
        <v>1796</v>
      </c>
      <c r="I519" s="161" t="s">
        <v>1797</v>
      </c>
      <c r="J519" s="160">
        <v>0</v>
      </c>
      <c r="K519" s="161" t="s">
        <v>380</v>
      </c>
      <c r="L519" s="160">
        <v>0</v>
      </c>
      <c r="M519" s="161" t="s">
        <v>380</v>
      </c>
      <c r="N519" s="160">
        <v>0</v>
      </c>
      <c r="O519" s="160">
        <v>0</v>
      </c>
      <c r="P519" s="160">
        <v>0</v>
      </c>
      <c r="Q519" s="161" t="s">
        <v>237</v>
      </c>
    </row>
    <row r="520" spans="2:17" x14ac:dyDescent="0.3">
      <c r="B520" s="188">
        <v>529003</v>
      </c>
      <c r="C520" s="158" t="s">
        <v>2259</v>
      </c>
      <c r="D520" s="160">
        <v>0</v>
      </c>
      <c r="E520" s="161" t="s">
        <v>237</v>
      </c>
      <c r="F520" s="160">
        <v>0</v>
      </c>
      <c r="G520" s="161" t="s">
        <v>380</v>
      </c>
      <c r="H520" s="161" t="s">
        <v>1798</v>
      </c>
      <c r="I520" s="161" t="s">
        <v>1799</v>
      </c>
      <c r="J520" s="160">
        <v>0</v>
      </c>
      <c r="K520" s="161" t="s">
        <v>380</v>
      </c>
      <c r="L520" s="160">
        <v>0</v>
      </c>
      <c r="M520" s="161" t="s">
        <v>380</v>
      </c>
      <c r="N520" s="160">
        <v>0</v>
      </c>
      <c r="O520" s="160">
        <v>0</v>
      </c>
      <c r="P520" s="160">
        <v>0</v>
      </c>
      <c r="Q520" s="161" t="s">
        <v>237</v>
      </c>
    </row>
    <row r="521" spans="2:17" x14ac:dyDescent="0.3">
      <c r="B521" s="188">
        <v>529004</v>
      </c>
      <c r="C521" s="158" t="s">
        <v>189</v>
      </c>
      <c r="D521" s="160">
        <v>8700</v>
      </c>
      <c r="E521" s="161" t="s">
        <v>237</v>
      </c>
      <c r="F521" s="160">
        <v>30000</v>
      </c>
      <c r="G521" s="161" t="s">
        <v>380</v>
      </c>
      <c r="H521" s="161" t="s">
        <v>2798</v>
      </c>
      <c r="I521" s="161" t="s">
        <v>2677</v>
      </c>
      <c r="J521" s="160">
        <v>68400</v>
      </c>
      <c r="K521" s="161" t="s">
        <v>380</v>
      </c>
      <c r="L521" s="160">
        <v>98400</v>
      </c>
      <c r="M521" s="161" t="s">
        <v>380</v>
      </c>
      <c r="N521" s="160">
        <v>43</v>
      </c>
      <c r="O521" s="160">
        <v>9.1199999999999992</v>
      </c>
      <c r="P521" s="160">
        <v>18504</v>
      </c>
      <c r="Q521" s="161" t="s">
        <v>237</v>
      </c>
    </row>
    <row r="522" spans="2:17" x14ac:dyDescent="0.3">
      <c r="B522" s="188">
        <v>529112</v>
      </c>
      <c r="C522" s="158" t="s">
        <v>2260</v>
      </c>
      <c r="D522" s="160">
        <v>0</v>
      </c>
      <c r="E522" s="161" t="s">
        <v>237</v>
      </c>
      <c r="F522" s="160">
        <v>0</v>
      </c>
      <c r="G522" s="161" t="s">
        <v>374</v>
      </c>
      <c r="H522" s="161" t="s">
        <v>1478</v>
      </c>
      <c r="I522" s="161" t="s">
        <v>1643</v>
      </c>
      <c r="J522" s="160">
        <v>0</v>
      </c>
      <c r="K522" s="161" t="s">
        <v>374</v>
      </c>
      <c r="L522" s="160">
        <v>0</v>
      </c>
      <c r="M522" s="161" t="s">
        <v>374</v>
      </c>
      <c r="N522" s="160">
        <v>0</v>
      </c>
      <c r="O522" s="160">
        <v>0</v>
      </c>
      <c r="P522" s="160">
        <v>0</v>
      </c>
      <c r="Q522" s="161" t="s">
        <v>237</v>
      </c>
    </row>
    <row r="523" spans="2:17" x14ac:dyDescent="0.3">
      <c r="B523" s="188">
        <v>531171</v>
      </c>
      <c r="C523" s="158" t="s">
        <v>2261</v>
      </c>
      <c r="D523" s="160">
        <v>0</v>
      </c>
      <c r="E523" s="161" t="s">
        <v>237</v>
      </c>
      <c r="F523" s="160">
        <v>0</v>
      </c>
      <c r="G523" s="161" t="s">
        <v>380</v>
      </c>
      <c r="H523" s="161" t="s">
        <v>1478</v>
      </c>
      <c r="I523" s="161" t="s">
        <v>1478</v>
      </c>
      <c r="J523" s="160">
        <v>0</v>
      </c>
      <c r="K523" s="161" t="s">
        <v>380</v>
      </c>
      <c r="L523" s="160">
        <v>0</v>
      </c>
      <c r="M523" s="161" t="s">
        <v>380</v>
      </c>
      <c r="N523" s="160">
        <v>0</v>
      </c>
      <c r="O523" s="160">
        <v>0</v>
      </c>
      <c r="P523" s="160">
        <v>0</v>
      </c>
      <c r="Q523" s="161" t="s">
        <v>237</v>
      </c>
    </row>
    <row r="524" spans="2:17" x14ac:dyDescent="0.3">
      <c r="B524" s="188">
        <v>531173</v>
      </c>
      <c r="C524" s="158" t="s">
        <v>2262</v>
      </c>
      <c r="D524" s="160">
        <v>0</v>
      </c>
      <c r="E524" s="161" t="s">
        <v>237</v>
      </c>
      <c r="F524" s="160">
        <v>0</v>
      </c>
      <c r="G524" s="161" t="s">
        <v>380</v>
      </c>
      <c r="H524" s="161" t="s">
        <v>1478</v>
      </c>
      <c r="I524" s="161" t="s">
        <v>1478</v>
      </c>
      <c r="J524" s="160">
        <v>0</v>
      </c>
      <c r="K524" s="161" t="s">
        <v>380</v>
      </c>
      <c r="L524" s="160">
        <v>0</v>
      </c>
      <c r="M524" s="161" t="s">
        <v>380</v>
      </c>
      <c r="N524" s="160">
        <v>0</v>
      </c>
      <c r="O524" s="160">
        <v>0</v>
      </c>
      <c r="P524" s="160">
        <v>0</v>
      </c>
      <c r="Q524" s="161" t="s">
        <v>237</v>
      </c>
    </row>
    <row r="525" spans="2:17" x14ac:dyDescent="0.3">
      <c r="B525" s="188">
        <v>531330</v>
      </c>
      <c r="C525" s="158" t="s">
        <v>2263</v>
      </c>
      <c r="D525" s="160">
        <v>0</v>
      </c>
      <c r="E525" s="161" t="s">
        <v>237</v>
      </c>
      <c r="F525" s="160">
        <v>0</v>
      </c>
      <c r="G525" s="161" t="s">
        <v>380</v>
      </c>
      <c r="H525" s="161" t="s">
        <v>1800</v>
      </c>
      <c r="I525" s="161" t="s">
        <v>1800</v>
      </c>
      <c r="J525" s="160">
        <v>0</v>
      </c>
      <c r="K525" s="161" t="s">
        <v>380</v>
      </c>
      <c r="L525" s="160">
        <v>0</v>
      </c>
      <c r="M525" s="161" t="s">
        <v>380</v>
      </c>
      <c r="N525" s="160">
        <v>0</v>
      </c>
      <c r="O525" s="160">
        <v>0</v>
      </c>
      <c r="P525" s="160">
        <v>0</v>
      </c>
      <c r="Q525" s="161" t="s">
        <v>237</v>
      </c>
    </row>
    <row r="526" spans="2:17" x14ac:dyDescent="0.3">
      <c r="B526" s="188">
        <v>531765</v>
      </c>
      <c r="C526" s="158" t="s">
        <v>2264</v>
      </c>
      <c r="D526" s="160">
        <v>0</v>
      </c>
      <c r="E526" s="161" t="s">
        <v>237</v>
      </c>
      <c r="F526" s="160">
        <v>0</v>
      </c>
      <c r="G526" s="161" t="s">
        <v>380</v>
      </c>
      <c r="H526" s="161" t="s">
        <v>1801</v>
      </c>
      <c r="I526" s="161" t="s">
        <v>1801</v>
      </c>
      <c r="J526" s="160">
        <v>0</v>
      </c>
      <c r="K526" s="161" t="s">
        <v>380</v>
      </c>
      <c r="L526" s="160">
        <v>0</v>
      </c>
      <c r="M526" s="161" t="s">
        <v>380</v>
      </c>
      <c r="N526" s="160">
        <v>0</v>
      </c>
      <c r="O526" s="160">
        <v>0</v>
      </c>
      <c r="P526" s="160">
        <v>0</v>
      </c>
      <c r="Q526" s="161" t="s">
        <v>237</v>
      </c>
    </row>
    <row r="527" spans="2:17" x14ac:dyDescent="0.3">
      <c r="B527" s="188">
        <v>531944</v>
      </c>
      <c r="C527" s="158" t="s">
        <v>2265</v>
      </c>
      <c r="D527" s="160">
        <v>0</v>
      </c>
      <c r="E527" s="161" t="s">
        <v>237</v>
      </c>
      <c r="F527" s="160">
        <v>0</v>
      </c>
      <c r="G527" s="161" t="s">
        <v>380</v>
      </c>
      <c r="H527" s="161" t="s">
        <v>1802</v>
      </c>
      <c r="I527" s="161" t="s">
        <v>1789</v>
      </c>
      <c r="J527" s="160">
        <v>0</v>
      </c>
      <c r="K527" s="161" t="s">
        <v>380</v>
      </c>
      <c r="L527" s="160">
        <v>0</v>
      </c>
      <c r="M527" s="161" t="s">
        <v>380</v>
      </c>
      <c r="N527" s="160">
        <v>0</v>
      </c>
      <c r="O527" s="160">
        <v>0</v>
      </c>
      <c r="P527" s="160">
        <v>0</v>
      </c>
      <c r="Q527" s="161" t="s">
        <v>237</v>
      </c>
    </row>
    <row r="528" spans="2:17" x14ac:dyDescent="0.3">
      <c r="B528" s="188">
        <v>532246</v>
      </c>
      <c r="C528" s="158" t="s">
        <v>2266</v>
      </c>
      <c r="D528" s="160">
        <v>0</v>
      </c>
      <c r="E528" s="161" t="s">
        <v>237</v>
      </c>
      <c r="F528" s="160">
        <v>0</v>
      </c>
      <c r="G528" s="161" t="s">
        <v>380</v>
      </c>
      <c r="H528" s="161" t="s">
        <v>1772</v>
      </c>
      <c r="I528" s="161" t="s">
        <v>1670</v>
      </c>
      <c r="J528" s="160">
        <v>0</v>
      </c>
      <c r="K528" s="161" t="s">
        <v>380</v>
      </c>
      <c r="L528" s="160">
        <v>0</v>
      </c>
      <c r="M528" s="161" t="s">
        <v>380</v>
      </c>
      <c r="N528" s="160">
        <v>0</v>
      </c>
      <c r="O528" s="160">
        <v>0</v>
      </c>
      <c r="P528" s="160">
        <v>0</v>
      </c>
      <c r="Q528" s="161" t="s">
        <v>237</v>
      </c>
    </row>
    <row r="529" spans="2:17" x14ac:dyDescent="0.3">
      <c r="B529" s="188">
        <v>532247</v>
      </c>
      <c r="C529" s="158" t="s">
        <v>2267</v>
      </c>
      <c r="D529" s="160">
        <v>0</v>
      </c>
      <c r="E529" s="161" t="s">
        <v>237</v>
      </c>
      <c r="F529" s="160">
        <v>0</v>
      </c>
      <c r="G529" s="161" t="s">
        <v>380</v>
      </c>
      <c r="H529" s="161" t="s">
        <v>1478</v>
      </c>
      <c r="I529" s="161" t="s">
        <v>1478</v>
      </c>
      <c r="J529" s="160">
        <v>0</v>
      </c>
      <c r="K529" s="161" t="s">
        <v>380</v>
      </c>
      <c r="L529" s="160">
        <v>0</v>
      </c>
      <c r="M529" s="161" t="s">
        <v>380</v>
      </c>
      <c r="N529" s="160">
        <v>0</v>
      </c>
      <c r="O529" s="160">
        <v>0</v>
      </c>
      <c r="P529" s="160">
        <v>0</v>
      </c>
      <c r="Q529" s="161" t="s">
        <v>237</v>
      </c>
    </row>
    <row r="530" spans="2:17" x14ac:dyDescent="0.3">
      <c r="B530" s="188">
        <v>532248</v>
      </c>
      <c r="C530" s="158" t="s">
        <v>2268</v>
      </c>
      <c r="D530" s="160">
        <v>0</v>
      </c>
      <c r="E530" s="161" t="s">
        <v>237</v>
      </c>
      <c r="F530" s="160">
        <v>0</v>
      </c>
      <c r="G530" s="161" t="s">
        <v>380</v>
      </c>
      <c r="H530" s="161" t="s">
        <v>1772</v>
      </c>
      <c r="I530" s="161" t="s">
        <v>1670</v>
      </c>
      <c r="J530" s="160">
        <v>0</v>
      </c>
      <c r="K530" s="161" t="s">
        <v>380</v>
      </c>
      <c r="L530" s="160">
        <v>0</v>
      </c>
      <c r="M530" s="161" t="s">
        <v>380</v>
      </c>
      <c r="N530" s="160">
        <v>0</v>
      </c>
      <c r="O530" s="160">
        <v>0</v>
      </c>
      <c r="P530" s="160">
        <v>0</v>
      </c>
      <c r="Q530" s="161" t="s">
        <v>237</v>
      </c>
    </row>
    <row r="531" spans="2:17" x14ac:dyDescent="0.3">
      <c r="B531" s="188">
        <v>532249</v>
      </c>
      <c r="C531" s="158" t="s">
        <v>2269</v>
      </c>
      <c r="D531" s="160">
        <v>0</v>
      </c>
      <c r="E531" s="161" t="s">
        <v>237</v>
      </c>
      <c r="F531" s="160">
        <v>0</v>
      </c>
      <c r="G531" s="161" t="s">
        <v>380</v>
      </c>
      <c r="H531" s="161" t="s">
        <v>1772</v>
      </c>
      <c r="I531" s="161" t="s">
        <v>1670</v>
      </c>
      <c r="J531" s="160">
        <v>0</v>
      </c>
      <c r="K531" s="161" t="s">
        <v>380</v>
      </c>
      <c r="L531" s="160">
        <v>0</v>
      </c>
      <c r="M531" s="161" t="s">
        <v>380</v>
      </c>
      <c r="N531" s="160">
        <v>0</v>
      </c>
      <c r="O531" s="160">
        <v>0</v>
      </c>
      <c r="P531" s="160">
        <v>0</v>
      </c>
      <c r="Q531" s="161" t="s">
        <v>237</v>
      </c>
    </row>
    <row r="532" spans="2:17" x14ac:dyDescent="0.3">
      <c r="B532" s="188">
        <v>532300</v>
      </c>
      <c r="C532" s="158" t="s">
        <v>212</v>
      </c>
      <c r="D532" s="160">
        <v>3480.98</v>
      </c>
      <c r="E532" s="161" t="s">
        <v>237</v>
      </c>
      <c r="F532" s="160">
        <v>42000</v>
      </c>
      <c r="G532" s="161" t="s">
        <v>380</v>
      </c>
      <c r="H532" s="161" t="s">
        <v>2817</v>
      </c>
      <c r="I532" s="161" t="s">
        <v>2799</v>
      </c>
      <c r="J532" s="160">
        <v>210000</v>
      </c>
      <c r="K532" s="161" t="s">
        <v>380</v>
      </c>
      <c r="L532" s="160">
        <v>210000</v>
      </c>
      <c r="M532" s="161" t="s">
        <v>380</v>
      </c>
      <c r="N532" s="160">
        <v>19</v>
      </c>
      <c r="O532" s="160">
        <v>5</v>
      </c>
      <c r="P532" s="160">
        <v>16757.900000000001</v>
      </c>
      <c r="Q532" s="161" t="s">
        <v>237</v>
      </c>
    </row>
    <row r="533" spans="2:17" x14ac:dyDescent="0.3">
      <c r="B533" s="188">
        <v>532945</v>
      </c>
      <c r="C533" s="158" t="s">
        <v>2270</v>
      </c>
      <c r="D533" s="160">
        <v>0</v>
      </c>
      <c r="E533" s="161" t="s">
        <v>237</v>
      </c>
      <c r="F533" s="160">
        <v>0</v>
      </c>
      <c r="G533" s="161" t="s">
        <v>380</v>
      </c>
      <c r="H533" s="161" t="s">
        <v>1478</v>
      </c>
      <c r="I533" s="161" t="s">
        <v>1478</v>
      </c>
      <c r="J533" s="160">
        <v>0</v>
      </c>
      <c r="K533" s="161" t="s">
        <v>380</v>
      </c>
      <c r="L533" s="160">
        <v>0</v>
      </c>
      <c r="M533" s="161" t="s">
        <v>380</v>
      </c>
      <c r="N533" s="160">
        <v>0</v>
      </c>
      <c r="O533" s="160">
        <v>0</v>
      </c>
      <c r="P533" s="160">
        <v>0</v>
      </c>
      <c r="Q533" s="161" t="s">
        <v>237</v>
      </c>
    </row>
    <row r="534" spans="2:17" x14ac:dyDescent="0.3">
      <c r="B534" s="188">
        <v>532946</v>
      </c>
      <c r="C534" s="158" t="s">
        <v>2271</v>
      </c>
      <c r="D534" s="160">
        <v>0</v>
      </c>
      <c r="E534" s="161" t="s">
        <v>237</v>
      </c>
      <c r="F534" s="160">
        <v>0</v>
      </c>
      <c r="G534" s="161" t="s">
        <v>380</v>
      </c>
      <c r="H534" s="161" t="s">
        <v>1478</v>
      </c>
      <c r="I534" s="161" t="s">
        <v>1478</v>
      </c>
      <c r="J534" s="160">
        <v>0</v>
      </c>
      <c r="K534" s="161" t="s">
        <v>380</v>
      </c>
      <c r="L534" s="160">
        <v>0</v>
      </c>
      <c r="M534" s="161" t="s">
        <v>380</v>
      </c>
      <c r="N534" s="160">
        <v>0</v>
      </c>
      <c r="O534" s="160">
        <v>0</v>
      </c>
      <c r="P534" s="160">
        <v>0</v>
      </c>
      <c r="Q534" s="161" t="s">
        <v>237</v>
      </c>
    </row>
    <row r="535" spans="2:17" x14ac:dyDescent="0.3">
      <c r="B535" s="188">
        <v>532948</v>
      </c>
      <c r="C535" s="158" t="s">
        <v>192</v>
      </c>
      <c r="D535" s="160">
        <v>2548.0300000000002</v>
      </c>
      <c r="E535" s="161" t="s">
        <v>237</v>
      </c>
      <c r="F535" s="160">
        <v>51.456000000000003</v>
      </c>
      <c r="G535" s="161" t="s">
        <v>374</v>
      </c>
      <c r="H535" s="161" t="s">
        <v>2805</v>
      </c>
      <c r="I535" s="161" t="s">
        <v>2817</v>
      </c>
      <c r="J535" s="160">
        <v>50.527999999999999</v>
      </c>
      <c r="K535" s="161" t="s">
        <v>374</v>
      </c>
      <c r="L535" s="160">
        <v>18.948</v>
      </c>
      <c r="M535" s="161" t="s">
        <v>374</v>
      </c>
      <c r="N535" s="160">
        <v>150</v>
      </c>
      <c r="O535" s="160">
        <v>0.48</v>
      </c>
      <c r="P535" s="160">
        <v>1563.8</v>
      </c>
      <c r="Q535" s="161" t="s">
        <v>237</v>
      </c>
    </row>
    <row r="536" spans="2:17" x14ac:dyDescent="0.3">
      <c r="B536" s="188">
        <v>532972</v>
      </c>
      <c r="C536" s="158" t="s">
        <v>2272</v>
      </c>
      <c r="D536" s="160">
        <v>0</v>
      </c>
      <c r="E536" s="161" t="s">
        <v>237</v>
      </c>
      <c r="F536" s="160">
        <v>0</v>
      </c>
      <c r="G536" s="161" t="s">
        <v>380</v>
      </c>
      <c r="H536" s="161" t="s">
        <v>1644</v>
      </c>
      <c r="I536" s="161" t="s">
        <v>1780</v>
      </c>
      <c r="J536" s="160">
        <v>0</v>
      </c>
      <c r="K536" s="161" t="s">
        <v>380</v>
      </c>
      <c r="L536" s="160">
        <v>0</v>
      </c>
      <c r="M536" s="161" t="s">
        <v>380</v>
      </c>
      <c r="N536" s="160">
        <v>0</v>
      </c>
      <c r="O536" s="160">
        <v>0</v>
      </c>
      <c r="P536" s="160">
        <v>0</v>
      </c>
      <c r="Q536" s="161" t="s">
        <v>237</v>
      </c>
    </row>
    <row r="537" spans="2:17" x14ac:dyDescent="0.3">
      <c r="B537" s="188">
        <v>532976</v>
      </c>
      <c r="C537" s="158" t="s">
        <v>1585</v>
      </c>
      <c r="D537" s="160">
        <v>0</v>
      </c>
      <c r="E537" s="161" t="s">
        <v>237</v>
      </c>
      <c r="F537" s="160">
        <v>0</v>
      </c>
      <c r="G537" s="161" t="s">
        <v>380</v>
      </c>
      <c r="H537" s="161" t="s">
        <v>1622</v>
      </c>
      <c r="I537" s="161" t="s">
        <v>2625</v>
      </c>
      <c r="J537" s="160">
        <v>0</v>
      </c>
      <c r="K537" s="161" t="s">
        <v>380</v>
      </c>
      <c r="L537" s="160">
        <v>0</v>
      </c>
      <c r="M537" s="161" t="s">
        <v>380</v>
      </c>
      <c r="N537" s="160">
        <v>0</v>
      </c>
      <c r="O537" s="160">
        <v>0</v>
      </c>
      <c r="P537" s="160">
        <v>0</v>
      </c>
      <c r="Q537" s="161" t="s">
        <v>237</v>
      </c>
    </row>
    <row r="538" spans="2:17" x14ac:dyDescent="0.3">
      <c r="B538" s="188">
        <v>532978</v>
      </c>
      <c r="C538" s="158" t="s">
        <v>2273</v>
      </c>
      <c r="D538" s="160">
        <v>0</v>
      </c>
      <c r="E538" s="161" t="s">
        <v>237</v>
      </c>
      <c r="F538" s="160">
        <v>0</v>
      </c>
      <c r="G538" s="161" t="s">
        <v>380</v>
      </c>
      <c r="H538" s="161" t="s">
        <v>1789</v>
      </c>
      <c r="I538" s="161" t="s">
        <v>1789</v>
      </c>
      <c r="J538" s="160">
        <v>0</v>
      </c>
      <c r="K538" s="161" t="s">
        <v>380</v>
      </c>
      <c r="L538" s="160">
        <v>0</v>
      </c>
      <c r="M538" s="161" t="s">
        <v>380</v>
      </c>
      <c r="N538" s="160">
        <v>0</v>
      </c>
      <c r="O538" s="160">
        <v>0</v>
      </c>
      <c r="P538" s="160">
        <v>0</v>
      </c>
      <c r="Q538" s="161" t="s">
        <v>237</v>
      </c>
    </row>
    <row r="539" spans="2:17" x14ac:dyDescent="0.3">
      <c r="B539" s="188">
        <v>532979</v>
      </c>
      <c r="C539" s="158" t="s">
        <v>2274</v>
      </c>
      <c r="D539" s="160">
        <v>0</v>
      </c>
      <c r="E539" s="161" t="s">
        <v>237</v>
      </c>
      <c r="F539" s="160">
        <v>0</v>
      </c>
      <c r="G539" s="161" t="s">
        <v>380</v>
      </c>
      <c r="H539" s="161" t="s">
        <v>1789</v>
      </c>
      <c r="I539" s="161" t="s">
        <v>1690</v>
      </c>
      <c r="J539" s="160">
        <v>0</v>
      </c>
      <c r="K539" s="161" t="s">
        <v>380</v>
      </c>
      <c r="L539" s="160">
        <v>0</v>
      </c>
      <c r="M539" s="161" t="s">
        <v>380</v>
      </c>
      <c r="N539" s="160">
        <v>0</v>
      </c>
      <c r="O539" s="160">
        <v>0</v>
      </c>
      <c r="P539" s="160">
        <v>0</v>
      </c>
      <c r="Q539" s="161" t="s">
        <v>237</v>
      </c>
    </row>
    <row r="540" spans="2:17" x14ac:dyDescent="0.3">
      <c r="B540" s="188">
        <v>532980</v>
      </c>
      <c r="C540" s="158" t="s">
        <v>2275</v>
      </c>
      <c r="D540" s="160">
        <v>0</v>
      </c>
      <c r="E540" s="161" t="s">
        <v>237</v>
      </c>
      <c r="F540" s="160">
        <v>0</v>
      </c>
      <c r="G540" s="161" t="s">
        <v>380</v>
      </c>
      <c r="H540" s="161" t="s">
        <v>1789</v>
      </c>
      <c r="I540" s="161" t="s">
        <v>1803</v>
      </c>
      <c r="J540" s="160">
        <v>0</v>
      </c>
      <c r="K540" s="161" t="s">
        <v>380</v>
      </c>
      <c r="L540" s="160">
        <v>0</v>
      </c>
      <c r="M540" s="161" t="s">
        <v>380</v>
      </c>
      <c r="N540" s="160">
        <v>0</v>
      </c>
      <c r="O540" s="160">
        <v>0</v>
      </c>
      <c r="P540" s="160">
        <v>0</v>
      </c>
      <c r="Q540" s="161" t="s">
        <v>237</v>
      </c>
    </row>
    <row r="541" spans="2:17" x14ac:dyDescent="0.3">
      <c r="B541" s="188">
        <v>532981</v>
      </c>
      <c r="C541" s="158" t="s">
        <v>243</v>
      </c>
      <c r="D541" s="160">
        <v>2717.45</v>
      </c>
      <c r="E541" s="161" t="s">
        <v>237</v>
      </c>
      <c r="F541" s="160">
        <v>11815</v>
      </c>
      <c r="G541" s="161" t="s">
        <v>380</v>
      </c>
      <c r="H541" s="161" t="s">
        <v>2811</v>
      </c>
      <c r="I541" s="161" t="s">
        <v>2800</v>
      </c>
      <c r="J541" s="160">
        <v>325113</v>
      </c>
      <c r="K541" s="161" t="s">
        <v>380</v>
      </c>
      <c r="L541" s="160">
        <v>299052</v>
      </c>
      <c r="M541" s="161" t="s">
        <v>380</v>
      </c>
      <c r="N541" s="160">
        <v>7</v>
      </c>
      <c r="O541" s="160">
        <v>7.3</v>
      </c>
      <c r="P541" s="160">
        <v>36273.050000000003</v>
      </c>
      <c r="Q541" s="161" t="s">
        <v>237</v>
      </c>
    </row>
    <row r="542" spans="2:17" x14ac:dyDescent="0.3">
      <c r="B542" s="188">
        <v>533341</v>
      </c>
      <c r="C542" s="158" t="s">
        <v>282</v>
      </c>
      <c r="D542" s="160">
        <v>0</v>
      </c>
      <c r="E542" s="161" t="s">
        <v>237</v>
      </c>
      <c r="F542" s="160">
        <v>0</v>
      </c>
      <c r="G542" s="161" t="s">
        <v>380</v>
      </c>
      <c r="H542" s="161" t="s">
        <v>1480</v>
      </c>
      <c r="I542" s="161" t="s">
        <v>2501</v>
      </c>
      <c r="J542" s="160">
        <v>0</v>
      </c>
      <c r="K542" s="161" t="s">
        <v>380</v>
      </c>
      <c r="L542" s="160">
        <v>0</v>
      </c>
      <c r="M542" s="161" t="s">
        <v>380</v>
      </c>
      <c r="N542" s="160">
        <v>0</v>
      </c>
      <c r="O542" s="160">
        <v>0</v>
      </c>
      <c r="P542" s="160">
        <v>0</v>
      </c>
      <c r="Q542" s="161" t="s">
        <v>237</v>
      </c>
    </row>
    <row r="543" spans="2:17" x14ac:dyDescent="0.3">
      <c r="B543" s="188">
        <v>539101</v>
      </c>
      <c r="C543" s="158" t="s">
        <v>1171</v>
      </c>
      <c r="D543" s="160">
        <v>0</v>
      </c>
      <c r="E543" s="161" t="s">
        <v>237</v>
      </c>
      <c r="F543" s="160">
        <v>0</v>
      </c>
      <c r="G543" s="161" t="s">
        <v>380</v>
      </c>
      <c r="H543" s="161" t="s">
        <v>1979</v>
      </c>
      <c r="I543" s="161" t="s">
        <v>2502</v>
      </c>
      <c r="J543" s="160">
        <v>0</v>
      </c>
      <c r="K543" s="161" t="s">
        <v>380</v>
      </c>
      <c r="L543" s="160">
        <v>0</v>
      </c>
      <c r="M543" s="161" t="s">
        <v>380</v>
      </c>
      <c r="N543" s="160">
        <v>0</v>
      </c>
      <c r="O543" s="160">
        <v>0</v>
      </c>
      <c r="P543" s="160">
        <v>0</v>
      </c>
      <c r="Q543" s="161" t="s">
        <v>237</v>
      </c>
    </row>
    <row r="544" spans="2:17" x14ac:dyDescent="0.3">
      <c r="B544" s="188">
        <v>540340</v>
      </c>
      <c r="C544" s="158" t="s">
        <v>254</v>
      </c>
      <c r="D544" s="160">
        <v>0</v>
      </c>
      <c r="E544" s="161" t="s">
        <v>237</v>
      </c>
      <c r="F544" s="160">
        <v>0</v>
      </c>
      <c r="G544" s="161" t="s">
        <v>380</v>
      </c>
      <c r="H544" s="161" t="s">
        <v>1630</v>
      </c>
      <c r="I544" s="161" t="s">
        <v>2625</v>
      </c>
      <c r="J544" s="160">
        <v>0</v>
      </c>
      <c r="K544" s="161" t="s">
        <v>380</v>
      </c>
      <c r="L544" s="160">
        <v>0</v>
      </c>
      <c r="M544" s="161" t="s">
        <v>380</v>
      </c>
      <c r="N544" s="160">
        <v>0</v>
      </c>
      <c r="O544" s="160">
        <v>0</v>
      </c>
      <c r="P544" s="160">
        <v>0</v>
      </c>
      <c r="Q544" s="161" t="s">
        <v>237</v>
      </c>
    </row>
    <row r="545" spans="2:17" x14ac:dyDescent="0.3">
      <c r="B545" s="188">
        <v>540598</v>
      </c>
      <c r="C545" s="158" t="s">
        <v>2276</v>
      </c>
      <c r="D545" s="160">
        <v>0</v>
      </c>
      <c r="E545" s="161" t="s">
        <v>237</v>
      </c>
      <c r="F545" s="160">
        <v>0</v>
      </c>
      <c r="G545" s="161" t="s">
        <v>380</v>
      </c>
      <c r="H545" s="161" t="s">
        <v>1656</v>
      </c>
      <c r="I545" s="161" t="s">
        <v>1656</v>
      </c>
      <c r="J545" s="160">
        <v>0</v>
      </c>
      <c r="K545" s="161" t="s">
        <v>380</v>
      </c>
      <c r="L545" s="160">
        <v>0</v>
      </c>
      <c r="M545" s="161" t="s">
        <v>380</v>
      </c>
      <c r="N545" s="160">
        <v>0</v>
      </c>
      <c r="O545" s="160">
        <v>0</v>
      </c>
      <c r="P545" s="160">
        <v>0</v>
      </c>
      <c r="Q545" s="161" t="s">
        <v>237</v>
      </c>
    </row>
    <row r="546" spans="2:17" x14ac:dyDescent="0.3">
      <c r="B546" s="188">
        <v>540600</v>
      </c>
      <c r="C546" s="158" t="s">
        <v>1287</v>
      </c>
      <c r="D546" s="160">
        <v>0</v>
      </c>
      <c r="E546" s="161" t="s">
        <v>237</v>
      </c>
      <c r="F546" s="160">
        <v>0</v>
      </c>
      <c r="G546" s="161" t="s">
        <v>380</v>
      </c>
      <c r="H546" s="161" t="s">
        <v>2680</v>
      </c>
      <c r="I546" s="161" t="s">
        <v>2704</v>
      </c>
      <c r="J546" s="160">
        <v>46800</v>
      </c>
      <c r="K546" s="161" t="s">
        <v>380</v>
      </c>
      <c r="L546" s="160">
        <v>0</v>
      </c>
      <c r="M546" s="161" t="s">
        <v>380</v>
      </c>
      <c r="N546" s="160">
        <v>0</v>
      </c>
      <c r="O546" s="160">
        <v>4</v>
      </c>
      <c r="P546" s="160">
        <v>19043.52</v>
      </c>
      <c r="Q546" s="161" t="s">
        <v>237</v>
      </c>
    </row>
    <row r="547" spans="2:17" x14ac:dyDescent="0.3">
      <c r="B547" s="188">
        <v>541381</v>
      </c>
      <c r="C547" s="158" t="s">
        <v>228</v>
      </c>
      <c r="D547" s="160">
        <v>30520</v>
      </c>
      <c r="E547" s="161" t="s">
        <v>237</v>
      </c>
      <c r="F547" s="160">
        <v>76300</v>
      </c>
      <c r="G547" s="161" t="s">
        <v>380</v>
      </c>
      <c r="H547" s="161" t="s">
        <v>2758</v>
      </c>
      <c r="I547" s="161" t="s">
        <v>236</v>
      </c>
      <c r="J547" s="160">
        <v>308000</v>
      </c>
      <c r="K547" s="161" t="s">
        <v>380</v>
      </c>
      <c r="L547" s="160">
        <v>380800</v>
      </c>
      <c r="M547" s="161" t="s">
        <v>380</v>
      </c>
      <c r="N547" s="160">
        <v>25</v>
      </c>
      <c r="O547" s="160">
        <v>3.03</v>
      </c>
      <c r="P547" s="160">
        <v>112840</v>
      </c>
      <c r="Q547" s="161" t="s">
        <v>237</v>
      </c>
    </row>
    <row r="548" spans="2:17" x14ac:dyDescent="0.3">
      <c r="B548" s="188">
        <v>541707</v>
      </c>
      <c r="C548" s="158" t="s">
        <v>208</v>
      </c>
      <c r="D548" s="160">
        <v>454715.24</v>
      </c>
      <c r="E548" s="161" t="s">
        <v>237</v>
      </c>
      <c r="F548" s="160">
        <v>59930.313999999998</v>
      </c>
      <c r="G548" s="161" t="s">
        <v>374</v>
      </c>
      <c r="H548" s="161" t="s">
        <v>2799</v>
      </c>
      <c r="I548" s="161" t="s">
        <v>2753</v>
      </c>
      <c r="J548" s="160">
        <v>273135.90100000001</v>
      </c>
      <c r="K548" s="161" t="s">
        <v>374</v>
      </c>
      <c r="L548" s="160">
        <v>322398.5</v>
      </c>
      <c r="M548" s="161" t="s">
        <v>374</v>
      </c>
      <c r="N548" s="160">
        <v>53</v>
      </c>
      <c r="O548" s="160">
        <v>4.17</v>
      </c>
      <c r="P548" s="160">
        <v>787841.2</v>
      </c>
      <c r="Q548" s="161" t="s">
        <v>237</v>
      </c>
    </row>
    <row r="549" spans="2:17" x14ac:dyDescent="0.3">
      <c r="B549" s="188">
        <v>542692</v>
      </c>
      <c r="C549" s="158" t="s">
        <v>2277</v>
      </c>
      <c r="D549" s="160">
        <v>5805.8</v>
      </c>
      <c r="E549" s="161" t="s">
        <v>237</v>
      </c>
      <c r="F549" s="160">
        <v>20020</v>
      </c>
      <c r="G549" s="161" t="s">
        <v>380</v>
      </c>
      <c r="H549" s="161" t="s">
        <v>2798</v>
      </c>
      <c r="I549" s="161" t="s">
        <v>2798</v>
      </c>
      <c r="J549" s="160">
        <v>32432</v>
      </c>
      <c r="K549" s="161" t="s">
        <v>380</v>
      </c>
      <c r="L549" s="160">
        <v>52452</v>
      </c>
      <c r="M549" s="161" t="s">
        <v>380</v>
      </c>
      <c r="N549" s="160">
        <v>148</v>
      </c>
      <c r="O549" s="160">
        <v>2.48</v>
      </c>
      <c r="P549" s="160">
        <v>3599.48</v>
      </c>
      <c r="Q549" s="161" t="s">
        <v>237</v>
      </c>
    </row>
    <row r="550" spans="2:17" x14ac:dyDescent="0.3">
      <c r="B550" s="188">
        <v>542951</v>
      </c>
      <c r="C550" s="158" t="s">
        <v>2278</v>
      </c>
      <c r="D550" s="160">
        <v>358.56</v>
      </c>
      <c r="E550" s="161" t="s">
        <v>237</v>
      </c>
      <c r="F550" s="160">
        <v>7.4390000000000001</v>
      </c>
      <c r="G550" s="161" t="s">
        <v>374</v>
      </c>
      <c r="H550" s="161" t="s">
        <v>2800</v>
      </c>
      <c r="I550" s="161" t="s">
        <v>2798</v>
      </c>
      <c r="J550" s="160">
        <v>79.561000000000007</v>
      </c>
      <c r="K550" s="161" t="s">
        <v>374</v>
      </c>
      <c r="L550" s="160">
        <v>87</v>
      </c>
      <c r="M550" s="161" t="s">
        <v>374</v>
      </c>
      <c r="N550" s="160">
        <v>19</v>
      </c>
      <c r="O550" s="160">
        <v>19.39</v>
      </c>
      <c r="P550" s="160">
        <v>1738.13</v>
      </c>
      <c r="Q550" s="161" t="s">
        <v>237</v>
      </c>
    </row>
    <row r="551" spans="2:17" x14ac:dyDescent="0.3">
      <c r="B551" s="188">
        <v>543590</v>
      </c>
      <c r="C551" s="158" t="s">
        <v>220</v>
      </c>
      <c r="D551" s="160">
        <v>22822.799999999999</v>
      </c>
      <c r="E551" s="161" t="s">
        <v>237</v>
      </c>
      <c r="F551" s="160">
        <v>120120</v>
      </c>
      <c r="G551" s="161" t="s">
        <v>380</v>
      </c>
      <c r="H551" s="161" t="s">
        <v>2819</v>
      </c>
      <c r="I551" s="161" t="s">
        <v>2820</v>
      </c>
      <c r="J551" s="160">
        <v>263648</v>
      </c>
      <c r="K551" s="161" t="s">
        <v>380</v>
      </c>
      <c r="L551" s="160">
        <v>331408</v>
      </c>
      <c r="M551" s="161" t="s">
        <v>380</v>
      </c>
      <c r="N551" s="160">
        <v>44</v>
      </c>
      <c r="O551" s="160">
        <v>4.59</v>
      </c>
      <c r="P551" s="160">
        <v>47598.32</v>
      </c>
      <c r="Q551" s="161" t="s">
        <v>237</v>
      </c>
    </row>
    <row r="552" spans="2:17" x14ac:dyDescent="0.3">
      <c r="B552" s="188">
        <v>543921</v>
      </c>
      <c r="C552" s="158" t="s">
        <v>2279</v>
      </c>
      <c r="D552" s="160">
        <v>0</v>
      </c>
      <c r="E552" s="161" t="s">
        <v>237</v>
      </c>
      <c r="F552" s="160">
        <v>0</v>
      </c>
      <c r="G552" s="161" t="s">
        <v>374</v>
      </c>
      <c r="H552" s="161" t="s">
        <v>1478</v>
      </c>
      <c r="I552" s="161" t="s">
        <v>1643</v>
      </c>
      <c r="J552" s="160">
        <v>0</v>
      </c>
      <c r="K552" s="161" t="s">
        <v>374</v>
      </c>
      <c r="L552" s="160">
        <v>0</v>
      </c>
      <c r="M552" s="161" t="s">
        <v>374</v>
      </c>
      <c r="N552" s="160">
        <v>0</v>
      </c>
      <c r="O552" s="160">
        <v>0</v>
      </c>
      <c r="P552" s="160">
        <v>0</v>
      </c>
      <c r="Q552" s="161" t="s">
        <v>237</v>
      </c>
    </row>
    <row r="553" spans="2:17" x14ac:dyDescent="0.3">
      <c r="B553" s="188">
        <v>544098</v>
      </c>
      <c r="C553" s="158" t="s">
        <v>2280</v>
      </c>
      <c r="D553" s="160">
        <v>0</v>
      </c>
      <c r="E553" s="161" t="s">
        <v>237</v>
      </c>
      <c r="F553" s="160">
        <v>0</v>
      </c>
      <c r="G553" s="161" t="s">
        <v>380</v>
      </c>
      <c r="H553" s="161" t="s">
        <v>1697</v>
      </c>
      <c r="I553" s="161" t="s">
        <v>236</v>
      </c>
      <c r="J553" s="160">
        <v>0</v>
      </c>
      <c r="K553" s="161" t="s">
        <v>380</v>
      </c>
      <c r="L553" s="160">
        <v>0</v>
      </c>
      <c r="M553" s="161" t="s">
        <v>380</v>
      </c>
      <c r="N553" s="160">
        <v>0</v>
      </c>
      <c r="O553" s="160">
        <v>0</v>
      </c>
      <c r="P553" s="160">
        <v>0</v>
      </c>
      <c r="Q553" s="161" t="s">
        <v>237</v>
      </c>
    </row>
    <row r="554" spans="2:17" x14ac:dyDescent="0.3">
      <c r="B554" s="188">
        <v>544866</v>
      </c>
      <c r="C554" s="158" t="s">
        <v>2281</v>
      </c>
      <c r="D554" s="160">
        <v>0</v>
      </c>
      <c r="E554" s="161" t="s">
        <v>237</v>
      </c>
      <c r="F554" s="160">
        <v>0</v>
      </c>
      <c r="G554" s="161" t="s">
        <v>380</v>
      </c>
      <c r="H554" s="161" t="s">
        <v>1770</v>
      </c>
      <c r="I554" s="161" t="s">
        <v>1770</v>
      </c>
      <c r="J554" s="160">
        <v>0</v>
      </c>
      <c r="K554" s="161" t="s">
        <v>380</v>
      </c>
      <c r="L554" s="160">
        <v>0</v>
      </c>
      <c r="M554" s="161" t="s">
        <v>380</v>
      </c>
      <c r="N554" s="160">
        <v>0</v>
      </c>
      <c r="O554" s="160">
        <v>0</v>
      </c>
      <c r="P554" s="160">
        <v>0</v>
      </c>
      <c r="Q554" s="161" t="s">
        <v>237</v>
      </c>
    </row>
    <row r="555" spans="2:17" x14ac:dyDescent="0.3">
      <c r="B555" s="188">
        <v>544867</v>
      </c>
      <c r="C555" s="158" t="s">
        <v>2282</v>
      </c>
      <c r="D555" s="160">
        <v>0</v>
      </c>
      <c r="E555" s="161" t="s">
        <v>237</v>
      </c>
      <c r="F555" s="160">
        <v>0</v>
      </c>
      <c r="G555" s="161" t="s">
        <v>380</v>
      </c>
      <c r="H555" s="161" t="s">
        <v>1757</v>
      </c>
      <c r="I555" s="161" t="s">
        <v>1481</v>
      </c>
      <c r="J555" s="160">
        <v>0</v>
      </c>
      <c r="K555" s="161" t="s">
        <v>380</v>
      </c>
      <c r="L555" s="160">
        <v>0</v>
      </c>
      <c r="M555" s="161" t="s">
        <v>380</v>
      </c>
      <c r="N555" s="160">
        <v>0</v>
      </c>
      <c r="O555" s="160">
        <v>0</v>
      </c>
      <c r="P555" s="160">
        <v>0</v>
      </c>
      <c r="Q555" s="161" t="s">
        <v>237</v>
      </c>
    </row>
    <row r="556" spans="2:17" x14ac:dyDescent="0.3">
      <c r="B556" s="188">
        <v>544897</v>
      </c>
      <c r="C556" s="158" t="s">
        <v>2283</v>
      </c>
      <c r="D556" s="160">
        <v>0</v>
      </c>
      <c r="E556" s="161" t="s">
        <v>237</v>
      </c>
      <c r="F556" s="160">
        <v>0</v>
      </c>
      <c r="G556" s="161" t="s">
        <v>380</v>
      </c>
      <c r="H556" s="161" t="s">
        <v>1804</v>
      </c>
      <c r="I556" s="161" t="s">
        <v>1805</v>
      </c>
      <c r="J556" s="160">
        <v>0</v>
      </c>
      <c r="K556" s="161" t="s">
        <v>380</v>
      </c>
      <c r="L556" s="160">
        <v>0</v>
      </c>
      <c r="M556" s="161" t="s">
        <v>380</v>
      </c>
      <c r="N556" s="160">
        <v>0</v>
      </c>
      <c r="O556" s="160">
        <v>0</v>
      </c>
      <c r="P556" s="160">
        <v>0</v>
      </c>
      <c r="Q556" s="161" t="s">
        <v>237</v>
      </c>
    </row>
    <row r="557" spans="2:17" x14ac:dyDescent="0.3">
      <c r="B557" s="188">
        <v>544899</v>
      </c>
      <c r="C557" s="158" t="s">
        <v>2284</v>
      </c>
      <c r="D557" s="160">
        <v>0</v>
      </c>
      <c r="E557" s="161" t="s">
        <v>237</v>
      </c>
      <c r="F557" s="160">
        <v>0</v>
      </c>
      <c r="G557" s="161" t="s">
        <v>380</v>
      </c>
      <c r="H557" s="161" t="s">
        <v>1521</v>
      </c>
      <c r="I557" s="161" t="s">
        <v>1805</v>
      </c>
      <c r="J557" s="160">
        <v>0</v>
      </c>
      <c r="K557" s="161" t="s">
        <v>380</v>
      </c>
      <c r="L557" s="160">
        <v>0</v>
      </c>
      <c r="M557" s="161" t="s">
        <v>380</v>
      </c>
      <c r="N557" s="160">
        <v>0</v>
      </c>
      <c r="O557" s="160">
        <v>0</v>
      </c>
      <c r="P557" s="160">
        <v>0</v>
      </c>
      <c r="Q557" s="161" t="s">
        <v>237</v>
      </c>
    </row>
    <row r="558" spans="2:17" x14ac:dyDescent="0.3">
      <c r="B558" s="188">
        <v>545429</v>
      </c>
      <c r="C558" s="158" t="s">
        <v>244</v>
      </c>
      <c r="D558" s="160">
        <v>0</v>
      </c>
      <c r="E558" s="161" t="s">
        <v>237</v>
      </c>
      <c r="F558" s="160">
        <v>0</v>
      </c>
      <c r="G558" s="161" t="s">
        <v>380</v>
      </c>
      <c r="H558" s="161" t="s">
        <v>2645</v>
      </c>
      <c r="I558" s="161" t="s">
        <v>2815</v>
      </c>
      <c r="J558" s="160">
        <v>20000</v>
      </c>
      <c r="K558" s="161" t="s">
        <v>380</v>
      </c>
      <c r="L558" s="160">
        <v>0</v>
      </c>
      <c r="M558" s="161" t="s">
        <v>380</v>
      </c>
      <c r="N558" s="160">
        <v>0</v>
      </c>
      <c r="O558" s="160">
        <v>1.63</v>
      </c>
      <c r="P558" s="160">
        <v>1978.77</v>
      </c>
      <c r="Q558" s="161" t="s">
        <v>237</v>
      </c>
    </row>
    <row r="559" spans="2:17" x14ac:dyDescent="0.3">
      <c r="B559" s="188">
        <v>545476</v>
      </c>
      <c r="C559" s="158" t="s">
        <v>201</v>
      </c>
      <c r="D559" s="160">
        <v>2568.98</v>
      </c>
      <c r="E559" s="161" t="s">
        <v>237</v>
      </c>
      <c r="F559" s="160">
        <v>62.658000000000001</v>
      </c>
      <c r="G559" s="161" t="s">
        <v>374</v>
      </c>
      <c r="H559" s="161" t="s">
        <v>2663</v>
      </c>
      <c r="I559" s="161" t="s">
        <v>2631</v>
      </c>
      <c r="J559" s="160">
        <v>0</v>
      </c>
      <c r="K559" s="161" t="s">
        <v>374</v>
      </c>
      <c r="L559" s="160">
        <v>0</v>
      </c>
      <c r="M559" s="161" t="s">
        <v>374</v>
      </c>
      <c r="N559" s="160">
        <v>99999</v>
      </c>
      <c r="O559" s="160">
        <v>0</v>
      </c>
      <c r="P559" s="160">
        <v>0</v>
      </c>
      <c r="Q559" s="161" t="s">
        <v>237</v>
      </c>
    </row>
    <row r="560" spans="2:17" x14ac:dyDescent="0.3">
      <c r="B560" s="188">
        <v>546271</v>
      </c>
      <c r="C560" s="158" t="s">
        <v>2285</v>
      </c>
      <c r="D560" s="160">
        <v>0</v>
      </c>
      <c r="E560" s="161" t="s">
        <v>237</v>
      </c>
      <c r="F560" s="160">
        <v>0</v>
      </c>
      <c r="G560" s="161" t="s">
        <v>380</v>
      </c>
      <c r="H560" s="161" t="s">
        <v>1806</v>
      </c>
      <c r="I560" s="161" t="s">
        <v>1733</v>
      </c>
      <c r="J560" s="160">
        <v>0</v>
      </c>
      <c r="K560" s="161" t="s">
        <v>380</v>
      </c>
      <c r="L560" s="160">
        <v>0</v>
      </c>
      <c r="M560" s="161" t="s">
        <v>380</v>
      </c>
      <c r="N560" s="160">
        <v>0</v>
      </c>
      <c r="O560" s="160">
        <v>0</v>
      </c>
      <c r="P560" s="160">
        <v>0</v>
      </c>
      <c r="Q560" s="161" t="s">
        <v>237</v>
      </c>
    </row>
    <row r="561" spans="2:17" x14ac:dyDescent="0.3">
      <c r="B561" s="188">
        <v>547130</v>
      </c>
      <c r="C561" s="158" t="s">
        <v>2286</v>
      </c>
      <c r="D561" s="160">
        <v>0</v>
      </c>
      <c r="E561" s="161" t="s">
        <v>237</v>
      </c>
      <c r="F561" s="160">
        <v>0</v>
      </c>
      <c r="G561" s="161" t="s">
        <v>380</v>
      </c>
      <c r="H561" s="161" t="s">
        <v>1742</v>
      </c>
      <c r="I561" s="161" t="s">
        <v>1742</v>
      </c>
      <c r="J561" s="160">
        <v>0</v>
      </c>
      <c r="K561" s="161" t="s">
        <v>380</v>
      </c>
      <c r="L561" s="160">
        <v>0</v>
      </c>
      <c r="M561" s="161" t="s">
        <v>380</v>
      </c>
      <c r="N561" s="160">
        <v>0</v>
      </c>
      <c r="O561" s="160">
        <v>0</v>
      </c>
      <c r="P561" s="160">
        <v>0</v>
      </c>
      <c r="Q561" s="161" t="s">
        <v>237</v>
      </c>
    </row>
    <row r="562" spans="2:17" x14ac:dyDescent="0.3">
      <c r="B562" s="188">
        <v>549292</v>
      </c>
      <c r="C562" s="158" t="s">
        <v>1928</v>
      </c>
      <c r="D562" s="160">
        <v>0</v>
      </c>
      <c r="E562" s="161" t="s">
        <v>237</v>
      </c>
      <c r="F562" s="160">
        <v>0</v>
      </c>
      <c r="G562" s="161" t="s">
        <v>380</v>
      </c>
      <c r="H562" s="161" t="s">
        <v>2817</v>
      </c>
      <c r="I562" s="161" t="s">
        <v>2797</v>
      </c>
      <c r="J562" s="160">
        <v>7000</v>
      </c>
      <c r="K562" s="161" t="s">
        <v>380</v>
      </c>
      <c r="L562" s="160">
        <v>7000</v>
      </c>
      <c r="M562" s="161" t="s">
        <v>380</v>
      </c>
      <c r="N562" s="160">
        <v>0</v>
      </c>
      <c r="O562" s="160">
        <v>99999</v>
      </c>
      <c r="P562" s="160">
        <v>552.94000000000005</v>
      </c>
      <c r="Q562" s="161" t="s">
        <v>237</v>
      </c>
    </row>
    <row r="563" spans="2:17" x14ac:dyDescent="0.3">
      <c r="B563" s="188">
        <v>549740</v>
      </c>
      <c r="C563" s="158" t="s">
        <v>2287</v>
      </c>
      <c r="D563" s="160">
        <v>0</v>
      </c>
      <c r="E563" s="161" t="s">
        <v>237</v>
      </c>
      <c r="F563" s="160">
        <v>0</v>
      </c>
      <c r="G563" s="161" t="s">
        <v>380</v>
      </c>
      <c r="H563" s="161" t="s">
        <v>1478</v>
      </c>
      <c r="I563" s="161" t="s">
        <v>1643</v>
      </c>
      <c r="J563" s="160">
        <v>0</v>
      </c>
      <c r="K563" s="161" t="s">
        <v>380</v>
      </c>
      <c r="L563" s="160">
        <v>0</v>
      </c>
      <c r="M563" s="161" t="s">
        <v>380</v>
      </c>
      <c r="N563" s="160">
        <v>0</v>
      </c>
      <c r="O563" s="160">
        <v>0</v>
      </c>
      <c r="P563" s="160">
        <v>0</v>
      </c>
      <c r="Q563" s="161" t="s">
        <v>237</v>
      </c>
    </row>
    <row r="564" spans="2:17" x14ac:dyDescent="0.3">
      <c r="B564" s="188">
        <v>549772</v>
      </c>
      <c r="C564" s="158" t="s">
        <v>2288</v>
      </c>
      <c r="D564" s="160">
        <v>0</v>
      </c>
      <c r="E564" s="161" t="s">
        <v>237</v>
      </c>
      <c r="F564" s="160">
        <v>0</v>
      </c>
      <c r="G564" s="161" t="s">
        <v>380</v>
      </c>
      <c r="H564" s="161" t="s">
        <v>1478</v>
      </c>
      <c r="I564" s="161" t="s">
        <v>1643</v>
      </c>
      <c r="J564" s="160">
        <v>0</v>
      </c>
      <c r="K564" s="161" t="s">
        <v>380</v>
      </c>
      <c r="L564" s="160">
        <v>0</v>
      </c>
      <c r="M564" s="161" t="s">
        <v>380</v>
      </c>
      <c r="N564" s="160">
        <v>0</v>
      </c>
      <c r="O564" s="160">
        <v>0</v>
      </c>
      <c r="P564" s="160">
        <v>0</v>
      </c>
      <c r="Q564" s="161" t="s">
        <v>237</v>
      </c>
    </row>
    <row r="565" spans="2:17" x14ac:dyDescent="0.3">
      <c r="B565" s="188">
        <v>549785</v>
      </c>
      <c r="C565" s="158" t="s">
        <v>2289</v>
      </c>
      <c r="D565" s="160">
        <v>0</v>
      </c>
      <c r="E565" s="161" t="s">
        <v>237</v>
      </c>
      <c r="F565" s="160">
        <v>0</v>
      </c>
      <c r="G565" s="161" t="s">
        <v>380</v>
      </c>
      <c r="H565" s="161" t="s">
        <v>1478</v>
      </c>
      <c r="I565" s="161" t="s">
        <v>1643</v>
      </c>
      <c r="J565" s="160">
        <v>0</v>
      </c>
      <c r="K565" s="161" t="s">
        <v>380</v>
      </c>
      <c r="L565" s="160">
        <v>0</v>
      </c>
      <c r="M565" s="161" t="s">
        <v>380</v>
      </c>
      <c r="N565" s="160">
        <v>0</v>
      </c>
      <c r="O565" s="160">
        <v>0</v>
      </c>
      <c r="P565" s="160">
        <v>0</v>
      </c>
      <c r="Q565" s="161" t="s">
        <v>237</v>
      </c>
    </row>
    <row r="566" spans="2:17" x14ac:dyDescent="0.3">
      <c r="B566" s="188">
        <v>549786</v>
      </c>
      <c r="C566" s="158" t="s">
        <v>2290</v>
      </c>
      <c r="D566" s="160">
        <v>0</v>
      </c>
      <c r="E566" s="161" t="s">
        <v>237</v>
      </c>
      <c r="F566" s="160">
        <v>0</v>
      </c>
      <c r="G566" s="161" t="s">
        <v>380</v>
      </c>
      <c r="H566" s="161" t="s">
        <v>1478</v>
      </c>
      <c r="I566" s="161" t="s">
        <v>1643</v>
      </c>
      <c r="J566" s="160">
        <v>0</v>
      </c>
      <c r="K566" s="161" t="s">
        <v>380</v>
      </c>
      <c r="L566" s="160">
        <v>0</v>
      </c>
      <c r="M566" s="161" t="s">
        <v>380</v>
      </c>
      <c r="N566" s="160">
        <v>0</v>
      </c>
      <c r="O566" s="160">
        <v>0</v>
      </c>
      <c r="P566" s="160">
        <v>0</v>
      </c>
      <c r="Q566" s="161" t="s">
        <v>237</v>
      </c>
    </row>
    <row r="567" spans="2:17" x14ac:dyDescent="0.3">
      <c r="B567" s="188">
        <v>549787</v>
      </c>
      <c r="C567" s="158" t="s">
        <v>2291</v>
      </c>
      <c r="D567" s="160">
        <v>0</v>
      </c>
      <c r="E567" s="161" t="s">
        <v>237</v>
      </c>
      <c r="F567" s="160">
        <v>0</v>
      </c>
      <c r="G567" s="161" t="s">
        <v>380</v>
      </c>
      <c r="H567" s="161" t="s">
        <v>1665</v>
      </c>
      <c r="I567" s="161" t="s">
        <v>1481</v>
      </c>
      <c r="J567" s="160">
        <v>0</v>
      </c>
      <c r="K567" s="161" t="s">
        <v>380</v>
      </c>
      <c r="L567" s="160">
        <v>0</v>
      </c>
      <c r="M567" s="161" t="s">
        <v>380</v>
      </c>
      <c r="N567" s="160">
        <v>0</v>
      </c>
      <c r="O567" s="160">
        <v>0</v>
      </c>
      <c r="P567" s="160">
        <v>0</v>
      </c>
      <c r="Q567" s="161" t="s">
        <v>237</v>
      </c>
    </row>
    <row r="568" spans="2:17" x14ac:dyDescent="0.3">
      <c r="B568" s="188">
        <v>549788</v>
      </c>
      <c r="C568" s="158" t="s">
        <v>2292</v>
      </c>
      <c r="D568" s="160">
        <v>0</v>
      </c>
      <c r="E568" s="161" t="s">
        <v>237</v>
      </c>
      <c r="F568" s="160">
        <v>0</v>
      </c>
      <c r="G568" s="161" t="s">
        <v>380</v>
      </c>
      <c r="H568" s="161" t="s">
        <v>1684</v>
      </c>
      <c r="I568" s="161" t="s">
        <v>1646</v>
      </c>
      <c r="J568" s="160">
        <v>0</v>
      </c>
      <c r="K568" s="161" t="s">
        <v>380</v>
      </c>
      <c r="L568" s="160">
        <v>0</v>
      </c>
      <c r="M568" s="161" t="s">
        <v>380</v>
      </c>
      <c r="N568" s="160">
        <v>0</v>
      </c>
      <c r="O568" s="160">
        <v>0</v>
      </c>
      <c r="P568" s="160">
        <v>0</v>
      </c>
      <c r="Q568" s="161" t="s">
        <v>237</v>
      </c>
    </row>
    <row r="569" spans="2:17" x14ac:dyDescent="0.3">
      <c r="B569" s="188">
        <v>549789</v>
      </c>
      <c r="C569" s="158" t="s">
        <v>2293</v>
      </c>
      <c r="D569" s="160">
        <v>0</v>
      </c>
      <c r="E569" s="161" t="s">
        <v>237</v>
      </c>
      <c r="F569" s="160">
        <v>0</v>
      </c>
      <c r="G569" s="161" t="s">
        <v>380</v>
      </c>
      <c r="H569" s="161" t="s">
        <v>1770</v>
      </c>
      <c r="I569" s="161" t="s">
        <v>1770</v>
      </c>
      <c r="J569" s="160">
        <v>0</v>
      </c>
      <c r="K569" s="161" t="s">
        <v>380</v>
      </c>
      <c r="L569" s="160">
        <v>0</v>
      </c>
      <c r="M569" s="161" t="s">
        <v>380</v>
      </c>
      <c r="N569" s="160">
        <v>0</v>
      </c>
      <c r="O569" s="160">
        <v>0</v>
      </c>
      <c r="P569" s="160">
        <v>0</v>
      </c>
      <c r="Q569" s="161" t="s">
        <v>237</v>
      </c>
    </row>
    <row r="570" spans="2:17" x14ac:dyDescent="0.3">
      <c r="B570" s="188">
        <v>549790</v>
      </c>
      <c r="C570" s="158" t="s">
        <v>2294</v>
      </c>
      <c r="D570" s="160">
        <v>0</v>
      </c>
      <c r="E570" s="161" t="s">
        <v>237</v>
      </c>
      <c r="F570" s="160">
        <v>0</v>
      </c>
      <c r="G570" s="161" t="s">
        <v>380</v>
      </c>
      <c r="H570" s="161" t="s">
        <v>1684</v>
      </c>
      <c r="I570" s="161" t="s">
        <v>1646</v>
      </c>
      <c r="J570" s="160">
        <v>0</v>
      </c>
      <c r="K570" s="161" t="s">
        <v>380</v>
      </c>
      <c r="L570" s="160">
        <v>0</v>
      </c>
      <c r="M570" s="161" t="s">
        <v>380</v>
      </c>
      <c r="N570" s="160">
        <v>0</v>
      </c>
      <c r="O570" s="160">
        <v>0</v>
      </c>
      <c r="P570" s="160">
        <v>0</v>
      </c>
      <c r="Q570" s="161" t="s">
        <v>237</v>
      </c>
    </row>
    <row r="571" spans="2:17" x14ac:dyDescent="0.3">
      <c r="B571" s="188">
        <v>549791</v>
      </c>
      <c r="C571" s="158" t="s">
        <v>2295</v>
      </c>
      <c r="D571" s="160">
        <v>0</v>
      </c>
      <c r="E571" s="161" t="s">
        <v>237</v>
      </c>
      <c r="F571" s="160">
        <v>0</v>
      </c>
      <c r="G571" s="161" t="s">
        <v>380</v>
      </c>
      <c r="H571" s="161" t="s">
        <v>1611</v>
      </c>
      <c r="I571" s="161" t="s">
        <v>1481</v>
      </c>
      <c r="J571" s="160">
        <v>0</v>
      </c>
      <c r="K571" s="161" t="s">
        <v>380</v>
      </c>
      <c r="L571" s="160">
        <v>0</v>
      </c>
      <c r="M571" s="161" t="s">
        <v>380</v>
      </c>
      <c r="N571" s="160">
        <v>0</v>
      </c>
      <c r="O571" s="160">
        <v>0</v>
      </c>
      <c r="P571" s="160">
        <v>0</v>
      </c>
      <c r="Q571" s="161" t="s">
        <v>237</v>
      </c>
    </row>
    <row r="572" spans="2:17" x14ac:dyDescent="0.3">
      <c r="B572" s="188">
        <v>549814</v>
      </c>
      <c r="C572" s="158" t="s">
        <v>255</v>
      </c>
      <c r="D572" s="160">
        <v>1152.5999999999999</v>
      </c>
      <c r="E572" s="161" t="s">
        <v>237</v>
      </c>
      <c r="F572" s="160">
        <v>5763</v>
      </c>
      <c r="G572" s="161" t="s">
        <v>380</v>
      </c>
      <c r="H572" s="161" t="s">
        <v>2688</v>
      </c>
      <c r="I572" s="161" t="s">
        <v>2759</v>
      </c>
      <c r="J572" s="160">
        <v>4400</v>
      </c>
      <c r="K572" s="161" t="s">
        <v>380</v>
      </c>
      <c r="L572" s="160">
        <v>0</v>
      </c>
      <c r="M572" s="161" t="s">
        <v>380</v>
      </c>
      <c r="N572" s="160">
        <v>127</v>
      </c>
      <c r="O572" s="160">
        <v>0.59</v>
      </c>
      <c r="P572" s="160">
        <v>836</v>
      </c>
      <c r="Q572" s="161" t="s">
        <v>237</v>
      </c>
    </row>
    <row r="573" spans="2:17" x14ac:dyDescent="0.3">
      <c r="B573" s="188">
        <v>550076</v>
      </c>
      <c r="C573" s="158" t="s">
        <v>1178</v>
      </c>
      <c r="D573" s="160">
        <v>0</v>
      </c>
      <c r="E573" s="161" t="s">
        <v>237</v>
      </c>
      <c r="F573" s="160">
        <v>0</v>
      </c>
      <c r="G573" s="161" t="s">
        <v>380</v>
      </c>
      <c r="H573" s="161" t="s">
        <v>2806</v>
      </c>
      <c r="I573" s="161" t="s">
        <v>2809</v>
      </c>
      <c r="J573" s="160">
        <v>70200</v>
      </c>
      <c r="K573" s="161" t="s">
        <v>380</v>
      </c>
      <c r="L573" s="160">
        <v>54000</v>
      </c>
      <c r="M573" s="161" t="s">
        <v>380</v>
      </c>
      <c r="N573" s="160">
        <v>0</v>
      </c>
      <c r="O573" s="160">
        <v>5.78</v>
      </c>
      <c r="P573" s="160">
        <v>13338</v>
      </c>
      <c r="Q573" s="161" t="s">
        <v>237</v>
      </c>
    </row>
    <row r="574" spans="2:17" x14ac:dyDescent="0.3">
      <c r="B574" s="188">
        <v>550077</v>
      </c>
      <c r="C574" s="158" t="s">
        <v>1179</v>
      </c>
      <c r="D574" s="160">
        <v>5208</v>
      </c>
      <c r="E574" s="161" t="s">
        <v>237</v>
      </c>
      <c r="F574" s="160">
        <v>16800</v>
      </c>
      <c r="G574" s="161" t="s">
        <v>380</v>
      </c>
      <c r="H574" s="161" t="s">
        <v>2818</v>
      </c>
      <c r="I574" s="161" t="s">
        <v>2808</v>
      </c>
      <c r="J574" s="160">
        <v>16800</v>
      </c>
      <c r="K574" s="161" t="s">
        <v>380</v>
      </c>
      <c r="L574" s="160">
        <v>33600</v>
      </c>
      <c r="M574" s="161" t="s">
        <v>380</v>
      </c>
      <c r="N574" s="160">
        <v>92</v>
      </c>
      <c r="O574" s="160">
        <v>4</v>
      </c>
      <c r="P574" s="160">
        <v>5208</v>
      </c>
      <c r="Q574" s="161" t="s">
        <v>237</v>
      </c>
    </row>
    <row r="575" spans="2:17" x14ac:dyDescent="0.3">
      <c r="B575" s="188">
        <v>550381</v>
      </c>
      <c r="C575" s="158" t="s">
        <v>209</v>
      </c>
      <c r="D575" s="160">
        <v>0</v>
      </c>
      <c r="E575" s="161" t="s">
        <v>237</v>
      </c>
      <c r="F575" s="160">
        <v>0</v>
      </c>
      <c r="G575" s="161" t="s">
        <v>374</v>
      </c>
      <c r="H575" s="161" t="s">
        <v>1488</v>
      </c>
      <c r="I575" s="161" t="s">
        <v>2572</v>
      </c>
      <c r="J575" s="160">
        <v>0</v>
      </c>
      <c r="K575" s="161" t="s">
        <v>374</v>
      </c>
      <c r="L575" s="160">
        <v>0</v>
      </c>
      <c r="M575" s="161" t="s">
        <v>374</v>
      </c>
      <c r="N575" s="160">
        <v>0</v>
      </c>
      <c r="O575" s="160">
        <v>0</v>
      </c>
      <c r="P575" s="160">
        <v>0</v>
      </c>
      <c r="Q575" s="161" t="s">
        <v>237</v>
      </c>
    </row>
    <row r="576" spans="2:17" x14ac:dyDescent="0.3">
      <c r="B576" s="188">
        <v>551052</v>
      </c>
      <c r="C576" s="158" t="s">
        <v>2296</v>
      </c>
      <c r="D576" s="160">
        <v>0</v>
      </c>
      <c r="E576" s="161" t="s">
        <v>237</v>
      </c>
      <c r="F576" s="160">
        <v>0</v>
      </c>
      <c r="G576" s="161" t="s">
        <v>380</v>
      </c>
      <c r="H576" s="161" t="s">
        <v>1628</v>
      </c>
      <c r="I576" s="161" t="s">
        <v>1633</v>
      </c>
      <c r="J576" s="160">
        <v>0</v>
      </c>
      <c r="K576" s="161" t="s">
        <v>380</v>
      </c>
      <c r="L576" s="160">
        <v>0</v>
      </c>
      <c r="M576" s="161" t="s">
        <v>380</v>
      </c>
      <c r="N576" s="160">
        <v>0</v>
      </c>
      <c r="O576" s="160">
        <v>0</v>
      </c>
      <c r="P576" s="160">
        <v>0</v>
      </c>
      <c r="Q576" s="161" t="s">
        <v>237</v>
      </c>
    </row>
    <row r="577" spans="2:17" x14ac:dyDescent="0.3">
      <c r="B577" s="188">
        <v>551056</v>
      </c>
      <c r="C577" s="158" t="s">
        <v>2297</v>
      </c>
      <c r="D577" s="160">
        <v>0</v>
      </c>
      <c r="E577" s="161" t="s">
        <v>237</v>
      </c>
      <c r="F577" s="160">
        <v>0</v>
      </c>
      <c r="G577" s="161" t="s">
        <v>380</v>
      </c>
      <c r="H577" s="161" t="s">
        <v>1628</v>
      </c>
      <c r="I577" s="161" t="s">
        <v>1633</v>
      </c>
      <c r="J577" s="160">
        <v>0</v>
      </c>
      <c r="K577" s="161" t="s">
        <v>380</v>
      </c>
      <c r="L577" s="160">
        <v>0</v>
      </c>
      <c r="M577" s="161" t="s">
        <v>380</v>
      </c>
      <c r="N577" s="160">
        <v>0</v>
      </c>
      <c r="O577" s="160">
        <v>0</v>
      </c>
      <c r="P577" s="160">
        <v>0</v>
      </c>
      <c r="Q577" s="161" t="s">
        <v>237</v>
      </c>
    </row>
    <row r="578" spans="2:17" x14ac:dyDescent="0.3">
      <c r="B578" s="188">
        <v>551700</v>
      </c>
      <c r="C578" s="158" t="s">
        <v>2298</v>
      </c>
      <c r="D578" s="160">
        <v>0</v>
      </c>
      <c r="E578" s="161" t="s">
        <v>237</v>
      </c>
      <c r="F578" s="160">
        <v>0</v>
      </c>
      <c r="G578" s="161" t="s">
        <v>380</v>
      </c>
      <c r="H578" s="161" t="s">
        <v>2534</v>
      </c>
      <c r="I578" s="161" t="s">
        <v>2641</v>
      </c>
      <c r="J578" s="160">
        <v>0</v>
      </c>
      <c r="K578" s="161" t="s">
        <v>380</v>
      </c>
      <c r="L578" s="160">
        <v>0</v>
      </c>
      <c r="M578" s="161" t="s">
        <v>380</v>
      </c>
      <c r="N578" s="160">
        <v>0</v>
      </c>
      <c r="O578" s="160">
        <v>0</v>
      </c>
      <c r="P578" s="160">
        <v>0</v>
      </c>
      <c r="Q578" s="161" t="s">
        <v>237</v>
      </c>
    </row>
    <row r="579" spans="2:17" x14ac:dyDescent="0.3">
      <c r="B579" s="188">
        <v>552181</v>
      </c>
      <c r="C579" s="158" t="s">
        <v>321</v>
      </c>
      <c r="D579" s="160">
        <v>128449.8</v>
      </c>
      <c r="E579" s="161" t="s">
        <v>237</v>
      </c>
      <c r="F579" s="160">
        <v>713610</v>
      </c>
      <c r="G579" s="161" t="s">
        <v>380</v>
      </c>
      <c r="H579" s="161" t="s">
        <v>2665</v>
      </c>
      <c r="I579" s="161" t="s">
        <v>2821</v>
      </c>
      <c r="J579" s="160">
        <v>1863000</v>
      </c>
      <c r="K579" s="161" t="s">
        <v>380</v>
      </c>
      <c r="L579" s="160">
        <v>2430000</v>
      </c>
      <c r="M579" s="161" t="s">
        <v>380</v>
      </c>
      <c r="N579" s="160">
        <v>32</v>
      </c>
      <c r="O579" s="160">
        <v>5.48</v>
      </c>
      <c r="P579" s="160">
        <v>371466</v>
      </c>
      <c r="Q579" s="161" t="s">
        <v>237</v>
      </c>
    </row>
    <row r="580" spans="2:17" x14ac:dyDescent="0.3">
      <c r="B580" s="188">
        <v>552603</v>
      </c>
      <c r="C580" s="158" t="s">
        <v>2299</v>
      </c>
      <c r="D580" s="160">
        <v>0</v>
      </c>
      <c r="E580" s="161" t="s">
        <v>237</v>
      </c>
      <c r="F580" s="160">
        <v>0</v>
      </c>
      <c r="G580" s="161" t="s">
        <v>380</v>
      </c>
      <c r="H580" s="161" t="s">
        <v>1747</v>
      </c>
      <c r="I580" s="161" t="s">
        <v>1807</v>
      </c>
      <c r="J580" s="160">
        <v>0</v>
      </c>
      <c r="K580" s="161" t="s">
        <v>380</v>
      </c>
      <c r="L580" s="160">
        <v>0</v>
      </c>
      <c r="M580" s="161" t="s">
        <v>380</v>
      </c>
      <c r="N580" s="160">
        <v>0</v>
      </c>
      <c r="O580" s="160">
        <v>0</v>
      </c>
      <c r="P580" s="160">
        <v>0</v>
      </c>
      <c r="Q580" s="161" t="s">
        <v>237</v>
      </c>
    </row>
    <row r="581" spans="2:17" x14ac:dyDescent="0.3">
      <c r="B581" s="188">
        <v>552888</v>
      </c>
      <c r="C581" s="158" t="s">
        <v>2300</v>
      </c>
      <c r="D581" s="160">
        <v>0</v>
      </c>
      <c r="E581" s="161" t="s">
        <v>237</v>
      </c>
      <c r="F581" s="160">
        <v>0</v>
      </c>
      <c r="G581" s="161" t="s">
        <v>380</v>
      </c>
      <c r="H581" s="161" t="s">
        <v>1808</v>
      </c>
      <c r="I581" s="161" t="s">
        <v>1809</v>
      </c>
      <c r="J581" s="160">
        <v>0</v>
      </c>
      <c r="K581" s="161" t="s">
        <v>380</v>
      </c>
      <c r="L581" s="160">
        <v>0</v>
      </c>
      <c r="M581" s="161" t="s">
        <v>380</v>
      </c>
      <c r="N581" s="160">
        <v>0</v>
      </c>
      <c r="O581" s="160">
        <v>0</v>
      </c>
      <c r="P581" s="160">
        <v>0</v>
      </c>
      <c r="Q581" s="161" t="s">
        <v>237</v>
      </c>
    </row>
    <row r="582" spans="2:17" x14ac:dyDescent="0.3">
      <c r="B582" s="188">
        <v>552986</v>
      </c>
      <c r="C582" s="158" t="s">
        <v>2301</v>
      </c>
      <c r="D582" s="160">
        <v>0</v>
      </c>
      <c r="E582" s="161" t="s">
        <v>237</v>
      </c>
      <c r="F582" s="160">
        <v>0</v>
      </c>
      <c r="G582" s="161" t="s">
        <v>380</v>
      </c>
      <c r="H582" s="161" t="s">
        <v>1628</v>
      </c>
      <c r="I582" s="161" t="s">
        <v>1629</v>
      </c>
      <c r="J582" s="160">
        <v>0</v>
      </c>
      <c r="K582" s="161" t="s">
        <v>380</v>
      </c>
      <c r="L582" s="160">
        <v>0</v>
      </c>
      <c r="M582" s="161" t="s">
        <v>380</v>
      </c>
      <c r="N582" s="160">
        <v>0</v>
      </c>
      <c r="O582" s="160">
        <v>0</v>
      </c>
      <c r="P582" s="160">
        <v>0</v>
      </c>
      <c r="Q582" s="161" t="s">
        <v>237</v>
      </c>
    </row>
    <row r="583" spans="2:17" x14ac:dyDescent="0.3">
      <c r="B583" s="188">
        <v>552997</v>
      </c>
      <c r="C583" s="158" t="s">
        <v>2302</v>
      </c>
      <c r="D583" s="160">
        <v>0</v>
      </c>
      <c r="E583" s="161" t="s">
        <v>237</v>
      </c>
      <c r="F583" s="160">
        <v>0</v>
      </c>
      <c r="G583" s="161" t="s">
        <v>374</v>
      </c>
      <c r="H583" s="161" t="s">
        <v>1478</v>
      </c>
      <c r="I583" s="161" t="s">
        <v>1691</v>
      </c>
      <c r="J583" s="160">
        <v>0</v>
      </c>
      <c r="K583" s="161" t="s">
        <v>374</v>
      </c>
      <c r="L583" s="160">
        <v>0</v>
      </c>
      <c r="M583" s="161" t="s">
        <v>374</v>
      </c>
      <c r="N583" s="160">
        <v>0</v>
      </c>
      <c r="O583" s="160">
        <v>0</v>
      </c>
      <c r="P583" s="160">
        <v>0</v>
      </c>
      <c r="Q583" s="161" t="s">
        <v>237</v>
      </c>
    </row>
    <row r="584" spans="2:17" x14ac:dyDescent="0.3">
      <c r="B584" s="188">
        <v>555355</v>
      </c>
      <c r="C584" s="158" t="s">
        <v>2303</v>
      </c>
      <c r="D584" s="160">
        <v>0</v>
      </c>
      <c r="E584" s="161" t="s">
        <v>237</v>
      </c>
      <c r="F584" s="160">
        <v>0</v>
      </c>
      <c r="G584" s="161" t="s">
        <v>380</v>
      </c>
      <c r="H584" s="161" t="s">
        <v>1628</v>
      </c>
      <c r="I584" s="161" t="s">
        <v>1629</v>
      </c>
      <c r="J584" s="160">
        <v>0</v>
      </c>
      <c r="K584" s="161" t="s">
        <v>380</v>
      </c>
      <c r="L584" s="160">
        <v>0</v>
      </c>
      <c r="M584" s="161" t="s">
        <v>380</v>
      </c>
      <c r="N584" s="160">
        <v>0</v>
      </c>
      <c r="O584" s="160">
        <v>0</v>
      </c>
      <c r="P584" s="160">
        <v>0</v>
      </c>
      <c r="Q584" s="161" t="s">
        <v>237</v>
      </c>
    </row>
    <row r="585" spans="2:17" x14ac:dyDescent="0.3">
      <c r="B585" s="188">
        <v>555586</v>
      </c>
      <c r="C585" s="158" t="s">
        <v>2304</v>
      </c>
      <c r="D585" s="160">
        <v>0</v>
      </c>
      <c r="E585" s="161" t="s">
        <v>237</v>
      </c>
      <c r="F585" s="160">
        <v>0</v>
      </c>
      <c r="G585" s="161" t="s">
        <v>380</v>
      </c>
      <c r="H585" s="161" t="s">
        <v>1810</v>
      </c>
      <c r="I585" s="161" t="s">
        <v>1810</v>
      </c>
      <c r="J585" s="160">
        <v>0</v>
      </c>
      <c r="K585" s="161" t="s">
        <v>380</v>
      </c>
      <c r="L585" s="160">
        <v>0</v>
      </c>
      <c r="M585" s="161" t="s">
        <v>380</v>
      </c>
      <c r="N585" s="160">
        <v>0</v>
      </c>
      <c r="O585" s="160">
        <v>0</v>
      </c>
      <c r="P585" s="160">
        <v>0</v>
      </c>
      <c r="Q585" s="161" t="s">
        <v>237</v>
      </c>
    </row>
    <row r="586" spans="2:17" x14ac:dyDescent="0.3">
      <c r="B586" s="188">
        <v>555589</v>
      </c>
      <c r="C586" s="158" t="s">
        <v>2305</v>
      </c>
      <c r="D586" s="160">
        <v>0</v>
      </c>
      <c r="E586" s="161" t="s">
        <v>237</v>
      </c>
      <c r="F586" s="160">
        <v>0</v>
      </c>
      <c r="G586" s="161" t="s">
        <v>380</v>
      </c>
      <c r="H586" s="161" t="s">
        <v>1646</v>
      </c>
      <c r="I586" s="161" t="s">
        <v>1473</v>
      </c>
      <c r="J586" s="160">
        <v>0</v>
      </c>
      <c r="K586" s="161" t="s">
        <v>380</v>
      </c>
      <c r="L586" s="160">
        <v>0</v>
      </c>
      <c r="M586" s="161" t="s">
        <v>380</v>
      </c>
      <c r="N586" s="160">
        <v>0</v>
      </c>
      <c r="O586" s="160">
        <v>0</v>
      </c>
      <c r="P586" s="160">
        <v>0</v>
      </c>
      <c r="Q586" s="161" t="s">
        <v>237</v>
      </c>
    </row>
    <row r="587" spans="2:17" x14ac:dyDescent="0.3">
      <c r="B587" s="188">
        <v>555876</v>
      </c>
      <c r="C587" s="158" t="s">
        <v>2306</v>
      </c>
      <c r="D587" s="160">
        <v>0</v>
      </c>
      <c r="E587" s="161" t="s">
        <v>237</v>
      </c>
      <c r="F587" s="160">
        <v>0</v>
      </c>
      <c r="G587" s="161" t="s">
        <v>380</v>
      </c>
      <c r="H587" s="161" t="s">
        <v>1811</v>
      </c>
      <c r="I587" s="161" t="s">
        <v>1811</v>
      </c>
      <c r="J587" s="160">
        <v>0</v>
      </c>
      <c r="K587" s="161" t="s">
        <v>380</v>
      </c>
      <c r="L587" s="160">
        <v>0</v>
      </c>
      <c r="M587" s="161" t="s">
        <v>380</v>
      </c>
      <c r="N587" s="160">
        <v>0</v>
      </c>
      <c r="O587" s="160">
        <v>0</v>
      </c>
      <c r="P587" s="160">
        <v>0</v>
      </c>
      <c r="Q587" s="161" t="s">
        <v>237</v>
      </c>
    </row>
    <row r="588" spans="2:17" x14ac:dyDescent="0.3">
      <c r="B588" s="188">
        <v>555877</v>
      </c>
      <c r="C588" s="158" t="s">
        <v>2307</v>
      </c>
      <c r="D588" s="160">
        <v>0</v>
      </c>
      <c r="E588" s="161" t="s">
        <v>237</v>
      </c>
      <c r="F588" s="160">
        <v>0</v>
      </c>
      <c r="G588" s="161" t="s">
        <v>380</v>
      </c>
      <c r="H588" s="161" t="s">
        <v>1811</v>
      </c>
      <c r="I588" s="161" t="s">
        <v>1811</v>
      </c>
      <c r="J588" s="160">
        <v>0</v>
      </c>
      <c r="K588" s="161" t="s">
        <v>380</v>
      </c>
      <c r="L588" s="160">
        <v>0</v>
      </c>
      <c r="M588" s="161" t="s">
        <v>380</v>
      </c>
      <c r="N588" s="160">
        <v>0</v>
      </c>
      <c r="O588" s="160">
        <v>0</v>
      </c>
      <c r="P588" s="160">
        <v>0</v>
      </c>
      <c r="Q588" s="161" t="s">
        <v>237</v>
      </c>
    </row>
    <row r="589" spans="2:17" x14ac:dyDescent="0.3">
      <c r="B589" s="188">
        <v>555878</v>
      </c>
      <c r="C589" s="158" t="s">
        <v>2308</v>
      </c>
      <c r="D589" s="160">
        <v>0</v>
      </c>
      <c r="E589" s="161" t="s">
        <v>237</v>
      </c>
      <c r="F589" s="160">
        <v>0</v>
      </c>
      <c r="G589" s="161" t="s">
        <v>380</v>
      </c>
      <c r="H589" s="161" t="s">
        <v>1812</v>
      </c>
      <c r="I589" s="161" t="s">
        <v>1518</v>
      </c>
      <c r="J589" s="160">
        <v>0</v>
      </c>
      <c r="K589" s="161" t="s">
        <v>380</v>
      </c>
      <c r="L589" s="160">
        <v>0</v>
      </c>
      <c r="M589" s="161" t="s">
        <v>380</v>
      </c>
      <c r="N589" s="160">
        <v>0</v>
      </c>
      <c r="O589" s="160">
        <v>0</v>
      </c>
      <c r="P589" s="160">
        <v>0</v>
      </c>
      <c r="Q589" s="161" t="s">
        <v>237</v>
      </c>
    </row>
    <row r="590" spans="2:17" x14ac:dyDescent="0.3">
      <c r="B590" s="188">
        <v>555879</v>
      </c>
      <c r="C590" s="158" t="s">
        <v>2309</v>
      </c>
      <c r="D590" s="160">
        <v>0</v>
      </c>
      <c r="E590" s="161" t="s">
        <v>237</v>
      </c>
      <c r="F590" s="160">
        <v>0</v>
      </c>
      <c r="G590" s="161" t="s">
        <v>380</v>
      </c>
      <c r="H590" s="161" t="s">
        <v>1813</v>
      </c>
      <c r="I590" s="161" t="s">
        <v>1518</v>
      </c>
      <c r="J590" s="160">
        <v>0</v>
      </c>
      <c r="K590" s="161" t="s">
        <v>380</v>
      </c>
      <c r="L590" s="160">
        <v>0</v>
      </c>
      <c r="M590" s="161" t="s">
        <v>380</v>
      </c>
      <c r="N590" s="160">
        <v>0</v>
      </c>
      <c r="O590" s="160">
        <v>0</v>
      </c>
      <c r="P590" s="160">
        <v>0</v>
      </c>
      <c r="Q590" s="161" t="s">
        <v>237</v>
      </c>
    </row>
    <row r="591" spans="2:17" x14ac:dyDescent="0.3">
      <c r="B591" s="188">
        <v>555880</v>
      </c>
      <c r="C591" s="158" t="s">
        <v>2310</v>
      </c>
      <c r="D591" s="160">
        <v>0</v>
      </c>
      <c r="E591" s="161" t="s">
        <v>237</v>
      </c>
      <c r="F591" s="160">
        <v>0</v>
      </c>
      <c r="G591" s="161" t="s">
        <v>380</v>
      </c>
      <c r="H591" s="161" t="s">
        <v>1713</v>
      </c>
      <c r="I591" s="161" t="s">
        <v>1519</v>
      </c>
      <c r="J591" s="160">
        <v>0</v>
      </c>
      <c r="K591" s="161" t="s">
        <v>380</v>
      </c>
      <c r="L591" s="160">
        <v>0</v>
      </c>
      <c r="M591" s="161" t="s">
        <v>380</v>
      </c>
      <c r="N591" s="160">
        <v>0</v>
      </c>
      <c r="O591" s="160">
        <v>0</v>
      </c>
      <c r="P591" s="160">
        <v>0</v>
      </c>
      <c r="Q591" s="161" t="s">
        <v>237</v>
      </c>
    </row>
    <row r="592" spans="2:17" x14ac:dyDescent="0.3">
      <c r="B592" s="188">
        <v>555979</v>
      </c>
      <c r="C592" s="158" t="s">
        <v>325</v>
      </c>
      <c r="D592" s="160">
        <v>82373.509999999995</v>
      </c>
      <c r="E592" s="161" t="s">
        <v>237</v>
      </c>
      <c r="F592" s="160">
        <v>265721</v>
      </c>
      <c r="G592" s="161" t="s">
        <v>380</v>
      </c>
      <c r="H592" s="161" t="s">
        <v>2631</v>
      </c>
      <c r="I592" s="161" t="s">
        <v>2631</v>
      </c>
      <c r="J592" s="160">
        <v>1367221</v>
      </c>
      <c r="K592" s="161" t="s">
        <v>380</v>
      </c>
      <c r="L592" s="160">
        <v>1543071</v>
      </c>
      <c r="M592" s="161" t="s">
        <v>380</v>
      </c>
      <c r="N592" s="160">
        <v>19</v>
      </c>
      <c r="O592" s="160">
        <v>10.38</v>
      </c>
      <c r="P592" s="160">
        <v>400310.4</v>
      </c>
      <c r="Q592" s="161" t="s">
        <v>237</v>
      </c>
    </row>
    <row r="593" spans="2:17" x14ac:dyDescent="0.3">
      <c r="B593" s="188">
        <v>556131</v>
      </c>
      <c r="C593" s="158" t="s">
        <v>215</v>
      </c>
      <c r="D593" s="160">
        <v>215810.22</v>
      </c>
      <c r="E593" s="161" t="s">
        <v>237</v>
      </c>
      <c r="F593" s="160">
        <v>24014.103999999999</v>
      </c>
      <c r="G593" s="161" t="s">
        <v>374</v>
      </c>
      <c r="H593" s="161" t="s">
        <v>2797</v>
      </c>
      <c r="I593" s="161" t="s">
        <v>2798</v>
      </c>
      <c r="J593" s="160">
        <v>33127.792000000001</v>
      </c>
      <c r="K593" s="161" t="s">
        <v>374</v>
      </c>
      <c r="L593" s="160">
        <v>46250.036</v>
      </c>
      <c r="M593" s="161" t="s">
        <v>374</v>
      </c>
      <c r="N593" s="160">
        <v>165</v>
      </c>
      <c r="O593" s="160">
        <v>1.75</v>
      </c>
      <c r="P593" s="160">
        <v>120367.96</v>
      </c>
      <c r="Q593" s="161" t="s">
        <v>237</v>
      </c>
    </row>
    <row r="594" spans="2:17" x14ac:dyDescent="0.3">
      <c r="B594" s="188">
        <v>556157</v>
      </c>
      <c r="C594" s="158" t="s">
        <v>2311</v>
      </c>
      <c r="D594" s="160">
        <v>0</v>
      </c>
      <c r="E594" s="161" t="s">
        <v>237</v>
      </c>
      <c r="F594" s="160">
        <v>0</v>
      </c>
      <c r="G594" s="161" t="s">
        <v>380</v>
      </c>
      <c r="H594" s="161" t="s">
        <v>1814</v>
      </c>
      <c r="I594" s="161" t="s">
        <v>1815</v>
      </c>
      <c r="J594" s="160">
        <v>0</v>
      </c>
      <c r="K594" s="161" t="s">
        <v>380</v>
      </c>
      <c r="L594" s="160">
        <v>0</v>
      </c>
      <c r="M594" s="161" t="s">
        <v>380</v>
      </c>
      <c r="N594" s="160">
        <v>0</v>
      </c>
      <c r="O594" s="160">
        <v>0</v>
      </c>
      <c r="P594" s="160">
        <v>0</v>
      </c>
      <c r="Q594" s="161" t="s">
        <v>237</v>
      </c>
    </row>
    <row r="595" spans="2:17" x14ac:dyDescent="0.3">
      <c r="B595" s="188">
        <v>556647</v>
      </c>
      <c r="C595" s="158" t="s">
        <v>308</v>
      </c>
      <c r="D595" s="160">
        <v>18307.96</v>
      </c>
      <c r="E595" s="161" t="s">
        <v>237</v>
      </c>
      <c r="F595" s="160">
        <v>502.99200000000002</v>
      </c>
      <c r="G595" s="161" t="s">
        <v>374</v>
      </c>
      <c r="H595" s="161" t="s">
        <v>2798</v>
      </c>
      <c r="I595" s="161" t="s">
        <v>2798</v>
      </c>
      <c r="J595" s="160">
        <v>547.45000000000005</v>
      </c>
      <c r="K595" s="161" t="s">
        <v>374</v>
      </c>
      <c r="L595" s="160">
        <v>845.6</v>
      </c>
      <c r="M595" s="161" t="s">
        <v>374</v>
      </c>
      <c r="N595" s="160">
        <v>175</v>
      </c>
      <c r="O595" s="160">
        <v>0.75</v>
      </c>
      <c r="P595" s="160">
        <v>9641.2800000000007</v>
      </c>
      <c r="Q595" s="161" t="s">
        <v>237</v>
      </c>
    </row>
    <row r="596" spans="2:17" x14ac:dyDescent="0.3">
      <c r="B596" s="188">
        <v>557133</v>
      </c>
      <c r="C596" s="158" t="s">
        <v>2312</v>
      </c>
      <c r="D596" s="160">
        <v>0</v>
      </c>
      <c r="E596" s="161" t="s">
        <v>237</v>
      </c>
      <c r="F596" s="160">
        <v>0</v>
      </c>
      <c r="G596" s="161" t="s">
        <v>380</v>
      </c>
      <c r="H596" s="161" t="s">
        <v>1481</v>
      </c>
      <c r="I596" s="161" t="s">
        <v>1518</v>
      </c>
      <c r="J596" s="160">
        <v>0</v>
      </c>
      <c r="K596" s="161" t="s">
        <v>380</v>
      </c>
      <c r="L596" s="160">
        <v>0</v>
      </c>
      <c r="M596" s="161" t="s">
        <v>380</v>
      </c>
      <c r="N596" s="160">
        <v>0</v>
      </c>
      <c r="O596" s="160">
        <v>0</v>
      </c>
      <c r="P596" s="160">
        <v>0</v>
      </c>
      <c r="Q596" s="161" t="s">
        <v>237</v>
      </c>
    </row>
    <row r="597" spans="2:17" x14ac:dyDescent="0.3">
      <c r="B597" s="188">
        <v>557186</v>
      </c>
      <c r="C597" s="158" t="s">
        <v>2313</v>
      </c>
      <c r="D597" s="160">
        <v>0</v>
      </c>
      <c r="E597" s="161" t="s">
        <v>237</v>
      </c>
      <c r="F597" s="160">
        <v>0</v>
      </c>
      <c r="G597" s="161" t="s">
        <v>380</v>
      </c>
      <c r="H597" s="161" t="s">
        <v>1816</v>
      </c>
      <c r="I597" s="161" t="s">
        <v>1816</v>
      </c>
      <c r="J597" s="160">
        <v>0</v>
      </c>
      <c r="K597" s="161" t="s">
        <v>380</v>
      </c>
      <c r="L597" s="160">
        <v>0</v>
      </c>
      <c r="M597" s="161" t="s">
        <v>380</v>
      </c>
      <c r="N597" s="160">
        <v>0</v>
      </c>
      <c r="O597" s="160">
        <v>0</v>
      </c>
      <c r="P597" s="160">
        <v>0</v>
      </c>
      <c r="Q597" s="161" t="s">
        <v>237</v>
      </c>
    </row>
    <row r="598" spans="2:17" x14ac:dyDescent="0.3">
      <c r="B598" s="188">
        <v>557187</v>
      </c>
      <c r="C598" s="158" t="s">
        <v>2314</v>
      </c>
      <c r="D598" s="160">
        <v>0</v>
      </c>
      <c r="E598" s="161" t="s">
        <v>237</v>
      </c>
      <c r="F598" s="160">
        <v>0</v>
      </c>
      <c r="G598" s="161" t="s">
        <v>380</v>
      </c>
      <c r="H598" s="161" t="s">
        <v>1497</v>
      </c>
      <c r="I598" s="161" t="s">
        <v>1555</v>
      </c>
      <c r="J598" s="160">
        <v>0</v>
      </c>
      <c r="K598" s="161" t="s">
        <v>380</v>
      </c>
      <c r="L598" s="160">
        <v>0</v>
      </c>
      <c r="M598" s="161" t="s">
        <v>380</v>
      </c>
      <c r="N598" s="160">
        <v>0</v>
      </c>
      <c r="O598" s="160">
        <v>0</v>
      </c>
      <c r="P598" s="160">
        <v>0</v>
      </c>
      <c r="Q598" s="161" t="s">
        <v>237</v>
      </c>
    </row>
    <row r="599" spans="2:17" x14ac:dyDescent="0.3">
      <c r="B599" s="188">
        <v>557213</v>
      </c>
      <c r="C599" s="158" t="s">
        <v>2315</v>
      </c>
      <c r="D599" s="160">
        <v>0</v>
      </c>
      <c r="E599" s="161" t="s">
        <v>237</v>
      </c>
      <c r="F599" s="160">
        <v>0</v>
      </c>
      <c r="G599" s="161" t="s">
        <v>380</v>
      </c>
      <c r="H599" s="161" t="s">
        <v>1817</v>
      </c>
      <c r="I599" s="161" t="s">
        <v>1580</v>
      </c>
      <c r="J599" s="160">
        <v>0</v>
      </c>
      <c r="K599" s="161" t="s">
        <v>380</v>
      </c>
      <c r="L599" s="160">
        <v>0</v>
      </c>
      <c r="M599" s="161" t="s">
        <v>380</v>
      </c>
      <c r="N599" s="160">
        <v>0</v>
      </c>
      <c r="O599" s="160">
        <v>0</v>
      </c>
      <c r="P599" s="160">
        <v>0</v>
      </c>
      <c r="Q599" s="161" t="s">
        <v>237</v>
      </c>
    </row>
    <row r="600" spans="2:17" x14ac:dyDescent="0.3">
      <c r="B600" s="188">
        <v>557654</v>
      </c>
      <c r="C600" s="158" t="s">
        <v>2316</v>
      </c>
      <c r="D600" s="160">
        <v>0</v>
      </c>
      <c r="E600" s="161" t="s">
        <v>237</v>
      </c>
      <c r="F600" s="160">
        <v>0</v>
      </c>
      <c r="G600" s="161" t="s">
        <v>380</v>
      </c>
      <c r="H600" s="161" t="s">
        <v>1478</v>
      </c>
      <c r="I600" s="161" t="s">
        <v>1518</v>
      </c>
      <c r="J600" s="160">
        <v>0</v>
      </c>
      <c r="K600" s="161" t="s">
        <v>380</v>
      </c>
      <c r="L600" s="160">
        <v>0</v>
      </c>
      <c r="M600" s="161" t="s">
        <v>380</v>
      </c>
      <c r="N600" s="160">
        <v>0</v>
      </c>
      <c r="O600" s="160">
        <v>0</v>
      </c>
      <c r="P600" s="160">
        <v>0</v>
      </c>
      <c r="Q600" s="161" t="s">
        <v>237</v>
      </c>
    </row>
    <row r="601" spans="2:17" x14ac:dyDescent="0.3">
      <c r="B601" s="188">
        <v>557975</v>
      </c>
      <c r="C601" s="158" t="s">
        <v>2317</v>
      </c>
      <c r="D601" s="160">
        <v>0</v>
      </c>
      <c r="E601" s="161" t="s">
        <v>237</v>
      </c>
      <c r="F601" s="160">
        <v>0</v>
      </c>
      <c r="G601" s="161" t="s">
        <v>380</v>
      </c>
      <c r="H601" s="161" t="s">
        <v>1818</v>
      </c>
      <c r="I601" s="161" t="s">
        <v>1481</v>
      </c>
      <c r="J601" s="160">
        <v>0</v>
      </c>
      <c r="K601" s="161" t="s">
        <v>380</v>
      </c>
      <c r="L601" s="160">
        <v>0</v>
      </c>
      <c r="M601" s="161" t="s">
        <v>380</v>
      </c>
      <c r="N601" s="160">
        <v>0</v>
      </c>
      <c r="O601" s="160">
        <v>0</v>
      </c>
      <c r="P601" s="160">
        <v>0</v>
      </c>
      <c r="Q601" s="161" t="s">
        <v>237</v>
      </c>
    </row>
    <row r="602" spans="2:17" x14ac:dyDescent="0.3">
      <c r="B602" s="188">
        <v>558028</v>
      </c>
      <c r="C602" s="158" t="s">
        <v>2318</v>
      </c>
      <c r="D602" s="160">
        <v>0</v>
      </c>
      <c r="E602" s="161" t="s">
        <v>237</v>
      </c>
      <c r="F602" s="160">
        <v>0</v>
      </c>
      <c r="G602" s="161" t="s">
        <v>380</v>
      </c>
      <c r="H602" s="161" t="s">
        <v>1579</v>
      </c>
      <c r="I602" s="161" t="s">
        <v>1577</v>
      </c>
      <c r="J602" s="160">
        <v>0</v>
      </c>
      <c r="K602" s="161" t="s">
        <v>380</v>
      </c>
      <c r="L602" s="160">
        <v>0</v>
      </c>
      <c r="M602" s="161" t="s">
        <v>380</v>
      </c>
      <c r="N602" s="160">
        <v>0</v>
      </c>
      <c r="O602" s="160">
        <v>0</v>
      </c>
      <c r="P602" s="160">
        <v>0</v>
      </c>
      <c r="Q602" s="161" t="s">
        <v>237</v>
      </c>
    </row>
    <row r="603" spans="2:17" x14ac:dyDescent="0.3">
      <c r="B603" s="188">
        <v>558031</v>
      </c>
      <c r="C603" s="158" t="s">
        <v>2319</v>
      </c>
      <c r="D603" s="160">
        <v>0</v>
      </c>
      <c r="E603" s="161" t="s">
        <v>237</v>
      </c>
      <c r="F603" s="160">
        <v>0</v>
      </c>
      <c r="G603" s="161" t="s">
        <v>380</v>
      </c>
      <c r="H603" s="161" t="s">
        <v>1478</v>
      </c>
      <c r="I603" s="161" t="s">
        <v>1481</v>
      </c>
      <c r="J603" s="160">
        <v>0</v>
      </c>
      <c r="K603" s="161" t="s">
        <v>380</v>
      </c>
      <c r="L603" s="160">
        <v>0</v>
      </c>
      <c r="M603" s="161" t="s">
        <v>380</v>
      </c>
      <c r="N603" s="160">
        <v>0</v>
      </c>
      <c r="O603" s="160">
        <v>0</v>
      </c>
      <c r="P603" s="160">
        <v>0</v>
      </c>
      <c r="Q603" s="161" t="s">
        <v>237</v>
      </c>
    </row>
    <row r="604" spans="2:17" x14ac:dyDescent="0.3">
      <c r="B604" s="188">
        <v>558104</v>
      </c>
      <c r="C604" s="158" t="s">
        <v>1929</v>
      </c>
      <c r="D604" s="160">
        <v>0</v>
      </c>
      <c r="E604" s="161" t="s">
        <v>237</v>
      </c>
      <c r="F604" s="160">
        <v>0</v>
      </c>
      <c r="G604" s="161" t="s">
        <v>380</v>
      </c>
      <c r="H604" s="161" t="s">
        <v>1993</v>
      </c>
      <c r="I604" s="161" t="s">
        <v>1993</v>
      </c>
      <c r="J604" s="160">
        <v>0</v>
      </c>
      <c r="K604" s="161" t="s">
        <v>380</v>
      </c>
      <c r="L604" s="160">
        <v>0</v>
      </c>
      <c r="M604" s="161" t="s">
        <v>380</v>
      </c>
      <c r="N604" s="160">
        <v>0</v>
      </c>
      <c r="O604" s="160">
        <v>0</v>
      </c>
      <c r="P604" s="160">
        <v>0</v>
      </c>
      <c r="Q604" s="161" t="s">
        <v>237</v>
      </c>
    </row>
    <row r="605" spans="2:17" x14ac:dyDescent="0.3">
      <c r="B605" s="188">
        <v>558106</v>
      </c>
      <c r="C605" s="158" t="s">
        <v>1296</v>
      </c>
      <c r="D605" s="160">
        <v>0</v>
      </c>
      <c r="E605" s="161" t="s">
        <v>237</v>
      </c>
      <c r="F605" s="160">
        <v>0</v>
      </c>
      <c r="G605" s="161" t="s">
        <v>380</v>
      </c>
      <c r="H605" s="161" t="s">
        <v>1656</v>
      </c>
      <c r="I605" s="161" t="s">
        <v>2553</v>
      </c>
      <c r="J605" s="160">
        <v>0</v>
      </c>
      <c r="K605" s="161" t="s">
        <v>380</v>
      </c>
      <c r="L605" s="160">
        <v>0</v>
      </c>
      <c r="M605" s="161" t="s">
        <v>380</v>
      </c>
      <c r="N605" s="160">
        <v>0</v>
      </c>
      <c r="O605" s="160">
        <v>0</v>
      </c>
      <c r="P605" s="160">
        <v>0</v>
      </c>
      <c r="Q605" s="161" t="s">
        <v>237</v>
      </c>
    </row>
    <row r="606" spans="2:17" x14ac:dyDescent="0.3">
      <c r="B606" s="188">
        <v>558274</v>
      </c>
      <c r="C606" s="158" t="s">
        <v>2320</v>
      </c>
      <c r="D606" s="160">
        <v>0</v>
      </c>
      <c r="E606" s="161" t="s">
        <v>237</v>
      </c>
      <c r="F606" s="160">
        <v>0</v>
      </c>
      <c r="G606" s="161" t="s">
        <v>380</v>
      </c>
      <c r="H606" s="161" t="s">
        <v>1467</v>
      </c>
      <c r="I606" s="161" t="s">
        <v>1471</v>
      </c>
      <c r="J606" s="160">
        <v>0</v>
      </c>
      <c r="K606" s="161" t="s">
        <v>380</v>
      </c>
      <c r="L606" s="160">
        <v>0</v>
      </c>
      <c r="M606" s="161" t="s">
        <v>380</v>
      </c>
      <c r="N606" s="160">
        <v>0</v>
      </c>
      <c r="O606" s="160">
        <v>0</v>
      </c>
      <c r="P606" s="160">
        <v>0</v>
      </c>
      <c r="Q606" s="161" t="s">
        <v>237</v>
      </c>
    </row>
    <row r="607" spans="2:17" x14ac:dyDescent="0.3">
      <c r="B607" s="188">
        <v>558275</v>
      </c>
      <c r="C607" s="158" t="s">
        <v>2321</v>
      </c>
      <c r="D607" s="160">
        <v>106</v>
      </c>
      <c r="E607" s="161" t="s">
        <v>237</v>
      </c>
      <c r="F607" s="160">
        <v>100</v>
      </c>
      <c r="G607" s="161" t="s">
        <v>380</v>
      </c>
      <c r="H607" s="161" t="s">
        <v>2755</v>
      </c>
      <c r="I607" s="161" t="s">
        <v>2753</v>
      </c>
      <c r="J607" s="160">
        <v>1100</v>
      </c>
      <c r="K607" s="161" t="s">
        <v>380</v>
      </c>
      <c r="L607" s="160">
        <v>-100</v>
      </c>
      <c r="M607" s="161" t="s">
        <v>380</v>
      </c>
      <c r="N607" s="160">
        <v>8</v>
      </c>
      <c r="O607" s="160">
        <v>1.71</v>
      </c>
      <c r="P607" s="160">
        <v>1272</v>
      </c>
      <c r="Q607" s="161" t="s">
        <v>237</v>
      </c>
    </row>
    <row r="608" spans="2:17" x14ac:dyDescent="0.3">
      <c r="B608" s="188">
        <v>558276</v>
      </c>
      <c r="C608" s="158" t="s">
        <v>2322</v>
      </c>
      <c r="D608" s="160">
        <v>0</v>
      </c>
      <c r="E608" s="161" t="s">
        <v>237</v>
      </c>
      <c r="F608" s="160">
        <v>0</v>
      </c>
      <c r="G608" s="161" t="s">
        <v>380</v>
      </c>
      <c r="H608" s="161" t="s">
        <v>1667</v>
      </c>
      <c r="I608" s="161" t="s">
        <v>1819</v>
      </c>
      <c r="J608" s="160">
        <v>0</v>
      </c>
      <c r="K608" s="161" t="s">
        <v>380</v>
      </c>
      <c r="L608" s="160">
        <v>0</v>
      </c>
      <c r="M608" s="161" t="s">
        <v>380</v>
      </c>
      <c r="N608" s="160">
        <v>0</v>
      </c>
      <c r="O608" s="160">
        <v>0</v>
      </c>
      <c r="P608" s="160">
        <v>0</v>
      </c>
      <c r="Q608" s="161" t="s">
        <v>237</v>
      </c>
    </row>
    <row r="609" spans="2:17" x14ac:dyDescent="0.3">
      <c r="B609" s="188">
        <v>559066</v>
      </c>
      <c r="C609" s="158" t="s">
        <v>245</v>
      </c>
      <c r="D609" s="160">
        <v>0</v>
      </c>
      <c r="E609" s="161" t="s">
        <v>237</v>
      </c>
      <c r="F609" s="160">
        <v>0</v>
      </c>
      <c r="G609" s="161" t="s">
        <v>380</v>
      </c>
      <c r="H609" s="161" t="s">
        <v>1522</v>
      </c>
      <c r="I609" s="161" t="s">
        <v>2557</v>
      </c>
      <c r="J609" s="160">
        <v>0</v>
      </c>
      <c r="K609" s="161" t="s">
        <v>380</v>
      </c>
      <c r="L609" s="160">
        <v>0</v>
      </c>
      <c r="M609" s="161" t="s">
        <v>380</v>
      </c>
      <c r="N609" s="160">
        <v>0</v>
      </c>
      <c r="O609" s="160">
        <v>0</v>
      </c>
      <c r="P609" s="160">
        <v>0</v>
      </c>
      <c r="Q609" s="161" t="s">
        <v>237</v>
      </c>
    </row>
    <row r="610" spans="2:17" x14ac:dyDescent="0.3">
      <c r="B610" s="188">
        <v>561358</v>
      </c>
      <c r="C610" s="158" t="s">
        <v>2323</v>
      </c>
      <c r="D610" s="160">
        <v>0</v>
      </c>
      <c r="E610" s="161" t="s">
        <v>237</v>
      </c>
      <c r="F610" s="160">
        <v>0</v>
      </c>
      <c r="G610" s="161" t="s">
        <v>380</v>
      </c>
      <c r="H610" s="161" t="s">
        <v>1522</v>
      </c>
      <c r="I610" s="161" t="s">
        <v>1820</v>
      </c>
      <c r="J610" s="160">
        <v>0</v>
      </c>
      <c r="K610" s="161" t="s">
        <v>380</v>
      </c>
      <c r="L610" s="160">
        <v>0</v>
      </c>
      <c r="M610" s="161" t="s">
        <v>380</v>
      </c>
      <c r="N610" s="160">
        <v>0</v>
      </c>
      <c r="O610" s="160">
        <v>0</v>
      </c>
      <c r="P610" s="160">
        <v>0</v>
      </c>
      <c r="Q610" s="161" t="s">
        <v>237</v>
      </c>
    </row>
    <row r="611" spans="2:17" x14ac:dyDescent="0.3">
      <c r="B611" s="188">
        <v>561718</v>
      </c>
      <c r="C611" s="158" t="s">
        <v>1213</v>
      </c>
      <c r="D611" s="160">
        <v>0</v>
      </c>
      <c r="E611" s="161" t="s">
        <v>237</v>
      </c>
      <c r="F611" s="160">
        <v>0</v>
      </c>
      <c r="G611" s="161" t="s">
        <v>380</v>
      </c>
      <c r="H611" s="161" t="s">
        <v>1949</v>
      </c>
      <c r="I611" s="161" t="s">
        <v>1960</v>
      </c>
      <c r="J611" s="160">
        <v>0</v>
      </c>
      <c r="K611" s="161" t="s">
        <v>380</v>
      </c>
      <c r="L611" s="160">
        <v>0</v>
      </c>
      <c r="M611" s="161" t="s">
        <v>380</v>
      </c>
      <c r="N611" s="160">
        <v>0</v>
      </c>
      <c r="O611" s="160">
        <v>0</v>
      </c>
      <c r="P611" s="160">
        <v>0</v>
      </c>
      <c r="Q611" s="161" t="s">
        <v>237</v>
      </c>
    </row>
    <row r="612" spans="2:17" x14ac:dyDescent="0.3">
      <c r="B612" s="188">
        <v>561720</v>
      </c>
      <c r="C612" s="158" t="s">
        <v>229</v>
      </c>
      <c r="D612" s="160">
        <v>0</v>
      </c>
      <c r="E612" s="161" t="s">
        <v>237</v>
      </c>
      <c r="F612" s="160">
        <v>0</v>
      </c>
      <c r="G612" s="161" t="s">
        <v>380</v>
      </c>
      <c r="H612" s="161" t="s">
        <v>1523</v>
      </c>
      <c r="I612" s="161" t="s">
        <v>2616</v>
      </c>
      <c r="J612" s="160">
        <v>0</v>
      </c>
      <c r="K612" s="161" t="s">
        <v>380</v>
      </c>
      <c r="L612" s="160">
        <v>0</v>
      </c>
      <c r="M612" s="161" t="s">
        <v>380</v>
      </c>
      <c r="N612" s="160">
        <v>0</v>
      </c>
      <c r="O612" s="160">
        <v>0</v>
      </c>
      <c r="P612" s="160">
        <v>0</v>
      </c>
      <c r="Q612" s="161" t="s">
        <v>237</v>
      </c>
    </row>
    <row r="613" spans="2:17" x14ac:dyDescent="0.3">
      <c r="B613" s="188">
        <v>563945</v>
      </c>
      <c r="C613" s="158" t="s">
        <v>2324</v>
      </c>
      <c r="D613" s="160">
        <v>0</v>
      </c>
      <c r="E613" s="161" t="s">
        <v>237</v>
      </c>
      <c r="F613" s="160">
        <v>0</v>
      </c>
      <c r="G613" s="161" t="s">
        <v>380</v>
      </c>
      <c r="H613" s="161" t="s">
        <v>1485</v>
      </c>
      <c r="I613" s="161" t="s">
        <v>1485</v>
      </c>
      <c r="J613" s="160">
        <v>0</v>
      </c>
      <c r="K613" s="161" t="s">
        <v>380</v>
      </c>
      <c r="L613" s="160">
        <v>0</v>
      </c>
      <c r="M613" s="161" t="s">
        <v>380</v>
      </c>
      <c r="N613" s="160">
        <v>0</v>
      </c>
      <c r="O613" s="160">
        <v>0</v>
      </c>
      <c r="P613" s="160">
        <v>0</v>
      </c>
      <c r="Q613" s="161" t="s">
        <v>237</v>
      </c>
    </row>
    <row r="614" spans="2:17" x14ac:dyDescent="0.3">
      <c r="B614" s="188">
        <v>563998</v>
      </c>
      <c r="C614" s="158" t="s">
        <v>2325</v>
      </c>
      <c r="D614" s="160">
        <v>0</v>
      </c>
      <c r="E614" s="161" t="s">
        <v>237</v>
      </c>
      <c r="F614" s="160">
        <v>0</v>
      </c>
      <c r="G614" s="161" t="s">
        <v>380</v>
      </c>
      <c r="H614" s="161" t="s">
        <v>1821</v>
      </c>
      <c r="I614" s="161" t="s">
        <v>1662</v>
      </c>
      <c r="J614" s="160">
        <v>0</v>
      </c>
      <c r="K614" s="161" t="s">
        <v>380</v>
      </c>
      <c r="L614" s="160">
        <v>0</v>
      </c>
      <c r="M614" s="161" t="s">
        <v>380</v>
      </c>
      <c r="N614" s="160">
        <v>0</v>
      </c>
      <c r="O614" s="160">
        <v>0</v>
      </c>
      <c r="P614" s="160">
        <v>0</v>
      </c>
      <c r="Q614" s="161" t="s">
        <v>237</v>
      </c>
    </row>
    <row r="615" spans="2:17" x14ac:dyDescent="0.3">
      <c r="B615" s="188">
        <v>564903</v>
      </c>
      <c r="C615" s="158" t="s">
        <v>2326</v>
      </c>
      <c r="D615" s="160">
        <v>0</v>
      </c>
      <c r="E615" s="161" t="s">
        <v>237</v>
      </c>
      <c r="F615" s="160">
        <v>0</v>
      </c>
      <c r="G615" s="161" t="s">
        <v>380</v>
      </c>
      <c r="H615" s="161" t="s">
        <v>1601</v>
      </c>
      <c r="I615" s="161" t="s">
        <v>1601</v>
      </c>
      <c r="J615" s="160">
        <v>0</v>
      </c>
      <c r="K615" s="161" t="s">
        <v>380</v>
      </c>
      <c r="L615" s="160">
        <v>0</v>
      </c>
      <c r="M615" s="161" t="s">
        <v>380</v>
      </c>
      <c r="N615" s="160">
        <v>0</v>
      </c>
      <c r="O615" s="160">
        <v>0</v>
      </c>
      <c r="P615" s="160">
        <v>0</v>
      </c>
      <c r="Q615" s="161" t="s">
        <v>237</v>
      </c>
    </row>
    <row r="616" spans="2:17" x14ac:dyDescent="0.3">
      <c r="B616" s="188">
        <v>564905</v>
      </c>
      <c r="C616" s="158" t="s">
        <v>2327</v>
      </c>
      <c r="D616" s="160">
        <v>0</v>
      </c>
      <c r="E616" s="161" t="s">
        <v>237</v>
      </c>
      <c r="F616" s="160">
        <v>0</v>
      </c>
      <c r="G616" s="161" t="s">
        <v>380</v>
      </c>
      <c r="H616" s="161" t="s">
        <v>1478</v>
      </c>
      <c r="I616" s="161" t="s">
        <v>1822</v>
      </c>
      <c r="J616" s="160">
        <v>0</v>
      </c>
      <c r="K616" s="161" t="s">
        <v>380</v>
      </c>
      <c r="L616" s="160">
        <v>0</v>
      </c>
      <c r="M616" s="161" t="s">
        <v>380</v>
      </c>
      <c r="N616" s="160">
        <v>0</v>
      </c>
      <c r="O616" s="160">
        <v>0</v>
      </c>
      <c r="P616" s="160">
        <v>0</v>
      </c>
      <c r="Q616" s="161" t="s">
        <v>237</v>
      </c>
    </row>
    <row r="617" spans="2:17" x14ac:dyDescent="0.3">
      <c r="B617" s="188">
        <v>565760</v>
      </c>
      <c r="C617" s="158" t="s">
        <v>246</v>
      </c>
      <c r="D617" s="160">
        <v>1421.21</v>
      </c>
      <c r="E617" s="161" t="s">
        <v>237</v>
      </c>
      <c r="F617" s="160">
        <v>20900</v>
      </c>
      <c r="G617" s="161" t="s">
        <v>380</v>
      </c>
      <c r="H617" s="161" t="s">
        <v>1992</v>
      </c>
      <c r="I617" s="161" t="s">
        <v>2625</v>
      </c>
      <c r="J617" s="160">
        <v>0</v>
      </c>
      <c r="K617" s="161" t="s">
        <v>380</v>
      </c>
      <c r="L617" s="160">
        <v>0</v>
      </c>
      <c r="M617" s="161" t="s">
        <v>380</v>
      </c>
      <c r="N617" s="160">
        <v>99999</v>
      </c>
      <c r="O617" s="160">
        <v>0</v>
      </c>
      <c r="P617" s="160">
        <v>0</v>
      </c>
      <c r="Q617" s="161" t="s">
        <v>237</v>
      </c>
    </row>
    <row r="618" spans="2:17" x14ac:dyDescent="0.3">
      <c r="B618" s="188">
        <v>565885</v>
      </c>
      <c r="C618" s="158" t="s">
        <v>2328</v>
      </c>
      <c r="D618" s="160">
        <v>0</v>
      </c>
      <c r="E618" s="161" t="s">
        <v>237</v>
      </c>
      <c r="F618" s="160">
        <v>0</v>
      </c>
      <c r="G618" s="161" t="s">
        <v>380</v>
      </c>
      <c r="H618" s="161" t="s">
        <v>1823</v>
      </c>
      <c r="I618" s="161" t="s">
        <v>1824</v>
      </c>
      <c r="J618" s="160">
        <v>0</v>
      </c>
      <c r="K618" s="161" t="s">
        <v>380</v>
      </c>
      <c r="L618" s="160">
        <v>0</v>
      </c>
      <c r="M618" s="161" t="s">
        <v>380</v>
      </c>
      <c r="N618" s="160">
        <v>0</v>
      </c>
      <c r="O618" s="160">
        <v>0</v>
      </c>
      <c r="P618" s="160">
        <v>0</v>
      </c>
      <c r="Q618" s="161" t="s">
        <v>237</v>
      </c>
    </row>
    <row r="619" spans="2:17" x14ac:dyDescent="0.3">
      <c r="B619" s="188">
        <v>566177</v>
      </c>
      <c r="C619" s="158" t="s">
        <v>2329</v>
      </c>
      <c r="D619" s="160">
        <v>0</v>
      </c>
      <c r="E619" s="161" t="s">
        <v>237</v>
      </c>
      <c r="F619" s="160">
        <v>0</v>
      </c>
      <c r="G619" s="161" t="s">
        <v>380</v>
      </c>
      <c r="H619" s="161" t="s">
        <v>1684</v>
      </c>
      <c r="I619" s="161" t="s">
        <v>1646</v>
      </c>
      <c r="J619" s="160">
        <v>0</v>
      </c>
      <c r="K619" s="161" t="s">
        <v>380</v>
      </c>
      <c r="L619" s="160">
        <v>0</v>
      </c>
      <c r="M619" s="161" t="s">
        <v>380</v>
      </c>
      <c r="N619" s="160">
        <v>0</v>
      </c>
      <c r="O619" s="160">
        <v>0</v>
      </c>
      <c r="P619" s="160">
        <v>0</v>
      </c>
      <c r="Q619" s="161" t="s">
        <v>237</v>
      </c>
    </row>
    <row r="620" spans="2:17" x14ac:dyDescent="0.3">
      <c r="B620" s="188">
        <v>566327</v>
      </c>
      <c r="C620" s="158" t="s">
        <v>2330</v>
      </c>
      <c r="D620" s="160">
        <v>0</v>
      </c>
      <c r="E620" s="161" t="s">
        <v>237</v>
      </c>
      <c r="F620" s="160">
        <v>0</v>
      </c>
      <c r="G620" s="161" t="s">
        <v>374</v>
      </c>
      <c r="H620" s="161" t="s">
        <v>1520</v>
      </c>
      <c r="I620" s="161" t="s">
        <v>1518</v>
      </c>
      <c r="J620" s="160">
        <v>0</v>
      </c>
      <c r="K620" s="161" t="s">
        <v>374</v>
      </c>
      <c r="L620" s="160">
        <v>0</v>
      </c>
      <c r="M620" s="161" t="s">
        <v>374</v>
      </c>
      <c r="N620" s="160">
        <v>0</v>
      </c>
      <c r="O620" s="160">
        <v>0</v>
      </c>
      <c r="P620" s="160">
        <v>0</v>
      </c>
      <c r="Q620" s="161" t="s">
        <v>237</v>
      </c>
    </row>
    <row r="621" spans="2:17" x14ac:dyDescent="0.3">
      <c r="B621" s="188">
        <v>566328</v>
      </c>
      <c r="C621" s="158" t="s">
        <v>258</v>
      </c>
      <c r="D621" s="160">
        <v>14574.84</v>
      </c>
      <c r="E621" s="161" t="s">
        <v>237</v>
      </c>
      <c r="F621" s="160">
        <v>2758.95</v>
      </c>
      <c r="G621" s="161" t="s">
        <v>374</v>
      </c>
      <c r="H621" s="161" t="s">
        <v>2755</v>
      </c>
      <c r="I621" s="161" t="s">
        <v>2750</v>
      </c>
      <c r="J621" s="160">
        <v>156.357</v>
      </c>
      <c r="K621" s="161" t="s">
        <v>374</v>
      </c>
      <c r="L621" s="160">
        <v>133.6</v>
      </c>
      <c r="M621" s="161" t="s">
        <v>374</v>
      </c>
      <c r="N621" s="160">
        <v>11154</v>
      </c>
      <c r="O621" s="160">
        <v>0.01</v>
      </c>
      <c r="P621" s="160">
        <v>120.22</v>
      </c>
      <c r="Q621" s="161" t="s">
        <v>237</v>
      </c>
    </row>
    <row r="622" spans="2:17" x14ac:dyDescent="0.3">
      <c r="B622" s="188">
        <v>566823</v>
      </c>
      <c r="C622" s="158" t="s">
        <v>2331</v>
      </c>
      <c r="D622" s="160">
        <v>0</v>
      </c>
      <c r="E622" s="161" t="s">
        <v>237</v>
      </c>
      <c r="F622" s="160">
        <v>0</v>
      </c>
      <c r="G622" s="161" t="s">
        <v>380</v>
      </c>
      <c r="H622" s="161" t="s">
        <v>1825</v>
      </c>
      <c r="I622" s="161" t="s">
        <v>1826</v>
      </c>
      <c r="J622" s="160">
        <v>0</v>
      </c>
      <c r="K622" s="161" t="s">
        <v>380</v>
      </c>
      <c r="L622" s="160">
        <v>0</v>
      </c>
      <c r="M622" s="161" t="s">
        <v>380</v>
      </c>
      <c r="N622" s="160">
        <v>0</v>
      </c>
      <c r="O622" s="160">
        <v>0</v>
      </c>
      <c r="P622" s="160">
        <v>0</v>
      </c>
      <c r="Q622" s="161" t="s">
        <v>237</v>
      </c>
    </row>
    <row r="623" spans="2:17" x14ac:dyDescent="0.3">
      <c r="B623" s="188">
        <v>566899</v>
      </c>
      <c r="C623" s="158" t="s">
        <v>2332</v>
      </c>
      <c r="D623" s="160">
        <v>0</v>
      </c>
      <c r="E623" s="161" t="s">
        <v>237</v>
      </c>
      <c r="F623" s="160">
        <v>0</v>
      </c>
      <c r="G623" s="161" t="s">
        <v>380</v>
      </c>
      <c r="H623" s="161" t="s">
        <v>1623</v>
      </c>
      <c r="I623" s="161" t="s">
        <v>1512</v>
      </c>
      <c r="J623" s="160">
        <v>0</v>
      </c>
      <c r="K623" s="161" t="s">
        <v>380</v>
      </c>
      <c r="L623" s="160">
        <v>0</v>
      </c>
      <c r="M623" s="161" t="s">
        <v>380</v>
      </c>
      <c r="N623" s="160">
        <v>0</v>
      </c>
      <c r="O623" s="160">
        <v>0</v>
      </c>
      <c r="P623" s="160">
        <v>0</v>
      </c>
      <c r="Q623" s="161" t="s">
        <v>237</v>
      </c>
    </row>
    <row r="624" spans="2:17" x14ac:dyDescent="0.3">
      <c r="B624" s="188">
        <v>567111</v>
      </c>
      <c r="C624" s="158" t="s">
        <v>2333</v>
      </c>
      <c r="D624" s="160">
        <v>0</v>
      </c>
      <c r="E624" s="161" t="s">
        <v>237</v>
      </c>
      <c r="F624" s="160">
        <v>0</v>
      </c>
      <c r="G624" s="161" t="s">
        <v>380</v>
      </c>
      <c r="H624" s="161" t="s">
        <v>1789</v>
      </c>
      <c r="I624" s="161" t="s">
        <v>1827</v>
      </c>
      <c r="J624" s="160">
        <v>0</v>
      </c>
      <c r="K624" s="161" t="s">
        <v>380</v>
      </c>
      <c r="L624" s="160">
        <v>0</v>
      </c>
      <c r="M624" s="161" t="s">
        <v>380</v>
      </c>
      <c r="N624" s="160">
        <v>0</v>
      </c>
      <c r="O624" s="160">
        <v>0</v>
      </c>
      <c r="P624" s="160">
        <v>0</v>
      </c>
      <c r="Q624" s="161" t="s">
        <v>237</v>
      </c>
    </row>
    <row r="625" spans="2:17" x14ac:dyDescent="0.3">
      <c r="B625" s="188">
        <v>567162</v>
      </c>
      <c r="C625" s="158" t="s">
        <v>2334</v>
      </c>
      <c r="D625" s="160">
        <v>0</v>
      </c>
      <c r="E625" s="161" t="s">
        <v>237</v>
      </c>
      <c r="F625" s="160">
        <v>0</v>
      </c>
      <c r="G625" s="161" t="s">
        <v>380</v>
      </c>
      <c r="H625" s="161" t="s">
        <v>1789</v>
      </c>
      <c r="I625" s="161" t="s">
        <v>1790</v>
      </c>
      <c r="J625" s="160">
        <v>0</v>
      </c>
      <c r="K625" s="161" t="s">
        <v>380</v>
      </c>
      <c r="L625" s="160">
        <v>0</v>
      </c>
      <c r="M625" s="161" t="s">
        <v>380</v>
      </c>
      <c r="N625" s="160">
        <v>0</v>
      </c>
      <c r="O625" s="160">
        <v>0</v>
      </c>
      <c r="P625" s="160">
        <v>0</v>
      </c>
      <c r="Q625" s="161" t="s">
        <v>237</v>
      </c>
    </row>
    <row r="626" spans="2:17" x14ac:dyDescent="0.3">
      <c r="B626" s="188">
        <v>567312</v>
      </c>
      <c r="C626" s="158" t="s">
        <v>1317</v>
      </c>
      <c r="D626" s="160">
        <v>0</v>
      </c>
      <c r="E626" s="161" t="s">
        <v>237</v>
      </c>
      <c r="F626" s="160">
        <v>0</v>
      </c>
      <c r="G626" s="161" t="s">
        <v>380</v>
      </c>
      <c r="H626" s="161" t="s">
        <v>1997</v>
      </c>
      <c r="I626" s="161" t="s">
        <v>2569</v>
      </c>
      <c r="J626" s="160">
        <v>0</v>
      </c>
      <c r="K626" s="161" t="s">
        <v>380</v>
      </c>
      <c r="L626" s="160">
        <v>0</v>
      </c>
      <c r="M626" s="161" t="s">
        <v>380</v>
      </c>
      <c r="N626" s="160">
        <v>0</v>
      </c>
      <c r="O626" s="160">
        <v>0</v>
      </c>
      <c r="P626" s="160">
        <v>0</v>
      </c>
      <c r="Q626" s="161" t="s">
        <v>237</v>
      </c>
    </row>
    <row r="627" spans="2:17" x14ac:dyDescent="0.3">
      <c r="B627" s="188">
        <v>567509</v>
      </c>
      <c r="C627" s="158" t="s">
        <v>2335</v>
      </c>
      <c r="D627" s="160">
        <v>0</v>
      </c>
      <c r="E627" s="161" t="s">
        <v>237</v>
      </c>
      <c r="F627" s="160">
        <v>0</v>
      </c>
      <c r="G627" s="161" t="s">
        <v>380</v>
      </c>
      <c r="H627" s="161" t="s">
        <v>1524</v>
      </c>
      <c r="I627" s="161" t="s">
        <v>1826</v>
      </c>
      <c r="J627" s="160">
        <v>0</v>
      </c>
      <c r="K627" s="161" t="s">
        <v>380</v>
      </c>
      <c r="L627" s="160">
        <v>0</v>
      </c>
      <c r="M627" s="161" t="s">
        <v>380</v>
      </c>
      <c r="N627" s="160">
        <v>0</v>
      </c>
      <c r="O627" s="160">
        <v>0</v>
      </c>
      <c r="P627" s="160">
        <v>0</v>
      </c>
      <c r="Q627" s="161" t="s">
        <v>237</v>
      </c>
    </row>
    <row r="628" spans="2:17" x14ac:dyDescent="0.3">
      <c r="B628" s="188">
        <v>567511</v>
      </c>
      <c r="C628" s="158" t="s">
        <v>2336</v>
      </c>
      <c r="D628" s="160">
        <v>0</v>
      </c>
      <c r="E628" s="161" t="s">
        <v>237</v>
      </c>
      <c r="F628" s="160">
        <v>0</v>
      </c>
      <c r="G628" s="161" t="s">
        <v>380</v>
      </c>
      <c r="H628" s="161" t="s">
        <v>1828</v>
      </c>
      <c r="I628" s="161" t="s">
        <v>1661</v>
      </c>
      <c r="J628" s="160">
        <v>0</v>
      </c>
      <c r="K628" s="161" t="s">
        <v>380</v>
      </c>
      <c r="L628" s="160">
        <v>0</v>
      </c>
      <c r="M628" s="161" t="s">
        <v>380</v>
      </c>
      <c r="N628" s="160">
        <v>0</v>
      </c>
      <c r="O628" s="160">
        <v>0</v>
      </c>
      <c r="P628" s="160">
        <v>0</v>
      </c>
      <c r="Q628" s="161" t="s">
        <v>237</v>
      </c>
    </row>
    <row r="629" spans="2:17" x14ac:dyDescent="0.3">
      <c r="B629" s="188">
        <v>568368</v>
      </c>
      <c r="C629" s="158" t="s">
        <v>2337</v>
      </c>
      <c r="D629" s="160">
        <v>0</v>
      </c>
      <c r="E629" s="161" t="s">
        <v>237</v>
      </c>
      <c r="F629" s="160">
        <v>0</v>
      </c>
      <c r="G629" s="161" t="s">
        <v>380</v>
      </c>
      <c r="H629" s="161" t="s">
        <v>1829</v>
      </c>
      <c r="I629" s="161" t="s">
        <v>1830</v>
      </c>
      <c r="J629" s="160">
        <v>0</v>
      </c>
      <c r="K629" s="161" t="s">
        <v>380</v>
      </c>
      <c r="L629" s="160">
        <v>0</v>
      </c>
      <c r="M629" s="161" t="s">
        <v>380</v>
      </c>
      <c r="N629" s="160">
        <v>0</v>
      </c>
      <c r="O629" s="160">
        <v>0</v>
      </c>
      <c r="P629" s="160">
        <v>0</v>
      </c>
      <c r="Q629" s="161" t="s">
        <v>237</v>
      </c>
    </row>
    <row r="630" spans="2:17" x14ac:dyDescent="0.3">
      <c r="B630" s="188">
        <v>568498</v>
      </c>
      <c r="C630" s="158" t="s">
        <v>1347</v>
      </c>
      <c r="D630" s="160">
        <v>8380.24</v>
      </c>
      <c r="E630" s="161" t="s">
        <v>237</v>
      </c>
      <c r="F630" s="160">
        <v>295.07100000000003</v>
      </c>
      <c r="G630" s="161" t="s">
        <v>374</v>
      </c>
      <c r="H630" s="161" t="s">
        <v>2798</v>
      </c>
      <c r="I630" s="161" t="s">
        <v>2798</v>
      </c>
      <c r="J630" s="160">
        <v>1518.0319999999999</v>
      </c>
      <c r="K630" s="161" t="s">
        <v>374</v>
      </c>
      <c r="L630" s="160">
        <v>1346.78</v>
      </c>
      <c r="M630" s="161" t="s">
        <v>374</v>
      </c>
      <c r="N630" s="160">
        <v>35</v>
      </c>
      <c r="O630" s="160">
        <v>1.8</v>
      </c>
      <c r="P630" s="160">
        <v>21842.16</v>
      </c>
      <c r="Q630" s="161" t="s">
        <v>237</v>
      </c>
    </row>
    <row r="631" spans="2:17" x14ac:dyDescent="0.3">
      <c r="B631" s="188">
        <v>573943</v>
      </c>
      <c r="C631" s="158" t="s">
        <v>1318</v>
      </c>
      <c r="D631" s="160">
        <v>20368.8</v>
      </c>
      <c r="E631" s="161" t="s">
        <v>237</v>
      </c>
      <c r="F631" s="160">
        <v>14760</v>
      </c>
      <c r="G631" s="161" t="s">
        <v>380</v>
      </c>
      <c r="H631" s="161" t="s">
        <v>1580</v>
      </c>
      <c r="I631" s="161" t="s">
        <v>2690</v>
      </c>
      <c r="J631" s="160">
        <v>126720</v>
      </c>
      <c r="K631" s="161" t="s">
        <v>380</v>
      </c>
      <c r="L631" s="160">
        <v>100800</v>
      </c>
      <c r="M631" s="161" t="s">
        <v>380</v>
      </c>
      <c r="N631" s="160">
        <v>13</v>
      </c>
      <c r="O631" s="160">
        <v>3.91</v>
      </c>
      <c r="P631" s="160">
        <v>146649.60000000001</v>
      </c>
      <c r="Q631" s="161" t="s">
        <v>237</v>
      </c>
    </row>
    <row r="632" spans="2:17" x14ac:dyDescent="0.3">
      <c r="B632" s="188">
        <v>575315</v>
      </c>
      <c r="C632" s="158" t="s">
        <v>2338</v>
      </c>
      <c r="D632" s="160">
        <v>0</v>
      </c>
      <c r="E632" s="161" t="s">
        <v>237</v>
      </c>
      <c r="F632" s="160">
        <v>0</v>
      </c>
      <c r="G632" s="161" t="s">
        <v>380</v>
      </c>
      <c r="H632" s="161" t="s">
        <v>1684</v>
      </c>
      <c r="I632" s="161" t="s">
        <v>1646</v>
      </c>
      <c r="J632" s="160">
        <v>0</v>
      </c>
      <c r="K632" s="161" t="s">
        <v>380</v>
      </c>
      <c r="L632" s="160">
        <v>0</v>
      </c>
      <c r="M632" s="161" t="s">
        <v>380</v>
      </c>
      <c r="N632" s="160">
        <v>0</v>
      </c>
      <c r="O632" s="160">
        <v>0</v>
      </c>
      <c r="P632" s="160">
        <v>0</v>
      </c>
      <c r="Q632" s="161" t="s">
        <v>237</v>
      </c>
    </row>
    <row r="633" spans="2:17" x14ac:dyDescent="0.3">
      <c r="B633" s="188">
        <v>575317</v>
      </c>
      <c r="C633" s="158" t="s">
        <v>2339</v>
      </c>
      <c r="D633" s="160">
        <v>0</v>
      </c>
      <c r="E633" s="161" t="s">
        <v>237</v>
      </c>
      <c r="F633" s="160">
        <v>0</v>
      </c>
      <c r="G633" s="161" t="s">
        <v>380</v>
      </c>
      <c r="H633" s="161" t="s">
        <v>1831</v>
      </c>
      <c r="I633" s="161" t="s">
        <v>1734</v>
      </c>
      <c r="J633" s="160">
        <v>0</v>
      </c>
      <c r="K633" s="161" t="s">
        <v>380</v>
      </c>
      <c r="L633" s="160">
        <v>0</v>
      </c>
      <c r="M633" s="161" t="s">
        <v>380</v>
      </c>
      <c r="N633" s="160">
        <v>0</v>
      </c>
      <c r="O633" s="160">
        <v>0</v>
      </c>
      <c r="P633" s="160">
        <v>0</v>
      </c>
      <c r="Q633" s="161" t="s">
        <v>237</v>
      </c>
    </row>
    <row r="634" spans="2:17" x14ac:dyDescent="0.3">
      <c r="B634" s="188">
        <v>575346</v>
      </c>
      <c r="C634" s="158" t="s">
        <v>2340</v>
      </c>
      <c r="D634" s="160">
        <v>0</v>
      </c>
      <c r="E634" s="161" t="s">
        <v>237</v>
      </c>
      <c r="F634" s="160">
        <v>0</v>
      </c>
      <c r="G634" s="161" t="s">
        <v>380</v>
      </c>
      <c r="H634" s="161" t="s">
        <v>1750</v>
      </c>
      <c r="I634" s="161" t="s">
        <v>1750</v>
      </c>
      <c r="J634" s="160">
        <v>0</v>
      </c>
      <c r="K634" s="161" t="s">
        <v>380</v>
      </c>
      <c r="L634" s="160">
        <v>0</v>
      </c>
      <c r="M634" s="161" t="s">
        <v>380</v>
      </c>
      <c r="N634" s="160">
        <v>0</v>
      </c>
      <c r="O634" s="160">
        <v>0</v>
      </c>
      <c r="P634" s="160">
        <v>0</v>
      </c>
      <c r="Q634" s="161" t="s">
        <v>237</v>
      </c>
    </row>
    <row r="635" spans="2:17" x14ac:dyDescent="0.3">
      <c r="B635" s="188">
        <v>575348</v>
      </c>
      <c r="C635" s="158" t="s">
        <v>2341</v>
      </c>
      <c r="D635" s="160">
        <v>0</v>
      </c>
      <c r="E635" s="161" t="s">
        <v>237</v>
      </c>
      <c r="F635" s="160">
        <v>0</v>
      </c>
      <c r="G635" s="161" t="s">
        <v>380</v>
      </c>
      <c r="H635" s="161" t="s">
        <v>1832</v>
      </c>
      <c r="I635" s="161" t="s">
        <v>1721</v>
      </c>
      <c r="J635" s="160">
        <v>0</v>
      </c>
      <c r="K635" s="161" t="s">
        <v>380</v>
      </c>
      <c r="L635" s="160">
        <v>0</v>
      </c>
      <c r="M635" s="161" t="s">
        <v>380</v>
      </c>
      <c r="N635" s="160">
        <v>0</v>
      </c>
      <c r="O635" s="160">
        <v>0</v>
      </c>
      <c r="P635" s="160">
        <v>0</v>
      </c>
      <c r="Q635" s="161" t="s">
        <v>237</v>
      </c>
    </row>
    <row r="636" spans="2:17" x14ac:dyDescent="0.3">
      <c r="B636" s="188">
        <v>575349</v>
      </c>
      <c r="C636" s="158" t="s">
        <v>2342</v>
      </c>
      <c r="D636" s="160">
        <v>0</v>
      </c>
      <c r="E636" s="161" t="s">
        <v>237</v>
      </c>
      <c r="F636" s="160">
        <v>0</v>
      </c>
      <c r="G636" s="161" t="s">
        <v>380</v>
      </c>
      <c r="H636" s="161" t="s">
        <v>1832</v>
      </c>
      <c r="I636" s="161" t="s">
        <v>1721</v>
      </c>
      <c r="J636" s="160">
        <v>0</v>
      </c>
      <c r="K636" s="161" t="s">
        <v>380</v>
      </c>
      <c r="L636" s="160">
        <v>0</v>
      </c>
      <c r="M636" s="161" t="s">
        <v>380</v>
      </c>
      <c r="N636" s="160">
        <v>0</v>
      </c>
      <c r="O636" s="160">
        <v>0</v>
      </c>
      <c r="P636" s="160">
        <v>0</v>
      </c>
      <c r="Q636" s="161" t="s">
        <v>237</v>
      </c>
    </row>
    <row r="637" spans="2:17" x14ac:dyDescent="0.3">
      <c r="B637" s="188">
        <v>575351</v>
      </c>
      <c r="C637" s="158" t="s">
        <v>2343</v>
      </c>
      <c r="D637" s="160">
        <v>0</v>
      </c>
      <c r="E637" s="161" t="s">
        <v>237</v>
      </c>
      <c r="F637" s="160">
        <v>0</v>
      </c>
      <c r="G637" s="161" t="s">
        <v>380</v>
      </c>
      <c r="H637" s="161" t="s">
        <v>1760</v>
      </c>
      <c r="I637" s="161" t="s">
        <v>1721</v>
      </c>
      <c r="J637" s="160">
        <v>0</v>
      </c>
      <c r="K637" s="161" t="s">
        <v>380</v>
      </c>
      <c r="L637" s="160">
        <v>0</v>
      </c>
      <c r="M637" s="161" t="s">
        <v>380</v>
      </c>
      <c r="N637" s="160">
        <v>0</v>
      </c>
      <c r="O637" s="160">
        <v>0</v>
      </c>
      <c r="P637" s="160">
        <v>0</v>
      </c>
      <c r="Q637" s="161" t="s">
        <v>237</v>
      </c>
    </row>
    <row r="638" spans="2:17" x14ac:dyDescent="0.3">
      <c r="B638" s="188">
        <v>576247</v>
      </c>
      <c r="C638" s="158" t="s">
        <v>2344</v>
      </c>
      <c r="D638" s="160">
        <v>0</v>
      </c>
      <c r="E638" s="161" t="s">
        <v>237</v>
      </c>
      <c r="F638" s="160">
        <v>0</v>
      </c>
      <c r="G638" s="161" t="s">
        <v>380</v>
      </c>
      <c r="H638" s="161" t="s">
        <v>1833</v>
      </c>
      <c r="I638" s="161" t="s">
        <v>1834</v>
      </c>
      <c r="J638" s="160">
        <v>0</v>
      </c>
      <c r="K638" s="161" t="s">
        <v>380</v>
      </c>
      <c r="L638" s="160">
        <v>0</v>
      </c>
      <c r="M638" s="161" t="s">
        <v>380</v>
      </c>
      <c r="N638" s="160">
        <v>0</v>
      </c>
      <c r="O638" s="160">
        <v>0</v>
      </c>
      <c r="P638" s="160">
        <v>0</v>
      </c>
      <c r="Q638" s="161" t="s">
        <v>237</v>
      </c>
    </row>
    <row r="639" spans="2:17" x14ac:dyDescent="0.3">
      <c r="B639" s="188">
        <v>576322</v>
      </c>
      <c r="C639" s="158" t="s">
        <v>2345</v>
      </c>
      <c r="D639" s="160">
        <v>0</v>
      </c>
      <c r="E639" s="161" t="s">
        <v>237</v>
      </c>
      <c r="F639" s="160">
        <v>0</v>
      </c>
      <c r="G639" s="161" t="s">
        <v>380</v>
      </c>
      <c r="H639" s="161" t="s">
        <v>1635</v>
      </c>
      <c r="I639" s="161" t="s">
        <v>1635</v>
      </c>
      <c r="J639" s="160">
        <v>0</v>
      </c>
      <c r="K639" s="161" t="s">
        <v>380</v>
      </c>
      <c r="L639" s="160">
        <v>0</v>
      </c>
      <c r="M639" s="161" t="s">
        <v>380</v>
      </c>
      <c r="N639" s="160">
        <v>0</v>
      </c>
      <c r="O639" s="160">
        <v>0</v>
      </c>
      <c r="P639" s="160">
        <v>0</v>
      </c>
      <c r="Q639" s="161" t="s">
        <v>237</v>
      </c>
    </row>
    <row r="640" spans="2:17" x14ac:dyDescent="0.3">
      <c r="B640" s="188">
        <v>576323</v>
      </c>
      <c r="C640" s="158" t="s">
        <v>2346</v>
      </c>
      <c r="D640" s="160">
        <v>0</v>
      </c>
      <c r="E640" s="161" t="s">
        <v>237</v>
      </c>
      <c r="F640" s="160">
        <v>0</v>
      </c>
      <c r="G640" s="161" t="s">
        <v>380</v>
      </c>
      <c r="H640" s="161" t="s">
        <v>1635</v>
      </c>
      <c r="I640" s="161" t="s">
        <v>1635</v>
      </c>
      <c r="J640" s="160">
        <v>0</v>
      </c>
      <c r="K640" s="161" t="s">
        <v>380</v>
      </c>
      <c r="L640" s="160">
        <v>0</v>
      </c>
      <c r="M640" s="161" t="s">
        <v>380</v>
      </c>
      <c r="N640" s="160">
        <v>0</v>
      </c>
      <c r="O640" s="160">
        <v>0</v>
      </c>
      <c r="P640" s="160">
        <v>0</v>
      </c>
      <c r="Q640" s="161" t="s">
        <v>237</v>
      </c>
    </row>
    <row r="641" spans="2:17" x14ac:dyDescent="0.3">
      <c r="B641" s="188">
        <v>576324</v>
      </c>
      <c r="C641" s="158" t="s">
        <v>2347</v>
      </c>
      <c r="D641" s="160">
        <v>0</v>
      </c>
      <c r="E641" s="161" t="s">
        <v>237</v>
      </c>
      <c r="F641" s="160">
        <v>0</v>
      </c>
      <c r="G641" s="161" t="s">
        <v>380</v>
      </c>
      <c r="H641" s="161" t="s">
        <v>1635</v>
      </c>
      <c r="I641" s="161" t="s">
        <v>1635</v>
      </c>
      <c r="J641" s="160">
        <v>0</v>
      </c>
      <c r="K641" s="161" t="s">
        <v>380</v>
      </c>
      <c r="L641" s="160">
        <v>0</v>
      </c>
      <c r="M641" s="161" t="s">
        <v>380</v>
      </c>
      <c r="N641" s="160">
        <v>0</v>
      </c>
      <c r="O641" s="160">
        <v>0</v>
      </c>
      <c r="P641" s="160">
        <v>0</v>
      </c>
      <c r="Q641" s="161" t="s">
        <v>237</v>
      </c>
    </row>
    <row r="642" spans="2:17" x14ac:dyDescent="0.3">
      <c r="B642" s="188">
        <v>576325</v>
      </c>
      <c r="C642" s="158" t="s">
        <v>2348</v>
      </c>
      <c r="D642" s="160">
        <v>0</v>
      </c>
      <c r="E642" s="161" t="s">
        <v>237</v>
      </c>
      <c r="F642" s="160">
        <v>0</v>
      </c>
      <c r="G642" s="161" t="s">
        <v>380</v>
      </c>
      <c r="H642" s="161" t="s">
        <v>1635</v>
      </c>
      <c r="I642" s="161" t="s">
        <v>1635</v>
      </c>
      <c r="J642" s="160">
        <v>0</v>
      </c>
      <c r="K642" s="161" t="s">
        <v>380</v>
      </c>
      <c r="L642" s="160">
        <v>0</v>
      </c>
      <c r="M642" s="161" t="s">
        <v>380</v>
      </c>
      <c r="N642" s="160">
        <v>0</v>
      </c>
      <c r="O642" s="160">
        <v>0</v>
      </c>
      <c r="P642" s="160">
        <v>0</v>
      </c>
      <c r="Q642" s="161" t="s">
        <v>237</v>
      </c>
    </row>
    <row r="643" spans="2:17" x14ac:dyDescent="0.3">
      <c r="B643" s="188">
        <v>576326</v>
      </c>
      <c r="C643" s="158" t="s">
        <v>2349</v>
      </c>
      <c r="D643" s="160">
        <v>0</v>
      </c>
      <c r="E643" s="161" t="s">
        <v>237</v>
      </c>
      <c r="F643" s="160">
        <v>0</v>
      </c>
      <c r="G643" s="161" t="s">
        <v>380</v>
      </c>
      <c r="H643" s="161" t="s">
        <v>1635</v>
      </c>
      <c r="I643" s="161" t="s">
        <v>1635</v>
      </c>
      <c r="J643" s="160">
        <v>0</v>
      </c>
      <c r="K643" s="161" t="s">
        <v>380</v>
      </c>
      <c r="L643" s="160">
        <v>0</v>
      </c>
      <c r="M643" s="161" t="s">
        <v>380</v>
      </c>
      <c r="N643" s="160">
        <v>0</v>
      </c>
      <c r="O643" s="160">
        <v>0</v>
      </c>
      <c r="P643" s="160">
        <v>0</v>
      </c>
      <c r="Q643" s="161" t="s">
        <v>237</v>
      </c>
    </row>
    <row r="644" spans="2:17" x14ac:dyDescent="0.3">
      <c r="B644" s="188">
        <v>576327</v>
      </c>
      <c r="C644" s="158" t="s">
        <v>2350</v>
      </c>
      <c r="D644" s="160">
        <v>0</v>
      </c>
      <c r="E644" s="161" t="s">
        <v>237</v>
      </c>
      <c r="F644" s="160">
        <v>0</v>
      </c>
      <c r="G644" s="161" t="s">
        <v>380</v>
      </c>
      <c r="H644" s="161" t="s">
        <v>1635</v>
      </c>
      <c r="I644" s="161" t="s">
        <v>1635</v>
      </c>
      <c r="J644" s="160">
        <v>0</v>
      </c>
      <c r="K644" s="161" t="s">
        <v>380</v>
      </c>
      <c r="L644" s="160">
        <v>0</v>
      </c>
      <c r="M644" s="161" t="s">
        <v>380</v>
      </c>
      <c r="N644" s="160">
        <v>0</v>
      </c>
      <c r="O644" s="160">
        <v>0</v>
      </c>
      <c r="P644" s="160">
        <v>0</v>
      </c>
      <c r="Q644" s="161" t="s">
        <v>237</v>
      </c>
    </row>
    <row r="645" spans="2:17" x14ac:dyDescent="0.3">
      <c r="B645" s="188">
        <v>576328</v>
      </c>
      <c r="C645" s="158" t="s">
        <v>2351</v>
      </c>
      <c r="D645" s="160">
        <v>0</v>
      </c>
      <c r="E645" s="161" t="s">
        <v>237</v>
      </c>
      <c r="F645" s="160">
        <v>0</v>
      </c>
      <c r="G645" s="161" t="s">
        <v>380</v>
      </c>
      <c r="H645" s="161" t="s">
        <v>1635</v>
      </c>
      <c r="I645" s="161" t="s">
        <v>1635</v>
      </c>
      <c r="J645" s="160">
        <v>0</v>
      </c>
      <c r="K645" s="161" t="s">
        <v>380</v>
      </c>
      <c r="L645" s="160">
        <v>0</v>
      </c>
      <c r="M645" s="161" t="s">
        <v>380</v>
      </c>
      <c r="N645" s="160">
        <v>0</v>
      </c>
      <c r="O645" s="160">
        <v>0</v>
      </c>
      <c r="P645" s="160">
        <v>0</v>
      </c>
      <c r="Q645" s="161" t="s">
        <v>237</v>
      </c>
    </row>
    <row r="646" spans="2:17" x14ac:dyDescent="0.3">
      <c r="B646" s="188">
        <v>576329</v>
      </c>
      <c r="C646" s="158" t="s">
        <v>2352</v>
      </c>
      <c r="D646" s="160">
        <v>0</v>
      </c>
      <c r="E646" s="161" t="s">
        <v>237</v>
      </c>
      <c r="F646" s="160">
        <v>0</v>
      </c>
      <c r="G646" s="161" t="s">
        <v>380</v>
      </c>
      <c r="H646" s="161" t="s">
        <v>1635</v>
      </c>
      <c r="I646" s="161" t="s">
        <v>1635</v>
      </c>
      <c r="J646" s="160">
        <v>0</v>
      </c>
      <c r="K646" s="161" t="s">
        <v>380</v>
      </c>
      <c r="L646" s="160">
        <v>0</v>
      </c>
      <c r="M646" s="161" t="s">
        <v>380</v>
      </c>
      <c r="N646" s="160">
        <v>0</v>
      </c>
      <c r="O646" s="160">
        <v>0</v>
      </c>
      <c r="P646" s="160">
        <v>0</v>
      </c>
      <c r="Q646" s="161" t="s">
        <v>237</v>
      </c>
    </row>
    <row r="647" spans="2:17" x14ac:dyDescent="0.3">
      <c r="B647" s="188">
        <v>576330</v>
      </c>
      <c r="C647" s="158" t="s">
        <v>2353</v>
      </c>
      <c r="D647" s="160">
        <v>0</v>
      </c>
      <c r="E647" s="161" t="s">
        <v>237</v>
      </c>
      <c r="F647" s="160">
        <v>0</v>
      </c>
      <c r="G647" s="161" t="s">
        <v>380</v>
      </c>
      <c r="H647" s="161" t="s">
        <v>1635</v>
      </c>
      <c r="I647" s="161" t="s">
        <v>1635</v>
      </c>
      <c r="J647" s="160">
        <v>0</v>
      </c>
      <c r="K647" s="161" t="s">
        <v>380</v>
      </c>
      <c r="L647" s="160">
        <v>0</v>
      </c>
      <c r="M647" s="161" t="s">
        <v>380</v>
      </c>
      <c r="N647" s="160">
        <v>0</v>
      </c>
      <c r="O647" s="160">
        <v>0</v>
      </c>
      <c r="P647" s="160">
        <v>0</v>
      </c>
      <c r="Q647" s="161" t="s">
        <v>237</v>
      </c>
    </row>
    <row r="648" spans="2:17" x14ac:dyDescent="0.3">
      <c r="B648" s="188">
        <v>576331</v>
      </c>
      <c r="C648" s="158" t="s">
        <v>2354</v>
      </c>
      <c r="D648" s="160">
        <v>0</v>
      </c>
      <c r="E648" s="161" t="s">
        <v>237</v>
      </c>
      <c r="F648" s="160">
        <v>0</v>
      </c>
      <c r="G648" s="161" t="s">
        <v>380</v>
      </c>
      <c r="H648" s="161" t="s">
        <v>1635</v>
      </c>
      <c r="I648" s="161" t="s">
        <v>1635</v>
      </c>
      <c r="J648" s="160">
        <v>0</v>
      </c>
      <c r="K648" s="161" t="s">
        <v>380</v>
      </c>
      <c r="L648" s="160">
        <v>0</v>
      </c>
      <c r="M648" s="161" t="s">
        <v>380</v>
      </c>
      <c r="N648" s="160">
        <v>0</v>
      </c>
      <c r="O648" s="160">
        <v>0</v>
      </c>
      <c r="P648" s="160">
        <v>0</v>
      </c>
      <c r="Q648" s="161" t="s">
        <v>237</v>
      </c>
    </row>
    <row r="649" spans="2:17" x14ac:dyDescent="0.3">
      <c r="B649" s="188">
        <v>576452</v>
      </c>
      <c r="C649" s="158" t="s">
        <v>2355</v>
      </c>
      <c r="D649" s="160">
        <v>0</v>
      </c>
      <c r="E649" s="161" t="s">
        <v>237</v>
      </c>
      <c r="F649" s="160">
        <v>0</v>
      </c>
      <c r="G649" s="161" t="s">
        <v>380</v>
      </c>
      <c r="H649" s="161" t="s">
        <v>1760</v>
      </c>
      <c r="I649" s="161" t="s">
        <v>1721</v>
      </c>
      <c r="J649" s="160">
        <v>0</v>
      </c>
      <c r="K649" s="161" t="s">
        <v>380</v>
      </c>
      <c r="L649" s="160">
        <v>0</v>
      </c>
      <c r="M649" s="161" t="s">
        <v>380</v>
      </c>
      <c r="N649" s="160">
        <v>0</v>
      </c>
      <c r="O649" s="160">
        <v>0</v>
      </c>
      <c r="P649" s="160">
        <v>0</v>
      </c>
      <c r="Q649" s="161" t="s">
        <v>237</v>
      </c>
    </row>
    <row r="650" spans="2:17" x14ac:dyDescent="0.3">
      <c r="B650" s="188">
        <v>576453</v>
      </c>
      <c r="C650" s="158" t="s">
        <v>2356</v>
      </c>
      <c r="D650" s="160">
        <v>0</v>
      </c>
      <c r="E650" s="161" t="s">
        <v>237</v>
      </c>
      <c r="F650" s="160">
        <v>0</v>
      </c>
      <c r="G650" s="161" t="s">
        <v>380</v>
      </c>
      <c r="H650" s="161" t="s">
        <v>1760</v>
      </c>
      <c r="I650" s="161" t="s">
        <v>1721</v>
      </c>
      <c r="J650" s="160">
        <v>0</v>
      </c>
      <c r="K650" s="161" t="s">
        <v>380</v>
      </c>
      <c r="L650" s="160">
        <v>0</v>
      </c>
      <c r="M650" s="161" t="s">
        <v>380</v>
      </c>
      <c r="N650" s="160">
        <v>0</v>
      </c>
      <c r="O650" s="160">
        <v>0</v>
      </c>
      <c r="P650" s="160">
        <v>0</v>
      </c>
      <c r="Q650" s="161" t="s">
        <v>237</v>
      </c>
    </row>
    <row r="651" spans="2:17" x14ac:dyDescent="0.3">
      <c r="B651" s="188">
        <v>576454</v>
      </c>
      <c r="C651" s="158" t="s">
        <v>2357</v>
      </c>
      <c r="D651" s="160">
        <v>0</v>
      </c>
      <c r="E651" s="161" t="s">
        <v>237</v>
      </c>
      <c r="F651" s="160">
        <v>0</v>
      </c>
      <c r="G651" s="161" t="s">
        <v>380</v>
      </c>
      <c r="H651" s="161" t="s">
        <v>1603</v>
      </c>
      <c r="I651" s="161" t="s">
        <v>1721</v>
      </c>
      <c r="J651" s="160">
        <v>0</v>
      </c>
      <c r="K651" s="161" t="s">
        <v>380</v>
      </c>
      <c r="L651" s="160">
        <v>0</v>
      </c>
      <c r="M651" s="161" t="s">
        <v>380</v>
      </c>
      <c r="N651" s="160">
        <v>0</v>
      </c>
      <c r="O651" s="160">
        <v>0</v>
      </c>
      <c r="P651" s="160">
        <v>0</v>
      </c>
      <c r="Q651" s="161" t="s">
        <v>237</v>
      </c>
    </row>
    <row r="652" spans="2:17" x14ac:dyDescent="0.3">
      <c r="B652" s="188">
        <v>576455</v>
      </c>
      <c r="C652" s="158" t="s">
        <v>2358</v>
      </c>
      <c r="D652" s="160">
        <v>0</v>
      </c>
      <c r="E652" s="161" t="s">
        <v>237</v>
      </c>
      <c r="F652" s="160">
        <v>0</v>
      </c>
      <c r="G652" s="161" t="s">
        <v>380</v>
      </c>
      <c r="H652" s="161" t="s">
        <v>1760</v>
      </c>
      <c r="I652" s="161" t="s">
        <v>1721</v>
      </c>
      <c r="J652" s="160">
        <v>0</v>
      </c>
      <c r="K652" s="161" t="s">
        <v>380</v>
      </c>
      <c r="L652" s="160">
        <v>0</v>
      </c>
      <c r="M652" s="161" t="s">
        <v>380</v>
      </c>
      <c r="N652" s="160">
        <v>0</v>
      </c>
      <c r="O652" s="160">
        <v>0</v>
      </c>
      <c r="P652" s="160">
        <v>0</v>
      </c>
      <c r="Q652" s="161" t="s">
        <v>237</v>
      </c>
    </row>
    <row r="653" spans="2:17" x14ac:dyDescent="0.3">
      <c r="B653" s="188">
        <v>576456</v>
      </c>
      <c r="C653" s="158" t="s">
        <v>2359</v>
      </c>
      <c r="D653" s="160">
        <v>0</v>
      </c>
      <c r="E653" s="161" t="s">
        <v>237</v>
      </c>
      <c r="F653" s="160">
        <v>0</v>
      </c>
      <c r="G653" s="161" t="s">
        <v>380</v>
      </c>
      <c r="H653" s="161" t="s">
        <v>1603</v>
      </c>
      <c r="I653" s="161" t="s">
        <v>1721</v>
      </c>
      <c r="J653" s="160">
        <v>0</v>
      </c>
      <c r="K653" s="161" t="s">
        <v>380</v>
      </c>
      <c r="L653" s="160">
        <v>0</v>
      </c>
      <c r="M653" s="161" t="s">
        <v>380</v>
      </c>
      <c r="N653" s="160">
        <v>0</v>
      </c>
      <c r="O653" s="160">
        <v>0</v>
      </c>
      <c r="P653" s="160">
        <v>0</v>
      </c>
      <c r="Q653" s="161" t="s">
        <v>237</v>
      </c>
    </row>
    <row r="654" spans="2:17" x14ac:dyDescent="0.3">
      <c r="B654" s="188">
        <v>576457</v>
      </c>
      <c r="C654" s="158" t="s">
        <v>2360</v>
      </c>
      <c r="D654" s="160">
        <v>0</v>
      </c>
      <c r="E654" s="161" t="s">
        <v>237</v>
      </c>
      <c r="F654" s="160">
        <v>0</v>
      </c>
      <c r="G654" s="161" t="s">
        <v>380</v>
      </c>
      <c r="H654" s="161" t="s">
        <v>1603</v>
      </c>
      <c r="I654" s="161" t="s">
        <v>1721</v>
      </c>
      <c r="J654" s="160">
        <v>0</v>
      </c>
      <c r="K654" s="161" t="s">
        <v>380</v>
      </c>
      <c r="L654" s="160">
        <v>0</v>
      </c>
      <c r="M654" s="161" t="s">
        <v>380</v>
      </c>
      <c r="N654" s="160">
        <v>0</v>
      </c>
      <c r="O654" s="160">
        <v>0</v>
      </c>
      <c r="P654" s="160">
        <v>0</v>
      </c>
      <c r="Q654" s="161" t="s">
        <v>237</v>
      </c>
    </row>
    <row r="655" spans="2:17" x14ac:dyDescent="0.3">
      <c r="B655" s="188">
        <v>576458</v>
      </c>
      <c r="C655" s="158" t="s">
        <v>2361</v>
      </c>
      <c r="D655" s="160">
        <v>0</v>
      </c>
      <c r="E655" s="161" t="s">
        <v>237</v>
      </c>
      <c r="F655" s="160">
        <v>0</v>
      </c>
      <c r="G655" s="161" t="s">
        <v>380</v>
      </c>
      <c r="H655" s="161" t="s">
        <v>1603</v>
      </c>
      <c r="I655" s="161" t="s">
        <v>1721</v>
      </c>
      <c r="J655" s="160">
        <v>0</v>
      </c>
      <c r="K655" s="161" t="s">
        <v>380</v>
      </c>
      <c r="L655" s="160">
        <v>0</v>
      </c>
      <c r="M655" s="161" t="s">
        <v>380</v>
      </c>
      <c r="N655" s="160">
        <v>0</v>
      </c>
      <c r="O655" s="160">
        <v>0</v>
      </c>
      <c r="P655" s="160">
        <v>0</v>
      </c>
      <c r="Q655" s="161" t="s">
        <v>237</v>
      </c>
    </row>
    <row r="656" spans="2:17" x14ac:dyDescent="0.3">
      <c r="B656" s="188">
        <v>576559</v>
      </c>
      <c r="C656" s="158" t="s">
        <v>2362</v>
      </c>
      <c r="D656" s="160">
        <v>0</v>
      </c>
      <c r="E656" s="161" t="s">
        <v>237</v>
      </c>
      <c r="F656" s="160">
        <v>0</v>
      </c>
      <c r="G656" s="161" t="s">
        <v>380</v>
      </c>
      <c r="H656" s="161" t="s">
        <v>1835</v>
      </c>
      <c r="I656" s="161" t="s">
        <v>1835</v>
      </c>
      <c r="J656" s="160">
        <v>0</v>
      </c>
      <c r="K656" s="161" t="s">
        <v>380</v>
      </c>
      <c r="L656" s="160">
        <v>0</v>
      </c>
      <c r="M656" s="161" t="s">
        <v>380</v>
      </c>
      <c r="N656" s="160">
        <v>0</v>
      </c>
      <c r="O656" s="160">
        <v>0</v>
      </c>
      <c r="P656" s="160">
        <v>0</v>
      </c>
      <c r="Q656" s="161" t="s">
        <v>237</v>
      </c>
    </row>
    <row r="657" spans="2:17" x14ac:dyDescent="0.3">
      <c r="B657" s="188">
        <v>576582</v>
      </c>
      <c r="C657" s="158" t="s">
        <v>2363</v>
      </c>
      <c r="D657" s="160">
        <v>0</v>
      </c>
      <c r="E657" s="161" t="s">
        <v>237</v>
      </c>
      <c r="F657" s="160">
        <v>0</v>
      </c>
      <c r="G657" s="161" t="s">
        <v>380</v>
      </c>
      <c r="H657" s="161" t="s">
        <v>1801</v>
      </c>
      <c r="I657" s="161" t="s">
        <v>1801</v>
      </c>
      <c r="J657" s="160">
        <v>0</v>
      </c>
      <c r="K657" s="161" t="s">
        <v>380</v>
      </c>
      <c r="L657" s="160">
        <v>0</v>
      </c>
      <c r="M657" s="161" t="s">
        <v>380</v>
      </c>
      <c r="N657" s="160">
        <v>0</v>
      </c>
      <c r="O657" s="160">
        <v>0</v>
      </c>
      <c r="P657" s="160">
        <v>0</v>
      </c>
      <c r="Q657" s="161" t="s">
        <v>237</v>
      </c>
    </row>
    <row r="658" spans="2:17" x14ac:dyDescent="0.3">
      <c r="B658" s="188">
        <v>576586</v>
      </c>
      <c r="C658" s="158" t="s">
        <v>2364</v>
      </c>
      <c r="D658" s="160">
        <v>0</v>
      </c>
      <c r="E658" s="161" t="s">
        <v>237</v>
      </c>
      <c r="F658" s="160">
        <v>0</v>
      </c>
      <c r="G658" s="161" t="s">
        <v>380</v>
      </c>
      <c r="H658" s="161" t="s">
        <v>1801</v>
      </c>
      <c r="I658" s="161" t="s">
        <v>1801</v>
      </c>
      <c r="J658" s="160">
        <v>0</v>
      </c>
      <c r="K658" s="161" t="s">
        <v>380</v>
      </c>
      <c r="L658" s="160">
        <v>0</v>
      </c>
      <c r="M658" s="161" t="s">
        <v>380</v>
      </c>
      <c r="N658" s="160">
        <v>0</v>
      </c>
      <c r="O658" s="160">
        <v>0</v>
      </c>
      <c r="P658" s="160">
        <v>0</v>
      </c>
      <c r="Q658" s="161" t="s">
        <v>237</v>
      </c>
    </row>
    <row r="659" spans="2:17" x14ac:dyDescent="0.3">
      <c r="B659" s="188">
        <v>577492</v>
      </c>
      <c r="C659" s="158" t="s">
        <v>294</v>
      </c>
      <c r="D659" s="160">
        <v>0</v>
      </c>
      <c r="E659" s="161" t="s">
        <v>237</v>
      </c>
      <c r="F659" s="160">
        <v>0</v>
      </c>
      <c r="G659" s="161" t="s">
        <v>380</v>
      </c>
      <c r="H659" s="161" t="s">
        <v>1979</v>
      </c>
      <c r="I659" s="161" t="s">
        <v>2799</v>
      </c>
      <c r="J659" s="160">
        <v>222640</v>
      </c>
      <c r="K659" s="161" t="s">
        <v>380</v>
      </c>
      <c r="L659" s="160">
        <v>182160</v>
      </c>
      <c r="M659" s="161" t="s">
        <v>380</v>
      </c>
      <c r="N659" s="160">
        <v>0</v>
      </c>
      <c r="O659" s="160">
        <v>7.33</v>
      </c>
      <c r="P659" s="160">
        <v>72256.800000000003</v>
      </c>
      <c r="Q659" s="161" t="s">
        <v>237</v>
      </c>
    </row>
    <row r="660" spans="2:17" x14ac:dyDescent="0.3">
      <c r="B660" s="188">
        <v>577726</v>
      </c>
      <c r="C660" s="158" t="s">
        <v>2365</v>
      </c>
      <c r="D660" s="160">
        <v>0</v>
      </c>
      <c r="E660" s="161" t="s">
        <v>237</v>
      </c>
      <c r="F660" s="160">
        <v>0</v>
      </c>
      <c r="G660" s="161" t="s">
        <v>380</v>
      </c>
      <c r="H660" s="161" t="s">
        <v>1836</v>
      </c>
      <c r="I660" s="161" t="s">
        <v>1837</v>
      </c>
      <c r="J660" s="160">
        <v>0</v>
      </c>
      <c r="K660" s="161" t="s">
        <v>380</v>
      </c>
      <c r="L660" s="160">
        <v>0</v>
      </c>
      <c r="M660" s="161" t="s">
        <v>380</v>
      </c>
      <c r="N660" s="160">
        <v>0</v>
      </c>
      <c r="O660" s="160">
        <v>0</v>
      </c>
      <c r="P660" s="160">
        <v>0</v>
      </c>
      <c r="Q660" s="161" t="s">
        <v>237</v>
      </c>
    </row>
    <row r="661" spans="2:17" x14ac:dyDescent="0.3">
      <c r="B661" s="188">
        <v>578476</v>
      </c>
      <c r="C661" s="158" t="s">
        <v>2366</v>
      </c>
      <c r="D661" s="160">
        <v>0</v>
      </c>
      <c r="E661" s="161" t="s">
        <v>237</v>
      </c>
      <c r="F661" s="160">
        <v>0</v>
      </c>
      <c r="G661" s="161" t="s">
        <v>380</v>
      </c>
      <c r="H661" s="161" t="s">
        <v>1838</v>
      </c>
      <c r="I661" s="161" t="s">
        <v>1839</v>
      </c>
      <c r="J661" s="160">
        <v>0</v>
      </c>
      <c r="K661" s="161" t="s">
        <v>380</v>
      </c>
      <c r="L661" s="160">
        <v>0</v>
      </c>
      <c r="M661" s="161" t="s">
        <v>380</v>
      </c>
      <c r="N661" s="160">
        <v>0</v>
      </c>
      <c r="O661" s="160">
        <v>0</v>
      </c>
      <c r="P661" s="160">
        <v>0</v>
      </c>
      <c r="Q661" s="161" t="s">
        <v>237</v>
      </c>
    </row>
    <row r="662" spans="2:17" x14ac:dyDescent="0.3">
      <c r="B662" s="188">
        <v>578505</v>
      </c>
      <c r="C662" s="158" t="s">
        <v>2367</v>
      </c>
      <c r="D662" s="160">
        <v>0</v>
      </c>
      <c r="E662" s="161" t="s">
        <v>237</v>
      </c>
      <c r="F662" s="160">
        <v>0</v>
      </c>
      <c r="G662" s="161" t="s">
        <v>380</v>
      </c>
      <c r="H662" s="161" t="s">
        <v>236</v>
      </c>
      <c r="I662" s="161" t="s">
        <v>236</v>
      </c>
      <c r="J662" s="160">
        <v>0</v>
      </c>
      <c r="K662" s="161" t="s">
        <v>380</v>
      </c>
      <c r="L662" s="160">
        <v>0</v>
      </c>
      <c r="M662" s="161" t="s">
        <v>380</v>
      </c>
      <c r="N662" s="160">
        <v>0</v>
      </c>
      <c r="O662" s="160">
        <v>0</v>
      </c>
      <c r="P662" s="160">
        <v>0</v>
      </c>
      <c r="Q662" s="161" t="s">
        <v>237</v>
      </c>
    </row>
    <row r="663" spans="2:17" x14ac:dyDescent="0.3">
      <c r="B663" s="188">
        <v>578773</v>
      </c>
      <c r="C663" s="158" t="s">
        <v>2368</v>
      </c>
      <c r="D663" s="160">
        <v>740</v>
      </c>
      <c r="E663" s="161" t="s">
        <v>237</v>
      </c>
      <c r="F663" s="160">
        <v>50</v>
      </c>
      <c r="G663" s="161" t="s">
        <v>374</v>
      </c>
      <c r="H663" s="161" t="s">
        <v>2743</v>
      </c>
      <c r="I663" s="161" t="s">
        <v>2743</v>
      </c>
      <c r="J663" s="160">
        <v>25</v>
      </c>
      <c r="K663" s="161" t="s">
        <v>374</v>
      </c>
      <c r="L663" s="160">
        <v>25</v>
      </c>
      <c r="M663" s="161" t="s">
        <v>374</v>
      </c>
      <c r="N663" s="160">
        <v>99999</v>
      </c>
      <c r="O663" s="160">
        <v>0</v>
      </c>
      <c r="P663" s="160">
        <v>0</v>
      </c>
      <c r="Q663" s="161" t="s">
        <v>237</v>
      </c>
    </row>
    <row r="664" spans="2:17" x14ac:dyDescent="0.3">
      <c r="B664" s="188">
        <v>579114</v>
      </c>
      <c r="C664" s="158" t="s">
        <v>335</v>
      </c>
      <c r="D664" s="160">
        <v>189098.58</v>
      </c>
      <c r="E664" s="161" t="s">
        <v>237</v>
      </c>
      <c r="F664" s="160">
        <v>33051.599000000002</v>
      </c>
      <c r="G664" s="161" t="s">
        <v>374</v>
      </c>
      <c r="H664" s="161" t="s">
        <v>2798</v>
      </c>
      <c r="I664" s="161" t="s">
        <v>2798</v>
      </c>
      <c r="J664" s="160">
        <v>29025.593000000001</v>
      </c>
      <c r="K664" s="161" t="s">
        <v>374</v>
      </c>
      <c r="L664" s="160">
        <v>35700</v>
      </c>
      <c r="M664" s="161" t="s">
        <v>374</v>
      </c>
      <c r="N664" s="160">
        <v>224</v>
      </c>
      <c r="O664" s="160">
        <v>0.55000000000000004</v>
      </c>
      <c r="P664" s="160">
        <v>77683.289999999994</v>
      </c>
      <c r="Q664" s="161" t="s">
        <v>237</v>
      </c>
    </row>
    <row r="665" spans="2:17" x14ac:dyDescent="0.3">
      <c r="B665" s="188">
        <v>579327</v>
      </c>
      <c r="C665" s="158" t="s">
        <v>295</v>
      </c>
      <c r="D665" s="160">
        <v>0</v>
      </c>
      <c r="E665" s="161" t="s">
        <v>237</v>
      </c>
      <c r="F665" s="160">
        <v>0</v>
      </c>
      <c r="G665" s="161" t="s">
        <v>374</v>
      </c>
      <c r="H665" s="161" t="s">
        <v>1521</v>
      </c>
      <c r="I665" s="161" t="s">
        <v>2572</v>
      </c>
      <c r="J665" s="160">
        <v>0</v>
      </c>
      <c r="K665" s="161" t="s">
        <v>374</v>
      </c>
      <c r="L665" s="160">
        <v>0</v>
      </c>
      <c r="M665" s="161" t="s">
        <v>374</v>
      </c>
      <c r="N665" s="160">
        <v>0</v>
      </c>
      <c r="O665" s="160">
        <v>0</v>
      </c>
      <c r="P665" s="160">
        <v>0</v>
      </c>
      <c r="Q665" s="161" t="s">
        <v>237</v>
      </c>
    </row>
    <row r="666" spans="2:17" x14ac:dyDescent="0.3">
      <c r="B666" s="188">
        <v>579471</v>
      </c>
      <c r="C666" s="158" t="s">
        <v>296</v>
      </c>
      <c r="D666" s="160">
        <v>0</v>
      </c>
      <c r="E666" s="161" t="s">
        <v>237</v>
      </c>
      <c r="F666" s="160">
        <v>0</v>
      </c>
      <c r="G666" s="161" t="s">
        <v>380</v>
      </c>
      <c r="H666" s="161" t="s">
        <v>2746</v>
      </c>
      <c r="I666" s="161" t="s">
        <v>2748</v>
      </c>
      <c r="J666" s="160">
        <v>37800</v>
      </c>
      <c r="K666" s="161" t="s">
        <v>380</v>
      </c>
      <c r="L666" s="160">
        <v>37800</v>
      </c>
      <c r="M666" s="161" t="s">
        <v>380</v>
      </c>
      <c r="N666" s="160">
        <v>0</v>
      </c>
      <c r="O666" s="160">
        <v>99999</v>
      </c>
      <c r="P666" s="160">
        <v>7938</v>
      </c>
      <c r="Q666" s="161" t="s">
        <v>237</v>
      </c>
    </row>
    <row r="667" spans="2:17" x14ac:dyDescent="0.3">
      <c r="B667" s="188">
        <v>579613</v>
      </c>
      <c r="C667" s="158" t="s">
        <v>2369</v>
      </c>
      <c r="D667" s="160">
        <v>0</v>
      </c>
      <c r="E667" s="161" t="s">
        <v>237</v>
      </c>
      <c r="F667" s="160">
        <v>0</v>
      </c>
      <c r="G667" s="161" t="s">
        <v>380</v>
      </c>
      <c r="H667" s="161" t="s">
        <v>1840</v>
      </c>
      <c r="I667" s="161" t="s">
        <v>1841</v>
      </c>
      <c r="J667" s="160">
        <v>0</v>
      </c>
      <c r="K667" s="161" t="s">
        <v>380</v>
      </c>
      <c r="L667" s="160">
        <v>0</v>
      </c>
      <c r="M667" s="161" t="s">
        <v>380</v>
      </c>
      <c r="N667" s="160">
        <v>0</v>
      </c>
      <c r="O667" s="160">
        <v>0</v>
      </c>
      <c r="P667" s="160">
        <v>0</v>
      </c>
      <c r="Q667" s="161" t="s">
        <v>237</v>
      </c>
    </row>
    <row r="668" spans="2:17" x14ac:dyDescent="0.3">
      <c r="B668" s="188">
        <v>579651</v>
      </c>
      <c r="C668" s="158" t="s">
        <v>2370</v>
      </c>
      <c r="D668" s="160">
        <v>0</v>
      </c>
      <c r="E668" s="161" t="s">
        <v>237</v>
      </c>
      <c r="F668" s="160">
        <v>0</v>
      </c>
      <c r="G668" s="161" t="s">
        <v>380</v>
      </c>
      <c r="H668" s="161" t="s">
        <v>1516</v>
      </c>
      <c r="I668" s="161" t="s">
        <v>1842</v>
      </c>
      <c r="J668" s="160">
        <v>0</v>
      </c>
      <c r="K668" s="161" t="s">
        <v>380</v>
      </c>
      <c r="L668" s="160">
        <v>0</v>
      </c>
      <c r="M668" s="161" t="s">
        <v>380</v>
      </c>
      <c r="N668" s="160">
        <v>0</v>
      </c>
      <c r="O668" s="160">
        <v>0</v>
      </c>
      <c r="P668" s="160">
        <v>0</v>
      </c>
      <c r="Q668" s="161" t="s">
        <v>237</v>
      </c>
    </row>
    <row r="669" spans="2:17" x14ac:dyDescent="0.3">
      <c r="B669" s="188">
        <v>579653</v>
      </c>
      <c r="C669" s="158" t="s">
        <v>2371</v>
      </c>
      <c r="D669" s="160">
        <v>0</v>
      </c>
      <c r="E669" s="161" t="s">
        <v>237</v>
      </c>
      <c r="F669" s="160">
        <v>0</v>
      </c>
      <c r="G669" s="161" t="s">
        <v>380</v>
      </c>
      <c r="H669" s="161" t="s">
        <v>1843</v>
      </c>
      <c r="I669" s="161" t="s">
        <v>1844</v>
      </c>
      <c r="J669" s="160">
        <v>0</v>
      </c>
      <c r="K669" s="161" t="s">
        <v>380</v>
      </c>
      <c r="L669" s="160">
        <v>0</v>
      </c>
      <c r="M669" s="161" t="s">
        <v>380</v>
      </c>
      <c r="N669" s="160">
        <v>0</v>
      </c>
      <c r="O669" s="160">
        <v>0</v>
      </c>
      <c r="P669" s="160">
        <v>0</v>
      </c>
      <c r="Q669" s="161" t="s">
        <v>237</v>
      </c>
    </row>
    <row r="670" spans="2:17" x14ac:dyDescent="0.3">
      <c r="B670" s="188">
        <v>579654</v>
      </c>
      <c r="C670" s="158" t="s">
        <v>2372</v>
      </c>
      <c r="D670" s="160">
        <v>0</v>
      </c>
      <c r="E670" s="161" t="s">
        <v>237</v>
      </c>
      <c r="F670" s="160">
        <v>0</v>
      </c>
      <c r="G670" s="161" t="s">
        <v>380</v>
      </c>
      <c r="H670" s="161" t="s">
        <v>1845</v>
      </c>
      <c r="I670" s="161" t="s">
        <v>1841</v>
      </c>
      <c r="J670" s="160">
        <v>0</v>
      </c>
      <c r="K670" s="161" t="s">
        <v>380</v>
      </c>
      <c r="L670" s="160">
        <v>0</v>
      </c>
      <c r="M670" s="161" t="s">
        <v>380</v>
      </c>
      <c r="N670" s="160">
        <v>0</v>
      </c>
      <c r="O670" s="160">
        <v>0</v>
      </c>
      <c r="P670" s="160">
        <v>0</v>
      </c>
      <c r="Q670" s="161" t="s">
        <v>237</v>
      </c>
    </row>
    <row r="671" spans="2:17" x14ac:dyDescent="0.3">
      <c r="B671" s="188">
        <v>579681</v>
      </c>
      <c r="C671" s="158" t="s">
        <v>2373</v>
      </c>
      <c r="D671" s="160">
        <v>0</v>
      </c>
      <c r="E671" s="161" t="s">
        <v>237</v>
      </c>
      <c r="F671" s="160">
        <v>0</v>
      </c>
      <c r="G671" s="161" t="s">
        <v>380</v>
      </c>
      <c r="H671" s="161" t="s">
        <v>1665</v>
      </c>
      <c r="I671" s="161" t="s">
        <v>1846</v>
      </c>
      <c r="J671" s="160">
        <v>0</v>
      </c>
      <c r="K671" s="161" t="s">
        <v>380</v>
      </c>
      <c r="L671" s="160">
        <v>0</v>
      </c>
      <c r="M671" s="161" t="s">
        <v>380</v>
      </c>
      <c r="N671" s="160">
        <v>0</v>
      </c>
      <c r="O671" s="160">
        <v>0</v>
      </c>
      <c r="P671" s="160">
        <v>0</v>
      </c>
      <c r="Q671" s="161" t="s">
        <v>237</v>
      </c>
    </row>
    <row r="672" spans="2:17" x14ac:dyDescent="0.3">
      <c r="B672" s="188">
        <v>579877</v>
      </c>
      <c r="C672" s="158" t="s">
        <v>2374</v>
      </c>
      <c r="D672" s="160">
        <v>0</v>
      </c>
      <c r="E672" s="161" t="s">
        <v>237</v>
      </c>
      <c r="F672" s="160">
        <v>0</v>
      </c>
      <c r="G672" s="161" t="s">
        <v>380</v>
      </c>
      <c r="H672" s="161" t="s">
        <v>1741</v>
      </c>
      <c r="I672" s="161" t="s">
        <v>1682</v>
      </c>
      <c r="J672" s="160">
        <v>0</v>
      </c>
      <c r="K672" s="161" t="s">
        <v>380</v>
      </c>
      <c r="L672" s="160">
        <v>0</v>
      </c>
      <c r="M672" s="161" t="s">
        <v>380</v>
      </c>
      <c r="N672" s="160">
        <v>0</v>
      </c>
      <c r="O672" s="160">
        <v>0</v>
      </c>
      <c r="P672" s="160">
        <v>0</v>
      </c>
      <c r="Q672" s="161" t="s">
        <v>237</v>
      </c>
    </row>
    <row r="673" spans="2:17" x14ac:dyDescent="0.3">
      <c r="B673" s="188">
        <v>579878</v>
      </c>
      <c r="C673" s="158" t="s">
        <v>2375</v>
      </c>
      <c r="D673" s="160">
        <v>0</v>
      </c>
      <c r="E673" s="161" t="s">
        <v>237</v>
      </c>
      <c r="F673" s="160">
        <v>0</v>
      </c>
      <c r="G673" s="161" t="s">
        <v>380</v>
      </c>
      <c r="H673" s="161" t="s">
        <v>1741</v>
      </c>
      <c r="I673" s="161" t="s">
        <v>1579</v>
      </c>
      <c r="J673" s="160">
        <v>0</v>
      </c>
      <c r="K673" s="161" t="s">
        <v>380</v>
      </c>
      <c r="L673" s="160">
        <v>0</v>
      </c>
      <c r="M673" s="161" t="s">
        <v>380</v>
      </c>
      <c r="N673" s="160">
        <v>0</v>
      </c>
      <c r="O673" s="160">
        <v>0</v>
      </c>
      <c r="P673" s="160">
        <v>0</v>
      </c>
      <c r="Q673" s="161" t="s">
        <v>237</v>
      </c>
    </row>
    <row r="674" spans="2:17" x14ac:dyDescent="0.3">
      <c r="B674" s="188">
        <v>579879</v>
      </c>
      <c r="C674" s="158" t="s">
        <v>2376</v>
      </c>
      <c r="D674" s="160">
        <v>0</v>
      </c>
      <c r="E674" s="161" t="s">
        <v>237</v>
      </c>
      <c r="F674" s="160">
        <v>0</v>
      </c>
      <c r="G674" s="161" t="s">
        <v>380</v>
      </c>
      <c r="H674" s="161" t="s">
        <v>1847</v>
      </c>
      <c r="I674" s="161" t="s">
        <v>1714</v>
      </c>
      <c r="J674" s="160">
        <v>0</v>
      </c>
      <c r="K674" s="161" t="s">
        <v>380</v>
      </c>
      <c r="L674" s="160">
        <v>0</v>
      </c>
      <c r="M674" s="161" t="s">
        <v>380</v>
      </c>
      <c r="N674" s="160">
        <v>0</v>
      </c>
      <c r="O674" s="160">
        <v>0</v>
      </c>
      <c r="P674" s="160">
        <v>0</v>
      </c>
      <c r="Q674" s="161" t="s">
        <v>237</v>
      </c>
    </row>
    <row r="675" spans="2:17" x14ac:dyDescent="0.3">
      <c r="B675" s="188">
        <v>580035</v>
      </c>
      <c r="C675" s="158" t="s">
        <v>2377</v>
      </c>
      <c r="D675" s="160">
        <v>0</v>
      </c>
      <c r="E675" s="161" t="s">
        <v>237</v>
      </c>
      <c r="F675" s="160">
        <v>0</v>
      </c>
      <c r="G675" s="161" t="s">
        <v>380</v>
      </c>
      <c r="H675" s="161" t="s">
        <v>1848</v>
      </c>
      <c r="I675" s="161" t="s">
        <v>1849</v>
      </c>
      <c r="J675" s="160">
        <v>0</v>
      </c>
      <c r="K675" s="161" t="s">
        <v>380</v>
      </c>
      <c r="L675" s="160">
        <v>0</v>
      </c>
      <c r="M675" s="161" t="s">
        <v>380</v>
      </c>
      <c r="N675" s="160">
        <v>0</v>
      </c>
      <c r="O675" s="160">
        <v>0</v>
      </c>
      <c r="P675" s="160">
        <v>0</v>
      </c>
      <c r="Q675" s="161" t="s">
        <v>237</v>
      </c>
    </row>
    <row r="676" spans="2:17" x14ac:dyDescent="0.3">
      <c r="B676" s="188">
        <v>580047</v>
      </c>
      <c r="C676" s="158" t="s">
        <v>2378</v>
      </c>
      <c r="D676" s="160">
        <v>0</v>
      </c>
      <c r="E676" s="161" t="s">
        <v>237</v>
      </c>
      <c r="F676" s="160">
        <v>0</v>
      </c>
      <c r="G676" s="161" t="s">
        <v>380</v>
      </c>
      <c r="H676" s="161" t="s">
        <v>1741</v>
      </c>
      <c r="I676" s="161" t="s">
        <v>1818</v>
      </c>
      <c r="J676" s="160">
        <v>0</v>
      </c>
      <c r="K676" s="161" t="s">
        <v>380</v>
      </c>
      <c r="L676" s="160">
        <v>0</v>
      </c>
      <c r="M676" s="161" t="s">
        <v>380</v>
      </c>
      <c r="N676" s="160">
        <v>0</v>
      </c>
      <c r="O676" s="160">
        <v>0</v>
      </c>
      <c r="P676" s="160">
        <v>0</v>
      </c>
      <c r="Q676" s="161" t="s">
        <v>237</v>
      </c>
    </row>
    <row r="677" spans="2:17" x14ac:dyDescent="0.3">
      <c r="B677" s="188">
        <v>580324</v>
      </c>
      <c r="C677" s="158" t="s">
        <v>322</v>
      </c>
      <c r="D677" s="160">
        <v>15007.5</v>
      </c>
      <c r="E677" s="161" t="s">
        <v>237</v>
      </c>
      <c r="F677" s="160">
        <v>100050</v>
      </c>
      <c r="G677" s="161" t="s">
        <v>380</v>
      </c>
      <c r="H677" s="161" t="s">
        <v>2638</v>
      </c>
      <c r="I677" s="161" t="s">
        <v>2739</v>
      </c>
      <c r="J677" s="160">
        <v>25300</v>
      </c>
      <c r="K677" s="161" t="s">
        <v>380</v>
      </c>
      <c r="L677" s="160">
        <v>0</v>
      </c>
      <c r="M677" s="161" t="s">
        <v>380</v>
      </c>
      <c r="N677" s="160">
        <v>387</v>
      </c>
      <c r="O677" s="160">
        <v>0.24</v>
      </c>
      <c r="P677" s="160">
        <v>3565</v>
      </c>
      <c r="Q677" s="161" t="s">
        <v>237</v>
      </c>
    </row>
    <row r="678" spans="2:17" x14ac:dyDescent="0.3">
      <c r="B678" s="188">
        <v>580539</v>
      </c>
      <c r="C678" s="158" t="s">
        <v>2379</v>
      </c>
      <c r="D678" s="160">
        <v>0</v>
      </c>
      <c r="E678" s="161" t="s">
        <v>237</v>
      </c>
      <c r="F678" s="160">
        <v>0</v>
      </c>
      <c r="G678" s="161" t="s">
        <v>380</v>
      </c>
      <c r="H678" s="161" t="s">
        <v>1850</v>
      </c>
      <c r="I678" s="161" t="s">
        <v>1850</v>
      </c>
      <c r="J678" s="160">
        <v>0</v>
      </c>
      <c r="K678" s="161" t="s">
        <v>380</v>
      </c>
      <c r="L678" s="160">
        <v>0</v>
      </c>
      <c r="M678" s="161" t="s">
        <v>380</v>
      </c>
      <c r="N678" s="160">
        <v>0</v>
      </c>
      <c r="O678" s="160">
        <v>0</v>
      </c>
      <c r="P678" s="160">
        <v>0</v>
      </c>
      <c r="Q678" s="161" t="s">
        <v>237</v>
      </c>
    </row>
    <row r="679" spans="2:17" x14ac:dyDescent="0.3">
      <c r="B679" s="188">
        <v>580564</v>
      </c>
      <c r="C679" s="158" t="s">
        <v>1319</v>
      </c>
      <c r="D679" s="160">
        <v>0</v>
      </c>
      <c r="E679" s="161" t="s">
        <v>237</v>
      </c>
      <c r="F679" s="160">
        <v>0</v>
      </c>
      <c r="G679" s="161" t="s">
        <v>380</v>
      </c>
      <c r="H679" s="161" t="s">
        <v>2573</v>
      </c>
      <c r="I679" s="161" t="s">
        <v>2577</v>
      </c>
      <c r="J679" s="160">
        <v>0</v>
      </c>
      <c r="K679" s="161" t="s">
        <v>380</v>
      </c>
      <c r="L679" s="160">
        <v>0</v>
      </c>
      <c r="M679" s="161" t="s">
        <v>380</v>
      </c>
      <c r="N679" s="160">
        <v>0</v>
      </c>
      <c r="O679" s="160">
        <v>0</v>
      </c>
      <c r="P679" s="160">
        <v>0</v>
      </c>
      <c r="Q679" s="161" t="s">
        <v>237</v>
      </c>
    </row>
    <row r="680" spans="2:17" x14ac:dyDescent="0.3">
      <c r="B680" s="188">
        <v>580580</v>
      </c>
      <c r="C680" s="158" t="s">
        <v>1320</v>
      </c>
      <c r="D680" s="160">
        <v>47647.6</v>
      </c>
      <c r="E680" s="161" t="s">
        <v>237</v>
      </c>
      <c r="F680" s="160">
        <v>40040</v>
      </c>
      <c r="G680" s="161" t="s">
        <v>380</v>
      </c>
      <c r="H680" s="161" t="s">
        <v>2816</v>
      </c>
      <c r="I680" s="161" t="s">
        <v>2755</v>
      </c>
      <c r="J680" s="160">
        <v>40480</v>
      </c>
      <c r="K680" s="161" t="s">
        <v>380</v>
      </c>
      <c r="L680" s="160">
        <v>60280</v>
      </c>
      <c r="M680" s="161" t="s">
        <v>380</v>
      </c>
      <c r="N680" s="160">
        <v>122</v>
      </c>
      <c r="O680" s="160">
        <v>1.51</v>
      </c>
      <c r="P680" s="160">
        <v>36027.199999999997</v>
      </c>
      <c r="Q680" s="161" t="s">
        <v>237</v>
      </c>
    </row>
    <row r="681" spans="2:17" x14ac:dyDescent="0.3">
      <c r="B681" s="188">
        <v>581013</v>
      </c>
      <c r="C681" s="158" t="s">
        <v>2380</v>
      </c>
      <c r="D681" s="160">
        <v>0</v>
      </c>
      <c r="E681" s="161" t="s">
        <v>237</v>
      </c>
      <c r="F681" s="160">
        <v>0</v>
      </c>
      <c r="G681" s="161" t="s">
        <v>380</v>
      </c>
      <c r="H681" s="161" t="s">
        <v>1714</v>
      </c>
      <c r="I681" s="161" t="s">
        <v>1851</v>
      </c>
      <c r="J681" s="160">
        <v>0</v>
      </c>
      <c r="K681" s="161" t="s">
        <v>380</v>
      </c>
      <c r="L681" s="160">
        <v>0</v>
      </c>
      <c r="M681" s="161" t="s">
        <v>380</v>
      </c>
      <c r="N681" s="160">
        <v>0</v>
      </c>
      <c r="O681" s="160">
        <v>0</v>
      </c>
      <c r="P681" s="160">
        <v>0</v>
      </c>
      <c r="Q681" s="161" t="s">
        <v>237</v>
      </c>
    </row>
    <row r="682" spans="2:17" x14ac:dyDescent="0.3">
      <c r="B682" s="188">
        <v>581042</v>
      </c>
      <c r="C682" s="158" t="s">
        <v>309</v>
      </c>
      <c r="D682" s="160">
        <v>222.7</v>
      </c>
      <c r="E682" s="161" t="s">
        <v>237</v>
      </c>
      <c r="F682" s="160">
        <v>2620</v>
      </c>
      <c r="G682" s="161" t="s">
        <v>380</v>
      </c>
      <c r="H682" s="161" t="s">
        <v>1525</v>
      </c>
      <c r="I682" s="161" t="s">
        <v>2572</v>
      </c>
      <c r="J682" s="160">
        <v>0</v>
      </c>
      <c r="K682" s="161" t="s">
        <v>380</v>
      </c>
      <c r="L682" s="160">
        <v>0</v>
      </c>
      <c r="M682" s="161" t="s">
        <v>380</v>
      </c>
      <c r="N682" s="160">
        <v>99999</v>
      </c>
      <c r="O682" s="160">
        <v>0</v>
      </c>
      <c r="P682" s="160">
        <v>0</v>
      </c>
      <c r="Q682" s="161" t="s">
        <v>237</v>
      </c>
    </row>
    <row r="683" spans="2:17" x14ac:dyDescent="0.3">
      <c r="B683" s="188">
        <v>581070</v>
      </c>
      <c r="C683" s="158" t="s">
        <v>2381</v>
      </c>
      <c r="D683" s="160">
        <v>0</v>
      </c>
      <c r="E683" s="161" t="s">
        <v>237</v>
      </c>
      <c r="F683" s="160">
        <v>0</v>
      </c>
      <c r="G683" s="161" t="s">
        <v>380</v>
      </c>
      <c r="H683" s="161" t="s">
        <v>1852</v>
      </c>
      <c r="I683" s="161" t="s">
        <v>1853</v>
      </c>
      <c r="J683" s="160">
        <v>0</v>
      </c>
      <c r="K683" s="161" t="s">
        <v>380</v>
      </c>
      <c r="L683" s="160">
        <v>0</v>
      </c>
      <c r="M683" s="161" t="s">
        <v>380</v>
      </c>
      <c r="N683" s="160">
        <v>0</v>
      </c>
      <c r="O683" s="160">
        <v>0</v>
      </c>
      <c r="P683" s="160">
        <v>0</v>
      </c>
      <c r="Q683" s="161" t="s">
        <v>237</v>
      </c>
    </row>
    <row r="684" spans="2:17" x14ac:dyDescent="0.3">
      <c r="B684" s="188">
        <v>581433</v>
      </c>
      <c r="C684" s="158" t="s">
        <v>302</v>
      </c>
      <c r="D684" s="160">
        <v>6139.05</v>
      </c>
      <c r="E684" s="161" t="s">
        <v>237</v>
      </c>
      <c r="F684" s="160">
        <v>188.89400000000001</v>
      </c>
      <c r="G684" s="161" t="s">
        <v>374</v>
      </c>
      <c r="H684" s="161" t="s">
        <v>2817</v>
      </c>
      <c r="I684" s="161" t="s">
        <v>2798</v>
      </c>
      <c r="J684" s="160">
        <v>204.322</v>
      </c>
      <c r="K684" s="161" t="s">
        <v>374</v>
      </c>
      <c r="L684" s="160">
        <v>97.823999999999998</v>
      </c>
      <c r="M684" s="161" t="s">
        <v>374</v>
      </c>
      <c r="N684" s="160">
        <v>163</v>
      </c>
      <c r="O684" s="160">
        <v>0.43</v>
      </c>
      <c r="P684" s="160">
        <v>3457.7</v>
      </c>
      <c r="Q684" s="161" t="s">
        <v>237</v>
      </c>
    </row>
    <row r="685" spans="2:17" x14ac:dyDescent="0.3">
      <c r="B685" s="188">
        <v>581956</v>
      </c>
      <c r="C685" s="158" t="s">
        <v>310</v>
      </c>
      <c r="D685" s="160">
        <v>1487.23</v>
      </c>
      <c r="E685" s="161" t="s">
        <v>237</v>
      </c>
      <c r="F685" s="160">
        <v>13560</v>
      </c>
      <c r="G685" s="161" t="s">
        <v>380</v>
      </c>
      <c r="H685" s="161" t="s">
        <v>2718</v>
      </c>
      <c r="I685" s="161" t="s">
        <v>2633</v>
      </c>
      <c r="J685" s="160">
        <v>0</v>
      </c>
      <c r="K685" s="161" t="s">
        <v>380</v>
      </c>
      <c r="L685" s="160">
        <v>0</v>
      </c>
      <c r="M685" s="161" t="s">
        <v>380</v>
      </c>
      <c r="N685" s="160">
        <v>99999</v>
      </c>
      <c r="O685" s="160">
        <v>0</v>
      </c>
      <c r="P685" s="160">
        <v>0</v>
      </c>
      <c r="Q685" s="161" t="s">
        <v>237</v>
      </c>
    </row>
    <row r="686" spans="2:17" x14ac:dyDescent="0.3">
      <c r="B686" s="188">
        <v>584529</v>
      </c>
      <c r="C686" s="158" t="s">
        <v>2382</v>
      </c>
      <c r="D686" s="160">
        <v>0</v>
      </c>
      <c r="E686" s="161" t="s">
        <v>237</v>
      </c>
      <c r="F686" s="160">
        <v>0</v>
      </c>
      <c r="G686" s="161" t="s">
        <v>380</v>
      </c>
      <c r="H686" s="161" t="s">
        <v>2632</v>
      </c>
      <c r="I686" s="161" t="s">
        <v>2676</v>
      </c>
      <c r="J686" s="160">
        <v>0</v>
      </c>
      <c r="K686" s="161" t="s">
        <v>380</v>
      </c>
      <c r="L686" s="160">
        <v>0</v>
      </c>
      <c r="M686" s="161" t="s">
        <v>380</v>
      </c>
      <c r="N686" s="160">
        <v>0</v>
      </c>
      <c r="O686" s="160">
        <v>0</v>
      </c>
      <c r="P686" s="160">
        <v>0</v>
      </c>
      <c r="Q686" s="161" t="s">
        <v>237</v>
      </c>
    </row>
    <row r="687" spans="2:17" x14ac:dyDescent="0.3">
      <c r="B687" s="188">
        <v>584554</v>
      </c>
      <c r="C687" s="158" t="s">
        <v>2383</v>
      </c>
      <c r="D687" s="160">
        <v>0</v>
      </c>
      <c r="E687" s="161" t="s">
        <v>237</v>
      </c>
      <c r="F687" s="160">
        <v>0</v>
      </c>
      <c r="G687" s="161" t="s">
        <v>380</v>
      </c>
      <c r="H687" s="161" t="s">
        <v>1526</v>
      </c>
      <c r="I687" s="161" t="s">
        <v>1759</v>
      </c>
      <c r="J687" s="160">
        <v>0</v>
      </c>
      <c r="K687" s="161" t="s">
        <v>380</v>
      </c>
      <c r="L687" s="160">
        <v>0</v>
      </c>
      <c r="M687" s="161" t="s">
        <v>380</v>
      </c>
      <c r="N687" s="160">
        <v>0</v>
      </c>
      <c r="O687" s="160">
        <v>0</v>
      </c>
      <c r="P687" s="160">
        <v>0</v>
      </c>
      <c r="Q687" s="161" t="s">
        <v>237</v>
      </c>
    </row>
    <row r="688" spans="2:17" x14ac:dyDescent="0.3">
      <c r="B688" s="188">
        <v>584788</v>
      </c>
      <c r="C688" s="158" t="s">
        <v>2384</v>
      </c>
      <c r="D688" s="160">
        <v>0</v>
      </c>
      <c r="E688" s="161" t="s">
        <v>237</v>
      </c>
      <c r="F688" s="160">
        <v>0</v>
      </c>
      <c r="G688" s="161" t="s">
        <v>380</v>
      </c>
      <c r="H688" s="161" t="s">
        <v>1814</v>
      </c>
      <c r="I688" s="161" t="s">
        <v>1815</v>
      </c>
      <c r="J688" s="160">
        <v>0</v>
      </c>
      <c r="K688" s="161" t="s">
        <v>380</v>
      </c>
      <c r="L688" s="160">
        <v>0</v>
      </c>
      <c r="M688" s="161" t="s">
        <v>380</v>
      </c>
      <c r="N688" s="160">
        <v>0</v>
      </c>
      <c r="O688" s="160">
        <v>0</v>
      </c>
      <c r="P688" s="160">
        <v>0</v>
      </c>
      <c r="Q688" s="161" t="s">
        <v>237</v>
      </c>
    </row>
    <row r="689" spans="2:17" x14ac:dyDescent="0.3">
      <c r="B689" s="188">
        <v>584789</v>
      </c>
      <c r="C689" s="158" t="s">
        <v>2385</v>
      </c>
      <c r="D689" s="160">
        <v>0</v>
      </c>
      <c r="E689" s="161" t="s">
        <v>237</v>
      </c>
      <c r="F689" s="160">
        <v>0</v>
      </c>
      <c r="G689" s="161" t="s">
        <v>380</v>
      </c>
      <c r="H689" s="161" t="s">
        <v>1814</v>
      </c>
      <c r="I689" s="161" t="s">
        <v>1815</v>
      </c>
      <c r="J689" s="160">
        <v>0</v>
      </c>
      <c r="K689" s="161" t="s">
        <v>380</v>
      </c>
      <c r="L689" s="160">
        <v>0</v>
      </c>
      <c r="M689" s="161" t="s">
        <v>380</v>
      </c>
      <c r="N689" s="160">
        <v>0</v>
      </c>
      <c r="O689" s="160">
        <v>0</v>
      </c>
      <c r="P689" s="160">
        <v>0</v>
      </c>
      <c r="Q689" s="161" t="s">
        <v>237</v>
      </c>
    </row>
    <row r="690" spans="2:17" x14ac:dyDescent="0.3">
      <c r="B690" s="188">
        <v>584790</v>
      </c>
      <c r="C690" s="158" t="s">
        <v>2386</v>
      </c>
      <c r="D690" s="160">
        <v>0</v>
      </c>
      <c r="E690" s="161" t="s">
        <v>237</v>
      </c>
      <c r="F690" s="160">
        <v>0</v>
      </c>
      <c r="G690" s="161" t="s">
        <v>380</v>
      </c>
      <c r="H690" s="161" t="s">
        <v>1815</v>
      </c>
      <c r="I690" s="161" t="s">
        <v>1618</v>
      </c>
      <c r="J690" s="160">
        <v>0</v>
      </c>
      <c r="K690" s="161" t="s">
        <v>380</v>
      </c>
      <c r="L690" s="160">
        <v>0</v>
      </c>
      <c r="M690" s="161" t="s">
        <v>380</v>
      </c>
      <c r="N690" s="160">
        <v>0</v>
      </c>
      <c r="O690" s="160">
        <v>0</v>
      </c>
      <c r="P690" s="160">
        <v>0</v>
      </c>
      <c r="Q690" s="161" t="s">
        <v>237</v>
      </c>
    </row>
    <row r="691" spans="2:17" x14ac:dyDescent="0.3">
      <c r="B691" s="188">
        <v>584791</v>
      </c>
      <c r="C691" s="158" t="s">
        <v>2387</v>
      </c>
      <c r="D691" s="160">
        <v>0</v>
      </c>
      <c r="E691" s="161" t="s">
        <v>237</v>
      </c>
      <c r="F691" s="160">
        <v>0</v>
      </c>
      <c r="G691" s="161" t="s">
        <v>380</v>
      </c>
      <c r="H691" s="161" t="s">
        <v>1941</v>
      </c>
      <c r="I691" s="161" t="s">
        <v>1948</v>
      </c>
      <c r="J691" s="160">
        <v>0</v>
      </c>
      <c r="K691" s="161" t="s">
        <v>380</v>
      </c>
      <c r="L691" s="160">
        <v>0</v>
      </c>
      <c r="M691" s="161" t="s">
        <v>380</v>
      </c>
      <c r="N691" s="160">
        <v>0</v>
      </c>
      <c r="O691" s="160">
        <v>0</v>
      </c>
      <c r="P691" s="160">
        <v>0</v>
      </c>
      <c r="Q691" s="161" t="s">
        <v>237</v>
      </c>
    </row>
    <row r="692" spans="2:17" x14ac:dyDescent="0.3">
      <c r="B692" s="188">
        <v>584802</v>
      </c>
      <c r="C692" s="158" t="s">
        <v>2388</v>
      </c>
      <c r="D692" s="160">
        <v>0</v>
      </c>
      <c r="E692" s="161" t="s">
        <v>237</v>
      </c>
      <c r="F692" s="160">
        <v>0</v>
      </c>
      <c r="G692" s="161" t="s">
        <v>380</v>
      </c>
      <c r="H692" s="161" t="s">
        <v>1665</v>
      </c>
      <c r="I692" s="161" t="s">
        <v>1665</v>
      </c>
      <c r="J692" s="160">
        <v>0</v>
      </c>
      <c r="K692" s="161" t="s">
        <v>380</v>
      </c>
      <c r="L692" s="160">
        <v>0</v>
      </c>
      <c r="M692" s="161" t="s">
        <v>380</v>
      </c>
      <c r="N692" s="160">
        <v>0</v>
      </c>
      <c r="O692" s="160">
        <v>0</v>
      </c>
      <c r="P692" s="160">
        <v>0</v>
      </c>
      <c r="Q692" s="161" t="s">
        <v>237</v>
      </c>
    </row>
    <row r="693" spans="2:17" x14ac:dyDescent="0.3">
      <c r="B693" s="188">
        <v>585888</v>
      </c>
      <c r="C693" s="158" t="s">
        <v>2389</v>
      </c>
      <c r="D693" s="160">
        <v>0</v>
      </c>
      <c r="E693" s="161" t="s">
        <v>237</v>
      </c>
      <c r="F693" s="160">
        <v>0</v>
      </c>
      <c r="G693" s="161" t="s">
        <v>380</v>
      </c>
      <c r="H693" s="161" t="s">
        <v>1854</v>
      </c>
      <c r="I693" s="161" t="s">
        <v>1854</v>
      </c>
      <c r="J693" s="160">
        <v>0</v>
      </c>
      <c r="K693" s="161" t="s">
        <v>380</v>
      </c>
      <c r="L693" s="160">
        <v>0</v>
      </c>
      <c r="M693" s="161" t="s">
        <v>380</v>
      </c>
      <c r="N693" s="160">
        <v>0</v>
      </c>
      <c r="O693" s="160">
        <v>0</v>
      </c>
      <c r="P693" s="160">
        <v>0</v>
      </c>
      <c r="Q693" s="161" t="s">
        <v>237</v>
      </c>
    </row>
    <row r="694" spans="2:17" x14ac:dyDescent="0.3">
      <c r="B694" s="188">
        <v>585907</v>
      </c>
      <c r="C694" s="158" t="s">
        <v>2390</v>
      </c>
      <c r="D694" s="160">
        <v>0</v>
      </c>
      <c r="E694" s="161" t="s">
        <v>237</v>
      </c>
      <c r="F694" s="160">
        <v>0</v>
      </c>
      <c r="G694" s="161" t="s">
        <v>380</v>
      </c>
      <c r="H694" s="161" t="s">
        <v>1665</v>
      </c>
      <c r="I694" s="161" t="s">
        <v>1523</v>
      </c>
      <c r="J694" s="160">
        <v>0</v>
      </c>
      <c r="K694" s="161" t="s">
        <v>380</v>
      </c>
      <c r="L694" s="160">
        <v>0</v>
      </c>
      <c r="M694" s="161" t="s">
        <v>380</v>
      </c>
      <c r="N694" s="160">
        <v>0</v>
      </c>
      <c r="O694" s="160">
        <v>0</v>
      </c>
      <c r="P694" s="160">
        <v>0</v>
      </c>
      <c r="Q694" s="161" t="s">
        <v>237</v>
      </c>
    </row>
    <row r="695" spans="2:17" x14ac:dyDescent="0.3">
      <c r="B695" s="188">
        <v>586058</v>
      </c>
      <c r="C695" s="158" t="s">
        <v>2391</v>
      </c>
      <c r="D695" s="160">
        <v>0</v>
      </c>
      <c r="E695" s="161" t="s">
        <v>237</v>
      </c>
      <c r="F695" s="160">
        <v>0</v>
      </c>
      <c r="G695" s="161" t="s">
        <v>380</v>
      </c>
      <c r="H695" s="161" t="s">
        <v>1855</v>
      </c>
      <c r="I695" s="161" t="s">
        <v>1856</v>
      </c>
      <c r="J695" s="160">
        <v>0</v>
      </c>
      <c r="K695" s="161" t="s">
        <v>380</v>
      </c>
      <c r="L695" s="160">
        <v>0</v>
      </c>
      <c r="M695" s="161" t="s">
        <v>380</v>
      </c>
      <c r="N695" s="160">
        <v>0</v>
      </c>
      <c r="O695" s="160">
        <v>0</v>
      </c>
      <c r="P695" s="160">
        <v>0</v>
      </c>
      <c r="Q695" s="161" t="s">
        <v>237</v>
      </c>
    </row>
    <row r="696" spans="2:17" x14ac:dyDescent="0.3">
      <c r="B696" s="188">
        <v>586111</v>
      </c>
      <c r="C696" s="158" t="s">
        <v>2392</v>
      </c>
      <c r="D696" s="160">
        <v>0</v>
      </c>
      <c r="E696" s="161" t="s">
        <v>237</v>
      </c>
      <c r="F696" s="160">
        <v>0</v>
      </c>
      <c r="G696" s="161" t="s">
        <v>380</v>
      </c>
      <c r="H696" s="161" t="s">
        <v>1615</v>
      </c>
      <c r="I696" s="161" t="s">
        <v>1755</v>
      </c>
      <c r="J696" s="160">
        <v>0</v>
      </c>
      <c r="K696" s="161" t="s">
        <v>380</v>
      </c>
      <c r="L696" s="160">
        <v>0</v>
      </c>
      <c r="M696" s="161" t="s">
        <v>380</v>
      </c>
      <c r="N696" s="160">
        <v>0</v>
      </c>
      <c r="O696" s="160">
        <v>0</v>
      </c>
      <c r="P696" s="160">
        <v>0</v>
      </c>
      <c r="Q696" s="161" t="s">
        <v>237</v>
      </c>
    </row>
    <row r="697" spans="2:17" x14ac:dyDescent="0.3">
      <c r="B697" s="188">
        <v>586276</v>
      </c>
      <c r="C697" s="158" t="s">
        <v>336</v>
      </c>
      <c r="D697" s="160">
        <v>3888</v>
      </c>
      <c r="E697" s="161" t="s">
        <v>237</v>
      </c>
      <c r="F697" s="160">
        <v>24300</v>
      </c>
      <c r="G697" s="161" t="s">
        <v>380</v>
      </c>
      <c r="H697" s="161" t="s">
        <v>2797</v>
      </c>
      <c r="I697" s="161" t="s">
        <v>2814</v>
      </c>
      <c r="J697" s="160">
        <v>3191779</v>
      </c>
      <c r="K697" s="161" t="s">
        <v>380</v>
      </c>
      <c r="L697" s="160">
        <v>2819179</v>
      </c>
      <c r="M697" s="161" t="s">
        <v>380</v>
      </c>
      <c r="N697" s="160">
        <v>1</v>
      </c>
      <c r="O697" s="160">
        <v>7.19</v>
      </c>
      <c r="P697" s="160">
        <v>490779</v>
      </c>
      <c r="Q697" s="161" t="s">
        <v>237</v>
      </c>
    </row>
    <row r="698" spans="2:17" x14ac:dyDescent="0.3">
      <c r="B698" s="188">
        <v>587447</v>
      </c>
      <c r="C698" s="158" t="s">
        <v>2393</v>
      </c>
      <c r="D698" s="160">
        <v>0</v>
      </c>
      <c r="E698" s="161" t="s">
        <v>237</v>
      </c>
      <c r="F698" s="160">
        <v>0</v>
      </c>
      <c r="G698" s="161" t="s">
        <v>380</v>
      </c>
      <c r="H698" s="161" t="s">
        <v>1857</v>
      </c>
      <c r="I698" s="161" t="s">
        <v>1857</v>
      </c>
      <c r="J698" s="160">
        <v>0</v>
      </c>
      <c r="K698" s="161" t="s">
        <v>380</v>
      </c>
      <c r="L698" s="160">
        <v>0</v>
      </c>
      <c r="M698" s="161" t="s">
        <v>380</v>
      </c>
      <c r="N698" s="160">
        <v>0</v>
      </c>
      <c r="O698" s="160">
        <v>0</v>
      </c>
      <c r="P698" s="160">
        <v>0</v>
      </c>
      <c r="Q698" s="161" t="s">
        <v>237</v>
      </c>
    </row>
    <row r="699" spans="2:17" x14ac:dyDescent="0.3">
      <c r="B699" s="188">
        <v>587779</v>
      </c>
      <c r="C699" s="158" t="s">
        <v>2394</v>
      </c>
      <c r="D699" s="160">
        <v>0</v>
      </c>
      <c r="E699" s="161" t="s">
        <v>237</v>
      </c>
      <c r="F699" s="160">
        <v>0</v>
      </c>
      <c r="G699" s="161" t="s">
        <v>380</v>
      </c>
      <c r="H699" s="161" t="s">
        <v>1858</v>
      </c>
      <c r="I699" s="161" t="s">
        <v>1859</v>
      </c>
      <c r="J699" s="160">
        <v>0</v>
      </c>
      <c r="K699" s="161" t="s">
        <v>380</v>
      </c>
      <c r="L699" s="160">
        <v>0</v>
      </c>
      <c r="M699" s="161" t="s">
        <v>380</v>
      </c>
      <c r="N699" s="160">
        <v>0</v>
      </c>
      <c r="O699" s="160">
        <v>0</v>
      </c>
      <c r="P699" s="160">
        <v>0</v>
      </c>
      <c r="Q699" s="161" t="s">
        <v>237</v>
      </c>
    </row>
    <row r="700" spans="2:17" x14ac:dyDescent="0.3">
      <c r="B700" s="188">
        <v>588215</v>
      </c>
      <c r="C700" s="158" t="s">
        <v>313</v>
      </c>
      <c r="D700" s="160">
        <v>0</v>
      </c>
      <c r="E700" s="161" t="s">
        <v>237</v>
      </c>
      <c r="F700" s="160">
        <v>0</v>
      </c>
      <c r="G700" s="161" t="s">
        <v>380</v>
      </c>
      <c r="H700" s="161" t="s">
        <v>1527</v>
      </c>
      <c r="I700" s="161" t="s">
        <v>2572</v>
      </c>
      <c r="J700" s="160">
        <v>0</v>
      </c>
      <c r="K700" s="161" t="s">
        <v>380</v>
      </c>
      <c r="L700" s="160">
        <v>0</v>
      </c>
      <c r="M700" s="161" t="s">
        <v>380</v>
      </c>
      <c r="N700" s="160">
        <v>0</v>
      </c>
      <c r="O700" s="160">
        <v>0</v>
      </c>
      <c r="P700" s="160">
        <v>0</v>
      </c>
      <c r="Q700" s="161" t="s">
        <v>237</v>
      </c>
    </row>
    <row r="701" spans="2:17" x14ac:dyDescent="0.3">
      <c r="B701" s="188">
        <v>588241</v>
      </c>
      <c r="C701" s="158" t="s">
        <v>2395</v>
      </c>
      <c r="D701" s="160">
        <v>0</v>
      </c>
      <c r="E701" s="161" t="s">
        <v>237</v>
      </c>
      <c r="F701" s="160">
        <v>0</v>
      </c>
      <c r="G701" s="161" t="s">
        <v>380</v>
      </c>
      <c r="H701" s="161" t="s">
        <v>1860</v>
      </c>
      <c r="I701" s="161" t="s">
        <v>1861</v>
      </c>
      <c r="J701" s="160">
        <v>0</v>
      </c>
      <c r="K701" s="161" t="s">
        <v>380</v>
      </c>
      <c r="L701" s="160">
        <v>0</v>
      </c>
      <c r="M701" s="161" t="s">
        <v>380</v>
      </c>
      <c r="N701" s="160">
        <v>0</v>
      </c>
      <c r="O701" s="160">
        <v>0</v>
      </c>
      <c r="P701" s="160">
        <v>0</v>
      </c>
      <c r="Q701" s="161" t="s">
        <v>237</v>
      </c>
    </row>
    <row r="702" spans="2:17" x14ac:dyDescent="0.3">
      <c r="B702" s="188">
        <v>588272</v>
      </c>
      <c r="C702" s="158" t="s">
        <v>319</v>
      </c>
      <c r="D702" s="160">
        <v>40820.400000000001</v>
      </c>
      <c r="E702" s="161" t="s">
        <v>237</v>
      </c>
      <c r="F702" s="160">
        <v>177480</v>
      </c>
      <c r="G702" s="161" t="s">
        <v>380</v>
      </c>
      <c r="H702" s="161" t="s">
        <v>2677</v>
      </c>
      <c r="I702" s="161" t="s">
        <v>2764</v>
      </c>
      <c r="J702" s="160">
        <v>1377000</v>
      </c>
      <c r="K702" s="161" t="s">
        <v>380</v>
      </c>
      <c r="L702" s="160">
        <v>1352520</v>
      </c>
      <c r="M702" s="161" t="s">
        <v>380</v>
      </c>
      <c r="N702" s="160">
        <v>18</v>
      </c>
      <c r="O702" s="160">
        <v>5.87</v>
      </c>
      <c r="P702" s="160">
        <v>211140</v>
      </c>
      <c r="Q702" s="161" t="s">
        <v>237</v>
      </c>
    </row>
    <row r="703" spans="2:17" x14ac:dyDescent="0.3">
      <c r="B703" s="188">
        <v>588555</v>
      </c>
      <c r="C703" s="158" t="s">
        <v>314</v>
      </c>
      <c r="D703" s="160">
        <v>0</v>
      </c>
      <c r="E703" s="161" t="s">
        <v>237</v>
      </c>
      <c r="F703" s="160">
        <v>0</v>
      </c>
      <c r="G703" s="161" t="s">
        <v>380</v>
      </c>
      <c r="H703" s="161" t="s">
        <v>1528</v>
      </c>
      <c r="I703" s="161" t="s">
        <v>2572</v>
      </c>
      <c r="J703" s="160">
        <v>0</v>
      </c>
      <c r="K703" s="161" t="s">
        <v>380</v>
      </c>
      <c r="L703" s="160">
        <v>0</v>
      </c>
      <c r="M703" s="161" t="s">
        <v>380</v>
      </c>
      <c r="N703" s="160">
        <v>0</v>
      </c>
      <c r="O703" s="160">
        <v>0</v>
      </c>
      <c r="P703" s="160">
        <v>0</v>
      </c>
      <c r="Q703" s="161" t="s">
        <v>237</v>
      </c>
    </row>
    <row r="704" spans="2:17" x14ac:dyDescent="0.3">
      <c r="B704" s="188">
        <v>588556</v>
      </c>
      <c r="C704" s="158" t="s">
        <v>2396</v>
      </c>
      <c r="D704" s="160">
        <v>0</v>
      </c>
      <c r="E704" s="161" t="s">
        <v>237</v>
      </c>
      <c r="F704" s="160">
        <v>0</v>
      </c>
      <c r="G704" s="161" t="s">
        <v>380</v>
      </c>
      <c r="H704" s="161" t="s">
        <v>1528</v>
      </c>
      <c r="I704" s="161" t="s">
        <v>1862</v>
      </c>
      <c r="J704" s="160">
        <v>0</v>
      </c>
      <c r="K704" s="161" t="s">
        <v>380</v>
      </c>
      <c r="L704" s="160">
        <v>0</v>
      </c>
      <c r="M704" s="161" t="s">
        <v>380</v>
      </c>
      <c r="N704" s="160">
        <v>0</v>
      </c>
      <c r="O704" s="160">
        <v>0</v>
      </c>
      <c r="P704" s="160">
        <v>0</v>
      </c>
      <c r="Q704" s="161" t="s">
        <v>237</v>
      </c>
    </row>
    <row r="705" spans="2:17" x14ac:dyDescent="0.3">
      <c r="B705" s="188">
        <v>588637</v>
      </c>
      <c r="C705" s="158" t="s">
        <v>1257</v>
      </c>
      <c r="D705" s="160">
        <v>68311.62</v>
      </c>
      <c r="E705" s="161" t="s">
        <v>237</v>
      </c>
      <c r="F705" s="160">
        <v>379509</v>
      </c>
      <c r="G705" s="161" t="s">
        <v>380</v>
      </c>
      <c r="H705" s="161" t="s">
        <v>2819</v>
      </c>
      <c r="I705" s="161" t="s">
        <v>2817</v>
      </c>
      <c r="J705" s="160">
        <v>1141559</v>
      </c>
      <c r="K705" s="161" t="s">
        <v>380</v>
      </c>
      <c r="L705" s="160">
        <v>1353750</v>
      </c>
      <c r="M705" s="161" t="s">
        <v>380</v>
      </c>
      <c r="N705" s="160">
        <v>34</v>
      </c>
      <c r="O705" s="160">
        <v>5.42</v>
      </c>
      <c r="P705" s="160">
        <v>182412.82</v>
      </c>
      <c r="Q705" s="161" t="s">
        <v>237</v>
      </c>
    </row>
    <row r="706" spans="2:17" x14ac:dyDescent="0.3">
      <c r="B706" s="188">
        <v>589040</v>
      </c>
      <c r="C706" s="158" t="s">
        <v>2397</v>
      </c>
      <c r="D706" s="160">
        <v>0</v>
      </c>
      <c r="E706" s="161" t="s">
        <v>237</v>
      </c>
      <c r="F706" s="160">
        <v>0</v>
      </c>
      <c r="G706" s="161" t="s">
        <v>380</v>
      </c>
      <c r="H706" s="161" t="s">
        <v>1839</v>
      </c>
      <c r="I706" s="161" t="s">
        <v>1863</v>
      </c>
      <c r="J706" s="160">
        <v>0</v>
      </c>
      <c r="K706" s="161" t="s">
        <v>380</v>
      </c>
      <c r="L706" s="160">
        <v>0</v>
      </c>
      <c r="M706" s="161" t="s">
        <v>380</v>
      </c>
      <c r="N706" s="160">
        <v>0</v>
      </c>
      <c r="O706" s="160">
        <v>0</v>
      </c>
      <c r="P706" s="160">
        <v>0</v>
      </c>
      <c r="Q706" s="161" t="s">
        <v>237</v>
      </c>
    </row>
    <row r="707" spans="2:17" x14ac:dyDescent="0.3">
      <c r="B707" s="188">
        <v>589412</v>
      </c>
      <c r="C707" s="158" t="s">
        <v>2398</v>
      </c>
      <c r="D707" s="160">
        <v>0</v>
      </c>
      <c r="E707" s="161" t="s">
        <v>237</v>
      </c>
      <c r="F707" s="160">
        <v>0</v>
      </c>
      <c r="G707" s="161" t="s">
        <v>380</v>
      </c>
      <c r="H707" s="161" t="s">
        <v>1864</v>
      </c>
      <c r="I707" s="161" t="s">
        <v>1865</v>
      </c>
      <c r="J707" s="160">
        <v>0</v>
      </c>
      <c r="K707" s="161" t="s">
        <v>380</v>
      </c>
      <c r="L707" s="160">
        <v>0</v>
      </c>
      <c r="M707" s="161" t="s">
        <v>380</v>
      </c>
      <c r="N707" s="160">
        <v>0</v>
      </c>
      <c r="O707" s="160">
        <v>0</v>
      </c>
      <c r="P707" s="160">
        <v>0</v>
      </c>
      <c r="Q707" s="161" t="s">
        <v>237</v>
      </c>
    </row>
    <row r="708" spans="2:17" x14ac:dyDescent="0.3">
      <c r="B708" s="188">
        <v>589431</v>
      </c>
      <c r="C708" s="158" t="s">
        <v>2399</v>
      </c>
      <c r="D708" s="160">
        <v>0</v>
      </c>
      <c r="E708" s="161" t="s">
        <v>237</v>
      </c>
      <c r="F708" s="160">
        <v>0</v>
      </c>
      <c r="G708" s="161" t="s">
        <v>380</v>
      </c>
      <c r="H708" s="161" t="s">
        <v>1581</v>
      </c>
      <c r="I708" s="161" t="s">
        <v>1475</v>
      </c>
      <c r="J708" s="160">
        <v>0</v>
      </c>
      <c r="K708" s="161" t="s">
        <v>380</v>
      </c>
      <c r="L708" s="160">
        <v>0</v>
      </c>
      <c r="M708" s="161" t="s">
        <v>380</v>
      </c>
      <c r="N708" s="160">
        <v>0</v>
      </c>
      <c r="O708" s="160">
        <v>0</v>
      </c>
      <c r="P708" s="160">
        <v>0</v>
      </c>
      <c r="Q708" s="161" t="s">
        <v>237</v>
      </c>
    </row>
    <row r="709" spans="2:17" x14ac:dyDescent="0.3">
      <c r="B709" s="188">
        <v>589448</v>
      </c>
      <c r="C709" s="158" t="s">
        <v>2400</v>
      </c>
      <c r="D709" s="160">
        <v>0</v>
      </c>
      <c r="E709" s="161" t="s">
        <v>237</v>
      </c>
      <c r="F709" s="160">
        <v>0</v>
      </c>
      <c r="G709" s="161" t="s">
        <v>380</v>
      </c>
      <c r="H709" s="161" t="s">
        <v>1491</v>
      </c>
      <c r="I709" s="161" t="s">
        <v>1491</v>
      </c>
      <c r="J709" s="160">
        <v>0</v>
      </c>
      <c r="K709" s="161" t="s">
        <v>380</v>
      </c>
      <c r="L709" s="160">
        <v>0</v>
      </c>
      <c r="M709" s="161" t="s">
        <v>380</v>
      </c>
      <c r="N709" s="160">
        <v>0</v>
      </c>
      <c r="O709" s="160">
        <v>0</v>
      </c>
      <c r="P709" s="160">
        <v>0</v>
      </c>
      <c r="Q709" s="161" t="s">
        <v>237</v>
      </c>
    </row>
    <row r="710" spans="2:17" x14ac:dyDescent="0.3">
      <c r="B710" s="188">
        <v>589461</v>
      </c>
      <c r="C710" s="158" t="s">
        <v>2401</v>
      </c>
      <c r="D710" s="160">
        <v>0</v>
      </c>
      <c r="E710" s="161" t="s">
        <v>237</v>
      </c>
      <c r="F710" s="160">
        <v>0</v>
      </c>
      <c r="G710" s="161" t="s">
        <v>380</v>
      </c>
      <c r="H710" s="161" t="s">
        <v>1866</v>
      </c>
      <c r="I710" s="161" t="s">
        <v>1481</v>
      </c>
      <c r="J710" s="160">
        <v>0</v>
      </c>
      <c r="K710" s="161" t="s">
        <v>380</v>
      </c>
      <c r="L710" s="160">
        <v>0</v>
      </c>
      <c r="M710" s="161" t="s">
        <v>380</v>
      </c>
      <c r="N710" s="160">
        <v>0</v>
      </c>
      <c r="O710" s="160">
        <v>0</v>
      </c>
      <c r="P710" s="160">
        <v>0</v>
      </c>
      <c r="Q710" s="161" t="s">
        <v>237</v>
      </c>
    </row>
    <row r="711" spans="2:17" x14ac:dyDescent="0.3">
      <c r="B711" s="188">
        <v>589813</v>
      </c>
      <c r="C711" s="158" t="s">
        <v>2402</v>
      </c>
      <c r="D711" s="160">
        <v>0</v>
      </c>
      <c r="E711" s="161" t="s">
        <v>237</v>
      </c>
      <c r="F711" s="160">
        <v>0</v>
      </c>
      <c r="G711" s="161" t="s">
        <v>380</v>
      </c>
      <c r="H711" s="161" t="s">
        <v>1581</v>
      </c>
      <c r="I711" s="161" t="s">
        <v>1475</v>
      </c>
      <c r="J711" s="160">
        <v>0</v>
      </c>
      <c r="K711" s="161" t="s">
        <v>380</v>
      </c>
      <c r="L711" s="160">
        <v>0</v>
      </c>
      <c r="M711" s="161" t="s">
        <v>380</v>
      </c>
      <c r="N711" s="160">
        <v>0</v>
      </c>
      <c r="O711" s="160">
        <v>0</v>
      </c>
      <c r="P711" s="160">
        <v>0</v>
      </c>
      <c r="Q711" s="161" t="s">
        <v>237</v>
      </c>
    </row>
    <row r="712" spans="2:17" x14ac:dyDescent="0.3">
      <c r="B712" s="188">
        <v>589814</v>
      </c>
      <c r="C712" s="158" t="s">
        <v>2403</v>
      </c>
      <c r="D712" s="160">
        <v>0</v>
      </c>
      <c r="E712" s="161" t="s">
        <v>237</v>
      </c>
      <c r="F712" s="160">
        <v>0</v>
      </c>
      <c r="G712" s="161" t="s">
        <v>380</v>
      </c>
      <c r="H712" s="161" t="s">
        <v>1481</v>
      </c>
      <c r="I712" s="161" t="s">
        <v>1475</v>
      </c>
      <c r="J712" s="160">
        <v>0</v>
      </c>
      <c r="K712" s="161" t="s">
        <v>380</v>
      </c>
      <c r="L712" s="160">
        <v>0</v>
      </c>
      <c r="M712" s="161" t="s">
        <v>380</v>
      </c>
      <c r="N712" s="160">
        <v>0</v>
      </c>
      <c r="O712" s="160">
        <v>0</v>
      </c>
      <c r="P712" s="160">
        <v>0</v>
      </c>
      <c r="Q712" s="161" t="s">
        <v>237</v>
      </c>
    </row>
    <row r="713" spans="2:17" x14ac:dyDescent="0.3">
      <c r="B713" s="188">
        <v>590133</v>
      </c>
      <c r="C713" s="158" t="s">
        <v>2404</v>
      </c>
      <c r="D713" s="160">
        <v>0</v>
      </c>
      <c r="E713" s="161" t="s">
        <v>237</v>
      </c>
      <c r="F713" s="160">
        <v>0</v>
      </c>
      <c r="G713" s="161" t="s">
        <v>380</v>
      </c>
      <c r="H713" s="161" t="s">
        <v>1629</v>
      </c>
      <c r="I713" s="161" t="s">
        <v>1861</v>
      </c>
      <c r="J713" s="160">
        <v>0</v>
      </c>
      <c r="K713" s="161" t="s">
        <v>380</v>
      </c>
      <c r="L713" s="160">
        <v>0</v>
      </c>
      <c r="M713" s="161" t="s">
        <v>380</v>
      </c>
      <c r="N713" s="160">
        <v>0</v>
      </c>
      <c r="O713" s="160">
        <v>0</v>
      </c>
      <c r="P713" s="160">
        <v>0</v>
      </c>
      <c r="Q713" s="161" t="s">
        <v>237</v>
      </c>
    </row>
    <row r="714" spans="2:17" x14ac:dyDescent="0.3">
      <c r="B714" s="188">
        <v>590337</v>
      </c>
      <c r="C714" s="158" t="s">
        <v>2405</v>
      </c>
      <c r="D714" s="160">
        <v>0</v>
      </c>
      <c r="E714" s="161" t="s">
        <v>237</v>
      </c>
      <c r="F714" s="160">
        <v>0</v>
      </c>
      <c r="G714" s="161" t="s">
        <v>380</v>
      </c>
      <c r="H714" s="161" t="s">
        <v>1867</v>
      </c>
      <c r="I714" s="161" t="s">
        <v>1747</v>
      </c>
      <c r="J714" s="160">
        <v>0</v>
      </c>
      <c r="K714" s="161" t="s">
        <v>380</v>
      </c>
      <c r="L714" s="160">
        <v>0</v>
      </c>
      <c r="M714" s="161" t="s">
        <v>380</v>
      </c>
      <c r="N714" s="160">
        <v>0</v>
      </c>
      <c r="O714" s="160">
        <v>0</v>
      </c>
      <c r="P714" s="160">
        <v>0</v>
      </c>
      <c r="Q714" s="161" t="s">
        <v>237</v>
      </c>
    </row>
    <row r="715" spans="2:17" x14ac:dyDescent="0.3">
      <c r="B715" s="188">
        <v>590665</v>
      </c>
      <c r="C715" s="158" t="s">
        <v>2406</v>
      </c>
      <c r="D715" s="160">
        <v>0</v>
      </c>
      <c r="E715" s="161" t="s">
        <v>237</v>
      </c>
      <c r="F715" s="160">
        <v>0</v>
      </c>
      <c r="G715" s="161" t="s">
        <v>380</v>
      </c>
      <c r="H715" s="161" t="s">
        <v>1866</v>
      </c>
      <c r="I715" s="161" t="s">
        <v>1866</v>
      </c>
      <c r="J715" s="160">
        <v>0</v>
      </c>
      <c r="K715" s="161" t="s">
        <v>380</v>
      </c>
      <c r="L715" s="160">
        <v>0</v>
      </c>
      <c r="M715" s="161" t="s">
        <v>380</v>
      </c>
      <c r="N715" s="160">
        <v>0</v>
      </c>
      <c r="O715" s="160">
        <v>0</v>
      </c>
      <c r="P715" s="160">
        <v>0</v>
      </c>
      <c r="Q715" s="161" t="s">
        <v>237</v>
      </c>
    </row>
    <row r="716" spans="2:17" x14ac:dyDescent="0.3">
      <c r="B716" s="188">
        <v>591261</v>
      </c>
      <c r="C716" s="158" t="s">
        <v>2407</v>
      </c>
      <c r="D716" s="160">
        <v>0</v>
      </c>
      <c r="E716" s="161" t="s">
        <v>237</v>
      </c>
      <c r="F716" s="160">
        <v>0</v>
      </c>
      <c r="G716" s="161" t="s">
        <v>380</v>
      </c>
      <c r="H716" s="161" t="s">
        <v>1868</v>
      </c>
      <c r="I716" s="161" t="s">
        <v>1868</v>
      </c>
      <c r="J716" s="160">
        <v>0</v>
      </c>
      <c r="K716" s="161" t="s">
        <v>380</v>
      </c>
      <c r="L716" s="160">
        <v>0</v>
      </c>
      <c r="M716" s="161" t="s">
        <v>380</v>
      </c>
      <c r="N716" s="160">
        <v>0</v>
      </c>
      <c r="O716" s="160">
        <v>0</v>
      </c>
      <c r="P716" s="160">
        <v>0</v>
      </c>
      <c r="Q716" s="161" t="s">
        <v>237</v>
      </c>
    </row>
    <row r="717" spans="2:17" x14ac:dyDescent="0.3">
      <c r="B717" s="188">
        <v>591262</v>
      </c>
      <c r="C717" s="158" t="s">
        <v>2408</v>
      </c>
      <c r="D717" s="160">
        <v>0</v>
      </c>
      <c r="E717" s="161" t="s">
        <v>237</v>
      </c>
      <c r="F717" s="160">
        <v>0</v>
      </c>
      <c r="G717" s="161" t="s">
        <v>380</v>
      </c>
      <c r="H717" s="161" t="s">
        <v>1869</v>
      </c>
      <c r="I717" s="161" t="s">
        <v>1612</v>
      </c>
      <c r="J717" s="160">
        <v>0</v>
      </c>
      <c r="K717" s="161" t="s">
        <v>380</v>
      </c>
      <c r="L717" s="160">
        <v>0</v>
      </c>
      <c r="M717" s="161" t="s">
        <v>380</v>
      </c>
      <c r="N717" s="160">
        <v>0</v>
      </c>
      <c r="O717" s="160">
        <v>0</v>
      </c>
      <c r="P717" s="160">
        <v>0</v>
      </c>
      <c r="Q717" s="161" t="s">
        <v>237</v>
      </c>
    </row>
    <row r="718" spans="2:17" x14ac:dyDescent="0.3">
      <c r="B718" s="188">
        <v>591264</v>
      </c>
      <c r="C718" s="158" t="s">
        <v>2409</v>
      </c>
      <c r="D718" s="160">
        <v>0</v>
      </c>
      <c r="E718" s="161" t="s">
        <v>237</v>
      </c>
      <c r="F718" s="160">
        <v>0</v>
      </c>
      <c r="G718" s="161" t="s">
        <v>380</v>
      </c>
      <c r="H718" s="161" t="s">
        <v>1870</v>
      </c>
      <c r="I718" s="161" t="s">
        <v>1871</v>
      </c>
      <c r="J718" s="160">
        <v>0</v>
      </c>
      <c r="K718" s="161" t="s">
        <v>380</v>
      </c>
      <c r="L718" s="160">
        <v>0</v>
      </c>
      <c r="M718" s="161" t="s">
        <v>380</v>
      </c>
      <c r="N718" s="160">
        <v>0</v>
      </c>
      <c r="O718" s="160">
        <v>0</v>
      </c>
      <c r="P718" s="160">
        <v>0</v>
      </c>
      <c r="Q718" s="161" t="s">
        <v>237</v>
      </c>
    </row>
    <row r="719" spans="2:17" x14ac:dyDescent="0.3">
      <c r="B719" s="188">
        <v>591265</v>
      </c>
      <c r="C719" s="158" t="s">
        <v>337</v>
      </c>
      <c r="D719" s="160">
        <v>4924.8</v>
      </c>
      <c r="E719" s="161" t="s">
        <v>237</v>
      </c>
      <c r="F719" s="160">
        <v>16416</v>
      </c>
      <c r="G719" s="161" t="s">
        <v>380</v>
      </c>
      <c r="H719" s="161" t="s">
        <v>2800</v>
      </c>
      <c r="I719" s="161" t="s">
        <v>2811</v>
      </c>
      <c r="J719" s="160">
        <v>71136</v>
      </c>
      <c r="K719" s="161" t="s">
        <v>380</v>
      </c>
      <c r="L719" s="160">
        <v>76608</v>
      </c>
      <c r="M719" s="161" t="s">
        <v>380</v>
      </c>
      <c r="N719" s="160">
        <v>22</v>
      </c>
      <c r="O719" s="160">
        <v>3.47</v>
      </c>
      <c r="P719" s="160">
        <v>20465.28</v>
      </c>
      <c r="Q719" s="161" t="s">
        <v>237</v>
      </c>
    </row>
    <row r="720" spans="2:17" x14ac:dyDescent="0.3">
      <c r="B720" s="188">
        <v>591266</v>
      </c>
      <c r="C720" s="158" t="s">
        <v>338</v>
      </c>
      <c r="D720" s="160">
        <v>1641.6</v>
      </c>
      <c r="E720" s="161" t="s">
        <v>237</v>
      </c>
      <c r="F720" s="160">
        <v>5472</v>
      </c>
      <c r="G720" s="161" t="s">
        <v>380</v>
      </c>
      <c r="H720" s="161" t="s">
        <v>2708</v>
      </c>
      <c r="I720" s="161" t="s">
        <v>2759</v>
      </c>
      <c r="J720" s="160">
        <v>38304</v>
      </c>
      <c r="K720" s="161" t="s">
        <v>380</v>
      </c>
      <c r="L720" s="160">
        <v>21888</v>
      </c>
      <c r="M720" s="161" t="s">
        <v>380</v>
      </c>
      <c r="N720" s="160">
        <v>14</v>
      </c>
      <c r="O720" s="160">
        <v>2.8</v>
      </c>
      <c r="P720" s="160">
        <v>11108.16</v>
      </c>
      <c r="Q720" s="161" t="s">
        <v>237</v>
      </c>
    </row>
    <row r="721" spans="2:17" x14ac:dyDescent="0.3">
      <c r="B721" s="188">
        <v>591268</v>
      </c>
      <c r="C721" s="158" t="s">
        <v>339</v>
      </c>
      <c r="D721" s="160">
        <v>9849.6</v>
      </c>
      <c r="E721" s="161" t="s">
        <v>237</v>
      </c>
      <c r="F721" s="160">
        <v>27360</v>
      </c>
      <c r="G721" s="161" t="s">
        <v>380</v>
      </c>
      <c r="H721" s="161" t="s">
        <v>2712</v>
      </c>
      <c r="I721" s="161" t="s">
        <v>2745</v>
      </c>
      <c r="J721" s="160">
        <v>5472</v>
      </c>
      <c r="K721" s="161" t="s">
        <v>380</v>
      </c>
      <c r="L721" s="160">
        <v>32832</v>
      </c>
      <c r="M721" s="161" t="s">
        <v>380</v>
      </c>
      <c r="N721" s="160">
        <v>502</v>
      </c>
      <c r="O721" s="160">
        <v>0.25</v>
      </c>
      <c r="P721" s="160">
        <v>1805.76</v>
      </c>
      <c r="Q721" s="161" t="s">
        <v>237</v>
      </c>
    </row>
    <row r="722" spans="2:17" x14ac:dyDescent="0.3">
      <c r="B722" s="188">
        <v>591269</v>
      </c>
      <c r="C722" s="158" t="s">
        <v>345</v>
      </c>
      <c r="D722" s="160">
        <v>0</v>
      </c>
      <c r="E722" s="161" t="s">
        <v>237</v>
      </c>
      <c r="F722" s="160">
        <v>0</v>
      </c>
      <c r="G722" s="161" t="s">
        <v>380</v>
      </c>
      <c r="H722" s="161" t="s">
        <v>2811</v>
      </c>
      <c r="I722" s="161" t="s">
        <v>2811</v>
      </c>
      <c r="J722" s="160">
        <v>49248</v>
      </c>
      <c r="K722" s="161" t="s">
        <v>380</v>
      </c>
      <c r="L722" s="160">
        <v>49248</v>
      </c>
      <c r="M722" s="161" t="s">
        <v>380</v>
      </c>
      <c r="N722" s="160">
        <v>0</v>
      </c>
      <c r="O722" s="160">
        <v>36</v>
      </c>
      <c r="P722" s="160">
        <v>16142.4</v>
      </c>
      <c r="Q722" s="161" t="s">
        <v>237</v>
      </c>
    </row>
    <row r="723" spans="2:17" x14ac:dyDescent="0.3">
      <c r="B723" s="188">
        <v>591270</v>
      </c>
      <c r="C723" s="158" t="s">
        <v>346</v>
      </c>
      <c r="D723" s="160">
        <v>3283.2</v>
      </c>
      <c r="E723" s="161" t="s">
        <v>237</v>
      </c>
      <c r="F723" s="160">
        <v>10944</v>
      </c>
      <c r="G723" s="161" t="s">
        <v>380</v>
      </c>
      <c r="H723" s="161" t="s">
        <v>1996</v>
      </c>
      <c r="I723" s="161" t="s">
        <v>2759</v>
      </c>
      <c r="J723" s="160">
        <v>10944</v>
      </c>
      <c r="K723" s="161" t="s">
        <v>380</v>
      </c>
      <c r="L723" s="160">
        <v>0</v>
      </c>
      <c r="M723" s="161" t="s">
        <v>380</v>
      </c>
      <c r="N723" s="160">
        <v>99</v>
      </c>
      <c r="O723" s="160">
        <v>0.73</v>
      </c>
      <c r="P723" s="160">
        <v>3064.32</v>
      </c>
      <c r="Q723" s="161" t="s">
        <v>237</v>
      </c>
    </row>
    <row r="724" spans="2:17" x14ac:dyDescent="0.3">
      <c r="B724" s="188">
        <v>591364</v>
      </c>
      <c r="C724" s="158" t="s">
        <v>2410</v>
      </c>
      <c r="D724" s="160">
        <v>0</v>
      </c>
      <c r="E724" s="161" t="s">
        <v>237</v>
      </c>
      <c r="F724" s="160">
        <v>0</v>
      </c>
      <c r="G724" s="161" t="s">
        <v>380</v>
      </c>
      <c r="H724" s="161" t="s">
        <v>1689</v>
      </c>
      <c r="I724" s="161" t="s">
        <v>1709</v>
      </c>
      <c r="J724" s="160">
        <v>0</v>
      </c>
      <c r="K724" s="161" t="s">
        <v>380</v>
      </c>
      <c r="L724" s="160">
        <v>0</v>
      </c>
      <c r="M724" s="161" t="s">
        <v>380</v>
      </c>
      <c r="N724" s="160">
        <v>0</v>
      </c>
      <c r="O724" s="160">
        <v>0</v>
      </c>
      <c r="P724" s="160">
        <v>0</v>
      </c>
      <c r="Q724" s="161" t="s">
        <v>237</v>
      </c>
    </row>
    <row r="725" spans="2:17" x14ac:dyDescent="0.3">
      <c r="B725" s="188">
        <v>591365</v>
      </c>
      <c r="C725" s="158" t="s">
        <v>2411</v>
      </c>
      <c r="D725" s="160">
        <v>0</v>
      </c>
      <c r="E725" s="161" t="s">
        <v>237</v>
      </c>
      <c r="F725" s="160">
        <v>0</v>
      </c>
      <c r="G725" s="161" t="s">
        <v>380</v>
      </c>
      <c r="H725" s="161" t="s">
        <v>1689</v>
      </c>
      <c r="I725" s="161" t="s">
        <v>1709</v>
      </c>
      <c r="J725" s="160">
        <v>0</v>
      </c>
      <c r="K725" s="161" t="s">
        <v>380</v>
      </c>
      <c r="L725" s="160">
        <v>0</v>
      </c>
      <c r="M725" s="161" t="s">
        <v>380</v>
      </c>
      <c r="N725" s="160">
        <v>0</v>
      </c>
      <c r="O725" s="160">
        <v>0</v>
      </c>
      <c r="P725" s="160">
        <v>0</v>
      </c>
      <c r="Q725" s="161" t="s">
        <v>237</v>
      </c>
    </row>
    <row r="726" spans="2:17" x14ac:dyDescent="0.3">
      <c r="B726" s="188">
        <v>591367</v>
      </c>
      <c r="C726" s="158" t="s">
        <v>2412</v>
      </c>
      <c r="D726" s="160">
        <v>0</v>
      </c>
      <c r="E726" s="161" t="s">
        <v>237</v>
      </c>
      <c r="F726" s="160">
        <v>0</v>
      </c>
      <c r="G726" s="161" t="s">
        <v>380</v>
      </c>
      <c r="H726" s="161" t="s">
        <v>1762</v>
      </c>
      <c r="I726" s="161" t="s">
        <v>1709</v>
      </c>
      <c r="J726" s="160">
        <v>0</v>
      </c>
      <c r="K726" s="161" t="s">
        <v>380</v>
      </c>
      <c r="L726" s="160">
        <v>0</v>
      </c>
      <c r="M726" s="161" t="s">
        <v>380</v>
      </c>
      <c r="N726" s="160">
        <v>0</v>
      </c>
      <c r="O726" s="160">
        <v>0</v>
      </c>
      <c r="P726" s="160">
        <v>0</v>
      </c>
      <c r="Q726" s="161" t="s">
        <v>237</v>
      </c>
    </row>
    <row r="727" spans="2:17" x14ac:dyDescent="0.3">
      <c r="B727" s="188">
        <v>591368</v>
      </c>
      <c r="C727" s="158" t="s">
        <v>328</v>
      </c>
      <c r="D727" s="160">
        <v>6638.73</v>
      </c>
      <c r="E727" s="161" t="s">
        <v>237</v>
      </c>
      <c r="F727" s="160">
        <v>127742</v>
      </c>
      <c r="G727" s="161" t="s">
        <v>380</v>
      </c>
      <c r="H727" s="161" t="s">
        <v>2811</v>
      </c>
      <c r="I727" s="161" t="s">
        <v>2811</v>
      </c>
      <c r="J727" s="160">
        <v>136850</v>
      </c>
      <c r="K727" s="161" t="s">
        <v>380</v>
      </c>
      <c r="L727" s="160">
        <v>205000</v>
      </c>
      <c r="M727" s="161" t="s">
        <v>380</v>
      </c>
      <c r="N727" s="160">
        <v>214</v>
      </c>
      <c r="O727" s="160">
        <v>0.47</v>
      </c>
      <c r="P727" s="160">
        <v>2849.54</v>
      </c>
      <c r="Q727" s="161" t="s">
        <v>237</v>
      </c>
    </row>
    <row r="728" spans="2:17" x14ac:dyDescent="0.3">
      <c r="B728" s="188">
        <v>591369</v>
      </c>
      <c r="C728" s="158" t="s">
        <v>340</v>
      </c>
      <c r="D728" s="160">
        <v>4760.76</v>
      </c>
      <c r="E728" s="161" t="s">
        <v>237</v>
      </c>
      <c r="F728" s="160">
        <v>87254</v>
      </c>
      <c r="G728" s="161" t="s">
        <v>380</v>
      </c>
      <c r="H728" s="161" t="s">
        <v>2745</v>
      </c>
      <c r="I728" s="161" t="s">
        <v>2708</v>
      </c>
      <c r="J728" s="160">
        <v>65728</v>
      </c>
      <c r="K728" s="161" t="s">
        <v>380</v>
      </c>
      <c r="L728" s="160">
        <v>93800</v>
      </c>
      <c r="M728" s="161" t="s">
        <v>380</v>
      </c>
      <c r="N728" s="160">
        <v>344</v>
      </c>
      <c r="O728" s="160">
        <v>0.32</v>
      </c>
      <c r="P728" s="160">
        <v>1271.8399999999999</v>
      </c>
      <c r="Q728" s="161" t="s">
        <v>237</v>
      </c>
    </row>
    <row r="729" spans="2:17" x14ac:dyDescent="0.3">
      <c r="B729" s="188">
        <v>591370</v>
      </c>
      <c r="C729" s="158" t="s">
        <v>329</v>
      </c>
      <c r="D729" s="160">
        <v>5482.35</v>
      </c>
      <c r="E729" s="161" t="s">
        <v>237</v>
      </c>
      <c r="F729" s="160">
        <v>48068</v>
      </c>
      <c r="G729" s="161" t="s">
        <v>380</v>
      </c>
      <c r="H729" s="161" t="s">
        <v>2745</v>
      </c>
      <c r="I729" s="161" t="s">
        <v>2708</v>
      </c>
      <c r="J729" s="160">
        <v>65964</v>
      </c>
      <c r="K729" s="161" t="s">
        <v>380</v>
      </c>
      <c r="L729" s="160">
        <v>67000</v>
      </c>
      <c r="M729" s="161" t="s">
        <v>380</v>
      </c>
      <c r="N729" s="160">
        <v>153</v>
      </c>
      <c r="O729" s="160">
        <v>0.84</v>
      </c>
      <c r="P729" s="160">
        <v>3285.95</v>
      </c>
      <c r="Q729" s="161" t="s">
        <v>237</v>
      </c>
    </row>
    <row r="730" spans="2:17" x14ac:dyDescent="0.3">
      <c r="B730" s="188">
        <v>592113</v>
      </c>
      <c r="C730" s="158" t="s">
        <v>2413</v>
      </c>
      <c r="D730" s="160">
        <v>0</v>
      </c>
      <c r="E730" s="161" t="s">
        <v>237</v>
      </c>
      <c r="F730" s="160">
        <v>0</v>
      </c>
      <c r="G730" s="161" t="s">
        <v>380</v>
      </c>
      <c r="H730" s="161" t="s">
        <v>1481</v>
      </c>
      <c r="I730" s="161" t="s">
        <v>1480</v>
      </c>
      <c r="J730" s="160">
        <v>0</v>
      </c>
      <c r="K730" s="161" t="s">
        <v>380</v>
      </c>
      <c r="L730" s="160">
        <v>0</v>
      </c>
      <c r="M730" s="161" t="s">
        <v>380</v>
      </c>
      <c r="N730" s="160">
        <v>0</v>
      </c>
      <c r="O730" s="160">
        <v>0</v>
      </c>
      <c r="P730" s="160">
        <v>0</v>
      </c>
      <c r="Q730" s="161" t="s">
        <v>237</v>
      </c>
    </row>
    <row r="731" spans="2:17" x14ac:dyDescent="0.3">
      <c r="B731" s="188">
        <v>592128</v>
      </c>
      <c r="C731" s="158" t="s">
        <v>2414</v>
      </c>
      <c r="D731" s="160">
        <v>0</v>
      </c>
      <c r="E731" s="161" t="s">
        <v>237</v>
      </c>
      <c r="F731" s="160">
        <v>0</v>
      </c>
      <c r="G731" s="161" t="s">
        <v>380</v>
      </c>
      <c r="H731" s="161" t="s">
        <v>1872</v>
      </c>
      <c r="I731" s="161" t="s">
        <v>1873</v>
      </c>
      <c r="J731" s="160">
        <v>0</v>
      </c>
      <c r="K731" s="161" t="s">
        <v>380</v>
      </c>
      <c r="L731" s="160">
        <v>0</v>
      </c>
      <c r="M731" s="161" t="s">
        <v>380</v>
      </c>
      <c r="N731" s="160">
        <v>0</v>
      </c>
      <c r="O731" s="160">
        <v>0</v>
      </c>
      <c r="P731" s="160">
        <v>0</v>
      </c>
      <c r="Q731" s="161" t="s">
        <v>237</v>
      </c>
    </row>
    <row r="732" spans="2:17" x14ac:dyDescent="0.3">
      <c r="B732" s="188">
        <v>592668</v>
      </c>
      <c r="C732" s="158" t="s">
        <v>341</v>
      </c>
      <c r="D732" s="160">
        <v>4451.5</v>
      </c>
      <c r="E732" s="161" t="s">
        <v>237</v>
      </c>
      <c r="F732" s="160">
        <v>55470</v>
      </c>
      <c r="G732" s="161" t="s">
        <v>380</v>
      </c>
      <c r="H732" s="161" t="s">
        <v>2802</v>
      </c>
      <c r="I732" s="161" t="s">
        <v>2811</v>
      </c>
      <c r="J732" s="160">
        <v>87347</v>
      </c>
      <c r="K732" s="161" t="s">
        <v>380</v>
      </c>
      <c r="L732" s="160">
        <v>87960</v>
      </c>
      <c r="M732" s="161" t="s">
        <v>380</v>
      </c>
      <c r="N732" s="160">
        <v>95</v>
      </c>
      <c r="O732" s="160">
        <v>0.78</v>
      </c>
      <c r="P732" s="160">
        <v>4316.5</v>
      </c>
      <c r="Q732" s="161" t="s">
        <v>237</v>
      </c>
    </row>
    <row r="733" spans="2:17" x14ac:dyDescent="0.3">
      <c r="B733" s="188">
        <v>592669</v>
      </c>
      <c r="C733" s="158" t="s">
        <v>342</v>
      </c>
      <c r="D733" s="160">
        <v>2357.81</v>
      </c>
      <c r="E733" s="161" t="s">
        <v>237</v>
      </c>
      <c r="F733" s="160">
        <v>45350</v>
      </c>
      <c r="G733" s="161" t="s">
        <v>380</v>
      </c>
      <c r="H733" s="161" t="s">
        <v>1996</v>
      </c>
      <c r="I733" s="161" t="s">
        <v>2625</v>
      </c>
      <c r="J733" s="160">
        <v>0</v>
      </c>
      <c r="K733" s="161" t="s">
        <v>380</v>
      </c>
      <c r="L733" s="160">
        <v>0</v>
      </c>
      <c r="M733" s="161" t="s">
        <v>380</v>
      </c>
      <c r="N733" s="160">
        <v>99999</v>
      </c>
      <c r="O733" s="160">
        <v>0</v>
      </c>
      <c r="P733" s="160">
        <v>0</v>
      </c>
      <c r="Q733" s="161" t="s">
        <v>237</v>
      </c>
    </row>
    <row r="734" spans="2:17" x14ac:dyDescent="0.3">
      <c r="B734" s="188">
        <v>592951</v>
      </c>
      <c r="C734" s="158" t="s">
        <v>343</v>
      </c>
      <c r="D734" s="160">
        <v>8959.69</v>
      </c>
      <c r="E734" s="161" t="s">
        <v>237</v>
      </c>
      <c r="F734" s="160">
        <v>179.60400000000001</v>
      </c>
      <c r="G734" s="161" t="s">
        <v>374</v>
      </c>
      <c r="H734" s="161" t="s">
        <v>2814</v>
      </c>
      <c r="I734" s="161" t="s">
        <v>2819</v>
      </c>
      <c r="J734" s="160">
        <v>299.96199999999999</v>
      </c>
      <c r="K734" s="161" t="s">
        <v>374</v>
      </c>
      <c r="L734" s="160">
        <v>241</v>
      </c>
      <c r="M734" s="161" t="s">
        <v>374</v>
      </c>
      <c r="N734" s="160">
        <v>104</v>
      </c>
      <c r="O734" s="160">
        <v>0.64</v>
      </c>
      <c r="P734" s="160">
        <v>7930.37</v>
      </c>
      <c r="Q734" s="161" t="s">
        <v>237</v>
      </c>
    </row>
    <row r="735" spans="2:17" x14ac:dyDescent="0.3">
      <c r="B735" s="188">
        <v>593390</v>
      </c>
      <c r="C735" s="158" t="s">
        <v>2415</v>
      </c>
      <c r="D735" s="160">
        <v>0</v>
      </c>
      <c r="E735" s="161" t="s">
        <v>237</v>
      </c>
      <c r="F735" s="160">
        <v>0</v>
      </c>
      <c r="G735" s="161" t="s">
        <v>374</v>
      </c>
      <c r="H735" s="161" t="s">
        <v>1874</v>
      </c>
      <c r="I735" s="161" t="s">
        <v>1481</v>
      </c>
      <c r="J735" s="160">
        <v>0</v>
      </c>
      <c r="K735" s="161" t="s">
        <v>374</v>
      </c>
      <c r="L735" s="160">
        <v>0</v>
      </c>
      <c r="M735" s="161" t="s">
        <v>374</v>
      </c>
      <c r="N735" s="160">
        <v>0</v>
      </c>
      <c r="O735" s="160">
        <v>0</v>
      </c>
      <c r="P735" s="160">
        <v>0</v>
      </c>
      <c r="Q735" s="161" t="s">
        <v>237</v>
      </c>
    </row>
    <row r="736" spans="2:17" x14ac:dyDescent="0.3">
      <c r="B736" s="188">
        <v>593537</v>
      </c>
      <c r="C736" s="158" t="s">
        <v>2416</v>
      </c>
      <c r="D736" s="160">
        <v>102079.75</v>
      </c>
      <c r="E736" s="161" t="s">
        <v>237</v>
      </c>
      <c r="F736" s="160">
        <v>248975</v>
      </c>
      <c r="G736" s="161" t="s">
        <v>380</v>
      </c>
      <c r="H736" s="161" t="s">
        <v>236</v>
      </c>
      <c r="I736" s="161" t="s">
        <v>236</v>
      </c>
      <c r="J736" s="160">
        <v>814200</v>
      </c>
      <c r="K736" s="161" t="s">
        <v>380</v>
      </c>
      <c r="L736" s="160">
        <v>910225</v>
      </c>
      <c r="M736" s="161" t="s">
        <v>380</v>
      </c>
      <c r="N736" s="160">
        <v>29</v>
      </c>
      <c r="O736" s="160">
        <v>3.6</v>
      </c>
      <c r="P736" s="160">
        <v>320022</v>
      </c>
      <c r="Q736" s="161" t="s">
        <v>237</v>
      </c>
    </row>
    <row r="737" spans="2:17" x14ac:dyDescent="0.3">
      <c r="B737" s="188">
        <v>593722</v>
      </c>
      <c r="C737" s="158" t="s">
        <v>344</v>
      </c>
      <c r="D737" s="160">
        <v>0</v>
      </c>
      <c r="E737" s="161" t="s">
        <v>237</v>
      </c>
      <c r="F737" s="160">
        <v>0</v>
      </c>
      <c r="G737" s="161" t="s">
        <v>380</v>
      </c>
      <c r="H737" s="161" t="s">
        <v>1499</v>
      </c>
      <c r="I737" s="161" t="s">
        <v>2553</v>
      </c>
      <c r="J737" s="160">
        <v>0</v>
      </c>
      <c r="K737" s="161" t="s">
        <v>380</v>
      </c>
      <c r="L737" s="160">
        <v>0</v>
      </c>
      <c r="M737" s="161" t="s">
        <v>380</v>
      </c>
      <c r="N737" s="160">
        <v>0</v>
      </c>
      <c r="O737" s="160">
        <v>0</v>
      </c>
      <c r="P737" s="160">
        <v>0</v>
      </c>
      <c r="Q737" s="161" t="s">
        <v>237</v>
      </c>
    </row>
    <row r="738" spans="2:17" x14ac:dyDescent="0.3">
      <c r="B738" s="188">
        <v>593730</v>
      </c>
      <c r="C738" s="158" t="s">
        <v>2417</v>
      </c>
      <c r="D738" s="160">
        <v>0</v>
      </c>
      <c r="E738" s="161" t="s">
        <v>237</v>
      </c>
      <c r="F738" s="160">
        <v>0</v>
      </c>
      <c r="G738" s="161" t="s">
        <v>380</v>
      </c>
      <c r="H738" s="161" t="s">
        <v>1620</v>
      </c>
      <c r="I738" s="161" t="s">
        <v>1620</v>
      </c>
      <c r="J738" s="160">
        <v>0</v>
      </c>
      <c r="K738" s="161" t="s">
        <v>380</v>
      </c>
      <c r="L738" s="160">
        <v>0</v>
      </c>
      <c r="M738" s="161" t="s">
        <v>380</v>
      </c>
      <c r="N738" s="160">
        <v>0</v>
      </c>
      <c r="O738" s="160">
        <v>0</v>
      </c>
      <c r="P738" s="160">
        <v>0</v>
      </c>
      <c r="Q738" s="161" t="s">
        <v>237</v>
      </c>
    </row>
    <row r="739" spans="2:17" x14ac:dyDescent="0.3">
      <c r="B739" s="188">
        <v>594052</v>
      </c>
      <c r="C739" s="158" t="s">
        <v>2418</v>
      </c>
      <c r="D739" s="160">
        <v>0</v>
      </c>
      <c r="E739" s="161" t="s">
        <v>237</v>
      </c>
      <c r="F739" s="160">
        <v>0</v>
      </c>
      <c r="G739" s="161" t="s">
        <v>380</v>
      </c>
      <c r="H739" s="161" t="s">
        <v>1679</v>
      </c>
      <c r="I739" s="161" t="s">
        <v>1723</v>
      </c>
      <c r="J739" s="160">
        <v>0</v>
      </c>
      <c r="K739" s="161" t="s">
        <v>380</v>
      </c>
      <c r="L739" s="160">
        <v>0</v>
      </c>
      <c r="M739" s="161" t="s">
        <v>380</v>
      </c>
      <c r="N739" s="160">
        <v>0</v>
      </c>
      <c r="O739" s="160">
        <v>0</v>
      </c>
      <c r="P739" s="160">
        <v>0</v>
      </c>
      <c r="Q739" s="161" t="s">
        <v>237</v>
      </c>
    </row>
    <row r="740" spans="2:17" x14ac:dyDescent="0.3">
      <c r="B740" s="188">
        <v>594053</v>
      </c>
      <c r="C740" s="158" t="s">
        <v>2419</v>
      </c>
      <c r="D740" s="160">
        <v>0</v>
      </c>
      <c r="E740" s="161" t="s">
        <v>237</v>
      </c>
      <c r="F740" s="160">
        <v>0</v>
      </c>
      <c r="G740" s="161" t="s">
        <v>380</v>
      </c>
      <c r="H740" s="161" t="s">
        <v>1582</v>
      </c>
      <c r="I740" s="161" t="s">
        <v>1556</v>
      </c>
      <c r="J740" s="160">
        <v>0</v>
      </c>
      <c r="K740" s="161" t="s">
        <v>380</v>
      </c>
      <c r="L740" s="160">
        <v>0</v>
      </c>
      <c r="M740" s="161" t="s">
        <v>380</v>
      </c>
      <c r="N740" s="160">
        <v>0</v>
      </c>
      <c r="O740" s="160">
        <v>0</v>
      </c>
      <c r="P740" s="160">
        <v>0</v>
      </c>
      <c r="Q740" s="161" t="s">
        <v>237</v>
      </c>
    </row>
    <row r="741" spans="2:17" x14ac:dyDescent="0.3">
      <c r="B741" s="188">
        <v>594367</v>
      </c>
      <c r="C741" s="158" t="s">
        <v>2420</v>
      </c>
      <c r="D741" s="160">
        <v>0</v>
      </c>
      <c r="E741" s="161" t="s">
        <v>237</v>
      </c>
      <c r="F741" s="160">
        <v>0</v>
      </c>
      <c r="G741" s="161" t="s">
        <v>380</v>
      </c>
      <c r="H741" s="161" t="s">
        <v>1875</v>
      </c>
      <c r="I741" s="161" t="s">
        <v>1875</v>
      </c>
      <c r="J741" s="160">
        <v>0</v>
      </c>
      <c r="K741" s="161" t="s">
        <v>380</v>
      </c>
      <c r="L741" s="160">
        <v>0</v>
      </c>
      <c r="M741" s="161" t="s">
        <v>380</v>
      </c>
      <c r="N741" s="160">
        <v>0</v>
      </c>
      <c r="O741" s="160">
        <v>0</v>
      </c>
      <c r="P741" s="160">
        <v>0</v>
      </c>
      <c r="Q741" s="161" t="s">
        <v>237</v>
      </c>
    </row>
    <row r="742" spans="2:17" x14ac:dyDescent="0.3">
      <c r="B742" s="188">
        <v>594832</v>
      </c>
      <c r="C742" s="158" t="s">
        <v>2421</v>
      </c>
      <c r="D742" s="160">
        <v>0</v>
      </c>
      <c r="E742" s="161" t="s">
        <v>237</v>
      </c>
      <c r="F742" s="160">
        <v>0</v>
      </c>
      <c r="G742" s="161" t="s">
        <v>380</v>
      </c>
      <c r="H742" s="161" t="s">
        <v>1529</v>
      </c>
      <c r="I742" s="161" t="s">
        <v>1529</v>
      </c>
      <c r="J742" s="160">
        <v>0</v>
      </c>
      <c r="K742" s="161" t="s">
        <v>380</v>
      </c>
      <c r="L742" s="160">
        <v>0</v>
      </c>
      <c r="M742" s="161" t="s">
        <v>380</v>
      </c>
      <c r="N742" s="160">
        <v>0</v>
      </c>
      <c r="O742" s="160">
        <v>0</v>
      </c>
      <c r="P742" s="160">
        <v>0</v>
      </c>
      <c r="Q742" s="161" t="s">
        <v>237</v>
      </c>
    </row>
    <row r="743" spans="2:17" x14ac:dyDescent="0.3">
      <c r="B743" s="188">
        <v>594833</v>
      </c>
      <c r="C743" s="158" t="s">
        <v>2422</v>
      </c>
      <c r="D743" s="160">
        <v>0</v>
      </c>
      <c r="E743" s="161" t="s">
        <v>237</v>
      </c>
      <c r="F743" s="160">
        <v>0</v>
      </c>
      <c r="G743" s="161" t="s">
        <v>380</v>
      </c>
      <c r="H743" s="161" t="s">
        <v>1529</v>
      </c>
      <c r="I743" s="161" t="s">
        <v>1529</v>
      </c>
      <c r="J743" s="160">
        <v>0</v>
      </c>
      <c r="K743" s="161" t="s">
        <v>380</v>
      </c>
      <c r="L743" s="160">
        <v>0</v>
      </c>
      <c r="M743" s="161" t="s">
        <v>380</v>
      </c>
      <c r="N743" s="160">
        <v>0</v>
      </c>
      <c r="O743" s="160">
        <v>0</v>
      </c>
      <c r="P743" s="160">
        <v>0</v>
      </c>
      <c r="Q743" s="161" t="s">
        <v>237</v>
      </c>
    </row>
    <row r="744" spans="2:17" x14ac:dyDescent="0.3">
      <c r="B744" s="188">
        <v>594855</v>
      </c>
      <c r="C744" s="158" t="s">
        <v>2423</v>
      </c>
      <c r="D744" s="160">
        <v>0</v>
      </c>
      <c r="E744" s="161" t="s">
        <v>237</v>
      </c>
      <c r="F744" s="160">
        <v>0</v>
      </c>
      <c r="G744" s="161" t="s">
        <v>380</v>
      </c>
      <c r="H744" s="161" t="s">
        <v>1876</v>
      </c>
      <c r="I744" s="161" t="s">
        <v>1481</v>
      </c>
      <c r="J744" s="160">
        <v>0</v>
      </c>
      <c r="K744" s="161" t="s">
        <v>380</v>
      </c>
      <c r="L744" s="160">
        <v>0</v>
      </c>
      <c r="M744" s="161" t="s">
        <v>380</v>
      </c>
      <c r="N744" s="160">
        <v>0</v>
      </c>
      <c r="O744" s="160">
        <v>0</v>
      </c>
      <c r="P744" s="160">
        <v>0</v>
      </c>
      <c r="Q744" s="161" t="s">
        <v>237</v>
      </c>
    </row>
    <row r="745" spans="2:17" x14ac:dyDescent="0.3">
      <c r="B745" s="188">
        <v>594856</v>
      </c>
      <c r="C745" s="158" t="s">
        <v>2424</v>
      </c>
      <c r="D745" s="160">
        <v>0</v>
      </c>
      <c r="E745" s="161" t="s">
        <v>237</v>
      </c>
      <c r="F745" s="160">
        <v>0</v>
      </c>
      <c r="G745" s="161" t="s">
        <v>380</v>
      </c>
      <c r="H745" s="161" t="s">
        <v>1876</v>
      </c>
      <c r="I745" s="161" t="s">
        <v>1481</v>
      </c>
      <c r="J745" s="160">
        <v>0</v>
      </c>
      <c r="K745" s="161" t="s">
        <v>380</v>
      </c>
      <c r="L745" s="160">
        <v>0</v>
      </c>
      <c r="M745" s="161" t="s">
        <v>380</v>
      </c>
      <c r="N745" s="160">
        <v>0</v>
      </c>
      <c r="O745" s="160">
        <v>0</v>
      </c>
      <c r="P745" s="160">
        <v>0</v>
      </c>
      <c r="Q745" s="161" t="s">
        <v>237</v>
      </c>
    </row>
    <row r="746" spans="2:17" x14ac:dyDescent="0.3">
      <c r="B746" s="188">
        <v>596313</v>
      </c>
      <c r="C746" s="158" t="s">
        <v>2425</v>
      </c>
      <c r="D746" s="160">
        <v>0</v>
      </c>
      <c r="E746" s="161" t="s">
        <v>237</v>
      </c>
      <c r="F746" s="160">
        <v>0</v>
      </c>
      <c r="G746" s="161" t="s">
        <v>380</v>
      </c>
      <c r="H746" s="161" t="s">
        <v>1877</v>
      </c>
      <c r="I746" s="161" t="s">
        <v>1878</v>
      </c>
      <c r="J746" s="160">
        <v>0</v>
      </c>
      <c r="K746" s="161" t="s">
        <v>380</v>
      </c>
      <c r="L746" s="160">
        <v>0</v>
      </c>
      <c r="M746" s="161" t="s">
        <v>380</v>
      </c>
      <c r="N746" s="160">
        <v>0</v>
      </c>
      <c r="O746" s="160">
        <v>0</v>
      </c>
      <c r="P746" s="160">
        <v>0</v>
      </c>
      <c r="Q746" s="161" t="s">
        <v>237</v>
      </c>
    </row>
    <row r="747" spans="2:17" x14ac:dyDescent="0.3">
      <c r="B747" s="188">
        <v>596407</v>
      </c>
      <c r="C747" s="158" t="s">
        <v>2426</v>
      </c>
      <c r="D747" s="160">
        <v>0</v>
      </c>
      <c r="E747" s="161" t="s">
        <v>237</v>
      </c>
      <c r="F747" s="160">
        <v>0</v>
      </c>
      <c r="G747" s="161" t="s">
        <v>380</v>
      </c>
      <c r="H747" s="161" t="s">
        <v>1879</v>
      </c>
      <c r="I747" s="161" t="s">
        <v>1660</v>
      </c>
      <c r="J747" s="160">
        <v>0</v>
      </c>
      <c r="K747" s="161" t="s">
        <v>380</v>
      </c>
      <c r="L747" s="160">
        <v>0</v>
      </c>
      <c r="M747" s="161" t="s">
        <v>380</v>
      </c>
      <c r="N747" s="160">
        <v>0</v>
      </c>
      <c r="O747" s="160">
        <v>0</v>
      </c>
      <c r="P747" s="160">
        <v>0</v>
      </c>
      <c r="Q747" s="161" t="s">
        <v>237</v>
      </c>
    </row>
    <row r="748" spans="2:17" x14ac:dyDescent="0.3">
      <c r="B748" s="188">
        <v>596442</v>
      </c>
      <c r="C748" s="158" t="s">
        <v>2427</v>
      </c>
      <c r="D748" s="160">
        <v>0</v>
      </c>
      <c r="E748" s="161" t="s">
        <v>237</v>
      </c>
      <c r="F748" s="160">
        <v>0</v>
      </c>
      <c r="G748" s="161" t="s">
        <v>380</v>
      </c>
      <c r="H748" s="161" t="s">
        <v>1880</v>
      </c>
      <c r="I748" s="161" t="s">
        <v>1881</v>
      </c>
      <c r="J748" s="160">
        <v>0</v>
      </c>
      <c r="K748" s="161" t="s">
        <v>380</v>
      </c>
      <c r="L748" s="160">
        <v>0</v>
      </c>
      <c r="M748" s="161" t="s">
        <v>380</v>
      </c>
      <c r="N748" s="160">
        <v>0</v>
      </c>
      <c r="O748" s="160">
        <v>0</v>
      </c>
      <c r="P748" s="160">
        <v>0</v>
      </c>
      <c r="Q748" s="161" t="s">
        <v>237</v>
      </c>
    </row>
    <row r="749" spans="2:17" x14ac:dyDescent="0.3">
      <c r="B749" s="188">
        <v>596735</v>
      </c>
      <c r="C749" s="158" t="s">
        <v>1240</v>
      </c>
      <c r="D749" s="160">
        <v>628.6</v>
      </c>
      <c r="E749" s="161" t="s">
        <v>237</v>
      </c>
      <c r="F749" s="160">
        <v>4800</v>
      </c>
      <c r="G749" s="161" t="s">
        <v>380</v>
      </c>
      <c r="H749" s="161" t="s">
        <v>2630</v>
      </c>
      <c r="I749" s="161" t="s">
        <v>2683</v>
      </c>
      <c r="J749" s="160">
        <v>0</v>
      </c>
      <c r="K749" s="161" t="s">
        <v>380</v>
      </c>
      <c r="L749" s="160">
        <v>0</v>
      </c>
      <c r="M749" s="161" t="s">
        <v>380</v>
      </c>
      <c r="N749" s="160">
        <v>99999</v>
      </c>
      <c r="O749" s="160">
        <v>0</v>
      </c>
      <c r="P749" s="160">
        <v>0</v>
      </c>
      <c r="Q749" s="161" t="s">
        <v>237</v>
      </c>
    </row>
    <row r="750" spans="2:17" x14ac:dyDescent="0.3">
      <c r="B750" s="188">
        <v>597017</v>
      </c>
      <c r="C750" s="158" t="s">
        <v>2428</v>
      </c>
      <c r="D750" s="160">
        <v>0</v>
      </c>
      <c r="E750" s="161" t="s">
        <v>237</v>
      </c>
      <c r="F750" s="160">
        <v>0</v>
      </c>
      <c r="G750" s="161" t="s">
        <v>380</v>
      </c>
      <c r="H750" s="161" t="s">
        <v>1882</v>
      </c>
      <c r="I750" s="161" t="s">
        <v>1882</v>
      </c>
      <c r="J750" s="160">
        <v>0</v>
      </c>
      <c r="K750" s="161" t="s">
        <v>380</v>
      </c>
      <c r="L750" s="160">
        <v>0</v>
      </c>
      <c r="M750" s="161" t="s">
        <v>380</v>
      </c>
      <c r="N750" s="160">
        <v>0</v>
      </c>
      <c r="O750" s="160">
        <v>0</v>
      </c>
      <c r="P750" s="160">
        <v>0</v>
      </c>
      <c r="Q750" s="161" t="s">
        <v>237</v>
      </c>
    </row>
    <row r="751" spans="2:17" x14ac:dyDescent="0.3">
      <c r="B751" s="188">
        <v>597024</v>
      </c>
      <c r="C751" s="158" t="s">
        <v>2429</v>
      </c>
      <c r="D751" s="160">
        <v>0</v>
      </c>
      <c r="E751" s="161" t="s">
        <v>237</v>
      </c>
      <c r="F751" s="160">
        <v>0</v>
      </c>
      <c r="G751" s="161" t="s">
        <v>380</v>
      </c>
      <c r="H751" s="161" t="s">
        <v>1883</v>
      </c>
      <c r="I751" s="161" t="s">
        <v>1868</v>
      </c>
      <c r="J751" s="160">
        <v>0</v>
      </c>
      <c r="K751" s="161" t="s">
        <v>380</v>
      </c>
      <c r="L751" s="160">
        <v>0</v>
      </c>
      <c r="M751" s="161" t="s">
        <v>380</v>
      </c>
      <c r="N751" s="160">
        <v>0</v>
      </c>
      <c r="O751" s="160">
        <v>0</v>
      </c>
      <c r="P751" s="160">
        <v>0</v>
      </c>
      <c r="Q751" s="161" t="s">
        <v>237</v>
      </c>
    </row>
    <row r="752" spans="2:17" x14ac:dyDescent="0.3">
      <c r="B752" s="188">
        <v>597206</v>
      </c>
      <c r="C752" s="158" t="s">
        <v>2430</v>
      </c>
      <c r="D752" s="160">
        <v>0</v>
      </c>
      <c r="E752" s="161" t="s">
        <v>237</v>
      </c>
      <c r="F752" s="160">
        <v>0</v>
      </c>
      <c r="G752" s="161" t="s">
        <v>373</v>
      </c>
      <c r="H752" s="161" t="s">
        <v>1776</v>
      </c>
      <c r="I752" s="161" t="s">
        <v>1884</v>
      </c>
      <c r="J752" s="160">
        <v>0</v>
      </c>
      <c r="K752" s="161" t="s">
        <v>373</v>
      </c>
      <c r="L752" s="160">
        <v>0</v>
      </c>
      <c r="M752" s="161" t="s">
        <v>373</v>
      </c>
      <c r="N752" s="160">
        <v>0</v>
      </c>
      <c r="O752" s="160">
        <v>0</v>
      </c>
      <c r="P752" s="160">
        <v>0</v>
      </c>
      <c r="Q752" s="161" t="s">
        <v>237</v>
      </c>
    </row>
    <row r="753" spans="2:17" x14ac:dyDescent="0.3">
      <c r="B753" s="188">
        <v>597267</v>
      </c>
      <c r="C753" s="158" t="s">
        <v>2431</v>
      </c>
      <c r="D753" s="160">
        <v>0</v>
      </c>
      <c r="E753" s="161" t="s">
        <v>237</v>
      </c>
      <c r="F753" s="160">
        <v>0</v>
      </c>
      <c r="G753" s="161" t="s">
        <v>380</v>
      </c>
      <c r="H753" s="161" t="s">
        <v>1885</v>
      </c>
      <c r="I753" s="161" t="s">
        <v>1499</v>
      </c>
      <c r="J753" s="160">
        <v>0</v>
      </c>
      <c r="K753" s="161" t="s">
        <v>380</v>
      </c>
      <c r="L753" s="160">
        <v>0</v>
      </c>
      <c r="M753" s="161" t="s">
        <v>380</v>
      </c>
      <c r="N753" s="160">
        <v>0</v>
      </c>
      <c r="O753" s="160">
        <v>0</v>
      </c>
      <c r="P753" s="160">
        <v>0</v>
      </c>
      <c r="Q753" s="161" t="s">
        <v>237</v>
      </c>
    </row>
    <row r="754" spans="2:17" x14ac:dyDescent="0.3">
      <c r="B754" s="188">
        <v>597322</v>
      </c>
      <c r="C754" s="158" t="s">
        <v>2432</v>
      </c>
      <c r="D754" s="160">
        <v>0</v>
      </c>
      <c r="E754" s="161" t="s">
        <v>237</v>
      </c>
      <c r="F754" s="160">
        <v>0</v>
      </c>
      <c r="G754" s="161" t="s">
        <v>380</v>
      </c>
      <c r="H754" s="161" t="s">
        <v>1554</v>
      </c>
      <c r="I754" s="161" t="s">
        <v>1941</v>
      </c>
      <c r="J754" s="160">
        <v>0</v>
      </c>
      <c r="K754" s="161" t="s">
        <v>380</v>
      </c>
      <c r="L754" s="160">
        <v>0</v>
      </c>
      <c r="M754" s="161" t="s">
        <v>380</v>
      </c>
      <c r="N754" s="160">
        <v>0</v>
      </c>
      <c r="O754" s="160">
        <v>0</v>
      </c>
      <c r="P754" s="160">
        <v>0</v>
      </c>
      <c r="Q754" s="161" t="s">
        <v>237</v>
      </c>
    </row>
    <row r="755" spans="2:17" x14ac:dyDescent="0.3">
      <c r="B755" s="188">
        <v>597323</v>
      </c>
      <c r="C755" s="158" t="s">
        <v>2433</v>
      </c>
      <c r="D755" s="160">
        <v>0</v>
      </c>
      <c r="E755" s="161" t="s">
        <v>237</v>
      </c>
      <c r="F755" s="160">
        <v>0</v>
      </c>
      <c r="G755" s="161" t="s">
        <v>380</v>
      </c>
      <c r="H755" s="161" t="s">
        <v>1572</v>
      </c>
      <c r="I755" s="161" t="s">
        <v>1572</v>
      </c>
      <c r="J755" s="160">
        <v>0</v>
      </c>
      <c r="K755" s="161" t="s">
        <v>380</v>
      </c>
      <c r="L755" s="160">
        <v>0</v>
      </c>
      <c r="M755" s="161" t="s">
        <v>380</v>
      </c>
      <c r="N755" s="160">
        <v>0</v>
      </c>
      <c r="O755" s="160">
        <v>0</v>
      </c>
      <c r="P755" s="160">
        <v>0</v>
      </c>
      <c r="Q755" s="161" t="s">
        <v>237</v>
      </c>
    </row>
    <row r="756" spans="2:17" x14ac:dyDescent="0.3">
      <c r="B756" s="188">
        <v>597507</v>
      </c>
      <c r="C756" s="158" t="s">
        <v>359</v>
      </c>
      <c r="D756" s="160">
        <v>0</v>
      </c>
      <c r="E756" s="161" t="s">
        <v>237</v>
      </c>
      <c r="F756" s="160">
        <v>0</v>
      </c>
      <c r="G756" s="161" t="s">
        <v>380</v>
      </c>
      <c r="H756" s="161" t="s">
        <v>236</v>
      </c>
      <c r="I756" s="161" t="s">
        <v>2798</v>
      </c>
      <c r="J756" s="160">
        <v>296996</v>
      </c>
      <c r="K756" s="161" t="s">
        <v>380</v>
      </c>
      <c r="L756" s="160">
        <v>230692</v>
      </c>
      <c r="M756" s="161" t="s">
        <v>380</v>
      </c>
      <c r="N756" s="160">
        <v>0</v>
      </c>
      <c r="O756" s="160">
        <v>4.1399999999999997</v>
      </c>
      <c r="P756" s="160">
        <v>34369.96</v>
      </c>
      <c r="Q756" s="161" t="s">
        <v>237</v>
      </c>
    </row>
    <row r="757" spans="2:17" x14ac:dyDescent="0.3">
      <c r="B757" s="188">
        <v>597508</v>
      </c>
      <c r="C757" s="158" t="s">
        <v>349</v>
      </c>
      <c r="D757" s="160">
        <v>0</v>
      </c>
      <c r="E757" s="161" t="s">
        <v>237</v>
      </c>
      <c r="F757" s="160">
        <v>0</v>
      </c>
      <c r="G757" s="161" t="s">
        <v>380</v>
      </c>
      <c r="H757" s="161" t="s">
        <v>2608</v>
      </c>
      <c r="I757" s="161" t="s">
        <v>2608</v>
      </c>
      <c r="J757" s="160">
        <v>0</v>
      </c>
      <c r="K757" s="161" t="s">
        <v>380</v>
      </c>
      <c r="L757" s="160">
        <v>0</v>
      </c>
      <c r="M757" s="161" t="s">
        <v>380</v>
      </c>
      <c r="N757" s="160">
        <v>0</v>
      </c>
      <c r="O757" s="160">
        <v>0</v>
      </c>
      <c r="P757" s="160">
        <v>0</v>
      </c>
      <c r="Q757" s="161" t="s">
        <v>237</v>
      </c>
    </row>
    <row r="758" spans="2:17" x14ac:dyDescent="0.3">
      <c r="B758" s="188">
        <v>597509</v>
      </c>
      <c r="C758" s="158" t="s">
        <v>2434</v>
      </c>
      <c r="D758" s="160">
        <v>2620.8000000000002</v>
      </c>
      <c r="E758" s="161" t="s">
        <v>237</v>
      </c>
      <c r="F758" s="160">
        <v>10920</v>
      </c>
      <c r="G758" s="161" t="s">
        <v>380</v>
      </c>
      <c r="H758" s="161" t="s">
        <v>2806</v>
      </c>
      <c r="I758" s="161" t="s">
        <v>2817</v>
      </c>
      <c r="J758" s="160">
        <v>43732</v>
      </c>
      <c r="K758" s="161" t="s">
        <v>380</v>
      </c>
      <c r="L758" s="160">
        <v>54652</v>
      </c>
      <c r="M758" s="161" t="s">
        <v>380</v>
      </c>
      <c r="N758" s="160">
        <v>48</v>
      </c>
      <c r="O758" s="160">
        <v>2.67</v>
      </c>
      <c r="P758" s="160">
        <v>4972.24</v>
      </c>
      <c r="Q758" s="161" t="s">
        <v>237</v>
      </c>
    </row>
    <row r="759" spans="2:17" x14ac:dyDescent="0.3">
      <c r="B759" s="188">
        <v>597510</v>
      </c>
      <c r="C759" s="158" t="s">
        <v>1536</v>
      </c>
      <c r="D759" s="160">
        <v>0</v>
      </c>
      <c r="E759" s="161" t="s">
        <v>237</v>
      </c>
      <c r="F759" s="160">
        <v>0</v>
      </c>
      <c r="G759" s="161" t="s">
        <v>380</v>
      </c>
      <c r="H759" s="161" t="s">
        <v>1974</v>
      </c>
      <c r="I759" s="161" t="s">
        <v>1974</v>
      </c>
      <c r="J759" s="160">
        <v>0</v>
      </c>
      <c r="K759" s="161" t="s">
        <v>380</v>
      </c>
      <c r="L759" s="160">
        <v>0</v>
      </c>
      <c r="M759" s="161" t="s">
        <v>380</v>
      </c>
      <c r="N759" s="160">
        <v>0</v>
      </c>
      <c r="O759" s="160">
        <v>0</v>
      </c>
      <c r="P759" s="160">
        <v>0</v>
      </c>
      <c r="Q759" s="161" t="s">
        <v>237</v>
      </c>
    </row>
    <row r="760" spans="2:17" x14ac:dyDescent="0.3">
      <c r="B760" s="188">
        <v>597674</v>
      </c>
      <c r="C760" s="158" t="s">
        <v>1217</v>
      </c>
      <c r="D760" s="160">
        <v>0</v>
      </c>
      <c r="E760" s="161" t="s">
        <v>237</v>
      </c>
      <c r="F760" s="160">
        <v>0</v>
      </c>
      <c r="G760" s="161" t="s">
        <v>380</v>
      </c>
      <c r="H760" s="161" t="s">
        <v>2628</v>
      </c>
      <c r="I760" s="161" t="s">
        <v>2636</v>
      </c>
      <c r="J760" s="160">
        <v>0</v>
      </c>
      <c r="K760" s="161" t="s">
        <v>380</v>
      </c>
      <c r="L760" s="160">
        <v>0</v>
      </c>
      <c r="M760" s="161" t="s">
        <v>380</v>
      </c>
      <c r="N760" s="160">
        <v>0</v>
      </c>
      <c r="O760" s="160">
        <v>0</v>
      </c>
      <c r="P760" s="160">
        <v>0</v>
      </c>
      <c r="Q760" s="161" t="s">
        <v>237</v>
      </c>
    </row>
    <row r="761" spans="2:17" x14ac:dyDescent="0.3">
      <c r="B761" s="188">
        <v>597675</v>
      </c>
      <c r="C761" s="158" t="s">
        <v>1218</v>
      </c>
      <c r="D761" s="160">
        <v>0</v>
      </c>
      <c r="E761" s="161" t="s">
        <v>237</v>
      </c>
      <c r="F761" s="160">
        <v>0</v>
      </c>
      <c r="G761" s="161" t="s">
        <v>380</v>
      </c>
      <c r="H761" s="161" t="s">
        <v>2615</v>
      </c>
      <c r="I761" s="161" t="s">
        <v>2636</v>
      </c>
      <c r="J761" s="160">
        <v>0</v>
      </c>
      <c r="K761" s="161" t="s">
        <v>380</v>
      </c>
      <c r="L761" s="160">
        <v>0</v>
      </c>
      <c r="M761" s="161" t="s">
        <v>380</v>
      </c>
      <c r="N761" s="160">
        <v>0</v>
      </c>
      <c r="O761" s="160">
        <v>0</v>
      </c>
      <c r="P761" s="160">
        <v>0</v>
      </c>
      <c r="Q761" s="161" t="s">
        <v>237</v>
      </c>
    </row>
    <row r="762" spans="2:17" x14ac:dyDescent="0.3">
      <c r="B762" s="188">
        <v>597676</v>
      </c>
      <c r="C762" s="158" t="s">
        <v>1219</v>
      </c>
      <c r="D762" s="160">
        <v>0</v>
      </c>
      <c r="E762" s="161" t="s">
        <v>237</v>
      </c>
      <c r="F762" s="160">
        <v>0</v>
      </c>
      <c r="G762" s="161" t="s">
        <v>380</v>
      </c>
      <c r="H762" s="161" t="s">
        <v>2628</v>
      </c>
      <c r="I762" s="161" t="s">
        <v>2636</v>
      </c>
      <c r="J762" s="160">
        <v>0</v>
      </c>
      <c r="K762" s="161" t="s">
        <v>380</v>
      </c>
      <c r="L762" s="160">
        <v>0</v>
      </c>
      <c r="M762" s="161" t="s">
        <v>380</v>
      </c>
      <c r="N762" s="160">
        <v>0</v>
      </c>
      <c r="O762" s="160">
        <v>0</v>
      </c>
      <c r="P762" s="160">
        <v>0</v>
      </c>
      <c r="Q762" s="161" t="s">
        <v>237</v>
      </c>
    </row>
    <row r="763" spans="2:17" x14ac:dyDescent="0.3">
      <c r="B763" s="188">
        <v>597677</v>
      </c>
      <c r="C763" s="158" t="s">
        <v>2435</v>
      </c>
      <c r="D763" s="160">
        <v>0</v>
      </c>
      <c r="E763" s="161" t="s">
        <v>237</v>
      </c>
      <c r="F763" s="160">
        <v>0</v>
      </c>
      <c r="G763" s="161" t="s">
        <v>380</v>
      </c>
      <c r="H763" s="161" t="s">
        <v>1886</v>
      </c>
      <c r="I763" s="161" t="s">
        <v>1886</v>
      </c>
      <c r="J763" s="160">
        <v>0</v>
      </c>
      <c r="K763" s="161" t="s">
        <v>380</v>
      </c>
      <c r="L763" s="160">
        <v>0</v>
      </c>
      <c r="M763" s="161" t="s">
        <v>380</v>
      </c>
      <c r="N763" s="160">
        <v>0</v>
      </c>
      <c r="O763" s="160">
        <v>0</v>
      </c>
      <c r="P763" s="160">
        <v>0</v>
      </c>
      <c r="Q763" s="161" t="s">
        <v>237</v>
      </c>
    </row>
    <row r="764" spans="2:17" x14ac:dyDescent="0.3">
      <c r="B764" s="188">
        <v>597797</v>
      </c>
      <c r="C764" s="158" t="s">
        <v>2436</v>
      </c>
      <c r="D764" s="160">
        <v>0</v>
      </c>
      <c r="E764" s="161" t="s">
        <v>237</v>
      </c>
      <c r="F764" s="160">
        <v>0</v>
      </c>
      <c r="G764" s="161" t="s">
        <v>380</v>
      </c>
      <c r="H764" s="161" t="s">
        <v>1998</v>
      </c>
      <c r="I764" s="161" t="s">
        <v>1995</v>
      </c>
      <c r="J764" s="160">
        <v>0</v>
      </c>
      <c r="K764" s="161" t="s">
        <v>380</v>
      </c>
      <c r="L764" s="160">
        <v>0</v>
      </c>
      <c r="M764" s="161" t="s">
        <v>380</v>
      </c>
      <c r="N764" s="160">
        <v>0</v>
      </c>
      <c r="O764" s="160">
        <v>0</v>
      </c>
      <c r="P764" s="160">
        <v>0</v>
      </c>
      <c r="Q764" s="161" t="s">
        <v>237</v>
      </c>
    </row>
    <row r="765" spans="2:17" x14ac:dyDescent="0.3">
      <c r="B765" s="188">
        <v>597801</v>
      </c>
      <c r="C765" s="158" t="s">
        <v>350</v>
      </c>
      <c r="D765" s="160">
        <v>0</v>
      </c>
      <c r="E765" s="161" t="s">
        <v>237</v>
      </c>
      <c r="F765" s="160">
        <v>0</v>
      </c>
      <c r="G765" s="161" t="s">
        <v>380</v>
      </c>
      <c r="H765" s="161" t="s">
        <v>2674</v>
      </c>
      <c r="I765" s="161" t="s">
        <v>2665</v>
      </c>
      <c r="J765" s="160">
        <v>0</v>
      </c>
      <c r="K765" s="161" t="s">
        <v>380</v>
      </c>
      <c r="L765" s="160">
        <v>0</v>
      </c>
      <c r="M765" s="161" t="s">
        <v>380</v>
      </c>
      <c r="N765" s="160">
        <v>0</v>
      </c>
      <c r="O765" s="160">
        <v>0</v>
      </c>
      <c r="P765" s="160">
        <v>0</v>
      </c>
      <c r="Q765" s="161" t="s">
        <v>237</v>
      </c>
    </row>
    <row r="766" spans="2:17" x14ac:dyDescent="0.3">
      <c r="B766" s="188">
        <v>597802</v>
      </c>
      <c r="C766" s="158" t="s">
        <v>351</v>
      </c>
      <c r="D766" s="160">
        <v>0</v>
      </c>
      <c r="E766" s="161" t="s">
        <v>237</v>
      </c>
      <c r="F766" s="160">
        <v>0</v>
      </c>
      <c r="G766" s="161" t="s">
        <v>380</v>
      </c>
      <c r="H766" s="161" t="s">
        <v>2627</v>
      </c>
      <c r="I766" s="161" t="s">
        <v>2668</v>
      </c>
      <c r="J766" s="160">
        <v>0</v>
      </c>
      <c r="K766" s="161" t="s">
        <v>380</v>
      </c>
      <c r="L766" s="160">
        <v>0</v>
      </c>
      <c r="M766" s="161" t="s">
        <v>380</v>
      </c>
      <c r="N766" s="160">
        <v>0</v>
      </c>
      <c r="O766" s="160">
        <v>0</v>
      </c>
      <c r="P766" s="160">
        <v>0</v>
      </c>
      <c r="Q766" s="161" t="s">
        <v>237</v>
      </c>
    </row>
    <row r="767" spans="2:17" x14ac:dyDescent="0.3">
      <c r="B767" s="188">
        <v>597803</v>
      </c>
      <c r="C767" s="158" t="s">
        <v>352</v>
      </c>
      <c r="D767" s="160">
        <v>0</v>
      </c>
      <c r="E767" s="161" t="s">
        <v>237</v>
      </c>
      <c r="F767" s="160">
        <v>0</v>
      </c>
      <c r="G767" s="161" t="s">
        <v>380</v>
      </c>
      <c r="H767" s="161" t="s">
        <v>2664</v>
      </c>
      <c r="I767" s="161" t="s">
        <v>2665</v>
      </c>
      <c r="J767" s="160">
        <v>0</v>
      </c>
      <c r="K767" s="161" t="s">
        <v>380</v>
      </c>
      <c r="L767" s="160">
        <v>0</v>
      </c>
      <c r="M767" s="161" t="s">
        <v>380</v>
      </c>
      <c r="N767" s="160">
        <v>0</v>
      </c>
      <c r="O767" s="160">
        <v>0</v>
      </c>
      <c r="P767" s="160">
        <v>0</v>
      </c>
      <c r="Q767" s="161" t="s">
        <v>237</v>
      </c>
    </row>
    <row r="768" spans="2:17" x14ac:dyDescent="0.3">
      <c r="B768" s="188">
        <v>597804</v>
      </c>
      <c r="C768" s="158" t="s">
        <v>353</v>
      </c>
      <c r="D768" s="160">
        <v>0</v>
      </c>
      <c r="E768" s="161" t="s">
        <v>237</v>
      </c>
      <c r="F768" s="160">
        <v>0</v>
      </c>
      <c r="G768" s="161" t="s">
        <v>380</v>
      </c>
      <c r="H768" s="161" t="s">
        <v>2674</v>
      </c>
      <c r="I768" s="161" t="s">
        <v>2665</v>
      </c>
      <c r="J768" s="160">
        <v>0</v>
      </c>
      <c r="K768" s="161" t="s">
        <v>380</v>
      </c>
      <c r="L768" s="160">
        <v>0</v>
      </c>
      <c r="M768" s="161" t="s">
        <v>380</v>
      </c>
      <c r="N768" s="160">
        <v>0</v>
      </c>
      <c r="O768" s="160">
        <v>0</v>
      </c>
      <c r="P768" s="160">
        <v>0</v>
      </c>
      <c r="Q768" s="161" t="s">
        <v>237</v>
      </c>
    </row>
    <row r="769" spans="2:17" x14ac:dyDescent="0.3">
      <c r="B769" s="188">
        <v>598257</v>
      </c>
      <c r="C769" s="158" t="s">
        <v>2437</v>
      </c>
      <c r="D769" s="160">
        <v>0</v>
      </c>
      <c r="E769" s="161" t="s">
        <v>237</v>
      </c>
      <c r="F769" s="160">
        <v>0</v>
      </c>
      <c r="G769" s="161" t="s">
        <v>380</v>
      </c>
      <c r="H769" s="161" t="s">
        <v>2806</v>
      </c>
      <c r="I769" s="161" t="s">
        <v>2809</v>
      </c>
      <c r="J769" s="160">
        <v>14500</v>
      </c>
      <c r="K769" s="161" t="s">
        <v>380</v>
      </c>
      <c r="L769" s="160">
        <v>14500</v>
      </c>
      <c r="M769" s="161" t="s">
        <v>380</v>
      </c>
      <c r="N769" s="160">
        <v>0</v>
      </c>
      <c r="O769" s="160">
        <v>99999</v>
      </c>
      <c r="P769" s="160">
        <v>1885</v>
      </c>
      <c r="Q769" s="161" t="s">
        <v>237</v>
      </c>
    </row>
    <row r="770" spans="2:17" x14ac:dyDescent="0.3">
      <c r="B770" s="188">
        <v>598630</v>
      </c>
      <c r="C770" s="158" t="s">
        <v>2438</v>
      </c>
      <c r="D770" s="160">
        <v>0</v>
      </c>
      <c r="E770" s="161" t="s">
        <v>237</v>
      </c>
      <c r="F770" s="160">
        <v>0</v>
      </c>
      <c r="G770" s="161" t="s">
        <v>380</v>
      </c>
      <c r="H770" s="161" t="s">
        <v>2809</v>
      </c>
      <c r="I770" s="161" t="s">
        <v>2809</v>
      </c>
      <c r="J770" s="160">
        <v>14500</v>
      </c>
      <c r="K770" s="161" t="s">
        <v>380</v>
      </c>
      <c r="L770" s="160">
        <v>14500</v>
      </c>
      <c r="M770" s="161" t="s">
        <v>380</v>
      </c>
      <c r="N770" s="160">
        <v>0</v>
      </c>
      <c r="O770" s="160">
        <v>99999</v>
      </c>
      <c r="P770" s="160">
        <v>2610</v>
      </c>
      <c r="Q770" s="161" t="s">
        <v>237</v>
      </c>
    </row>
    <row r="771" spans="2:17" x14ac:dyDescent="0.3">
      <c r="B771" s="188">
        <v>598631</v>
      </c>
      <c r="C771" s="158" t="s">
        <v>2439</v>
      </c>
      <c r="D771" s="160">
        <v>0</v>
      </c>
      <c r="E771" s="161" t="s">
        <v>237</v>
      </c>
      <c r="F771" s="160">
        <v>0</v>
      </c>
      <c r="G771" s="161" t="s">
        <v>380</v>
      </c>
      <c r="H771" s="161" t="s">
        <v>1887</v>
      </c>
      <c r="I771" s="161" t="s">
        <v>1888</v>
      </c>
      <c r="J771" s="160">
        <v>0</v>
      </c>
      <c r="K771" s="161" t="s">
        <v>380</v>
      </c>
      <c r="L771" s="160">
        <v>0</v>
      </c>
      <c r="M771" s="161" t="s">
        <v>380</v>
      </c>
      <c r="N771" s="160">
        <v>0</v>
      </c>
      <c r="O771" s="160">
        <v>0</v>
      </c>
      <c r="P771" s="160">
        <v>0</v>
      </c>
      <c r="Q771" s="161" t="s">
        <v>237</v>
      </c>
    </row>
    <row r="772" spans="2:17" x14ac:dyDescent="0.3">
      <c r="B772" s="188">
        <v>599672</v>
      </c>
      <c r="C772" s="158" t="s">
        <v>2440</v>
      </c>
      <c r="D772" s="160">
        <v>0</v>
      </c>
      <c r="E772" s="161" t="s">
        <v>237</v>
      </c>
      <c r="F772" s="160">
        <v>0</v>
      </c>
      <c r="G772" s="161" t="s">
        <v>380</v>
      </c>
      <c r="H772" s="161" t="s">
        <v>1889</v>
      </c>
      <c r="I772" s="161" t="s">
        <v>1890</v>
      </c>
      <c r="J772" s="160">
        <v>0</v>
      </c>
      <c r="K772" s="161" t="s">
        <v>380</v>
      </c>
      <c r="L772" s="160">
        <v>0</v>
      </c>
      <c r="M772" s="161" t="s">
        <v>380</v>
      </c>
      <c r="N772" s="160">
        <v>0</v>
      </c>
      <c r="O772" s="160">
        <v>0</v>
      </c>
      <c r="P772" s="160">
        <v>0</v>
      </c>
      <c r="Q772" s="161" t="s">
        <v>237</v>
      </c>
    </row>
    <row r="773" spans="2:17" x14ac:dyDescent="0.3">
      <c r="B773" s="188">
        <v>599779</v>
      </c>
      <c r="C773" s="158" t="s">
        <v>2441</v>
      </c>
      <c r="D773" s="160">
        <v>0</v>
      </c>
      <c r="E773" s="161" t="s">
        <v>237</v>
      </c>
      <c r="F773" s="160">
        <v>0</v>
      </c>
      <c r="G773" s="161" t="s">
        <v>380</v>
      </c>
      <c r="H773" s="161" t="s">
        <v>1877</v>
      </c>
      <c r="I773" s="161" t="s">
        <v>1890</v>
      </c>
      <c r="J773" s="160">
        <v>0</v>
      </c>
      <c r="K773" s="161" t="s">
        <v>380</v>
      </c>
      <c r="L773" s="160">
        <v>0</v>
      </c>
      <c r="M773" s="161" t="s">
        <v>380</v>
      </c>
      <c r="N773" s="160">
        <v>0</v>
      </c>
      <c r="O773" s="160">
        <v>0</v>
      </c>
      <c r="P773" s="160">
        <v>0</v>
      </c>
      <c r="Q773" s="161" t="s">
        <v>237</v>
      </c>
    </row>
    <row r="774" spans="2:17" x14ac:dyDescent="0.3">
      <c r="B774" s="188">
        <v>600646</v>
      </c>
      <c r="C774" s="158" t="s">
        <v>1321</v>
      </c>
      <c r="D774" s="160">
        <v>4032</v>
      </c>
      <c r="E774" s="161" t="s">
        <v>237</v>
      </c>
      <c r="F774" s="160">
        <v>9600</v>
      </c>
      <c r="G774" s="161" t="s">
        <v>380</v>
      </c>
      <c r="H774" s="161" t="s">
        <v>2817</v>
      </c>
      <c r="I774" s="161" t="s">
        <v>2817</v>
      </c>
      <c r="J774" s="160">
        <v>1800</v>
      </c>
      <c r="K774" s="161" t="s">
        <v>380</v>
      </c>
      <c r="L774" s="160">
        <v>9917</v>
      </c>
      <c r="M774" s="161" t="s">
        <v>380</v>
      </c>
      <c r="N774" s="160">
        <v>99999</v>
      </c>
      <c r="O774" s="160">
        <v>0</v>
      </c>
      <c r="P774" s="160">
        <v>0</v>
      </c>
      <c r="Q774" s="161" t="s">
        <v>237</v>
      </c>
    </row>
    <row r="775" spans="2:17" x14ac:dyDescent="0.3">
      <c r="B775" s="188">
        <v>601608</v>
      </c>
      <c r="C775" s="158" t="s">
        <v>2442</v>
      </c>
      <c r="D775" s="160">
        <v>0</v>
      </c>
      <c r="E775" s="161" t="s">
        <v>237</v>
      </c>
      <c r="F775" s="160">
        <v>0</v>
      </c>
      <c r="G775" s="161" t="s">
        <v>380</v>
      </c>
      <c r="H775" s="161" t="s">
        <v>1946</v>
      </c>
      <c r="I775" s="161" t="s">
        <v>1946</v>
      </c>
      <c r="J775" s="160">
        <v>0</v>
      </c>
      <c r="K775" s="161" t="s">
        <v>380</v>
      </c>
      <c r="L775" s="160">
        <v>0</v>
      </c>
      <c r="M775" s="161" t="s">
        <v>380</v>
      </c>
      <c r="N775" s="160">
        <v>0</v>
      </c>
      <c r="O775" s="160">
        <v>0</v>
      </c>
      <c r="P775" s="160">
        <v>0</v>
      </c>
      <c r="Q775" s="161" t="s">
        <v>237</v>
      </c>
    </row>
    <row r="776" spans="2:17" x14ac:dyDescent="0.3">
      <c r="B776" s="188">
        <v>601939</v>
      </c>
      <c r="C776" s="158" t="s">
        <v>2443</v>
      </c>
      <c r="D776" s="160">
        <v>0</v>
      </c>
      <c r="E776" s="161" t="s">
        <v>237</v>
      </c>
      <c r="F776" s="160">
        <v>0</v>
      </c>
      <c r="G776" s="161" t="s">
        <v>380</v>
      </c>
      <c r="H776" s="161" t="s">
        <v>1890</v>
      </c>
      <c r="I776" s="161" t="s">
        <v>1891</v>
      </c>
      <c r="J776" s="160">
        <v>0</v>
      </c>
      <c r="K776" s="161" t="s">
        <v>380</v>
      </c>
      <c r="L776" s="160">
        <v>0</v>
      </c>
      <c r="M776" s="161" t="s">
        <v>380</v>
      </c>
      <c r="N776" s="160">
        <v>0</v>
      </c>
      <c r="O776" s="160">
        <v>0</v>
      </c>
      <c r="P776" s="160">
        <v>0</v>
      </c>
      <c r="Q776" s="161" t="s">
        <v>237</v>
      </c>
    </row>
    <row r="777" spans="2:17" x14ac:dyDescent="0.3">
      <c r="B777" s="188">
        <v>602720</v>
      </c>
      <c r="C777" s="158" t="s">
        <v>2444</v>
      </c>
      <c r="D777" s="160">
        <v>0</v>
      </c>
      <c r="E777" s="161" t="s">
        <v>237</v>
      </c>
      <c r="F777" s="160">
        <v>0</v>
      </c>
      <c r="G777" s="161" t="s">
        <v>380</v>
      </c>
      <c r="H777" s="161" t="s">
        <v>1892</v>
      </c>
      <c r="I777" s="161" t="s">
        <v>1893</v>
      </c>
      <c r="J777" s="160">
        <v>0</v>
      </c>
      <c r="K777" s="161" t="s">
        <v>380</v>
      </c>
      <c r="L777" s="160">
        <v>0</v>
      </c>
      <c r="M777" s="161" t="s">
        <v>380</v>
      </c>
      <c r="N777" s="160">
        <v>0</v>
      </c>
      <c r="O777" s="160">
        <v>0</v>
      </c>
      <c r="P777" s="160">
        <v>0</v>
      </c>
      <c r="Q777" s="161" t="s">
        <v>237</v>
      </c>
    </row>
    <row r="778" spans="2:17" x14ac:dyDescent="0.3">
      <c r="B778" s="188">
        <v>603551</v>
      </c>
      <c r="C778" s="158" t="s">
        <v>2445</v>
      </c>
      <c r="D778" s="160">
        <v>0</v>
      </c>
      <c r="E778" s="161" t="s">
        <v>237</v>
      </c>
      <c r="F778" s="160">
        <v>0</v>
      </c>
      <c r="G778" s="161" t="s">
        <v>380</v>
      </c>
      <c r="H778" s="161" t="s">
        <v>1798</v>
      </c>
      <c r="I778" s="161" t="s">
        <v>1490</v>
      </c>
      <c r="J778" s="160">
        <v>0</v>
      </c>
      <c r="K778" s="161" t="s">
        <v>380</v>
      </c>
      <c r="L778" s="160">
        <v>0</v>
      </c>
      <c r="M778" s="161" t="s">
        <v>380</v>
      </c>
      <c r="N778" s="160">
        <v>0</v>
      </c>
      <c r="O778" s="160">
        <v>0</v>
      </c>
      <c r="P778" s="160">
        <v>0</v>
      </c>
      <c r="Q778" s="161" t="s">
        <v>237</v>
      </c>
    </row>
    <row r="779" spans="2:17" x14ac:dyDescent="0.3">
      <c r="B779" s="188">
        <v>604327</v>
      </c>
      <c r="C779" s="158" t="s">
        <v>2446</v>
      </c>
      <c r="D779" s="160">
        <v>14743.75</v>
      </c>
      <c r="E779" s="161" t="s">
        <v>237</v>
      </c>
      <c r="F779" s="160">
        <v>42125</v>
      </c>
      <c r="G779" s="161" t="s">
        <v>380</v>
      </c>
      <c r="H779" s="161" t="s">
        <v>2672</v>
      </c>
      <c r="I779" s="161" t="s">
        <v>2672</v>
      </c>
      <c r="J779" s="160">
        <v>0</v>
      </c>
      <c r="K779" s="161" t="s">
        <v>380</v>
      </c>
      <c r="L779" s="160">
        <v>0</v>
      </c>
      <c r="M779" s="161" t="s">
        <v>380</v>
      </c>
      <c r="N779" s="160">
        <v>99999</v>
      </c>
      <c r="O779" s="160">
        <v>0</v>
      </c>
      <c r="P779" s="160">
        <v>0</v>
      </c>
      <c r="Q779" s="161" t="s">
        <v>237</v>
      </c>
    </row>
    <row r="780" spans="2:17" x14ac:dyDescent="0.3">
      <c r="B780" s="188">
        <v>604532</v>
      </c>
      <c r="C780" s="158" t="s">
        <v>1140</v>
      </c>
      <c r="D780" s="160">
        <v>0</v>
      </c>
      <c r="E780" s="161" t="s">
        <v>237</v>
      </c>
      <c r="F780" s="160">
        <v>0</v>
      </c>
      <c r="G780" s="161" t="s">
        <v>374</v>
      </c>
      <c r="H780" s="161" t="s">
        <v>1480</v>
      </c>
      <c r="I780" s="161" t="s">
        <v>2572</v>
      </c>
      <c r="J780" s="160">
        <v>0</v>
      </c>
      <c r="K780" s="161" t="s">
        <v>374</v>
      </c>
      <c r="L780" s="160">
        <v>0</v>
      </c>
      <c r="M780" s="161" t="s">
        <v>374</v>
      </c>
      <c r="N780" s="160">
        <v>0</v>
      </c>
      <c r="O780" s="160">
        <v>0</v>
      </c>
      <c r="P780" s="160">
        <v>0</v>
      </c>
      <c r="Q780" s="161" t="s">
        <v>237</v>
      </c>
    </row>
    <row r="781" spans="2:17" x14ac:dyDescent="0.3">
      <c r="B781" s="188">
        <v>604839</v>
      </c>
      <c r="C781" s="158" t="s">
        <v>2447</v>
      </c>
      <c r="D781" s="160">
        <v>0</v>
      </c>
      <c r="E781" s="161" t="s">
        <v>237</v>
      </c>
      <c r="F781" s="160">
        <v>0</v>
      </c>
      <c r="G781" s="161" t="s">
        <v>380</v>
      </c>
      <c r="H781" s="161" t="s">
        <v>1893</v>
      </c>
      <c r="I781" s="161" t="s">
        <v>1490</v>
      </c>
      <c r="J781" s="160">
        <v>0</v>
      </c>
      <c r="K781" s="161" t="s">
        <v>380</v>
      </c>
      <c r="L781" s="160">
        <v>0</v>
      </c>
      <c r="M781" s="161" t="s">
        <v>380</v>
      </c>
      <c r="N781" s="160">
        <v>0</v>
      </c>
      <c r="O781" s="160">
        <v>0</v>
      </c>
      <c r="P781" s="160">
        <v>0</v>
      </c>
      <c r="Q781" s="161" t="s">
        <v>237</v>
      </c>
    </row>
    <row r="782" spans="2:17" x14ac:dyDescent="0.3">
      <c r="B782" s="188">
        <v>604840</v>
      </c>
      <c r="C782" s="158" t="s">
        <v>2448</v>
      </c>
      <c r="D782" s="160">
        <v>0</v>
      </c>
      <c r="E782" s="161" t="s">
        <v>237</v>
      </c>
      <c r="F782" s="160">
        <v>0</v>
      </c>
      <c r="G782" s="161" t="s">
        <v>380</v>
      </c>
      <c r="H782" s="161" t="s">
        <v>1894</v>
      </c>
      <c r="I782" s="161" t="s">
        <v>1490</v>
      </c>
      <c r="J782" s="160">
        <v>0</v>
      </c>
      <c r="K782" s="161" t="s">
        <v>380</v>
      </c>
      <c r="L782" s="160">
        <v>0</v>
      </c>
      <c r="M782" s="161" t="s">
        <v>380</v>
      </c>
      <c r="N782" s="160">
        <v>0</v>
      </c>
      <c r="O782" s="160">
        <v>0</v>
      </c>
      <c r="P782" s="160">
        <v>0</v>
      </c>
      <c r="Q782" s="161" t="s">
        <v>237</v>
      </c>
    </row>
    <row r="783" spans="2:17" x14ac:dyDescent="0.3">
      <c r="B783" s="188">
        <v>604841</v>
      </c>
      <c r="C783" s="158" t="s">
        <v>2449</v>
      </c>
      <c r="D783" s="160">
        <v>0</v>
      </c>
      <c r="E783" s="161" t="s">
        <v>237</v>
      </c>
      <c r="F783" s="160">
        <v>0</v>
      </c>
      <c r="G783" s="161" t="s">
        <v>380</v>
      </c>
      <c r="H783" s="161" t="s">
        <v>1798</v>
      </c>
      <c r="I783" s="161" t="s">
        <v>1490</v>
      </c>
      <c r="J783" s="160">
        <v>0</v>
      </c>
      <c r="K783" s="161" t="s">
        <v>380</v>
      </c>
      <c r="L783" s="160">
        <v>0</v>
      </c>
      <c r="M783" s="161" t="s">
        <v>380</v>
      </c>
      <c r="N783" s="160">
        <v>0</v>
      </c>
      <c r="O783" s="160">
        <v>0</v>
      </c>
      <c r="P783" s="160">
        <v>0</v>
      </c>
      <c r="Q783" s="161" t="s">
        <v>237</v>
      </c>
    </row>
    <row r="784" spans="2:17" x14ac:dyDescent="0.3">
      <c r="B784" s="188">
        <v>604852</v>
      </c>
      <c r="C784" s="158" t="s">
        <v>2450</v>
      </c>
      <c r="D784" s="160">
        <v>0</v>
      </c>
      <c r="E784" s="161" t="s">
        <v>237</v>
      </c>
      <c r="F784" s="160">
        <v>0</v>
      </c>
      <c r="G784" s="161" t="s">
        <v>380</v>
      </c>
      <c r="H784" s="161" t="s">
        <v>1895</v>
      </c>
      <c r="I784" s="161" t="s">
        <v>1490</v>
      </c>
      <c r="J784" s="160">
        <v>0</v>
      </c>
      <c r="K784" s="161" t="s">
        <v>380</v>
      </c>
      <c r="L784" s="160">
        <v>0</v>
      </c>
      <c r="M784" s="161" t="s">
        <v>380</v>
      </c>
      <c r="N784" s="160">
        <v>0</v>
      </c>
      <c r="O784" s="160">
        <v>0</v>
      </c>
      <c r="P784" s="160">
        <v>0</v>
      </c>
      <c r="Q784" s="161" t="s">
        <v>237</v>
      </c>
    </row>
    <row r="785" spans="2:17" x14ac:dyDescent="0.3">
      <c r="B785" s="188">
        <v>604853</v>
      </c>
      <c r="C785" s="158" t="s">
        <v>2451</v>
      </c>
      <c r="D785" s="160">
        <v>0</v>
      </c>
      <c r="E785" s="161" t="s">
        <v>237</v>
      </c>
      <c r="F785" s="160">
        <v>0</v>
      </c>
      <c r="G785" s="161" t="s">
        <v>380</v>
      </c>
      <c r="H785" s="161" t="s">
        <v>1694</v>
      </c>
      <c r="I785" s="161" t="s">
        <v>1490</v>
      </c>
      <c r="J785" s="160">
        <v>0</v>
      </c>
      <c r="K785" s="161" t="s">
        <v>380</v>
      </c>
      <c r="L785" s="160">
        <v>0</v>
      </c>
      <c r="M785" s="161" t="s">
        <v>380</v>
      </c>
      <c r="N785" s="160">
        <v>0</v>
      </c>
      <c r="O785" s="160">
        <v>0</v>
      </c>
      <c r="P785" s="160">
        <v>0</v>
      </c>
      <c r="Q785" s="161" t="s">
        <v>237</v>
      </c>
    </row>
    <row r="786" spans="2:17" x14ac:dyDescent="0.3">
      <c r="B786" s="188">
        <v>604854</v>
      </c>
      <c r="C786" s="158" t="s">
        <v>2452</v>
      </c>
      <c r="D786" s="160">
        <v>0</v>
      </c>
      <c r="E786" s="161" t="s">
        <v>237</v>
      </c>
      <c r="F786" s="160">
        <v>0</v>
      </c>
      <c r="G786" s="161" t="s">
        <v>380</v>
      </c>
      <c r="H786" s="161" t="s">
        <v>1895</v>
      </c>
      <c r="I786" s="161" t="s">
        <v>1490</v>
      </c>
      <c r="J786" s="160">
        <v>0</v>
      </c>
      <c r="K786" s="161" t="s">
        <v>380</v>
      </c>
      <c r="L786" s="160">
        <v>0</v>
      </c>
      <c r="M786" s="161" t="s">
        <v>380</v>
      </c>
      <c r="N786" s="160">
        <v>0</v>
      </c>
      <c r="O786" s="160">
        <v>0</v>
      </c>
      <c r="P786" s="160">
        <v>0</v>
      </c>
      <c r="Q786" s="161" t="s">
        <v>237</v>
      </c>
    </row>
    <row r="787" spans="2:17" x14ac:dyDescent="0.3">
      <c r="B787" s="188">
        <v>604981</v>
      </c>
      <c r="C787" s="158" t="s">
        <v>1192</v>
      </c>
      <c r="D787" s="160">
        <v>1246.17</v>
      </c>
      <c r="E787" s="161" t="s">
        <v>237</v>
      </c>
      <c r="F787" s="160">
        <v>25</v>
      </c>
      <c r="G787" s="161" t="s">
        <v>374</v>
      </c>
      <c r="H787" s="161" t="s">
        <v>1530</v>
      </c>
      <c r="I787" s="161" t="s">
        <v>2625</v>
      </c>
      <c r="J787" s="160">
        <v>0</v>
      </c>
      <c r="K787" s="161" t="s">
        <v>374</v>
      </c>
      <c r="L787" s="160">
        <v>0</v>
      </c>
      <c r="M787" s="161" t="s">
        <v>374</v>
      </c>
      <c r="N787" s="160">
        <v>99999</v>
      </c>
      <c r="O787" s="160">
        <v>0</v>
      </c>
      <c r="P787" s="160">
        <v>0</v>
      </c>
      <c r="Q787" s="161" t="s">
        <v>237</v>
      </c>
    </row>
    <row r="788" spans="2:17" x14ac:dyDescent="0.3">
      <c r="B788" s="188">
        <v>605162</v>
      </c>
      <c r="C788" s="158" t="s">
        <v>1597</v>
      </c>
      <c r="D788" s="160">
        <v>6960.36</v>
      </c>
      <c r="E788" s="161" t="s">
        <v>237</v>
      </c>
      <c r="F788" s="160">
        <v>847.09799999999996</v>
      </c>
      <c r="G788" s="161" t="s">
        <v>374</v>
      </c>
      <c r="H788" s="161" t="s">
        <v>2755</v>
      </c>
      <c r="I788" s="161" t="s">
        <v>2750</v>
      </c>
      <c r="J788" s="160">
        <v>364.90300000000002</v>
      </c>
      <c r="K788" s="161" t="s">
        <v>374</v>
      </c>
      <c r="L788" s="160">
        <v>311.8</v>
      </c>
      <c r="M788" s="161" t="s">
        <v>374</v>
      </c>
      <c r="N788" s="160">
        <v>1468</v>
      </c>
      <c r="O788" s="160">
        <v>0.06</v>
      </c>
      <c r="P788" s="160">
        <v>436.33</v>
      </c>
      <c r="Q788" s="161" t="s">
        <v>237</v>
      </c>
    </row>
    <row r="789" spans="2:17" x14ac:dyDescent="0.3">
      <c r="B789" s="188">
        <v>605451</v>
      </c>
      <c r="C789" s="158" t="s">
        <v>2453</v>
      </c>
      <c r="D789" s="160">
        <v>0</v>
      </c>
      <c r="E789" s="161" t="s">
        <v>237</v>
      </c>
      <c r="F789" s="160">
        <v>0</v>
      </c>
      <c r="G789" s="161" t="s">
        <v>380</v>
      </c>
      <c r="H789" s="161" t="s">
        <v>1869</v>
      </c>
      <c r="I789" s="161" t="s">
        <v>1869</v>
      </c>
      <c r="J789" s="160">
        <v>0</v>
      </c>
      <c r="K789" s="161" t="s">
        <v>380</v>
      </c>
      <c r="L789" s="160">
        <v>0</v>
      </c>
      <c r="M789" s="161" t="s">
        <v>380</v>
      </c>
      <c r="N789" s="160">
        <v>0</v>
      </c>
      <c r="O789" s="160">
        <v>0</v>
      </c>
      <c r="P789" s="160">
        <v>0</v>
      </c>
      <c r="Q789" s="161" t="s">
        <v>237</v>
      </c>
    </row>
    <row r="790" spans="2:17" x14ac:dyDescent="0.3">
      <c r="B790" s="188">
        <v>605461</v>
      </c>
      <c r="C790" s="158" t="s">
        <v>2454</v>
      </c>
      <c r="D790" s="160">
        <v>0</v>
      </c>
      <c r="E790" s="161" t="s">
        <v>237</v>
      </c>
      <c r="F790" s="160">
        <v>0</v>
      </c>
      <c r="G790" s="161" t="s">
        <v>380</v>
      </c>
      <c r="H790" s="161" t="s">
        <v>2598</v>
      </c>
      <c r="I790" s="161" t="s">
        <v>2591</v>
      </c>
      <c r="J790" s="160">
        <v>0</v>
      </c>
      <c r="K790" s="161" t="s">
        <v>380</v>
      </c>
      <c r="L790" s="160">
        <v>0</v>
      </c>
      <c r="M790" s="161" t="s">
        <v>380</v>
      </c>
      <c r="N790" s="160">
        <v>0</v>
      </c>
      <c r="O790" s="160">
        <v>0</v>
      </c>
      <c r="P790" s="160">
        <v>0</v>
      </c>
      <c r="Q790" s="161" t="s">
        <v>237</v>
      </c>
    </row>
    <row r="791" spans="2:17" x14ac:dyDescent="0.3">
      <c r="B791" s="188">
        <v>605737</v>
      </c>
      <c r="C791" s="158" t="s">
        <v>2455</v>
      </c>
      <c r="D791" s="160">
        <v>0</v>
      </c>
      <c r="E791" s="161" t="s">
        <v>237</v>
      </c>
      <c r="F791" s="160">
        <v>0</v>
      </c>
      <c r="G791" s="161" t="s">
        <v>380</v>
      </c>
      <c r="H791" s="161" t="s">
        <v>1472</v>
      </c>
      <c r="I791" s="161" t="s">
        <v>1472</v>
      </c>
      <c r="J791" s="160">
        <v>0</v>
      </c>
      <c r="K791" s="161" t="s">
        <v>380</v>
      </c>
      <c r="L791" s="160">
        <v>0</v>
      </c>
      <c r="M791" s="161" t="s">
        <v>380</v>
      </c>
      <c r="N791" s="160">
        <v>0</v>
      </c>
      <c r="O791" s="160">
        <v>0</v>
      </c>
      <c r="P791" s="160">
        <v>0</v>
      </c>
      <c r="Q791" s="161" t="s">
        <v>237</v>
      </c>
    </row>
    <row r="792" spans="2:17" x14ac:dyDescent="0.3">
      <c r="B792" s="188">
        <v>606135</v>
      </c>
      <c r="C792" s="158" t="s">
        <v>2456</v>
      </c>
      <c r="D792" s="160">
        <v>0</v>
      </c>
      <c r="E792" s="161" t="s">
        <v>237</v>
      </c>
      <c r="F792" s="160">
        <v>0</v>
      </c>
      <c r="G792" s="161" t="s">
        <v>380</v>
      </c>
      <c r="H792" s="161" t="s">
        <v>1494</v>
      </c>
      <c r="I792" s="161" t="s">
        <v>1486</v>
      </c>
      <c r="J792" s="160">
        <v>0</v>
      </c>
      <c r="K792" s="161" t="s">
        <v>380</v>
      </c>
      <c r="L792" s="160">
        <v>0</v>
      </c>
      <c r="M792" s="161" t="s">
        <v>380</v>
      </c>
      <c r="N792" s="160">
        <v>0</v>
      </c>
      <c r="O792" s="160">
        <v>0</v>
      </c>
      <c r="P792" s="160">
        <v>0</v>
      </c>
      <c r="Q792" s="161" t="s">
        <v>237</v>
      </c>
    </row>
    <row r="793" spans="2:17" x14ac:dyDescent="0.3">
      <c r="B793" s="188">
        <v>606138</v>
      </c>
      <c r="C793" s="158" t="s">
        <v>1181</v>
      </c>
      <c r="D793" s="160">
        <v>1252.47</v>
      </c>
      <c r="E793" s="161" t="s">
        <v>237</v>
      </c>
      <c r="F793" s="160">
        <v>29400</v>
      </c>
      <c r="G793" s="161" t="s">
        <v>380</v>
      </c>
      <c r="H793" s="161" t="s">
        <v>2815</v>
      </c>
      <c r="I793" s="161" t="s">
        <v>2815</v>
      </c>
      <c r="J793" s="160">
        <v>14400</v>
      </c>
      <c r="K793" s="161" t="s">
        <v>380</v>
      </c>
      <c r="L793" s="160">
        <v>14400</v>
      </c>
      <c r="M793" s="161" t="s">
        <v>380</v>
      </c>
      <c r="N793" s="160">
        <v>99999</v>
      </c>
      <c r="O793" s="160">
        <v>0</v>
      </c>
      <c r="P793" s="160">
        <v>0</v>
      </c>
      <c r="Q793" s="161" t="s">
        <v>237</v>
      </c>
    </row>
    <row r="794" spans="2:17" x14ac:dyDescent="0.3">
      <c r="B794" s="188">
        <v>606524</v>
      </c>
      <c r="C794" s="158" t="s">
        <v>1537</v>
      </c>
      <c r="D794" s="160">
        <v>3060</v>
      </c>
      <c r="E794" s="161" t="s">
        <v>237</v>
      </c>
      <c r="F794" s="160">
        <v>34000</v>
      </c>
      <c r="G794" s="161" t="s">
        <v>380</v>
      </c>
      <c r="H794" s="161" t="s">
        <v>2813</v>
      </c>
      <c r="I794" s="161" t="s">
        <v>2813</v>
      </c>
      <c r="J794" s="160">
        <v>442000</v>
      </c>
      <c r="K794" s="161" t="s">
        <v>380</v>
      </c>
      <c r="L794" s="160">
        <v>204000</v>
      </c>
      <c r="M794" s="161" t="s">
        <v>380</v>
      </c>
      <c r="N794" s="160">
        <v>9</v>
      </c>
      <c r="O794" s="160">
        <v>2.5299999999999998</v>
      </c>
      <c r="P794" s="160">
        <v>32980</v>
      </c>
      <c r="Q794" s="161" t="s">
        <v>237</v>
      </c>
    </row>
    <row r="795" spans="2:17" x14ac:dyDescent="0.3">
      <c r="B795" s="188">
        <v>606528</v>
      </c>
      <c r="C795" s="158" t="s">
        <v>1538</v>
      </c>
      <c r="D795" s="160">
        <v>0</v>
      </c>
      <c r="E795" s="161" t="s">
        <v>237</v>
      </c>
      <c r="F795" s="160">
        <v>0</v>
      </c>
      <c r="G795" s="161" t="s">
        <v>380</v>
      </c>
      <c r="H795" s="161" t="s">
        <v>2801</v>
      </c>
      <c r="I795" s="161" t="s">
        <v>2801</v>
      </c>
      <c r="J795" s="160">
        <v>340000</v>
      </c>
      <c r="K795" s="161" t="s">
        <v>380</v>
      </c>
      <c r="L795" s="160">
        <v>170000</v>
      </c>
      <c r="M795" s="161" t="s">
        <v>380</v>
      </c>
      <c r="N795" s="160">
        <v>0</v>
      </c>
      <c r="O795" s="160">
        <v>8</v>
      </c>
      <c r="P795" s="160">
        <v>28220</v>
      </c>
      <c r="Q795" s="161" t="s">
        <v>237</v>
      </c>
    </row>
    <row r="796" spans="2:17" x14ac:dyDescent="0.3">
      <c r="B796" s="188">
        <v>606531</v>
      </c>
      <c r="C796" s="158" t="s">
        <v>2457</v>
      </c>
      <c r="D796" s="160">
        <v>0</v>
      </c>
      <c r="E796" s="161" t="s">
        <v>237</v>
      </c>
      <c r="F796" s="160">
        <v>0</v>
      </c>
      <c r="G796" s="161" t="s">
        <v>380</v>
      </c>
      <c r="H796" s="161" t="s">
        <v>2687</v>
      </c>
      <c r="I796" s="161" t="s">
        <v>2707</v>
      </c>
      <c r="J796" s="160">
        <v>102000</v>
      </c>
      <c r="K796" s="161" t="s">
        <v>380</v>
      </c>
      <c r="L796" s="160">
        <v>0</v>
      </c>
      <c r="M796" s="161" t="s">
        <v>380</v>
      </c>
      <c r="N796" s="160">
        <v>0</v>
      </c>
      <c r="O796" s="160">
        <v>4</v>
      </c>
      <c r="P796" s="160">
        <v>7140</v>
      </c>
      <c r="Q796" s="161" t="s">
        <v>237</v>
      </c>
    </row>
    <row r="797" spans="2:17" x14ac:dyDescent="0.3">
      <c r="B797" s="188">
        <v>606759</v>
      </c>
      <c r="C797" s="158" t="s">
        <v>1193</v>
      </c>
      <c r="D797" s="160">
        <v>45714.67</v>
      </c>
      <c r="E797" s="161" t="s">
        <v>237</v>
      </c>
      <c r="F797" s="160">
        <v>86866.64</v>
      </c>
      <c r="G797" s="161" t="s">
        <v>376</v>
      </c>
      <c r="H797" s="161" t="s">
        <v>2807</v>
      </c>
      <c r="I797" s="161" t="s">
        <v>2801</v>
      </c>
      <c r="J797" s="160">
        <v>15773.179</v>
      </c>
      <c r="K797" s="161" t="s">
        <v>376</v>
      </c>
      <c r="L797" s="160">
        <v>44000</v>
      </c>
      <c r="M797" s="161" t="s">
        <v>376</v>
      </c>
      <c r="N797" s="160">
        <v>695</v>
      </c>
      <c r="O797" s="160">
        <v>0.16</v>
      </c>
      <c r="P797" s="160">
        <v>6051.63</v>
      </c>
      <c r="Q797" s="161" t="s">
        <v>237</v>
      </c>
    </row>
    <row r="798" spans="2:17" x14ac:dyDescent="0.3">
      <c r="B798" s="188">
        <v>606762</v>
      </c>
      <c r="C798" s="158" t="s">
        <v>1259</v>
      </c>
      <c r="D798" s="160">
        <v>9744.0499999999993</v>
      </c>
      <c r="E798" s="161" t="s">
        <v>237</v>
      </c>
      <c r="F798" s="160">
        <v>188.25200000000001</v>
      </c>
      <c r="G798" s="161" t="s">
        <v>374</v>
      </c>
      <c r="H798" s="161" t="s">
        <v>2699</v>
      </c>
      <c r="I798" s="161" t="s">
        <v>2758</v>
      </c>
      <c r="J798" s="160">
        <v>48.420999999999999</v>
      </c>
      <c r="K798" s="161" t="s">
        <v>374</v>
      </c>
      <c r="L798" s="160">
        <v>24</v>
      </c>
      <c r="M798" s="161" t="s">
        <v>374</v>
      </c>
      <c r="N798" s="160">
        <v>709</v>
      </c>
      <c r="O798" s="160">
        <v>0.12</v>
      </c>
      <c r="P798" s="160">
        <v>1264.01</v>
      </c>
      <c r="Q798" s="161" t="s">
        <v>237</v>
      </c>
    </row>
    <row r="799" spans="2:17" x14ac:dyDescent="0.3">
      <c r="B799" s="188">
        <v>606765</v>
      </c>
      <c r="C799" s="158" t="s">
        <v>1338</v>
      </c>
      <c r="D799" s="160">
        <v>5406.83</v>
      </c>
      <c r="E799" s="161" t="s">
        <v>237</v>
      </c>
      <c r="F799" s="160">
        <v>105.36199999999999</v>
      </c>
      <c r="G799" s="161" t="s">
        <v>374</v>
      </c>
      <c r="H799" s="161" t="s">
        <v>2807</v>
      </c>
      <c r="I799" s="161" t="s">
        <v>2801</v>
      </c>
      <c r="J799" s="160">
        <v>56.35</v>
      </c>
      <c r="K799" s="161" t="s">
        <v>374</v>
      </c>
      <c r="L799" s="160">
        <v>36</v>
      </c>
      <c r="M799" s="161" t="s">
        <v>374</v>
      </c>
      <c r="N799" s="160">
        <v>476</v>
      </c>
      <c r="O799" s="160">
        <v>0.17</v>
      </c>
      <c r="P799" s="160">
        <v>1044.31</v>
      </c>
      <c r="Q799" s="161" t="s">
        <v>237</v>
      </c>
    </row>
    <row r="800" spans="2:17" x14ac:dyDescent="0.3">
      <c r="B800" s="188">
        <v>606766</v>
      </c>
      <c r="C800" s="158" t="s">
        <v>1322</v>
      </c>
      <c r="D800" s="160">
        <v>6050.65</v>
      </c>
      <c r="E800" s="161" t="s">
        <v>237</v>
      </c>
      <c r="F800" s="160">
        <v>36.671999999999997</v>
      </c>
      <c r="G800" s="161" t="s">
        <v>374</v>
      </c>
      <c r="H800" s="161" t="s">
        <v>2711</v>
      </c>
      <c r="I800" s="161" t="s">
        <v>2687</v>
      </c>
      <c r="J800" s="160">
        <v>0</v>
      </c>
      <c r="K800" s="161" t="s">
        <v>374</v>
      </c>
      <c r="L800" s="160">
        <v>25</v>
      </c>
      <c r="M800" s="161" t="s">
        <v>374</v>
      </c>
      <c r="N800" s="160">
        <v>99999</v>
      </c>
      <c r="O800" s="160">
        <v>0</v>
      </c>
      <c r="P800" s="160">
        <v>0</v>
      </c>
      <c r="Q800" s="161" t="s">
        <v>237</v>
      </c>
    </row>
    <row r="801" spans="2:17" x14ac:dyDescent="0.3">
      <c r="B801" s="188">
        <v>606767</v>
      </c>
      <c r="C801" s="158" t="s">
        <v>1405</v>
      </c>
      <c r="D801" s="160">
        <v>0</v>
      </c>
      <c r="E801" s="161" t="s">
        <v>237</v>
      </c>
      <c r="F801" s="160">
        <v>0</v>
      </c>
      <c r="G801" s="161" t="s">
        <v>380</v>
      </c>
      <c r="H801" s="161" t="s">
        <v>2553</v>
      </c>
      <c r="I801" s="161" t="s">
        <v>2553</v>
      </c>
      <c r="J801" s="160">
        <v>0</v>
      </c>
      <c r="K801" s="161" t="s">
        <v>380</v>
      </c>
      <c r="L801" s="160">
        <v>0</v>
      </c>
      <c r="M801" s="161" t="s">
        <v>380</v>
      </c>
      <c r="N801" s="160">
        <v>0</v>
      </c>
      <c r="O801" s="160">
        <v>0</v>
      </c>
      <c r="P801" s="160">
        <v>0</v>
      </c>
      <c r="Q801" s="161" t="s">
        <v>237</v>
      </c>
    </row>
    <row r="802" spans="2:17" x14ac:dyDescent="0.3">
      <c r="B802" s="188">
        <v>606768</v>
      </c>
      <c r="C802" s="158" t="s">
        <v>1241</v>
      </c>
      <c r="D802" s="160">
        <v>0</v>
      </c>
      <c r="E802" s="161" t="s">
        <v>237</v>
      </c>
      <c r="F802" s="160">
        <v>0</v>
      </c>
      <c r="G802" s="161" t="s">
        <v>380</v>
      </c>
      <c r="H802" s="161" t="s">
        <v>1945</v>
      </c>
      <c r="I802" s="161" t="s">
        <v>1961</v>
      </c>
      <c r="J802" s="160">
        <v>0</v>
      </c>
      <c r="K802" s="161" t="s">
        <v>380</v>
      </c>
      <c r="L802" s="160">
        <v>0</v>
      </c>
      <c r="M802" s="161" t="s">
        <v>380</v>
      </c>
      <c r="N802" s="160">
        <v>0</v>
      </c>
      <c r="O802" s="160">
        <v>0</v>
      </c>
      <c r="P802" s="160">
        <v>0</v>
      </c>
      <c r="Q802" s="161" t="s">
        <v>237</v>
      </c>
    </row>
    <row r="803" spans="2:17" x14ac:dyDescent="0.3">
      <c r="B803" s="188">
        <v>606853</v>
      </c>
      <c r="C803" s="158" t="s">
        <v>1194</v>
      </c>
      <c r="D803" s="160">
        <v>0</v>
      </c>
      <c r="E803" s="161" t="s">
        <v>237</v>
      </c>
      <c r="F803" s="160">
        <v>0</v>
      </c>
      <c r="G803" s="161" t="s">
        <v>380</v>
      </c>
      <c r="H803" s="161" t="s">
        <v>1599</v>
      </c>
      <c r="I803" s="161" t="s">
        <v>2572</v>
      </c>
      <c r="J803" s="160">
        <v>0</v>
      </c>
      <c r="K803" s="161" t="s">
        <v>380</v>
      </c>
      <c r="L803" s="160">
        <v>0</v>
      </c>
      <c r="M803" s="161" t="s">
        <v>380</v>
      </c>
      <c r="N803" s="160">
        <v>0</v>
      </c>
      <c r="O803" s="160">
        <v>0</v>
      </c>
      <c r="P803" s="160">
        <v>0</v>
      </c>
      <c r="Q803" s="161" t="s">
        <v>237</v>
      </c>
    </row>
    <row r="804" spans="2:17" x14ac:dyDescent="0.3">
      <c r="B804" s="188">
        <v>606902</v>
      </c>
      <c r="C804" s="158" t="s">
        <v>2458</v>
      </c>
      <c r="D804" s="160">
        <v>0</v>
      </c>
      <c r="E804" s="161" t="s">
        <v>237</v>
      </c>
      <c r="F804" s="160">
        <v>0</v>
      </c>
      <c r="G804" s="161" t="s">
        <v>380</v>
      </c>
      <c r="H804" s="161" t="s">
        <v>1896</v>
      </c>
      <c r="I804" s="161" t="s">
        <v>1726</v>
      </c>
      <c r="J804" s="160">
        <v>0</v>
      </c>
      <c r="K804" s="161" t="s">
        <v>380</v>
      </c>
      <c r="L804" s="160">
        <v>0</v>
      </c>
      <c r="M804" s="161" t="s">
        <v>380</v>
      </c>
      <c r="N804" s="160">
        <v>0</v>
      </c>
      <c r="O804" s="160">
        <v>0</v>
      </c>
      <c r="P804" s="160">
        <v>0</v>
      </c>
      <c r="Q804" s="161" t="s">
        <v>237</v>
      </c>
    </row>
    <row r="805" spans="2:17" x14ac:dyDescent="0.3">
      <c r="B805" s="188">
        <v>607139</v>
      </c>
      <c r="C805" s="158" t="s">
        <v>1195</v>
      </c>
      <c r="D805" s="160">
        <v>7800</v>
      </c>
      <c r="E805" s="161" t="s">
        <v>237</v>
      </c>
      <c r="F805" s="160">
        <v>10000</v>
      </c>
      <c r="G805" s="161" t="s">
        <v>380</v>
      </c>
      <c r="H805" s="161" t="s">
        <v>2639</v>
      </c>
      <c r="I805" s="161" t="s">
        <v>2630</v>
      </c>
      <c r="J805" s="160">
        <v>0</v>
      </c>
      <c r="K805" s="161" t="s">
        <v>380</v>
      </c>
      <c r="L805" s="160">
        <v>0</v>
      </c>
      <c r="M805" s="161" t="s">
        <v>380</v>
      </c>
      <c r="N805" s="160">
        <v>99999</v>
      </c>
      <c r="O805" s="160">
        <v>0</v>
      </c>
      <c r="P805" s="160">
        <v>0</v>
      </c>
      <c r="Q805" s="161" t="s">
        <v>237</v>
      </c>
    </row>
    <row r="806" spans="2:17" x14ac:dyDescent="0.3">
      <c r="B806" s="188">
        <v>607338</v>
      </c>
      <c r="C806" s="158" t="s">
        <v>1406</v>
      </c>
      <c r="D806" s="160">
        <v>184.8</v>
      </c>
      <c r="E806" s="161" t="s">
        <v>237</v>
      </c>
      <c r="F806" s="160">
        <v>840</v>
      </c>
      <c r="G806" s="161" t="s">
        <v>380</v>
      </c>
      <c r="H806" s="161" t="s">
        <v>2530</v>
      </c>
      <c r="I806" s="161" t="s">
        <v>2608</v>
      </c>
      <c r="J806" s="160">
        <v>0</v>
      </c>
      <c r="K806" s="161" t="s">
        <v>380</v>
      </c>
      <c r="L806" s="160">
        <v>0</v>
      </c>
      <c r="M806" s="161" t="s">
        <v>380</v>
      </c>
      <c r="N806" s="160">
        <v>99999</v>
      </c>
      <c r="O806" s="160">
        <v>0</v>
      </c>
      <c r="P806" s="160">
        <v>0</v>
      </c>
      <c r="Q806" s="161" t="s">
        <v>237</v>
      </c>
    </row>
    <row r="807" spans="2:17" x14ac:dyDescent="0.3">
      <c r="B807" s="188">
        <v>607365</v>
      </c>
      <c r="C807" s="158" t="s">
        <v>2459</v>
      </c>
      <c r="D807" s="160">
        <v>0</v>
      </c>
      <c r="E807" s="161" t="s">
        <v>237</v>
      </c>
      <c r="F807" s="160">
        <v>0</v>
      </c>
      <c r="G807" s="161" t="s">
        <v>380</v>
      </c>
      <c r="H807" s="161" t="s">
        <v>1578</v>
      </c>
      <c r="I807" s="161" t="s">
        <v>1575</v>
      </c>
      <c r="J807" s="160">
        <v>0</v>
      </c>
      <c r="K807" s="161" t="s">
        <v>380</v>
      </c>
      <c r="L807" s="160">
        <v>0</v>
      </c>
      <c r="M807" s="161" t="s">
        <v>380</v>
      </c>
      <c r="N807" s="160">
        <v>0</v>
      </c>
      <c r="O807" s="160">
        <v>0</v>
      </c>
      <c r="P807" s="160">
        <v>0</v>
      </c>
      <c r="Q807" s="161" t="s">
        <v>237</v>
      </c>
    </row>
    <row r="808" spans="2:17" x14ac:dyDescent="0.3">
      <c r="B808" s="188">
        <v>607366</v>
      </c>
      <c r="C808" s="158" t="s">
        <v>2460</v>
      </c>
      <c r="D808" s="160">
        <v>0</v>
      </c>
      <c r="E808" s="161" t="s">
        <v>237</v>
      </c>
      <c r="F808" s="160">
        <v>0</v>
      </c>
      <c r="G808" s="161" t="s">
        <v>380</v>
      </c>
      <c r="H808" s="161" t="s">
        <v>1870</v>
      </c>
      <c r="I808" s="161" t="s">
        <v>1870</v>
      </c>
      <c r="J808" s="160">
        <v>0</v>
      </c>
      <c r="K808" s="161" t="s">
        <v>380</v>
      </c>
      <c r="L808" s="160">
        <v>0</v>
      </c>
      <c r="M808" s="161" t="s">
        <v>380</v>
      </c>
      <c r="N808" s="160">
        <v>0</v>
      </c>
      <c r="O808" s="160">
        <v>0</v>
      </c>
      <c r="P808" s="160">
        <v>0</v>
      </c>
      <c r="Q808" s="161" t="s">
        <v>237</v>
      </c>
    </row>
    <row r="809" spans="2:17" x14ac:dyDescent="0.3">
      <c r="B809" s="188">
        <v>607481</v>
      </c>
      <c r="C809" s="158" t="s">
        <v>2461</v>
      </c>
      <c r="D809" s="160">
        <v>388637.86</v>
      </c>
      <c r="E809" s="161" t="s">
        <v>237</v>
      </c>
      <c r="F809" s="160">
        <v>48199.18</v>
      </c>
      <c r="G809" s="161" t="s">
        <v>374</v>
      </c>
      <c r="H809" s="161" t="s">
        <v>2797</v>
      </c>
      <c r="I809" s="161" t="s">
        <v>2765</v>
      </c>
      <c r="J809" s="160">
        <v>146874.98000000001</v>
      </c>
      <c r="K809" s="161" t="s">
        <v>374</v>
      </c>
      <c r="L809" s="160">
        <v>154200.5</v>
      </c>
      <c r="M809" s="161" t="s">
        <v>374</v>
      </c>
      <c r="N809" s="160">
        <v>87</v>
      </c>
      <c r="O809" s="160">
        <v>1.7</v>
      </c>
      <c r="P809" s="160">
        <v>408953.43</v>
      </c>
      <c r="Q809" s="161" t="s">
        <v>237</v>
      </c>
    </row>
    <row r="810" spans="2:17" x14ac:dyDescent="0.3">
      <c r="B810" s="188">
        <v>607508</v>
      </c>
      <c r="C810" s="158" t="s">
        <v>2462</v>
      </c>
      <c r="D810" s="160">
        <v>0</v>
      </c>
      <c r="E810" s="161" t="s">
        <v>237</v>
      </c>
      <c r="F810" s="160">
        <v>0</v>
      </c>
      <c r="G810" s="161" t="s">
        <v>380</v>
      </c>
      <c r="H810" s="161" t="s">
        <v>1694</v>
      </c>
      <c r="I810" s="161" t="s">
        <v>1694</v>
      </c>
      <c r="J810" s="160">
        <v>0</v>
      </c>
      <c r="K810" s="161" t="s">
        <v>380</v>
      </c>
      <c r="L810" s="160">
        <v>0</v>
      </c>
      <c r="M810" s="161" t="s">
        <v>380</v>
      </c>
      <c r="N810" s="160">
        <v>0</v>
      </c>
      <c r="O810" s="160">
        <v>0</v>
      </c>
      <c r="P810" s="160">
        <v>0</v>
      </c>
      <c r="Q810" s="161" t="s">
        <v>237</v>
      </c>
    </row>
    <row r="811" spans="2:17" x14ac:dyDescent="0.3">
      <c r="B811" s="188">
        <v>609312</v>
      </c>
      <c r="C811" s="158" t="s">
        <v>2463</v>
      </c>
      <c r="D811" s="160">
        <v>0</v>
      </c>
      <c r="E811" s="161" t="s">
        <v>237</v>
      </c>
      <c r="F811" s="160">
        <v>0</v>
      </c>
      <c r="G811" s="161" t="s">
        <v>380</v>
      </c>
      <c r="H811" s="161" t="s">
        <v>1509</v>
      </c>
      <c r="I811" s="161" t="s">
        <v>1897</v>
      </c>
      <c r="J811" s="160">
        <v>0</v>
      </c>
      <c r="K811" s="161" t="s">
        <v>380</v>
      </c>
      <c r="L811" s="160">
        <v>0</v>
      </c>
      <c r="M811" s="161" t="s">
        <v>380</v>
      </c>
      <c r="N811" s="160">
        <v>0</v>
      </c>
      <c r="O811" s="160">
        <v>0</v>
      </c>
      <c r="P811" s="160">
        <v>0</v>
      </c>
      <c r="Q811" s="161" t="s">
        <v>237</v>
      </c>
    </row>
    <row r="812" spans="2:17" x14ac:dyDescent="0.3">
      <c r="B812" s="188">
        <v>609313</v>
      </c>
      <c r="C812" s="158" t="s">
        <v>2464</v>
      </c>
      <c r="D812" s="160">
        <v>0</v>
      </c>
      <c r="E812" s="161" t="s">
        <v>237</v>
      </c>
      <c r="F812" s="160">
        <v>0</v>
      </c>
      <c r="G812" s="161" t="s">
        <v>380</v>
      </c>
      <c r="H812" s="161" t="s">
        <v>1897</v>
      </c>
      <c r="I812" s="161" t="s">
        <v>1897</v>
      </c>
      <c r="J812" s="160">
        <v>0</v>
      </c>
      <c r="K812" s="161" t="s">
        <v>380</v>
      </c>
      <c r="L812" s="160">
        <v>0</v>
      </c>
      <c r="M812" s="161" t="s">
        <v>380</v>
      </c>
      <c r="N812" s="160">
        <v>0</v>
      </c>
      <c r="O812" s="160">
        <v>0</v>
      </c>
      <c r="P812" s="160">
        <v>0</v>
      </c>
      <c r="Q812" s="161" t="s">
        <v>237</v>
      </c>
    </row>
    <row r="813" spans="2:17" x14ac:dyDescent="0.3">
      <c r="B813" s="188">
        <v>609314</v>
      </c>
      <c r="C813" s="158" t="s">
        <v>2465</v>
      </c>
      <c r="D813" s="160">
        <v>0</v>
      </c>
      <c r="E813" s="161" t="s">
        <v>237</v>
      </c>
      <c r="F813" s="160">
        <v>0</v>
      </c>
      <c r="G813" s="161" t="s">
        <v>380</v>
      </c>
      <c r="H813" s="161" t="s">
        <v>1897</v>
      </c>
      <c r="I813" s="161" t="s">
        <v>1897</v>
      </c>
      <c r="J813" s="160">
        <v>0</v>
      </c>
      <c r="K813" s="161" t="s">
        <v>380</v>
      </c>
      <c r="L813" s="160">
        <v>0</v>
      </c>
      <c r="M813" s="161" t="s">
        <v>380</v>
      </c>
      <c r="N813" s="160">
        <v>0</v>
      </c>
      <c r="O813" s="160">
        <v>0</v>
      </c>
      <c r="P813" s="160">
        <v>0</v>
      </c>
      <c r="Q813" s="161" t="s">
        <v>237</v>
      </c>
    </row>
    <row r="814" spans="2:17" x14ac:dyDescent="0.3">
      <c r="B814" s="188">
        <v>609318</v>
      </c>
      <c r="C814" s="158" t="s">
        <v>1242</v>
      </c>
      <c r="D814" s="160">
        <v>115590.2</v>
      </c>
      <c r="E814" s="161" t="s">
        <v>237</v>
      </c>
      <c r="F814" s="160">
        <v>13761</v>
      </c>
      <c r="G814" s="161" t="s">
        <v>374</v>
      </c>
      <c r="H814" s="161" t="s">
        <v>2816</v>
      </c>
      <c r="I814" s="161" t="s">
        <v>2625</v>
      </c>
      <c r="J814" s="160">
        <v>500</v>
      </c>
      <c r="K814" s="161" t="s">
        <v>374</v>
      </c>
      <c r="L814" s="160">
        <v>14250</v>
      </c>
      <c r="M814" s="161" t="s">
        <v>374</v>
      </c>
      <c r="N814" s="160">
        <v>99999</v>
      </c>
      <c r="O814" s="160">
        <v>0</v>
      </c>
      <c r="P814" s="160">
        <v>0</v>
      </c>
      <c r="Q814" s="161" t="s">
        <v>237</v>
      </c>
    </row>
    <row r="815" spans="2:17" x14ac:dyDescent="0.3">
      <c r="B815" s="188">
        <v>609623</v>
      </c>
      <c r="C815" s="158" t="s">
        <v>1220</v>
      </c>
      <c r="D815" s="160">
        <v>0</v>
      </c>
      <c r="E815" s="161" t="s">
        <v>237</v>
      </c>
      <c r="F815" s="160">
        <v>0</v>
      </c>
      <c r="G815" s="161" t="s">
        <v>380</v>
      </c>
      <c r="H815" s="161" t="s">
        <v>1571</v>
      </c>
      <c r="I815" s="161" t="s">
        <v>2553</v>
      </c>
      <c r="J815" s="160">
        <v>0</v>
      </c>
      <c r="K815" s="161" t="s">
        <v>380</v>
      </c>
      <c r="L815" s="160">
        <v>0</v>
      </c>
      <c r="M815" s="161" t="s">
        <v>380</v>
      </c>
      <c r="N815" s="160">
        <v>0</v>
      </c>
      <c r="O815" s="160">
        <v>0</v>
      </c>
      <c r="P815" s="160">
        <v>0</v>
      </c>
      <c r="Q815" s="161" t="s">
        <v>237</v>
      </c>
    </row>
    <row r="816" spans="2:17" x14ac:dyDescent="0.3">
      <c r="B816" s="188">
        <v>609624</v>
      </c>
      <c r="C816" s="158" t="s">
        <v>1221</v>
      </c>
      <c r="D816" s="160">
        <v>0</v>
      </c>
      <c r="E816" s="161" t="s">
        <v>237</v>
      </c>
      <c r="F816" s="160">
        <v>0</v>
      </c>
      <c r="G816" s="161" t="s">
        <v>380</v>
      </c>
      <c r="H816" s="161" t="s">
        <v>1599</v>
      </c>
      <c r="I816" s="161" t="s">
        <v>2625</v>
      </c>
      <c r="J816" s="160">
        <v>0</v>
      </c>
      <c r="K816" s="161" t="s">
        <v>380</v>
      </c>
      <c r="L816" s="160">
        <v>0</v>
      </c>
      <c r="M816" s="161" t="s">
        <v>380</v>
      </c>
      <c r="N816" s="160">
        <v>0</v>
      </c>
      <c r="O816" s="160">
        <v>0</v>
      </c>
      <c r="P816" s="160">
        <v>0</v>
      </c>
      <c r="Q816" s="161" t="s">
        <v>237</v>
      </c>
    </row>
    <row r="817" spans="2:17" x14ac:dyDescent="0.3">
      <c r="B817" s="188">
        <v>609625</v>
      </c>
      <c r="C817" s="158" t="s">
        <v>1260</v>
      </c>
      <c r="D817" s="160">
        <v>0</v>
      </c>
      <c r="E817" s="161" t="s">
        <v>237</v>
      </c>
      <c r="F817" s="160">
        <v>0</v>
      </c>
      <c r="G817" s="161" t="s">
        <v>380</v>
      </c>
      <c r="H817" s="161" t="s">
        <v>1573</v>
      </c>
      <c r="I817" s="161" t="s">
        <v>2625</v>
      </c>
      <c r="J817" s="160">
        <v>0</v>
      </c>
      <c r="K817" s="161" t="s">
        <v>380</v>
      </c>
      <c r="L817" s="160">
        <v>0</v>
      </c>
      <c r="M817" s="161" t="s">
        <v>380</v>
      </c>
      <c r="N817" s="160">
        <v>0</v>
      </c>
      <c r="O817" s="160">
        <v>0</v>
      </c>
      <c r="P817" s="160">
        <v>0</v>
      </c>
      <c r="Q817" s="161" t="s">
        <v>237</v>
      </c>
    </row>
    <row r="818" spans="2:17" x14ac:dyDescent="0.3">
      <c r="B818" s="188">
        <v>609634</v>
      </c>
      <c r="C818" s="158" t="s">
        <v>1243</v>
      </c>
      <c r="D818" s="160">
        <v>35189.35</v>
      </c>
      <c r="E818" s="161" t="s">
        <v>237</v>
      </c>
      <c r="F818" s="160">
        <v>423744</v>
      </c>
      <c r="G818" s="161" t="s">
        <v>380</v>
      </c>
      <c r="H818" s="161" t="s">
        <v>2797</v>
      </c>
      <c r="I818" s="161" t="s">
        <v>2798</v>
      </c>
      <c r="J818" s="160">
        <v>628750</v>
      </c>
      <c r="K818" s="161" t="s">
        <v>380</v>
      </c>
      <c r="L818" s="160">
        <v>799250</v>
      </c>
      <c r="M818" s="161" t="s">
        <v>380</v>
      </c>
      <c r="N818" s="160">
        <v>62</v>
      </c>
      <c r="O818" s="160">
        <v>1.8</v>
      </c>
      <c r="P818" s="160">
        <v>52264.62</v>
      </c>
      <c r="Q818" s="161" t="s">
        <v>237</v>
      </c>
    </row>
    <row r="819" spans="2:17" x14ac:dyDescent="0.3">
      <c r="B819" s="188">
        <v>610124</v>
      </c>
      <c r="C819" s="158" t="s">
        <v>2466</v>
      </c>
      <c r="D819" s="160">
        <v>0</v>
      </c>
      <c r="E819" s="161" t="s">
        <v>237</v>
      </c>
      <c r="F819" s="160">
        <v>0</v>
      </c>
      <c r="G819" s="161" t="s">
        <v>380</v>
      </c>
      <c r="H819" s="161" t="s">
        <v>2591</v>
      </c>
      <c r="I819" s="161" t="s">
        <v>2591</v>
      </c>
      <c r="J819" s="160">
        <v>0</v>
      </c>
      <c r="K819" s="161" t="s">
        <v>380</v>
      </c>
      <c r="L819" s="160">
        <v>0</v>
      </c>
      <c r="M819" s="161" t="s">
        <v>380</v>
      </c>
      <c r="N819" s="160">
        <v>0</v>
      </c>
      <c r="O819" s="160">
        <v>0</v>
      </c>
      <c r="P819" s="160">
        <v>0</v>
      </c>
      <c r="Q819" s="161" t="s">
        <v>237</v>
      </c>
    </row>
    <row r="820" spans="2:17" x14ac:dyDescent="0.3">
      <c r="B820" s="188">
        <v>610392</v>
      </c>
      <c r="C820" s="158" t="s">
        <v>1244</v>
      </c>
      <c r="D820" s="160">
        <v>0</v>
      </c>
      <c r="E820" s="161" t="s">
        <v>237</v>
      </c>
      <c r="F820" s="160">
        <v>0</v>
      </c>
      <c r="G820" s="161" t="s">
        <v>380</v>
      </c>
      <c r="H820" s="161" t="s">
        <v>1601</v>
      </c>
      <c r="I820" s="161" t="s">
        <v>2557</v>
      </c>
      <c r="J820" s="160">
        <v>0</v>
      </c>
      <c r="K820" s="161" t="s">
        <v>380</v>
      </c>
      <c r="L820" s="160">
        <v>0</v>
      </c>
      <c r="M820" s="161" t="s">
        <v>380</v>
      </c>
      <c r="N820" s="160">
        <v>0</v>
      </c>
      <c r="O820" s="160">
        <v>0</v>
      </c>
      <c r="P820" s="160">
        <v>0</v>
      </c>
      <c r="Q820" s="161" t="s">
        <v>237</v>
      </c>
    </row>
    <row r="821" spans="2:17" x14ac:dyDescent="0.3">
      <c r="B821" s="188">
        <v>610600</v>
      </c>
      <c r="C821" s="158" t="s">
        <v>1238</v>
      </c>
      <c r="D821" s="160">
        <v>0</v>
      </c>
      <c r="E821" s="161" t="s">
        <v>237</v>
      </c>
      <c r="F821" s="160">
        <v>0</v>
      </c>
      <c r="G821" s="161" t="s">
        <v>374</v>
      </c>
      <c r="H821" s="161" t="s">
        <v>1570</v>
      </c>
      <c r="I821" s="161" t="s">
        <v>2625</v>
      </c>
      <c r="J821" s="160">
        <v>0</v>
      </c>
      <c r="K821" s="161" t="s">
        <v>374</v>
      </c>
      <c r="L821" s="160">
        <v>0</v>
      </c>
      <c r="M821" s="161" t="s">
        <v>374</v>
      </c>
      <c r="N821" s="160">
        <v>0</v>
      </c>
      <c r="O821" s="160">
        <v>0</v>
      </c>
      <c r="P821" s="160">
        <v>0</v>
      </c>
      <c r="Q821" s="161" t="s">
        <v>237</v>
      </c>
    </row>
    <row r="822" spans="2:17" x14ac:dyDescent="0.3">
      <c r="B822" s="188">
        <v>611060</v>
      </c>
      <c r="C822" s="158" t="s">
        <v>1407</v>
      </c>
      <c r="D822" s="160">
        <v>0</v>
      </c>
      <c r="E822" s="161" t="s">
        <v>237</v>
      </c>
      <c r="F822" s="160">
        <v>0</v>
      </c>
      <c r="G822" s="161" t="s">
        <v>380</v>
      </c>
      <c r="H822" s="161" t="s">
        <v>2643</v>
      </c>
      <c r="I822" s="161" t="s">
        <v>2671</v>
      </c>
      <c r="J822" s="160">
        <v>0</v>
      </c>
      <c r="K822" s="161" t="s">
        <v>380</v>
      </c>
      <c r="L822" s="160">
        <v>0</v>
      </c>
      <c r="M822" s="161" t="s">
        <v>380</v>
      </c>
      <c r="N822" s="160">
        <v>0</v>
      </c>
      <c r="O822" s="160">
        <v>0</v>
      </c>
      <c r="P822" s="160">
        <v>0</v>
      </c>
      <c r="Q822" s="161" t="s">
        <v>237</v>
      </c>
    </row>
    <row r="823" spans="2:17" x14ac:dyDescent="0.3">
      <c r="B823" s="188">
        <v>611204</v>
      </c>
      <c r="C823" s="158" t="s">
        <v>1245</v>
      </c>
      <c r="D823" s="160">
        <v>0</v>
      </c>
      <c r="E823" s="161" t="s">
        <v>237</v>
      </c>
      <c r="F823" s="160">
        <v>0</v>
      </c>
      <c r="G823" s="161" t="s">
        <v>380</v>
      </c>
      <c r="H823" s="161" t="s">
        <v>2687</v>
      </c>
      <c r="I823" s="161" t="s">
        <v>2699</v>
      </c>
      <c r="J823" s="160">
        <v>17600</v>
      </c>
      <c r="K823" s="161" t="s">
        <v>380</v>
      </c>
      <c r="L823" s="160">
        <v>0</v>
      </c>
      <c r="M823" s="161" t="s">
        <v>380</v>
      </c>
      <c r="N823" s="160">
        <v>0</v>
      </c>
      <c r="O823" s="160">
        <v>4</v>
      </c>
      <c r="P823" s="160">
        <v>4669.66</v>
      </c>
      <c r="Q823" s="161" t="s">
        <v>237</v>
      </c>
    </row>
    <row r="824" spans="2:17" x14ac:dyDescent="0.3">
      <c r="B824" s="188">
        <v>611513</v>
      </c>
      <c r="C824" s="158" t="s">
        <v>1246</v>
      </c>
      <c r="D824" s="160">
        <v>5083.33</v>
      </c>
      <c r="E824" s="161" t="s">
        <v>237</v>
      </c>
      <c r="F824" s="160">
        <v>5000</v>
      </c>
      <c r="G824" s="161" t="s">
        <v>380</v>
      </c>
      <c r="H824" s="161" t="s">
        <v>2639</v>
      </c>
      <c r="I824" s="161" t="s">
        <v>2630</v>
      </c>
      <c r="J824" s="160">
        <v>0</v>
      </c>
      <c r="K824" s="161" t="s">
        <v>380</v>
      </c>
      <c r="L824" s="160">
        <v>0</v>
      </c>
      <c r="M824" s="161" t="s">
        <v>380</v>
      </c>
      <c r="N824" s="160">
        <v>99999</v>
      </c>
      <c r="O824" s="160">
        <v>0</v>
      </c>
      <c r="P824" s="160">
        <v>0</v>
      </c>
      <c r="Q824" s="161" t="s">
        <v>237</v>
      </c>
    </row>
    <row r="825" spans="2:17" x14ac:dyDescent="0.3">
      <c r="B825" s="188">
        <v>611846</v>
      </c>
      <c r="C825" s="158" t="s">
        <v>1261</v>
      </c>
      <c r="D825" s="160">
        <v>62000.639999999999</v>
      </c>
      <c r="E825" s="161" t="s">
        <v>237</v>
      </c>
      <c r="F825" s="160">
        <v>44928</v>
      </c>
      <c r="G825" s="161" t="s">
        <v>380</v>
      </c>
      <c r="H825" s="161" t="s">
        <v>2819</v>
      </c>
      <c r="I825" s="161" t="s">
        <v>236</v>
      </c>
      <c r="J825" s="160">
        <v>236736</v>
      </c>
      <c r="K825" s="161" t="s">
        <v>380</v>
      </c>
      <c r="L825" s="160">
        <v>215136</v>
      </c>
      <c r="M825" s="161" t="s">
        <v>380</v>
      </c>
      <c r="N825" s="160">
        <v>14</v>
      </c>
      <c r="O825" s="160">
        <v>3.18</v>
      </c>
      <c r="P825" s="160">
        <v>404542.08</v>
      </c>
      <c r="Q825" s="161" t="s">
        <v>237</v>
      </c>
    </row>
    <row r="826" spans="2:17" x14ac:dyDescent="0.3">
      <c r="B826" s="188">
        <v>611847</v>
      </c>
      <c r="C826" s="158" t="s">
        <v>1297</v>
      </c>
      <c r="D826" s="160">
        <v>7283.17</v>
      </c>
      <c r="E826" s="161" t="s">
        <v>237</v>
      </c>
      <c r="F826" s="160">
        <v>23250</v>
      </c>
      <c r="G826" s="161" t="s">
        <v>380</v>
      </c>
      <c r="H826" s="161" t="s">
        <v>236</v>
      </c>
      <c r="I826" s="161" t="s">
        <v>236</v>
      </c>
      <c r="J826" s="160">
        <v>291000</v>
      </c>
      <c r="K826" s="161" t="s">
        <v>380</v>
      </c>
      <c r="L826" s="160">
        <v>264000</v>
      </c>
      <c r="M826" s="161" t="s">
        <v>380</v>
      </c>
      <c r="N826" s="160">
        <v>8</v>
      </c>
      <c r="O826" s="160">
        <v>7.82</v>
      </c>
      <c r="P826" s="160">
        <v>83492.639999999999</v>
      </c>
      <c r="Q826" s="161" t="s">
        <v>237</v>
      </c>
    </row>
    <row r="827" spans="2:17" x14ac:dyDescent="0.3">
      <c r="B827" s="188">
        <v>611851</v>
      </c>
      <c r="C827" s="158" t="s">
        <v>1323</v>
      </c>
      <c r="D827" s="160">
        <v>0</v>
      </c>
      <c r="E827" s="161" t="s">
        <v>237</v>
      </c>
      <c r="F827" s="160">
        <v>529</v>
      </c>
      <c r="G827" s="161" t="s">
        <v>380</v>
      </c>
      <c r="H827" s="161" t="s">
        <v>2751</v>
      </c>
      <c r="I827" s="161" t="s">
        <v>236</v>
      </c>
      <c r="J827" s="160">
        <v>150</v>
      </c>
      <c r="K827" s="161" t="s">
        <v>380</v>
      </c>
      <c r="L827" s="160">
        <v>279</v>
      </c>
      <c r="M827" s="161" t="s">
        <v>380</v>
      </c>
      <c r="N827" s="160">
        <v>0</v>
      </c>
      <c r="O827" s="160">
        <v>0</v>
      </c>
      <c r="P827" s="160">
        <v>0</v>
      </c>
      <c r="Q827" s="161" t="s">
        <v>237</v>
      </c>
    </row>
    <row r="828" spans="2:17" x14ac:dyDescent="0.3">
      <c r="B828" s="188">
        <v>611862</v>
      </c>
      <c r="C828" s="158" t="s">
        <v>1299</v>
      </c>
      <c r="D828" s="160">
        <v>7070.25</v>
      </c>
      <c r="E828" s="161" t="s">
        <v>237</v>
      </c>
      <c r="F828" s="160">
        <v>297.17500000000001</v>
      </c>
      <c r="G828" s="161" t="s">
        <v>374</v>
      </c>
      <c r="H828" s="161" t="s">
        <v>2742</v>
      </c>
      <c r="I828" s="161" t="s">
        <v>2798</v>
      </c>
      <c r="J828" s="160">
        <v>84.870999999999995</v>
      </c>
      <c r="K828" s="161" t="s">
        <v>374</v>
      </c>
      <c r="L828" s="160">
        <v>100</v>
      </c>
      <c r="M828" s="161" t="s">
        <v>374</v>
      </c>
      <c r="N828" s="160">
        <v>322</v>
      </c>
      <c r="O828" s="160">
        <v>0.28999999999999998</v>
      </c>
      <c r="P828" s="160">
        <v>2019.07</v>
      </c>
      <c r="Q828" s="161" t="s">
        <v>237</v>
      </c>
    </row>
    <row r="829" spans="2:17" x14ac:dyDescent="0.3">
      <c r="B829" s="188">
        <v>611949</v>
      </c>
      <c r="C829" s="158" t="s">
        <v>1408</v>
      </c>
      <c r="D829" s="160">
        <v>885.12</v>
      </c>
      <c r="E829" s="161" t="s">
        <v>237</v>
      </c>
      <c r="F829" s="160">
        <v>3688</v>
      </c>
      <c r="G829" s="161" t="s">
        <v>380</v>
      </c>
      <c r="H829" s="161" t="s">
        <v>2667</v>
      </c>
      <c r="I829" s="161" t="s">
        <v>2756</v>
      </c>
      <c r="J829" s="160">
        <v>29150</v>
      </c>
      <c r="K829" s="161" t="s">
        <v>380</v>
      </c>
      <c r="L829" s="160">
        <v>0</v>
      </c>
      <c r="M829" s="161" t="s">
        <v>380</v>
      </c>
      <c r="N829" s="160">
        <v>13</v>
      </c>
      <c r="O829" s="160">
        <v>1.83</v>
      </c>
      <c r="P829" s="160">
        <v>6413</v>
      </c>
      <c r="Q829" s="161" t="s">
        <v>237</v>
      </c>
    </row>
    <row r="830" spans="2:17" x14ac:dyDescent="0.3">
      <c r="B830" s="188">
        <v>612060</v>
      </c>
      <c r="C830" s="158" t="s">
        <v>1930</v>
      </c>
      <c r="D830" s="160">
        <v>0</v>
      </c>
      <c r="E830" s="161" t="s">
        <v>237</v>
      </c>
      <c r="F830" s="160">
        <v>0</v>
      </c>
      <c r="G830" s="161" t="s">
        <v>380</v>
      </c>
      <c r="H830" s="161" t="s">
        <v>1993</v>
      </c>
      <c r="I830" s="161" t="s">
        <v>2597</v>
      </c>
      <c r="J830" s="160">
        <v>0</v>
      </c>
      <c r="K830" s="161" t="s">
        <v>380</v>
      </c>
      <c r="L830" s="160">
        <v>0</v>
      </c>
      <c r="M830" s="161" t="s">
        <v>380</v>
      </c>
      <c r="N830" s="160">
        <v>0</v>
      </c>
      <c r="O830" s="160">
        <v>0</v>
      </c>
      <c r="P830" s="160">
        <v>0</v>
      </c>
      <c r="Q830" s="161" t="s">
        <v>237</v>
      </c>
    </row>
    <row r="831" spans="2:17" x14ac:dyDescent="0.3">
      <c r="B831" s="188">
        <v>612132</v>
      </c>
      <c r="C831" s="158" t="s">
        <v>1931</v>
      </c>
      <c r="D831" s="160">
        <v>0</v>
      </c>
      <c r="E831" s="161" t="s">
        <v>237</v>
      </c>
      <c r="F831" s="160">
        <v>0</v>
      </c>
      <c r="G831" s="161" t="s">
        <v>380</v>
      </c>
      <c r="H831" s="161" t="s">
        <v>2000</v>
      </c>
      <c r="I831" s="161" t="s">
        <v>2597</v>
      </c>
      <c r="J831" s="160">
        <v>0</v>
      </c>
      <c r="K831" s="161" t="s">
        <v>380</v>
      </c>
      <c r="L831" s="160">
        <v>0</v>
      </c>
      <c r="M831" s="161" t="s">
        <v>380</v>
      </c>
      <c r="N831" s="160">
        <v>0</v>
      </c>
      <c r="O831" s="160">
        <v>0</v>
      </c>
      <c r="P831" s="160">
        <v>0</v>
      </c>
      <c r="Q831" s="161" t="s">
        <v>237</v>
      </c>
    </row>
    <row r="832" spans="2:17" x14ac:dyDescent="0.3">
      <c r="B832" s="188">
        <v>612135</v>
      </c>
      <c r="C832" s="158" t="s">
        <v>1932</v>
      </c>
      <c r="D832" s="160">
        <v>0</v>
      </c>
      <c r="E832" s="161" t="s">
        <v>237</v>
      </c>
      <c r="F832" s="160">
        <v>0</v>
      </c>
      <c r="G832" s="161" t="s">
        <v>380</v>
      </c>
      <c r="H832" s="161" t="s">
        <v>2000</v>
      </c>
      <c r="I832" s="161" t="s">
        <v>2597</v>
      </c>
      <c r="J832" s="160">
        <v>0</v>
      </c>
      <c r="K832" s="161" t="s">
        <v>380</v>
      </c>
      <c r="L832" s="160">
        <v>0</v>
      </c>
      <c r="M832" s="161" t="s">
        <v>380</v>
      </c>
      <c r="N832" s="160">
        <v>0</v>
      </c>
      <c r="O832" s="160">
        <v>0</v>
      </c>
      <c r="P832" s="160">
        <v>0</v>
      </c>
      <c r="Q832" s="161" t="s">
        <v>237</v>
      </c>
    </row>
    <row r="833" spans="2:17" x14ac:dyDescent="0.3">
      <c r="B833" s="188">
        <v>612137</v>
      </c>
      <c r="C833" s="158" t="s">
        <v>1933</v>
      </c>
      <c r="D833" s="160">
        <v>0</v>
      </c>
      <c r="E833" s="161" t="s">
        <v>237</v>
      </c>
      <c r="F833" s="160">
        <v>0</v>
      </c>
      <c r="G833" s="161" t="s">
        <v>380</v>
      </c>
      <c r="H833" s="161" t="s">
        <v>1999</v>
      </c>
      <c r="I833" s="161" t="s">
        <v>2597</v>
      </c>
      <c r="J833" s="160">
        <v>0</v>
      </c>
      <c r="K833" s="161" t="s">
        <v>380</v>
      </c>
      <c r="L833" s="160">
        <v>0</v>
      </c>
      <c r="M833" s="161" t="s">
        <v>380</v>
      </c>
      <c r="N833" s="160">
        <v>0</v>
      </c>
      <c r="O833" s="160">
        <v>0</v>
      </c>
      <c r="P833" s="160">
        <v>0</v>
      </c>
      <c r="Q833" s="161" t="s">
        <v>237</v>
      </c>
    </row>
    <row r="834" spans="2:17" x14ac:dyDescent="0.3">
      <c r="B834" s="188">
        <v>612139</v>
      </c>
      <c r="C834" s="158" t="s">
        <v>1264</v>
      </c>
      <c r="D834" s="160">
        <v>40.32</v>
      </c>
      <c r="E834" s="161" t="s">
        <v>237</v>
      </c>
      <c r="F834" s="160">
        <v>224</v>
      </c>
      <c r="G834" s="161" t="s">
        <v>380</v>
      </c>
      <c r="H834" s="161" t="s">
        <v>2553</v>
      </c>
      <c r="I834" s="161" t="s">
        <v>2625</v>
      </c>
      <c r="J834" s="160">
        <v>0</v>
      </c>
      <c r="K834" s="161" t="s">
        <v>380</v>
      </c>
      <c r="L834" s="160">
        <v>0</v>
      </c>
      <c r="M834" s="161" t="s">
        <v>380</v>
      </c>
      <c r="N834" s="160">
        <v>99999</v>
      </c>
      <c r="O834" s="160">
        <v>0</v>
      </c>
      <c r="P834" s="160">
        <v>0</v>
      </c>
      <c r="Q834" s="161" t="s">
        <v>237</v>
      </c>
    </row>
    <row r="835" spans="2:17" x14ac:dyDescent="0.3">
      <c r="B835" s="188">
        <v>612140</v>
      </c>
      <c r="C835" s="158" t="s">
        <v>1265</v>
      </c>
      <c r="D835" s="160">
        <v>4.1399999999999997</v>
      </c>
      <c r="E835" s="161" t="s">
        <v>237</v>
      </c>
      <c r="F835" s="160">
        <v>23</v>
      </c>
      <c r="G835" s="161" t="s">
        <v>380</v>
      </c>
      <c r="H835" s="161" t="s">
        <v>2553</v>
      </c>
      <c r="I835" s="161" t="s">
        <v>2625</v>
      </c>
      <c r="J835" s="160">
        <v>0</v>
      </c>
      <c r="K835" s="161" t="s">
        <v>380</v>
      </c>
      <c r="L835" s="160">
        <v>0</v>
      </c>
      <c r="M835" s="161" t="s">
        <v>380</v>
      </c>
      <c r="N835" s="160">
        <v>99999</v>
      </c>
      <c r="O835" s="160">
        <v>0</v>
      </c>
      <c r="P835" s="160">
        <v>0</v>
      </c>
      <c r="Q835" s="161" t="s">
        <v>237</v>
      </c>
    </row>
    <row r="836" spans="2:17" x14ac:dyDescent="0.3">
      <c r="B836" s="188">
        <v>612152</v>
      </c>
      <c r="C836" s="158" t="s">
        <v>1266</v>
      </c>
      <c r="D836" s="160">
        <v>53.64</v>
      </c>
      <c r="E836" s="161" t="s">
        <v>237</v>
      </c>
      <c r="F836" s="160">
        <v>298</v>
      </c>
      <c r="G836" s="161" t="s">
        <v>380</v>
      </c>
      <c r="H836" s="161" t="s">
        <v>2553</v>
      </c>
      <c r="I836" s="161" t="s">
        <v>2625</v>
      </c>
      <c r="J836" s="160">
        <v>0</v>
      </c>
      <c r="K836" s="161" t="s">
        <v>380</v>
      </c>
      <c r="L836" s="160">
        <v>0</v>
      </c>
      <c r="M836" s="161" t="s">
        <v>380</v>
      </c>
      <c r="N836" s="160">
        <v>99999</v>
      </c>
      <c r="O836" s="160">
        <v>0</v>
      </c>
      <c r="P836" s="160">
        <v>0</v>
      </c>
      <c r="Q836" s="161" t="s">
        <v>237</v>
      </c>
    </row>
    <row r="837" spans="2:17" x14ac:dyDescent="0.3">
      <c r="B837" s="188">
        <v>612169</v>
      </c>
      <c r="C837" s="158" t="s">
        <v>2467</v>
      </c>
      <c r="D837" s="160">
        <v>1253.7</v>
      </c>
      <c r="E837" s="161" t="s">
        <v>237</v>
      </c>
      <c r="F837" s="160">
        <v>6965</v>
      </c>
      <c r="G837" s="161" t="s">
        <v>380</v>
      </c>
      <c r="H837" s="161" t="s">
        <v>2642</v>
      </c>
      <c r="I837" s="161" t="s">
        <v>1601</v>
      </c>
      <c r="J837" s="160">
        <v>0</v>
      </c>
      <c r="K837" s="161" t="s">
        <v>380</v>
      </c>
      <c r="L837" s="160">
        <v>0</v>
      </c>
      <c r="M837" s="161" t="s">
        <v>380</v>
      </c>
      <c r="N837" s="160">
        <v>99999</v>
      </c>
      <c r="O837" s="160">
        <v>0</v>
      </c>
      <c r="P837" s="160">
        <v>0</v>
      </c>
      <c r="Q837" s="161" t="s">
        <v>237</v>
      </c>
    </row>
    <row r="838" spans="2:17" x14ac:dyDescent="0.3">
      <c r="B838" s="188">
        <v>612513</v>
      </c>
      <c r="C838" s="158" t="s">
        <v>1267</v>
      </c>
      <c r="D838" s="160">
        <v>1528.22</v>
      </c>
      <c r="E838" s="161" t="s">
        <v>237</v>
      </c>
      <c r="F838" s="160">
        <v>20.440999999999999</v>
      </c>
      <c r="G838" s="161" t="s">
        <v>374</v>
      </c>
      <c r="H838" s="161" t="s">
        <v>2806</v>
      </c>
      <c r="I838" s="161" t="s">
        <v>2798</v>
      </c>
      <c r="J838" s="160">
        <v>107.27</v>
      </c>
      <c r="K838" s="161" t="s">
        <v>374</v>
      </c>
      <c r="L838" s="160">
        <v>40.100999999999999</v>
      </c>
      <c r="M838" s="161" t="s">
        <v>374</v>
      </c>
      <c r="N838" s="160">
        <v>28</v>
      </c>
      <c r="O838" s="160">
        <v>1.2</v>
      </c>
      <c r="P838" s="160">
        <v>5021.75</v>
      </c>
      <c r="Q838" s="161" t="s">
        <v>237</v>
      </c>
    </row>
    <row r="839" spans="2:17" x14ac:dyDescent="0.3">
      <c r="B839" s="188">
        <v>613192</v>
      </c>
      <c r="C839" s="158" t="s">
        <v>1268</v>
      </c>
      <c r="D839" s="160">
        <v>287</v>
      </c>
      <c r="E839" s="161" t="s">
        <v>237</v>
      </c>
      <c r="F839" s="160">
        <v>4100</v>
      </c>
      <c r="G839" s="161" t="s">
        <v>380</v>
      </c>
      <c r="H839" s="161" t="s">
        <v>1980</v>
      </c>
      <c r="I839" s="161" t="s">
        <v>1978</v>
      </c>
      <c r="J839" s="160">
        <v>0</v>
      </c>
      <c r="K839" s="161" t="s">
        <v>380</v>
      </c>
      <c r="L839" s="160">
        <v>0</v>
      </c>
      <c r="M839" s="161" t="s">
        <v>380</v>
      </c>
      <c r="N839" s="160">
        <v>99999</v>
      </c>
      <c r="O839" s="160">
        <v>0</v>
      </c>
      <c r="P839" s="160">
        <v>0</v>
      </c>
      <c r="Q839" s="161" t="s">
        <v>237</v>
      </c>
    </row>
    <row r="840" spans="2:17" x14ac:dyDescent="0.3">
      <c r="B840" s="188">
        <v>613436</v>
      </c>
      <c r="C840" s="158" t="s">
        <v>2468</v>
      </c>
      <c r="D840" s="160">
        <v>0</v>
      </c>
      <c r="E840" s="161" t="s">
        <v>237</v>
      </c>
      <c r="F840" s="160">
        <v>0</v>
      </c>
      <c r="G840" s="161" t="s">
        <v>380</v>
      </c>
      <c r="H840" s="161" t="s">
        <v>1601</v>
      </c>
      <c r="I840" s="161" t="s">
        <v>1601</v>
      </c>
      <c r="J840" s="160">
        <v>0</v>
      </c>
      <c r="K840" s="161" t="s">
        <v>380</v>
      </c>
      <c r="L840" s="160">
        <v>0</v>
      </c>
      <c r="M840" s="161" t="s">
        <v>380</v>
      </c>
      <c r="N840" s="160">
        <v>0</v>
      </c>
      <c r="O840" s="160">
        <v>0</v>
      </c>
      <c r="P840" s="160">
        <v>0</v>
      </c>
      <c r="Q840" s="161" t="s">
        <v>237</v>
      </c>
    </row>
    <row r="841" spans="2:17" x14ac:dyDescent="0.3">
      <c r="B841" s="188">
        <v>613594</v>
      </c>
      <c r="C841" s="158" t="s">
        <v>2469</v>
      </c>
      <c r="D841" s="160">
        <v>0</v>
      </c>
      <c r="E841" s="161" t="s">
        <v>237</v>
      </c>
      <c r="F841" s="160">
        <v>0</v>
      </c>
      <c r="G841" s="161" t="s">
        <v>380</v>
      </c>
      <c r="H841" s="161" t="s">
        <v>1514</v>
      </c>
      <c r="I841" s="161" t="s">
        <v>1487</v>
      </c>
      <c r="J841" s="160">
        <v>0</v>
      </c>
      <c r="K841" s="161" t="s">
        <v>380</v>
      </c>
      <c r="L841" s="160">
        <v>0</v>
      </c>
      <c r="M841" s="161" t="s">
        <v>380</v>
      </c>
      <c r="N841" s="160">
        <v>0</v>
      </c>
      <c r="O841" s="160">
        <v>0</v>
      </c>
      <c r="P841" s="160">
        <v>0</v>
      </c>
      <c r="Q841" s="161" t="s">
        <v>237</v>
      </c>
    </row>
    <row r="842" spans="2:17" x14ac:dyDescent="0.3">
      <c r="B842" s="188">
        <v>613955</v>
      </c>
      <c r="C842" s="158" t="s">
        <v>1934</v>
      </c>
      <c r="D842" s="160">
        <v>340997.54</v>
      </c>
      <c r="E842" s="161" t="s">
        <v>237</v>
      </c>
      <c r="F842" s="160">
        <v>31700</v>
      </c>
      <c r="G842" s="161" t="s">
        <v>374</v>
      </c>
      <c r="H842" s="161" t="s">
        <v>2797</v>
      </c>
      <c r="I842" s="161" t="s">
        <v>236</v>
      </c>
      <c r="J842" s="160">
        <v>-25</v>
      </c>
      <c r="K842" s="161" t="s">
        <v>374</v>
      </c>
      <c r="L842" s="160">
        <v>31675</v>
      </c>
      <c r="M842" s="161" t="s">
        <v>374</v>
      </c>
      <c r="N842" s="160">
        <v>4861</v>
      </c>
      <c r="O842" s="160">
        <v>0.08</v>
      </c>
      <c r="P842" s="160">
        <v>6454.22</v>
      </c>
      <c r="Q842" s="161" t="s">
        <v>237</v>
      </c>
    </row>
    <row r="843" spans="2:17" x14ac:dyDescent="0.3">
      <c r="B843" s="188">
        <v>614058</v>
      </c>
      <c r="C843" s="158" t="s">
        <v>1935</v>
      </c>
      <c r="D843" s="160">
        <v>0</v>
      </c>
      <c r="E843" s="161" t="s">
        <v>237</v>
      </c>
      <c r="F843" s="160">
        <v>0</v>
      </c>
      <c r="G843" s="161" t="s">
        <v>380</v>
      </c>
      <c r="H843" s="161" t="s">
        <v>1995</v>
      </c>
      <c r="I843" s="161" t="s">
        <v>2606</v>
      </c>
      <c r="J843" s="160">
        <v>0</v>
      </c>
      <c r="K843" s="161" t="s">
        <v>380</v>
      </c>
      <c r="L843" s="160">
        <v>0</v>
      </c>
      <c r="M843" s="161" t="s">
        <v>380</v>
      </c>
      <c r="N843" s="160">
        <v>0</v>
      </c>
      <c r="O843" s="160">
        <v>0</v>
      </c>
      <c r="P843" s="160">
        <v>0</v>
      </c>
      <c r="Q843" s="161" t="s">
        <v>237</v>
      </c>
    </row>
    <row r="844" spans="2:17" x14ac:dyDescent="0.3">
      <c r="B844" s="188">
        <v>614279</v>
      </c>
      <c r="C844" s="158" t="s">
        <v>2470</v>
      </c>
      <c r="D844" s="160">
        <v>0</v>
      </c>
      <c r="E844" s="161" t="s">
        <v>237</v>
      </c>
      <c r="F844" s="160">
        <v>0</v>
      </c>
      <c r="G844" s="161" t="s">
        <v>380</v>
      </c>
      <c r="H844" s="161" t="s">
        <v>1466</v>
      </c>
      <c r="I844" s="161" t="s">
        <v>236</v>
      </c>
      <c r="J844" s="160">
        <v>0</v>
      </c>
      <c r="K844" s="161" t="s">
        <v>380</v>
      </c>
      <c r="L844" s="160">
        <v>0</v>
      </c>
      <c r="M844" s="161" t="s">
        <v>380</v>
      </c>
      <c r="N844" s="160">
        <v>0</v>
      </c>
      <c r="O844" s="160">
        <v>0</v>
      </c>
      <c r="P844" s="160">
        <v>0</v>
      </c>
      <c r="Q844" s="161" t="s">
        <v>237</v>
      </c>
    </row>
    <row r="845" spans="2:17" x14ac:dyDescent="0.3">
      <c r="B845" s="188">
        <v>614340</v>
      </c>
      <c r="C845" s="158" t="s">
        <v>2600</v>
      </c>
      <c r="D845" s="160">
        <v>0</v>
      </c>
      <c r="E845" s="161" t="s">
        <v>237</v>
      </c>
      <c r="F845" s="160">
        <v>0</v>
      </c>
      <c r="G845" s="161" t="s">
        <v>380</v>
      </c>
      <c r="H845" s="161" t="s">
        <v>2610</v>
      </c>
      <c r="I845" s="161" t="s">
        <v>2628</v>
      </c>
      <c r="J845" s="160">
        <v>0</v>
      </c>
      <c r="K845" s="161" t="s">
        <v>380</v>
      </c>
      <c r="L845" s="160">
        <v>0</v>
      </c>
      <c r="M845" s="161" t="s">
        <v>380</v>
      </c>
      <c r="N845" s="160">
        <v>0</v>
      </c>
      <c r="O845" s="160">
        <v>0</v>
      </c>
      <c r="P845" s="160">
        <v>0</v>
      </c>
      <c r="Q845" s="161" t="s">
        <v>237</v>
      </c>
    </row>
    <row r="846" spans="2:17" x14ac:dyDescent="0.3">
      <c r="B846" s="188">
        <v>616191</v>
      </c>
      <c r="C846" s="158" t="s">
        <v>2471</v>
      </c>
      <c r="D846" s="160">
        <v>0</v>
      </c>
      <c r="E846" s="161" t="s">
        <v>237</v>
      </c>
      <c r="F846" s="160">
        <v>0</v>
      </c>
      <c r="G846" s="161" t="s">
        <v>380</v>
      </c>
      <c r="H846" s="161" t="s">
        <v>1622</v>
      </c>
      <c r="I846" s="161" t="s">
        <v>1942</v>
      </c>
      <c r="J846" s="160">
        <v>0</v>
      </c>
      <c r="K846" s="161" t="s">
        <v>380</v>
      </c>
      <c r="L846" s="160">
        <v>0</v>
      </c>
      <c r="M846" s="161" t="s">
        <v>380</v>
      </c>
      <c r="N846" s="160">
        <v>0</v>
      </c>
      <c r="O846" s="160">
        <v>0</v>
      </c>
      <c r="P846" s="160">
        <v>0</v>
      </c>
      <c r="Q846" s="161" t="s">
        <v>237</v>
      </c>
    </row>
    <row r="847" spans="2:17" x14ac:dyDescent="0.3">
      <c r="B847" s="188">
        <v>616219</v>
      </c>
      <c r="C847" s="158" t="s">
        <v>1324</v>
      </c>
      <c r="D847" s="160">
        <v>63.3</v>
      </c>
      <c r="E847" s="161" t="s">
        <v>237</v>
      </c>
      <c r="F847" s="160">
        <v>844</v>
      </c>
      <c r="G847" s="161" t="s">
        <v>380</v>
      </c>
      <c r="H847" s="161" t="s">
        <v>1600</v>
      </c>
      <c r="I847" s="161" t="s">
        <v>2643</v>
      </c>
      <c r="J847" s="160">
        <v>0</v>
      </c>
      <c r="K847" s="161" t="s">
        <v>380</v>
      </c>
      <c r="L847" s="160">
        <v>0</v>
      </c>
      <c r="M847" s="161" t="s">
        <v>380</v>
      </c>
      <c r="N847" s="160">
        <v>99999</v>
      </c>
      <c r="O847" s="160">
        <v>0</v>
      </c>
      <c r="P847" s="160">
        <v>0</v>
      </c>
      <c r="Q847" s="161" t="s">
        <v>237</v>
      </c>
    </row>
    <row r="848" spans="2:17" x14ac:dyDescent="0.3">
      <c r="B848" s="188">
        <v>616343</v>
      </c>
      <c r="C848" s="158" t="s">
        <v>2472</v>
      </c>
      <c r="D848" s="160">
        <v>0</v>
      </c>
      <c r="E848" s="161" t="s">
        <v>237</v>
      </c>
      <c r="F848" s="160">
        <v>0</v>
      </c>
      <c r="G848" s="161" t="s">
        <v>380</v>
      </c>
      <c r="H848" s="161" t="s">
        <v>2539</v>
      </c>
      <c r="I848" s="161" t="s">
        <v>2538</v>
      </c>
      <c r="J848" s="160">
        <v>0</v>
      </c>
      <c r="K848" s="161" t="s">
        <v>380</v>
      </c>
      <c r="L848" s="160">
        <v>0</v>
      </c>
      <c r="M848" s="161" t="s">
        <v>380</v>
      </c>
      <c r="N848" s="160">
        <v>0</v>
      </c>
      <c r="O848" s="160">
        <v>0</v>
      </c>
      <c r="P848" s="160">
        <v>0</v>
      </c>
      <c r="Q848" s="161" t="s">
        <v>237</v>
      </c>
    </row>
    <row r="849" spans="2:17" x14ac:dyDescent="0.3">
      <c r="B849" s="188">
        <v>616635</v>
      </c>
      <c r="C849" s="158" t="s">
        <v>2473</v>
      </c>
      <c r="D849" s="160">
        <v>0</v>
      </c>
      <c r="E849" s="161" t="s">
        <v>237</v>
      </c>
      <c r="F849" s="160">
        <v>0</v>
      </c>
      <c r="G849" s="161" t="s">
        <v>380</v>
      </c>
      <c r="H849" s="161" t="s">
        <v>1898</v>
      </c>
      <c r="I849" s="161" t="s">
        <v>1469</v>
      </c>
      <c r="J849" s="160">
        <v>0</v>
      </c>
      <c r="K849" s="161" t="s">
        <v>380</v>
      </c>
      <c r="L849" s="160">
        <v>0</v>
      </c>
      <c r="M849" s="161" t="s">
        <v>380</v>
      </c>
      <c r="N849" s="160">
        <v>0</v>
      </c>
      <c r="O849" s="160">
        <v>0</v>
      </c>
      <c r="P849" s="160">
        <v>0</v>
      </c>
      <c r="Q849" s="161" t="s">
        <v>237</v>
      </c>
    </row>
    <row r="850" spans="2:17" x14ac:dyDescent="0.3">
      <c r="B850" s="188">
        <v>616781</v>
      </c>
      <c r="C850" s="158" t="s">
        <v>2722</v>
      </c>
      <c r="D850" s="160">
        <v>0</v>
      </c>
      <c r="E850" s="161" t="s">
        <v>237</v>
      </c>
      <c r="F850" s="160">
        <v>275</v>
      </c>
      <c r="G850" s="161" t="s">
        <v>374</v>
      </c>
      <c r="H850" s="161" t="s">
        <v>2738</v>
      </c>
      <c r="I850" s="161" t="s">
        <v>236</v>
      </c>
      <c r="J850" s="160">
        <v>0</v>
      </c>
      <c r="K850" s="161" t="s">
        <v>374</v>
      </c>
      <c r="L850" s="160">
        <v>275</v>
      </c>
      <c r="M850" s="161" t="s">
        <v>374</v>
      </c>
      <c r="N850" s="160">
        <v>0</v>
      </c>
      <c r="O850" s="160">
        <v>0</v>
      </c>
      <c r="P850" s="160">
        <v>0</v>
      </c>
      <c r="Q850" s="161" t="s">
        <v>237</v>
      </c>
    </row>
    <row r="851" spans="2:17" x14ac:dyDescent="0.3">
      <c r="B851" s="188">
        <v>616782</v>
      </c>
      <c r="C851" s="158" t="s">
        <v>2723</v>
      </c>
      <c r="D851" s="160">
        <v>0</v>
      </c>
      <c r="E851" s="161" t="s">
        <v>237</v>
      </c>
      <c r="F851" s="160">
        <v>679</v>
      </c>
      <c r="G851" s="161" t="s">
        <v>374</v>
      </c>
      <c r="H851" s="161" t="s">
        <v>2752</v>
      </c>
      <c r="I851" s="161" t="s">
        <v>236</v>
      </c>
      <c r="J851" s="160">
        <v>0</v>
      </c>
      <c r="K851" s="161" t="s">
        <v>374</v>
      </c>
      <c r="L851" s="160">
        <v>679</v>
      </c>
      <c r="M851" s="161" t="s">
        <v>374</v>
      </c>
      <c r="N851" s="160">
        <v>0</v>
      </c>
      <c r="O851" s="160">
        <v>0</v>
      </c>
      <c r="P851" s="160">
        <v>0</v>
      </c>
      <c r="Q851" s="161" t="s">
        <v>237</v>
      </c>
    </row>
    <row r="852" spans="2:17" x14ac:dyDescent="0.3">
      <c r="B852" s="188">
        <v>616879</v>
      </c>
      <c r="C852" s="158" t="s">
        <v>1348</v>
      </c>
      <c r="D852" s="160">
        <v>0</v>
      </c>
      <c r="E852" s="161" t="s">
        <v>237</v>
      </c>
      <c r="F852" s="160">
        <v>0</v>
      </c>
      <c r="G852" s="161" t="s">
        <v>380</v>
      </c>
      <c r="H852" s="161" t="s">
        <v>2822</v>
      </c>
      <c r="I852" s="161" t="s">
        <v>2815</v>
      </c>
      <c r="J852" s="160">
        <v>10191</v>
      </c>
      <c r="K852" s="161" t="s">
        <v>380</v>
      </c>
      <c r="L852" s="160">
        <v>7482</v>
      </c>
      <c r="M852" s="161" t="s">
        <v>380</v>
      </c>
      <c r="N852" s="160">
        <v>0</v>
      </c>
      <c r="O852" s="160">
        <v>7.52</v>
      </c>
      <c r="P852" s="160">
        <v>3973.2</v>
      </c>
      <c r="Q852" s="161" t="s">
        <v>237</v>
      </c>
    </row>
    <row r="853" spans="2:17" x14ac:dyDescent="0.3">
      <c r="B853" s="188">
        <v>616880</v>
      </c>
      <c r="C853" s="158" t="s">
        <v>1967</v>
      </c>
      <c r="D853" s="160">
        <v>0</v>
      </c>
      <c r="E853" s="161" t="s">
        <v>237</v>
      </c>
      <c r="F853" s="160">
        <v>0</v>
      </c>
      <c r="G853" s="161" t="s">
        <v>380</v>
      </c>
      <c r="H853" s="161" t="s">
        <v>2755</v>
      </c>
      <c r="I853" s="161" t="s">
        <v>2747</v>
      </c>
      <c r="J853" s="160">
        <v>7611</v>
      </c>
      <c r="K853" s="161" t="s">
        <v>380</v>
      </c>
      <c r="L853" s="160">
        <v>7611</v>
      </c>
      <c r="M853" s="161" t="s">
        <v>380</v>
      </c>
      <c r="N853" s="160">
        <v>0</v>
      </c>
      <c r="O853" s="160">
        <v>99999</v>
      </c>
      <c r="P853" s="160">
        <v>2816.07</v>
      </c>
      <c r="Q853" s="161" t="s">
        <v>237</v>
      </c>
    </row>
    <row r="854" spans="2:17" x14ac:dyDescent="0.3">
      <c r="B854" s="188">
        <v>616981</v>
      </c>
      <c r="C854" s="158" t="s">
        <v>1349</v>
      </c>
      <c r="D854" s="160">
        <v>275.19</v>
      </c>
      <c r="E854" s="161" t="s">
        <v>237</v>
      </c>
      <c r="F854" s="160">
        <v>2393</v>
      </c>
      <c r="G854" s="161" t="s">
        <v>380</v>
      </c>
      <c r="H854" s="161" t="s">
        <v>2808</v>
      </c>
      <c r="I854" s="161" t="s">
        <v>2817</v>
      </c>
      <c r="J854" s="160">
        <v>15329</v>
      </c>
      <c r="K854" s="161" t="s">
        <v>380</v>
      </c>
      <c r="L854" s="160">
        <v>7530</v>
      </c>
      <c r="M854" s="161" t="s">
        <v>380</v>
      </c>
      <c r="N854" s="160">
        <v>28</v>
      </c>
      <c r="O854" s="160">
        <v>1.03</v>
      </c>
      <c r="P854" s="160">
        <v>896.89</v>
      </c>
      <c r="Q854" s="161" t="s">
        <v>237</v>
      </c>
    </row>
    <row r="855" spans="2:17" x14ac:dyDescent="0.3">
      <c r="B855" s="188">
        <v>616992</v>
      </c>
      <c r="C855" s="158" t="s">
        <v>1951</v>
      </c>
      <c r="D855" s="160">
        <v>3272.9</v>
      </c>
      <c r="E855" s="161" t="s">
        <v>237</v>
      </c>
      <c r="F855" s="160">
        <v>28460</v>
      </c>
      <c r="G855" s="161" t="s">
        <v>380</v>
      </c>
      <c r="H855" s="161" t="s">
        <v>2761</v>
      </c>
      <c r="I855" s="161" t="s">
        <v>2755</v>
      </c>
      <c r="J855" s="160">
        <v>17072</v>
      </c>
      <c r="K855" s="161" t="s">
        <v>380</v>
      </c>
      <c r="L855" s="160">
        <v>9000</v>
      </c>
      <c r="M855" s="161" t="s">
        <v>380</v>
      </c>
      <c r="N855" s="160">
        <v>324</v>
      </c>
      <c r="O855" s="160">
        <v>0.25</v>
      </c>
      <c r="P855" s="160">
        <v>928.28</v>
      </c>
      <c r="Q855" s="161" t="s">
        <v>237</v>
      </c>
    </row>
    <row r="856" spans="2:17" x14ac:dyDescent="0.3">
      <c r="B856" s="188">
        <v>617187</v>
      </c>
      <c r="C856" s="158" t="s">
        <v>1587</v>
      </c>
      <c r="D856" s="160">
        <v>0</v>
      </c>
      <c r="E856" s="161" t="s">
        <v>237</v>
      </c>
      <c r="F856" s="160">
        <v>0</v>
      </c>
      <c r="G856" s="161" t="s">
        <v>380</v>
      </c>
      <c r="H856" s="161" t="s">
        <v>2754</v>
      </c>
      <c r="I856" s="161" t="s">
        <v>2811</v>
      </c>
      <c r="J856" s="160">
        <v>20160</v>
      </c>
      <c r="K856" s="161" t="s">
        <v>380</v>
      </c>
      <c r="L856" s="160">
        <v>19800</v>
      </c>
      <c r="M856" s="161" t="s">
        <v>380</v>
      </c>
      <c r="N856" s="160">
        <v>0</v>
      </c>
      <c r="O856" s="160">
        <v>3.86</v>
      </c>
      <c r="P856" s="160">
        <v>28224</v>
      </c>
      <c r="Q856" s="161" t="s">
        <v>237</v>
      </c>
    </row>
    <row r="857" spans="2:17" x14ac:dyDescent="0.3">
      <c r="B857" s="188">
        <v>617192</v>
      </c>
      <c r="C857" s="158" t="s">
        <v>1325</v>
      </c>
      <c r="D857" s="160">
        <v>556.6</v>
      </c>
      <c r="E857" s="161" t="s">
        <v>237</v>
      </c>
      <c r="F857" s="160">
        <v>484</v>
      </c>
      <c r="G857" s="161" t="s">
        <v>380</v>
      </c>
      <c r="H857" s="161" t="s">
        <v>2597</v>
      </c>
      <c r="I857" s="161" t="s">
        <v>2597</v>
      </c>
      <c r="J857" s="160">
        <v>0</v>
      </c>
      <c r="K857" s="161" t="s">
        <v>380</v>
      </c>
      <c r="L857" s="160">
        <v>0</v>
      </c>
      <c r="M857" s="161" t="s">
        <v>380</v>
      </c>
      <c r="N857" s="160">
        <v>99999</v>
      </c>
      <c r="O857" s="160">
        <v>0</v>
      </c>
      <c r="P857" s="160">
        <v>0</v>
      </c>
      <c r="Q857" s="161" t="s">
        <v>237</v>
      </c>
    </row>
    <row r="858" spans="2:17" x14ac:dyDescent="0.3">
      <c r="B858" s="188">
        <v>617268</v>
      </c>
      <c r="C858" s="158" t="s">
        <v>1350</v>
      </c>
      <c r="D858" s="160">
        <v>906.88</v>
      </c>
      <c r="E858" s="161" t="s">
        <v>237</v>
      </c>
      <c r="F858" s="160">
        <v>14000</v>
      </c>
      <c r="G858" s="161" t="s">
        <v>380</v>
      </c>
      <c r="H858" s="161" t="s">
        <v>2699</v>
      </c>
      <c r="I858" s="161" t="s">
        <v>2745</v>
      </c>
      <c r="J858" s="160">
        <v>10000</v>
      </c>
      <c r="K858" s="161" t="s">
        <v>380</v>
      </c>
      <c r="L858" s="160">
        <v>20000</v>
      </c>
      <c r="M858" s="161" t="s">
        <v>380</v>
      </c>
      <c r="N858" s="160">
        <v>129</v>
      </c>
      <c r="O858" s="160">
        <v>0.71</v>
      </c>
      <c r="P858" s="160">
        <v>647.78</v>
      </c>
      <c r="Q858" s="161" t="s">
        <v>237</v>
      </c>
    </row>
    <row r="859" spans="2:17" x14ac:dyDescent="0.3">
      <c r="B859" s="188">
        <v>617299</v>
      </c>
      <c r="C859" s="158" t="s">
        <v>1326</v>
      </c>
      <c r="D859" s="160">
        <v>4913.3100000000004</v>
      </c>
      <c r="E859" s="161" t="s">
        <v>237</v>
      </c>
      <c r="F859" s="160">
        <v>144.50800000000001</v>
      </c>
      <c r="G859" s="161" t="s">
        <v>374</v>
      </c>
      <c r="H859" s="161" t="s">
        <v>2595</v>
      </c>
      <c r="I859" s="161" t="s">
        <v>2595</v>
      </c>
      <c r="J859" s="160">
        <v>0</v>
      </c>
      <c r="K859" s="161" t="s">
        <v>374</v>
      </c>
      <c r="L859" s="160">
        <v>0</v>
      </c>
      <c r="M859" s="161" t="s">
        <v>374</v>
      </c>
      <c r="N859" s="160">
        <v>99999</v>
      </c>
      <c r="O859" s="160">
        <v>0</v>
      </c>
      <c r="P859" s="160">
        <v>0</v>
      </c>
      <c r="Q859" s="161" t="s">
        <v>237</v>
      </c>
    </row>
    <row r="860" spans="2:17" x14ac:dyDescent="0.3">
      <c r="B860" s="188">
        <v>617309</v>
      </c>
      <c r="C860" s="158" t="s">
        <v>2474</v>
      </c>
      <c r="D860" s="160">
        <v>0</v>
      </c>
      <c r="E860" s="161" t="s">
        <v>237</v>
      </c>
      <c r="F860" s="160">
        <v>0</v>
      </c>
      <c r="G860" s="161" t="s">
        <v>380</v>
      </c>
      <c r="H860" s="161" t="s">
        <v>1899</v>
      </c>
      <c r="I860" s="161" t="s">
        <v>1900</v>
      </c>
      <c r="J860" s="160">
        <v>0</v>
      </c>
      <c r="K860" s="161" t="s">
        <v>380</v>
      </c>
      <c r="L860" s="160">
        <v>0</v>
      </c>
      <c r="M860" s="161" t="s">
        <v>380</v>
      </c>
      <c r="N860" s="160">
        <v>0</v>
      </c>
      <c r="O860" s="160">
        <v>0</v>
      </c>
      <c r="P860" s="160">
        <v>0</v>
      </c>
      <c r="Q860" s="161" t="s">
        <v>237</v>
      </c>
    </row>
    <row r="861" spans="2:17" x14ac:dyDescent="0.3">
      <c r="B861" s="188">
        <v>618217</v>
      </c>
      <c r="C861" s="158" t="s">
        <v>2475</v>
      </c>
      <c r="D861" s="160">
        <v>0</v>
      </c>
      <c r="E861" s="161" t="s">
        <v>237</v>
      </c>
      <c r="F861" s="160">
        <v>0</v>
      </c>
      <c r="G861" s="161" t="s">
        <v>380</v>
      </c>
      <c r="H861" s="161" t="s">
        <v>1505</v>
      </c>
      <c r="I861" s="161" t="s">
        <v>1901</v>
      </c>
      <c r="J861" s="160">
        <v>0</v>
      </c>
      <c r="K861" s="161" t="s">
        <v>380</v>
      </c>
      <c r="L861" s="160">
        <v>0</v>
      </c>
      <c r="M861" s="161" t="s">
        <v>380</v>
      </c>
      <c r="N861" s="160">
        <v>0</v>
      </c>
      <c r="O861" s="160">
        <v>0</v>
      </c>
      <c r="P861" s="160">
        <v>0</v>
      </c>
      <c r="Q861" s="161" t="s">
        <v>237</v>
      </c>
    </row>
    <row r="862" spans="2:17" x14ac:dyDescent="0.3">
      <c r="B862" s="188">
        <v>618480</v>
      </c>
      <c r="C862" s="158" t="s">
        <v>1351</v>
      </c>
      <c r="D862" s="160">
        <v>3800</v>
      </c>
      <c r="E862" s="161" t="s">
        <v>237</v>
      </c>
      <c r="F862" s="160">
        <v>76000</v>
      </c>
      <c r="G862" s="161" t="s">
        <v>380</v>
      </c>
      <c r="H862" s="161" t="s">
        <v>2759</v>
      </c>
      <c r="I862" s="161" t="s">
        <v>2798</v>
      </c>
      <c r="J862" s="160">
        <v>14000</v>
      </c>
      <c r="K862" s="161" t="s">
        <v>380</v>
      </c>
      <c r="L862" s="160">
        <v>7000</v>
      </c>
      <c r="M862" s="161" t="s">
        <v>380</v>
      </c>
      <c r="N862" s="160">
        <v>999</v>
      </c>
      <c r="O862" s="160">
        <v>0.09</v>
      </c>
      <c r="P862" s="160">
        <v>350</v>
      </c>
      <c r="Q862" s="161" t="s">
        <v>237</v>
      </c>
    </row>
    <row r="863" spans="2:17" x14ac:dyDescent="0.3">
      <c r="B863" s="188">
        <v>618578</v>
      </c>
      <c r="C863" s="158" t="s">
        <v>2476</v>
      </c>
      <c r="D863" s="160">
        <v>0</v>
      </c>
      <c r="E863" s="161" t="s">
        <v>237</v>
      </c>
      <c r="F863" s="160">
        <v>0</v>
      </c>
      <c r="G863" s="161" t="s">
        <v>380</v>
      </c>
      <c r="H863" s="161" t="s">
        <v>2592</v>
      </c>
      <c r="I863" s="161" t="s">
        <v>2592</v>
      </c>
      <c r="J863" s="160">
        <v>0</v>
      </c>
      <c r="K863" s="161" t="s">
        <v>380</v>
      </c>
      <c r="L863" s="160">
        <v>0</v>
      </c>
      <c r="M863" s="161" t="s">
        <v>380</v>
      </c>
      <c r="N863" s="160">
        <v>0</v>
      </c>
      <c r="O863" s="160">
        <v>0</v>
      </c>
      <c r="P863" s="160">
        <v>0</v>
      </c>
      <c r="Q863" s="161" t="s">
        <v>237</v>
      </c>
    </row>
    <row r="864" spans="2:17" x14ac:dyDescent="0.3">
      <c r="B864" s="188">
        <v>618580</v>
      </c>
      <c r="C864" s="158" t="s">
        <v>2477</v>
      </c>
      <c r="D864" s="160">
        <v>0</v>
      </c>
      <c r="E864" s="161" t="s">
        <v>237</v>
      </c>
      <c r="F864" s="160">
        <v>0</v>
      </c>
      <c r="G864" s="161" t="s">
        <v>380</v>
      </c>
      <c r="H864" s="161" t="s">
        <v>1902</v>
      </c>
      <c r="I864" s="161" t="s">
        <v>1902</v>
      </c>
      <c r="J864" s="160">
        <v>0</v>
      </c>
      <c r="K864" s="161" t="s">
        <v>380</v>
      </c>
      <c r="L864" s="160">
        <v>0</v>
      </c>
      <c r="M864" s="161" t="s">
        <v>380</v>
      </c>
      <c r="N864" s="160">
        <v>0</v>
      </c>
      <c r="O864" s="160">
        <v>0</v>
      </c>
      <c r="P864" s="160">
        <v>0</v>
      </c>
      <c r="Q864" s="161" t="s">
        <v>237</v>
      </c>
    </row>
    <row r="865" spans="2:17" x14ac:dyDescent="0.3">
      <c r="B865" s="188">
        <v>618592</v>
      </c>
      <c r="C865" s="158" t="s">
        <v>1970</v>
      </c>
      <c r="D865" s="160">
        <v>0</v>
      </c>
      <c r="E865" s="161" t="s">
        <v>237</v>
      </c>
      <c r="F865" s="160">
        <v>0</v>
      </c>
      <c r="G865" s="161" t="s">
        <v>380</v>
      </c>
      <c r="H865" s="161" t="s">
        <v>2814</v>
      </c>
      <c r="I865" s="161" t="s">
        <v>2814</v>
      </c>
      <c r="J865" s="160">
        <v>37800</v>
      </c>
      <c r="K865" s="161" t="s">
        <v>380</v>
      </c>
      <c r="L865" s="160">
        <v>36000</v>
      </c>
      <c r="M865" s="161" t="s">
        <v>380</v>
      </c>
      <c r="N865" s="160">
        <v>0</v>
      </c>
      <c r="O865" s="160">
        <v>40</v>
      </c>
      <c r="P865" s="160">
        <v>7560</v>
      </c>
      <c r="Q865" s="161" t="s">
        <v>237</v>
      </c>
    </row>
    <row r="866" spans="2:17" x14ac:dyDescent="0.3">
      <c r="B866" s="188">
        <v>618683</v>
      </c>
      <c r="C866" s="158" t="s">
        <v>2478</v>
      </c>
      <c r="D866" s="160">
        <v>0</v>
      </c>
      <c r="E866" s="161" t="s">
        <v>237</v>
      </c>
      <c r="F866" s="160">
        <v>0</v>
      </c>
      <c r="G866" s="161" t="s">
        <v>380</v>
      </c>
      <c r="H866" s="161" t="s">
        <v>1466</v>
      </c>
      <c r="I866" s="161" t="s">
        <v>1903</v>
      </c>
      <c r="J866" s="160">
        <v>0</v>
      </c>
      <c r="K866" s="161" t="s">
        <v>380</v>
      </c>
      <c r="L866" s="160">
        <v>0</v>
      </c>
      <c r="M866" s="161" t="s">
        <v>380</v>
      </c>
      <c r="N866" s="160">
        <v>0</v>
      </c>
      <c r="O866" s="160">
        <v>0</v>
      </c>
      <c r="P866" s="160">
        <v>0</v>
      </c>
      <c r="Q866" s="161" t="s">
        <v>237</v>
      </c>
    </row>
    <row r="867" spans="2:17" x14ac:dyDescent="0.3">
      <c r="B867" s="188">
        <v>619095</v>
      </c>
      <c r="C867" s="158" t="s">
        <v>1352</v>
      </c>
      <c r="D867" s="160">
        <v>4979.6499999999996</v>
      </c>
      <c r="E867" s="161" t="s">
        <v>237</v>
      </c>
      <c r="F867" s="160">
        <v>20000</v>
      </c>
      <c r="G867" s="161" t="s">
        <v>380</v>
      </c>
      <c r="H867" s="161" t="s">
        <v>2798</v>
      </c>
      <c r="I867" s="161" t="s">
        <v>2757</v>
      </c>
      <c r="J867" s="160">
        <v>33956</v>
      </c>
      <c r="K867" s="161" t="s">
        <v>380</v>
      </c>
      <c r="L867" s="160">
        <v>20000</v>
      </c>
      <c r="M867" s="161" t="s">
        <v>380</v>
      </c>
      <c r="N867" s="160">
        <v>57</v>
      </c>
      <c r="O867" s="160">
        <v>2.0299999999999998</v>
      </c>
      <c r="P867" s="160">
        <v>8081.98</v>
      </c>
      <c r="Q867" s="161" t="s">
        <v>237</v>
      </c>
    </row>
    <row r="868" spans="2:17" x14ac:dyDescent="0.3">
      <c r="B868" s="188">
        <v>619711</v>
      </c>
      <c r="C868" s="158" t="s">
        <v>1409</v>
      </c>
      <c r="D868" s="160">
        <v>33.549999999999997</v>
      </c>
      <c r="E868" s="161" t="s">
        <v>237</v>
      </c>
      <c r="F868" s="160">
        <v>61</v>
      </c>
      <c r="G868" s="161" t="s">
        <v>380</v>
      </c>
      <c r="H868" s="161" t="s">
        <v>1498</v>
      </c>
      <c r="I868" s="161" t="s">
        <v>1482</v>
      </c>
      <c r="J868" s="160">
        <v>0</v>
      </c>
      <c r="K868" s="161" t="s">
        <v>380</v>
      </c>
      <c r="L868" s="160">
        <v>0</v>
      </c>
      <c r="M868" s="161" t="s">
        <v>380</v>
      </c>
      <c r="N868" s="160">
        <v>99999</v>
      </c>
      <c r="O868" s="160">
        <v>0</v>
      </c>
      <c r="P868" s="160">
        <v>0</v>
      </c>
      <c r="Q868" s="161" t="s">
        <v>237</v>
      </c>
    </row>
    <row r="869" spans="2:17" x14ac:dyDescent="0.3">
      <c r="B869" s="188">
        <v>620173</v>
      </c>
      <c r="C869" s="158" t="s">
        <v>1411</v>
      </c>
      <c r="D869" s="160">
        <v>419.68</v>
      </c>
      <c r="E869" s="161" t="s">
        <v>237</v>
      </c>
      <c r="F869" s="160">
        <v>6600</v>
      </c>
      <c r="G869" s="161" t="s">
        <v>380</v>
      </c>
      <c r="H869" s="161" t="s">
        <v>2607</v>
      </c>
      <c r="I869" s="161" t="s">
        <v>2756</v>
      </c>
      <c r="J869" s="160">
        <v>29700</v>
      </c>
      <c r="K869" s="161" t="s">
        <v>380</v>
      </c>
      <c r="L869" s="160">
        <v>0</v>
      </c>
      <c r="M869" s="161" t="s">
        <v>380</v>
      </c>
      <c r="N869" s="160">
        <v>20</v>
      </c>
      <c r="O869" s="160">
        <v>1.57</v>
      </c>
      <c r="P869" s="160">
        <v>1888.55</v>
      </c>
      <c r="Q869" s="161" t="s">
        <v>237</v>
      </c>
    </row>
    <row r="870" spans="2:17" x14ac:dyDescent="0.3">
      <c r="B870" s="188">
        <v>620417</v>
      </c>
      <c r="C870" s="158" t="s">
        <v>1463</v>
      </c>
      <c r="D870" s="160">
        <v>80804.86</v>
      </c>
      <c r="E870" s="161" t="s">
        <v>237</v>
      </c>
      <c r="F870" s="160">
        <v>11936.248</v>
      </c>
      <c r="G870" s="161" t="s">
        <v>374</v>
      </c>
      <c r="H870" s="161" t="s">
        <v>2809</v>
      </c>
      <c r="I870" s="161" t="s">
        <v>2798</v>
      </c>
      <c r="J870" s="160">
        <v>13267.241</v>
      </c>
      <c r="K870" s="161" t="s">
        <v>374</v>
      </c>
      <c r="L870" s="160">
        <v>16598.8</v>
      </c>
      <c r="M870" s="161" t="s">
        <v>374</v>
      </c>
      <c r="N870" s="160">
        <v>198</v>
      </c>
      <c r="O870" s="160">
        <v>0.68</v>
      </c>
      <c r="P870" s="160">
        <v>37535.83</v>
      </c>
      <c r="Q870" s="161" t="s">
        <v>237</v>
      </c>
    </row>
    <row r="871" spans="2:17" x14ac:dyDescent="0.3">
      <c r="B871" s="188">
        <v>620598</v>
      </c>
      <c r="C871" s="158" t="s">
        <v>1458</v>
      </c>
      <c r="D871" s="160">
        <v>0</v>
      </c>
      <c r="E871" s="161" t="s">
        <v>237</v>
      </c>
      <c r="F871" s="160">
        <v>0</v>
      </c>
      <c r="G871" s="161" t="s">
        <v>380</v>
      </c>
      <c r="H871" s="161" t="s">
        <v>1991</v>
      </c>
      <c r="I871" s="161" t="s">
        <v>2538</v>
      </c>
      <c r="J871" s="160">
        <v>0</v>
      </c>
      <c r="K871" s="161" t="s">
        <v>380</v>
      </c>
      <c r="L871" s="160">
        <v>0</v>
      </c>
      <c r="M871" s="161" t="s">
        <v>380</v>
      </c>
      <c r="N871" s="160">
        <v>0</v>
      </c>
      <c r="O871" s="160">
        <v>0</v>
      </c>
      <c r="P871" s="160">
        <v>0</v>
      </c>
      <c r="Q871" s="161" t="s">
        <v>237</v>
      </c>
    </row>
    <row r="872" spans="2:17" x14ac:dyDescent="0.3">
      <c r="B872" s="188">
        <v>620599</v>
      </c>
      <c r="C872" s="158" t="s">
        <v>1459</v>
      </c>
      <c r="D872" s="160">
        <v>35640</v>
      </c>
      <c r="E872" s="161" t="s">
        <v>237</v>
      </c>
      <c r="F872" s="160">
        <v>89100</v>
      </c>
      <c r="G872" s="161" t="s">
        <v>380</v>
      </c>
      <c r="H872" s="161" t="s">
        <v>2810</v>
      </c>
      <c r="I872" s="161" t="s">
        <v>2802</v>
      </c>
      <c r="J872" s="160">
        <v>883800</v>
      </c>
      <c r="K872" s="161" t="s">
        <v>380</v>
      </c>
      <c r="L872" s="160">
        <v>506700</v>
      </c>
      <c r="M872" s="161" t="s">
        <v>380</v>
      </c>
      <c r="N872" s="160">
        <v>11</v>
      </c>
      <c r="O872" s="160">
        <v>3.86</v>
      </c>
      <c r="P872" s="160">
        <v>306360</v>
      </c>
      <c r="Q872" s="161" t="s">
        <v>237</v>
      </c>
    </row>
    <row r="873" spans="2:17" x14ac:dyDescent="0.3">
      <c r="B873" s="188">
        <v>620901</v>
      </c>
      <c r="C873" s="158" t="s">
        <v>1460</v>
      </c>
      <c r="D873" s="160">
        <v>0</v>
      </c>
      <c r="E873" s="161" t="s">
        <v>237</v>
      </c>
      <c r="F873" s="160">
        <v>0</v>
      </c>
      <c r="G873" s="161" t="s">
        <v>380</v>
      </c>
      <c r="H873" s="161" t="s">
        <v>1958</v>
      </c>
      <c r="I873" s="161" t="s">
        <v>2498</v>
      </c>
      <c r="J873" s="160">
        <v>0</v>
      </c>
      <c r="K873" s="161" t="s">
        <v>380</v>
      </c>
      <c r="L873" s="160">
        <v>0</v>
      </c>
      <c r="M873" s="161" t="s">
        <v>380</v>
      </c>
      <c r="N873" s="160">
        <v>0</v>
      </c>
      <c r="O873" s="160">
        <v>0</v>
      </c>
      <c r="P873" s="160">
        <v>0</v>
      </c>
      <c r="Q873" s="161" t="s">
        <v>237</v>
      </c>
    </row>
    <row r="874" spans="2:17" x14ac:dyDescent="0.3">
      <c r="B874" s="188">
        <v>620941</v>
      </c>
      <c r="C874" s="158" t="s">
        <v>1550</v>
      </c>
      <c r="D874" s="160">
        <v>0</v>
      </c>
      <c r="E874" s="161" t="s">
        <v>237</v>
      </c>
      <c r="F874" s="160">
        <v>0</v>
      </c>
      <c r="G874" s="161" t="s">
        <v>380</v>
      </c>
      <c r="H874" s="161" t="s">
        <v>2631</v>
      </c>
      <c r="I874" s="161" t="s">
        <v>2675</v>
      </c>
      <c r="J874" s="160">
        <v>0</v>
      </c>
      <c r="K874" s="161" t="s">
        <v>380</v>
      </c>
      <c r="L874" s="160">
        <v>0</v>
      </c>
      <c r="M874" s="161" t="s">
        <v>380</v>
      </c>
      <c r="N874" s="160">
        <v>0</v>
      </c>
      <c r="O874" s="160">
        <v>0</v>
      </c>
      <c r="P874" s="160">
        <v>0</v>
      </c>
      <c r="Q874" s="161" t="s">
        <v>237</v>
      </c>
    </row>
    <row r="875" spans="2:17" x14ac:dyDescent="0.3">
      <c r="B875" s="188">
        <v>620994</v>
      </c>
      <c r="C875" s="158" t="s">
        <v>1461</v>
      </c>
      <c r="D875" s="160">
        <v>0</v>
      </c>
      <c r="E875" s="161" t="s">
        <v>237</v>
      </c>
      <c r="F875" s="160">
        <v>0</v>
      </c>
      <c r="G875" s="161" t="s">
        <v>380</v>
      </c>
      <c r="H875" s="161" t="s">
        <v>2808</v>
      </c>
      <c r="I875" s="161" t="s">
        <v>2815</v>
      </c>
      <c r="J875" s="160">
        <v>463872</v>
      </c>
      <c r="K875" s="161" t="s">
        <v>380</v>
      </c>
      <c r="L875" s="160">
        <v>347904</v>
      </c>
      <c r="M875" s="161" t="s">
        <v>380</v>
      </c>
      <c r="N875" s="160">
        <v>0</v>
      </c>
      <c r="O875" s="160">
        <v>16</v>
      </c>
      <c r="P875" s="160">
        <v>120606.72</v>
      </c>
      <c r="Q875" s="161" t="s">
        <v>237</v>
      </c>
    </row>
    <row r="876" spans="2:17" x14ac:dyDescent="0.3">
      <c r="B876" s="188">
        <v>621080</v>
      </c>
      <c r="C876" s="158" t="s">
        <v>1551</v>
      </c>
      <c r="D876" s="160">
        <v>3212.69</v>
      </c>
      <c r="E876" s="161" t="s">
        <v>237</v>
      </c>
      <c r="F876" s="160">
        <v>49426</v>
      </c>
      <c r="G876" s="161" t="s">
        <v>380</v>
      </c>
      <c r="H876" s="161" t="s">
        <v>2661</v>
      </c>
      <c r="I876" s="161" t="s">
        <v>2625</v>
      </c>
      <c r="J876" s="160">
        <v>0</v>
      </c>
      <c r="K876" s="161" t="s">
        <v>380</v>
      </c>
      <c r="L876" s="160">
        <v>0</v>
      </c>
      <c r="M876" s="161" t="s">
        <v>380</v>
      </c>
      <c r="N876" s="160">
        <v>99999</v>
      </c>
      <c r="O876" s="160">
        <v>0</v>
      </c>
      <c r="P876" s="160">
        <v>0</v>
      </c>
      <c r="Q876" s="161" t="s">
        <v>237</v>
      </c>
    </row>
    <row r="877" spans="2:17" x14ac:dyDescent="0.3">
      <c r="B877" s="188">
        <v>621407</v>
      </c>
      <c r="C877" s="158" t="s">
        <v>1462</v>
      </c>
      <c r="D877" s="160">
        <v>17836</v>
      </c>
      <c r="E877" s="161" t="s">
        <v>237</v>
      </c>
      <c r="F877" s="160">
        <v>50960</v>
      </c>
      <c r="G877" s="161" t="s">
        <v>380</v>
      </c>
      <c r="H877" s="161" t="s">
        <v>2808</v>
      </c>
      <c r="I877" s="161" t="s">
        <v>2803</v>
      </c>
      <c r="J877" s="160">
        <v>181440</v>
      </c>
      <c r="K877" s="161" t="s">
        <v>380</v>
      </c>
      <c r="L877" s="160">
        <v>202160</v>
      </c>
      <c r="M877" s="161" t="s">
        <v>380</v>
      </c>
      <c r="N877" s="160">
        <v>29</v>
      </c>
      <c r="O877" s="160">
        <v>2.54</v>
      </c>
      <c r="P877" s="160">
        <v>55624.800000000003</v>
      </c>
      <c r="Q877" s="161" t="s">
        <v>237</v>
      </c>
    </row>
    <row r="878" spans="2:17" x14ac:dyDescent="0.3">
      <c r="B878" s="188">
        <v>621409</v>
      </c>
      <c r="C878" s="158" t="s">
        <v>2479</v>
      </c>
      <c r="D878" s="160">
        <v>0</v>
      </c>
      <c r="E878" s="161" t="s">
        <v>237</v>
      </c>
      <c r="F878" s="160">
        <v>0</v>
      </c>
      <c r="G878" s="161" t="s">
        <v>380</v>
      </c>
      <c r="H878" s="161" t="s">
        <v>2574</v>
      </c>
      <c r="I878" s="161" t="s">
        <v>2596</v>
      </c>
      <c r="J878" s="160">
        <v>0</v>
      </c>
      <c r="K878" s="161" t="s">
        <v>380</v>
      </c>
      <c r="L878" s="160">
        <v>0</v>
      </c>
      <c r="M878" s="161" t="s">
        <v>380</v>
      </c>
      <c r="N878" s="160">
        <v>0</v>
      </c>
      <c r="O878" s="160">
        <v>0</v>
      </c>
      <c r="P878" s="160">
        <v>0</v>
      </c>
      <c r="Q878" s="161" t="s">
        <v>237</v>
      </c>
    </row>
    <row r="879" spans="2:17" x14ac:dyDescent="0.3">
      <c r="B879" s="188">
        <v>622636</v>
      </c>
      <c r="C879" s="158" t="s">
        <v>1552</v>
      </c>
      <c r="D879" s="160">
        <v>0</v>
      </c>
      <c r="E879" s="161" t="s">
        <v>237</v>
      </c>
      <c r="F879" s="160">
        <v>0</v>
      </c>
      <c r="G879" s="161" t="s">
        <v>380</v>
      </c>
      <c r="H879" s="161" t="s">
        <v>1574</v>
      </c>
      <c r="I879" s="161" t="s">
        <v>2762</v>
      </c>
      <c r="J879" s="160">
        <v>10915</v>
      </c>
      <c r="K879" s="161" t="s">
        <v>380</v>
      </c>
      <c r="L879" s="160">
        <v>0</v>
      </c>
      <c r="M879" s="161" t="s">
        <v>380</v>
      </c>
      <c r="N879" s="160">
        <v>0</v>
      </c>
      <c r="O879" s="160">
        <v>0</v>
      </c>
      <c r="P879" s="160">
        <v>0</v>
      </c>
      <c r="Q879" s="161" t="s">
        <v>237</v>
      </c>
    </row>
    <row r="880" spans="2:17" x14ac:dyDescent="0.3">
      <c r="B880" s="188">
        <v>622724</v>
      </c>
      <c r="C880" s="158" t="s">
        <v>1562</v>
      </c>
      <c r="D880" s="160">
        <v>11016.68</v>
      </c>
      <c r="E880" s="161" t="s">
        <v>237</v>
      </c>
      <c r="F880" s="160">
        <v>953</v>
      </c>
      <c r="G880" s="161" t="s">
        <v>380</v>
      </c>
      <c r="H880" s="161" t="s">
        <v>1943</v>
      </c>
      <c r="I880" s="161" t="s">
        <v>1943</v>
      </c>
      <c r="J880" s="160">
        <v>0</v>
      </c>
      <c r="K880" s="161" t="s">
        <v>380</v>
      </c>
      <c r="L880" s="160">
        <v>0</v>
      </c>
      <c r="M880" s="161" t="s">
        <v>380</v>
      </c>
      <c r="N880" s="160">
        <v>99999</v>
      </c>
      <c r="O880" s="160">
        <v>0</v>
      </c>
      <c r="P880" s="160">
        <v>0</v>
      </c>
      <c r="Q880" s="161" t="s">
        <v>237</v>
      </c>
    </row>
    <row r="881" spans="2:17" x14ac:dyDescent="0.3">
      <c r="B881" s="188">
        <v>623133</v>
      </c>
      <c r="C881" s="158" t="s">
        <v>1563</v>
      </c>
      <c r="D881" s="160">
        <v>0</v>
      </c>
      <c r="E881" s="161" t="s">
        <v>237</v>
      </c>
      <c r="F881" s="160">
        <v>0</v>
      </c>
      <c r="G881" s="161" t="s">
        <v>380</v>
      </c>
      <c r="H881" s="161" t="s">
        <v>2801</v>
      </c>
      <c r="I881" s="161" t="s">
        <v>2818</v>
      </c>
      <c r="J881" s="160">
        <v>7680</v>
      </c>
      <c r="K881" s="161" t="s">
        <v>380</v>
      </c>
      <c r="L881" s="160">
        <v>4416</v>
      </c>
      <c r="M881" s="161" t="s">
        <v>380</v>
      </c>
      <c r="N881" s="160">
        <v>0</v>
      </c>
      <c r="O881" s="160">
        <v>7.62</v>
      </c>
      <c r="P881" s="160">
        <v>1898.88</v>
      </c>
      <c r="Q881" s="161" t="s">
        <v>237</v>
      </c>
    </row>
    <row r="882" spans="2:17" x14ac:dyDescent="0.3">
      <c r="B882" s="188">
        <v>623134</v>
      </c>
      <c r="C882" s="158" t="s">
        <v>1564</v>
      </c>
      <c r="D882" s="160">
        <v>0</v>
      </c>
      <c r="E882" s="161" t="s">
        <v>237</v>
      </c>
      <c r="F882" s="160">
        <v>0</v>
      </c>
      <c r="G882" s="161" t="s">
        <v>380</v>
      </c>
      <c r="H882" s="161" t="s">
        <v>2809</v>
      </c>
      <c r="I882" s="161" t="s">
        <v>2818</v>
      </c>
      <c r="J882" s="160">
        <v>7296</v>
      </c>
      <c r="K882" s="161" t="s">
        <v>380</v>
      </c>
      <c r="L882" s="160">
        <v>4416</v>
      </c>
      <c r="M882" s="161" t="s">
        <v>380</v>
      </c>
      <c r="N882" s="160">
        <v>0</v>
      </c>
      <c r="O882" s="160">
        <v>8</v>
      </c>
      <c r="P882" s="160">
        <v>1810.56</v>
      </c>
      <c r="Q882" s="161" t="s">
        <v>237</v>
      </c>
    </row>
    <row r="883" spans="2:17" x14ac:dyDescent="0.3">
      <c r="B883" s="188">
        <v>623135</v>
      </c>
      <c r="C883" s="158" t="s">
        <v>1565</v>
      </c>
      <c r="D883" s="160">
        <v>0</v>
      </c>
      <c r="E883" s="161" t="s">
        <v>237</v>
      </c>
      <c r="F883" s="160">
        <v>0</v>
      </c>
      <c r="G883" s="161" t="s">
        <v>380</v>
      </c>
      <c r="H883" s="161" t="s">
        <v>2818</v>
      </c>
      <c r="I883" s="161" t="s">
        <v>2818</v>
      </c>
      <c r="J883" s="160">
        <v>4032</v>
      </c>
      <c r="K883" s="161" t="s">
        <v>380</v>
      </c>
      <c r="L883" s="160">
        <v>3648</v>
      </c>
      <c r="M883" s="161" t="s">
        <v>380</v>
      </c>
      <c r="N883" s="160">
        <v>0</v>
      </c>
      <c r="O883" s="160">
        <v>14</v>
      </c>
      <c r="P883" s="160">
        <v>1036.8</v>
      </c>
      <c r="Q883" s="161" t="s">
        <v>237</v>
      </c>
    </row>
    <row r="884" spans="2:17" x14ac:dyDescent="0.3">
      <c r="B884" s="188">
        <v>623273</v>
      </c>
      <c r="C884" s="158" t="s">
        <v>1566</v>
      </c>
      <c r="D884" s="160">
        <v>0</v>
      </c>
      <c r="E884" s="161" t="s">
        <v>237</v>
      </c>
      <c r="F884" s="160">
        <v>466</v>
      </c>
      <c r="G884" s="161" t="s">
        <v>380</v>
      </c>
      <c r="H884" s="161" t="s">
        <v>2805</v>
      </c>
      <c r="I884" s="161" t="s">
        <v>2805</v>
      </c>
      <c r="J884" s="160">
        <v>9441</v>
      </c>
      <c r="K884" s="161" t="s">
        <v>380</v>
      </c>
      <c r="L884" s="160">
        <v>4776</v>
      </c>
      <c r="M884" s="161" t="s">
        <v>380</v>
      </c>
      <c r="N884" s="160">
        <v>0</v>
      </c>
      <c r="O884" s="160">
        <v>1.24</v>
      </c>
      <c r="P884" s="160">
        <v>0</v>
      </c>
      <c r="Q884" s="161" t="s">
        <v>237</v>
      </c>
    </row>
    <row r="885" spans="2:17" x14ac:dyDescent="0.3">
      <c r="B885" s="188">
        <v>623274</v>
      </c>
      <c r="C885" s="158" t="s">
        <v>1567</v>
      </c>
      <c r="D885" s="160">
        <v>0</v>
      </c>
      <c r="E885" s="161" t="s">
        <v>237</v>
      </c>
      <c r="F885" s="160">
        <v>4597</v>
      </c>
      <c r="G885" s="161" t="s">
        <v>380</v>
      </c>
      <c r="H885" s="161" t="s">
        <v>2818</v>
      </c>
      <c r="I885" s="161" t="s">
        <v>2818</v>
      </c>
      <c r="J885" s="160">
        <v>9781</v>
      </c>
      <c r="K885" s="161" t="s">
        <v>380</v>
      </c>
      <c r="L885" s="160">
        <v>5076</v>
      </c>
      <c r="M885" s="161" t="s">
        <v>380</v>
      </c>
      <c r="N885" s="160">
        <v>0</v>
      </c>
      <c r="O885" s="160">
        <v>0.6</v>
      </c>
      <c r="P885" s="160">
        <v>0</v>
      </c>
      <c r="Q885" s="161" t="s">
        <v>237</v>
      </c>
    </row>
    <row r="886" spans="2:17" x14ac:dyDescent="0.3">
      <c r="B886" s="188">
        <v>623275</v>
      </c>
      <c r="C886" s="158" t="s">
        <v>1568</v>
      </c>
      <c r="D886" s="160">
        <v>0</v>
      </c>
      <c r="E886" s="161" t="s">
        <v>237</v>
      </c>
      <c r="F886" s="160">
        <v>4295</v>
      </c>
      <c r="G886" s="161" t="s">
        <v>380</v>
      </c>
      <c r="H886" s="161" t="s">
        <v>2806</v>
      </c>
      <c r="I886" s="161" t="s">
        <v>2818</v>
      </c>
      <c r="J886" s="160">
        <v>7665</v>
      </c>
      <c r="K886" s="161" t="s">
        <v>380</v>
      </c>
      <c r="L886" s="160">
        <v>4000</v>
      </c>
      <c r="M886" s="161" t="s">
        <v>380</v>
      </c>
      <c r="N886" s="160">
        <v>0</v>
      </c>
      <c r="O886" s="160">
        <v>0.54</v>
      </c>
      <c r="P886" s="160">
        <v>0</v>
      </c>
      <c r="Q886" s="161" t="s">
        <v>237</v>
      </c>
    </row>
    <row r="887" spans="2:17" x14ac:dyDescent="0.3">
      <c r="B887" s="188">
        <v>623876</v>
      </c>
      <c r="C887" s="158" t="s">
        <v>1952</v>
      </c>
      <c r="D887" s="160">
        <v>0</v>
      </c>
      <c r="E887" s="161" t="s">
        <v>237</v>
      </c>
      <c r="F887" s="160">
        <v>0</v>
      </c>
      <c r="G887" s="161" t="s">
        <v>380</v>
      </c>
      <c r="H887" s="161" t="s">
        <v>2703</v>
      </c>
      <c r="I887" s="161" t="s">
        <v>2756</v>
      </c>
      <c r="J887" s="160">
        <v>15210</v>
      </c>
      <c r="K887" s="161" t="s">
        <v>380</v>
      </c>
      <c r="L887" s="160">
        <v>15210</v>
      </c>
      <c r="M887" s="161" t="s">
        <v>380</v>
      </c>
      <c r="N887" s="160">
        <v>0</v>
      </c>
      <c r="O887" s="160">
        <v>4</v>
      </c>
      <c r="P887" s="160">
        <v>4106.7</v>
      </c>
      <c r="Q887" s="161" t="s">
        <v>237</v>
      </c>
    </row>
    <row r="888" spans="2:17" x14ac:dyDescent="0.3">
      <c r="B888" s="188">
        <v>623880</v>
      </c>
      <c r="C888" s="158" t="s">
        <v>1608</v>
      </c>
      <c r="D888" s="160">
        <v>0</v>
      </c>
      <c r="E888" s="161" t="s">
        <v>237</v>
      </c>
      <c r="F888" s="160">
        <v>0</v>
      </c>
      <c r="G888" s="161" t="s">
        <v>380</v>
      </c>
      <c r="H888" s="161" t="s">
        <v>2762</v>
      </c>
      <c r="I888" s="161" t="s">
        <v>2757</v>
      </c>
      <c r="J888" s="160">
        <v>10530</v>
      </c>
      <c r="K888" s="161" t="s">
        <v>380</v>
      </c>
      <c r="L888" s="160">
        <v>10530</v>
      </c>
      <c r="M888" s="161" t="s">
        <v>380</v>
      </c>
      <c r="N888" s="160">
        <v>0</v>
      </c>
      <c r="O888" s="160">
        <v>99999</v>
      </c>
      <c r="P888" s="160">
        <v>3100.5</v>
      </c>
      <c r="Q888" s="161" t="s">
        <v>237</v>
      </c>
    </row>
    <row r="889" spans="2:17" x14ac:dyDescent="0.3">
      <c r="B889" s="188">
        <v>623882</v>
      </c>
      <c r="C889" s="158" t="s">
        <v>1609</v>
      </c>
      <c r="D889" s="160">
        <v>0</v>
      </c>
      <c r="E889" s="161" t="s">
        <v>237</v>
      </c>
      <c r="F889" s="160">
        <v>0</v>
      </c>
      <c r="G889" s="161" t="s">
        <v>380</v>
      </c>
      <c r="H889" s="161" t="s">
        <v>2716</v>
      </c>
      <c r="I889" s="161" t="s">
        <v>2711</v>
      </c>
      <c r="J889" s="160">
        <v>8190</v>
      </c>
      <c r="K889" s="161" t="s">
        <v>380</v>
      </c>
      <c r="L889" s="160">
        <v>8190</v>
      </c>
      <c r="M889" s="161" t="s">
        <v>380</v>
      </c>
      <c r="N889" s="160">
        <v>0</v>
      </c>
      <c r="O889" s="160">
        <v>99999</v>
      </c>
      <c r="P889" s="160">
        <v>2457</v>
      </c>
      <c r="Q889" s="161" t="s">
        <v>237</v>
      </c>
    </row>
    <row r="890" spans="2:17" x14ac:dyDescent="0.3">
      <c r="B890" s="188">
        <v>623885</v>
      </c>
      <c r="C890" s="158" t="s">
        <v>1588</v>
      </c>
      <c r="D890" s="160">
        <v>0</v>
      </c>
      <c r="E890" s="161" t="s">
        <v>237</v>
      </c>
      <c r="F890" s="160">
        <v>0</v>
      </c>
      <c r="G890" s="161" t="s">
        <v>380</v>
      </c>
      <c r="H890" s="161" t="s">
        <v>2717</v>
      </c>
      <c r="I890" s="161" t="s">
        <v>2757</v>
      </c>
      <c r="J890" s="160">
        <v>6240</v>
      </c>
      <c r="K890" s="161" t="s">
        <v>380</v>
      </c>
      <c r="L890" s="160">
        <v>6240</v>
      </c>
      <c r="M890" s="161" t="s">
        <v>380</v>
      </c>
      <c r="N890" s="160">
        <v>0</v>
      </c>
      <c r="O890" s="160">
        <v>4</v>
      </c>
      <c r="P890" s="160">
        <v>2683.2</v>
      </c>
      <c r="Q890" s="161" t="s">
        <v>237</v>
      </c>
    </row>
    <row r="891" spans="2:17" x14ac:dyDescent="0.3">
      <c r="B891" s="188">
        <v>623886</v>
      </c>
      <c r="C891" s="158" t="s">
        <v>1589</v>
      </c>
      <c r="D891" s="160">
        <v>2184</v>
      </c>
      <c r="E891" s="161" t="s">
        <v>237</v>
      </c>
      <c r="F891" s="160">
        <v>5460</v>
      </c>
      <c r="G891" s="161" t="s">
        <v>380</v>
      </c>
      <c r="H891" s="161" t="s">
        <v>2817</v>
      </c>
      <c r="I891" s="161" t="s">
        <v>2815</v>
      </c>
      <c r="J891" s="160">
        <v>5460</v>
      </c>
      <c r="K891" s="161" t="s">
        <v>380</v>
      </c>
      <c r="L891" s="160">
        <v>10920</v>
      </c>
      <c r="M891" s="161" t="s">
        <v>380</v>
      </c>
      <c r="N891" s="160">
        <v>92</v>
      </c>
      <c r="O891" s="160">
        <v>4</v>
      </c>
      <c r="P891" s="160">
        <v>2184</v>
      </c>
      <c r="Q891" s="161" t="s">
        <v>237</v>
      </c>
    </row>
    <row r="892" spans="2:17" x14ac:dyDescent="0.3">
      <c r="B892" s="188">
        <v>623887</v>
      </c>
      <c r="C892" s="158" t="s">
        <v>1590</v>
      </c>
      <c r="D892" s="160">
        <v>0</v>
      </c>
      <c r="E892" s="161" t="s">
        <v>237</v>
      </c>
      <c r="F892" s="160">
        <v>0</v>
      </c>
      <c r="G892" s="161" t="s">
        <v>380</v>
      </c>
      <c r="H892" s="161" t="s">
        <v>2715</v>
      </c>
      <c r="I892" s="161" t="s">
        <v>2756</v>
      </c>
      <c r="J892" s="160">
        <v>3120</v>
      </c>
      <c r="K892" s="161" t="s">
        <v>380</v>
      </c>
      <c r="L892" s="160">
        <v>3120</v>
      </c>
      <c r="M892" s="161" t="s">
        <v>380</v>
      </c>
      <c r="N892" s="160">
        <v>0</v>
      </c>
      <c r="O892" s="160">
        <v>4</v>
      </c>
      <c r="P892" s="160">
        <v>1185.5999999999999</v>
      </c>
      <c r="Q892" s="161" t="s">
        <v>237</v>
      </c>
    </row>
    <row r="893" spans="2:17" x14ac:dyDescent="0.3">
      <c r="B893" s="188">
        <v>624034</v>
      </c>
      <c r="C893" s="158" t="s">
        <v>1591</v>
      </c>
      <c r="D893" s="160">
        <v>6119.84</v>
      </c>
      <c r="E893" s="161" t="s">
        <v>237</v>
      </c>
      <c r="F893" s="160">
        <v>83524</v>
      </c>
      <c r="G893" s="161" t="s">
        <v>380</v>
      </c>
      <c r="H893" s="161" t="s">
        <v>2705</v>
      </c>
      <c r="I893" s="161" t="s">
        <v>2703</v>
      </c>
      <c r="J893" s="160">
        <v>40292</v>
      </c>
      <c r="K893" s="161" t="s">
        <v>380</v>
      </c>
      <c r="L893" s="160">
        <v>25000</v>
      </c>
      <c r="M893" s="161" t="s">
        <v>380</v>
      </c>
      <c r="N893" s="160">
        <v>502</v>
      </c>
      <c r="O893" s="160">
        <v>0.18</v>
      </c>
      <c r="P893" s="160">
        <v>1120.46</v>
      </c>
      <c r="Q893" s="161" t="s">
        <v>237</v>
      </c>
    </row>
    <row r="894" spans="2:17" x14ac:dyDescent="0.3">
      <c r="B894" s="188">
        <v>624035</v>
      </c>
      <c r="C894" s="158" t="s">
        <v>1569</v>
      </c>
      <c r="D894" s="160">
        <v>2877.21</v>
      </c>
      <c r="E894" s="161" t="s">
        <v>237</v>
      </c>
      <c r="F894" s="160">
        <v>63.39</v>
      </c>
      <c r="G894" s="161" t="s">
        <v>374</v>
      </c>
      <c r="H894" s="161" t="s">
        <v>2757</v>
      </c>
      <c r="I894" s="161" t="s">
        <v>2761</v>
      </c>
      <c r="J894" s="160">
        <v>124.4</v>
      </c>
      <c r="K894" s="161" t="s">
        <v>374</v>
      </c>
      <c r="L894" s="160">
        <v>62.2</v>
      </c>
      <c r="M894" s="161" t="s">
        <v>374</v>
      </c>
      <c r="N894" s="160">
        <v>94</v>
      </c>
      <c r="O894" s="160">
        <v>0.66</v>
      </c>
      <c r="P894" s="160">
        <v>2823.16</v>
      </c>
      <c r="Q894" s="161" t="s">
        <v>237</v>
      </c>
    </row>
    <row r="895" spans="2:17" x14ac:dyDescent="0.3">
      <c r="B895" s="188">
        <v>624036</v>
      </c>
      <c r="C895" s="158" t="s">
        <v>1592</v>
      </c>
      <c r="D895" s="160">
        <v>3645.72</v>
      </c>
      <c r="E895" s="161" t="s">
        <v>237</v>
      </c>
      <c r="F895" s="160">
        <v>38376</v>
      </c>
      <c r="G895" s="161" t="s">
        <v>380</v>
      </c>
      <c r="H895" s="161" t="s">
        <v>2759</v>
      </c>
      <c r="I895" s="161" t="s">
        <v>2762</v>
      </c>
      <c r="J895" s="160">
        <v>20604</v>
      </c>
      <c r="K895" s="161" t="s">
        <v>380</v>
      </c>
      <c r="L895" s="160">
        <v>43000</v>
      </c>
      <c r="M895" s="161" t="s">
        <v>380</v>
      </c>
      <c r="N895" s="160">
        <v>333</v>
      </c>
      <c r="O895" s="160">
        <v>0.41</v>
      </c>
      <c r="P895" s="160">
        <v>1007.38</v>
      </c>
      <c r="Q895" s="161" t="s">
        <v>237</v>
      </c>
    </row>
    <row r="896" spans="2:17" x14ac:dyDescent="0.3">
      <c r="B896" s="188">
        <v>624037</v>
      </c>
      <c r="C896" s="158" t="s">
        <v>1593</v>
      </c>
      <c r="D896" s="160">
        <v>4685.3</v>
      </c>
      <c r="E896" s="161" t="s">
        <v>237</v>
      </c>
      <c r="F896" s="160">
        <v>49319</v>
      </c>
      <c r="G896" s="161" t="s">
        <v>380</v>
      </c>
      <c r="H896" s="161" t="s">
        <v>2759</v>
      </c>
      <c r="I896" s="161" t="s">
        <v>2716</v>
      </c>
      <c r="J896" s="160">
        <v>17265</v>
      </c>
      <c r="K896" s="161" t="s">
        <v>380</v>
      </c>
      <c r="L896" s="160">
        <v>41000</v>
      </c>
      <c r="M896" s="161" t="s">
        <v>380</v>
      </c>
      <c r="N896" s="160">
        <v>549</v>
      </c>
      <c r="O896" s="160">
        <v>0.23</v>
      </c>
      <c r="P896" s="160">
        <v>785.18</v>
      </c>
      <c r="Q896" s="161" t="s">
        <v>237</v>
      </c>
    </row>
    <row r="897" spans="2:17" x14ac:dyDescent="0.3">
      <c r="B897" s="188">
        <v>624038</v>
      </c>
      <c r="C897" s="158" t="s">
        <v>1594</v>
      </c>
      <c r="D897" s="160">
        <v>3041.38</v>
      </c>
      <c r="E897" s="161" t="s">
        <v>237</v>
      </c>
      <c r="F897" s="160">
        <v>18370</v>
      </c>
      <c r="G897" s="161" t="s">
        <v>380</v>
      </c>
      <c r="H897" s="161" t="s">
        <v>2707</v>
      </c>
      <c r="I897" s="161" t="s">
        <v>2717</v>
      </c>
      <c r="J897" s="160">
        <v>8352</v>
      </c>
      <c r="K897" s="161" t="s">
        <v>380</v>
      </c>
      <c r="L897" s="160">
        <v>2000</v>
      </c>
      <c r="M897" s="161" t="s">
        <v>380</v>
      </c>
      <c r="N897" s="160">
        <v>266</v>
      </c>
      <c r="O897" s="160">
        <v>0.32</v>
      </c>
      <c r="P897" s="160">
        <v>1051.6500000000001</v>
      </c>
      <c r="Q897" s="161" t="s">
        <v>237</v>
      </c>
    </row>
    <row r="898" spans="2:17" x14ac:dyDescent="0.3">
      <c r="B898" s="188">
        <v>624039</v>
      </c>
      <c r="C898" s="158" t="s">
        <v>1595</v>
      </c>
      <c r="D898" s="160">
        <v>4335.38</v>
      </c>
      <c r="E898" s="161" t="s">
        <v>237</v>
      </c>
      <c r="F898" s="160">
        <v>37699</v>
      </c>
      <c r="G898" s="161" t="s">
        <v>380</v>
      </c>
      <c r="H898" s="161" t="s">
        <v>2808</v>
      </c>
      <c r="I898" s="161" t="s">
        <v>2817</v>
      </c>
      <c r="J898" s="160">
        <v>21920</v>
      </c>
      <c r="K898" s="161" t="s">
        <v>380</v>
      </c>
      <c r="L898" s="160">
        <v>11000</v>
      </c>
      <c r="M898" s="161" t="s">
        <v>380</v>
      </c>
      <c r="N898" s="160">
        <v>318</v>
      </c>
      <c r="O898" s="160">
        <v>0.24</v>
      </c>
      <c r="P898" s="160">
        <v>1255.8</v>
      </c>
      <c r="Q898" s="161" t="s">
        <v>237</v>
      </c>
    </row>
    <row r="899" spans="2:17" x14ac:dyDescent="0.3">
      <c r="B899" s="188">
        <v>624040</v>
      </c>
      <c r="C899" s="158" t="s">
        <v>1596</v>
      </c>
      <c r="D899" s="160">
        <v>5732.52</v>
      </c>
      <c r="E899" s="161" t="s">
        <v>237</v>
      </c>
      <c r="F899" s="160">
        <v>49848</v>
      </c>
      <c r="G899" s="161" t="s">
        <v>380</v>
      </c>
      <c r="H899" s="161" t="s">
        <v>2707</v>
      </c>
      <c r="I899" s="161" t="s">
        <v>2715</v>
      </c>
      <c r="J899" s="160">
        <v>7156</v>
      </c>
      <c r="K899" s="161" t="s">
        <v>380</v>
      </c>
      <c r="L899" s="160">
        <v>4004</v>
      </c>
      <c r="M899" s="161" t="s">
        <v>380</v>
      </c>
      <c r="N899" s="160">
        <v>1455</v>
      </c>
      <c r="O899" s="160">
        <v>0.06</v>
      </c>
      <c r="P899" s="160">
        <v>362.48</v>
      </c>
      <c r="Q899" s="161" t="s">
        <v>237</v>
      </c>
    </row>
    <row r="900" spans="2:17" x14ac:dyDescent="0.3">
      <c r="B900" s="188">
        <v>624794</v>
      </c>
      <c r="C900" s="158" t="s">
        <v>1598</v>
      </c>
      <c r="D900" s="160">
        <v>6753.39</v>
      </c>
      <c r="E900" s="161" t="s">
        <v>237</v>
      </c>
      <c r="F900" s="160">
        <v>1243.5999999999999</v>
      </c>
      <c r="G900" s="161" t="s">
        <v>374</v>
      </c>
      <c r="H900" s="161" t="s">
        <v>2490</v>
      </c>
      <c r="I900" s="161" t="s">
        <v>2742</v>
      </c>
      <c r="J900" s="160">
        <v>25</v>
      </c>
      <c r="K900" s="161" t="s">
        <v>374</v>
      </c>
      <c r="L900" s="160">
        <v>0</v>
      </c>
      <c r="M900" s="161" t="s">
        <v>374</v>
      </c>
      <c r="N900" s="160">
        <v>99999</v>
      </c>
      <c r="O900" s="160">
        <v>0</v>
      </c>
      <c r="P900" s="160">
        <v>0</v>
      </c>
      <c r="Q900" s="161" t="s">
        <v>237</v>
      </c>
    </row>
    <row r="901" spans="2:17" x14ac:dyDescent="0.3">
      <c r="B901" s="188">
        <v>624822</v>
      </c>
      <c r="C901" s="158" t="s">
        <v>1610</v>
      </c>
      <c r="D901" s="160">
        <v>12034.75</v>
      </c>
      <c r="E901" s="161" t="s">
        <v>237</v>
      </c>
      <c r="F901" s="160">
        <v>84000</v>
      </c>
      <c r="G901" s="161" t="s">
        <v>380</v>
      </c>
      <c r="H901" s="161" t="s">
        <v>2798</v>
      </c>
      <c r="I901" s="161" t="s">
        <v>1960</v>
      </c>
      <c r="J901" s="160">
        <v>0</v>
      </c>
      <c r="K901" s="161" t="s">
        <v>380</v>
      </c>
      <c r="L901" s="160">
        <v>84000</v>
      </c>
      <c r="M901" s="161" t="s">
        <v>380</v>
      </c>
      <c r="N901" s="160">
        <v>99999</v>
      </c>
      <c r="O901" s="160">
        <v>0</v>
      </c>
      <c r="P901" s="160">
        <v>0</v>
      </c>
      <c r="Q901" s="161" t="s">
        <v>237</v>
      </c>
    </row>
    <row r="902" spans="2:17" x14ac:dyDescent="0.3">
      <c r="B902" s="188">
        <v>624962</v>
      </c>
      <c r="C902" s="158" t="s">
        <v>2724</v>
      </c>
      <c r="D902" s="160">
        <v>0</v>
      </c>
      <c r="E902" s="161" t="s">
        <v>237</v>
      </c>
      <c r="F902" s="160">
        <v>591</v>
      </c>
      <c r="G902" s="161" t="s">
        <v>374</v>
      </c>
      <c r="H902" s="161" t="s">
        <v>2752</v>
      </c>
      <c r="I902" s="161" t="s">
        <v>236</v>
      </c>
      <c r="J902" s="160">
        <v>0</v>
      </c>
      <c r="K902" s="161" t="s">
        <v>374</v>
      </c>
      <c r="L902" s="160">
        <v>591</v>
      </c>
      <c r="M902" s="161" t="s">
        <v>374</v>
      </c>
      <c r="N902" s="160">
        <v>0</v>
      </c>
      <c r="O902" s="160">
        <v>0</v>
      </c>
      <c r="P902" s="160">
        <v>0</v>
      </c>
      <c r="Q902" s="161" t="s">
        <v>237</v>
      </c>
    </row>
    <row r="903" spans="2:17" x14ac:dyDescent="0.3">
      <c r="B903" s="188">
        <v>624963</v>
      </c>
      <c r="C903" s="158" t="s">
        <v>2725</v>
      </c>
      <c r="D903" s="160">
        <v>0</v>
      </c>
      <c r="E903" s="161" t="s">
        <v>237</v>
      </c>
      <c r="F903" s="160">
        <v>249</v>
      </c>
      <c r="G903" s="161" t="s">
        <v>374</v>
      </c>
      <c r="H903" s="161" t="s">
        <v>2752</v>
      </c>
      <c r="I903" s="161" t="s">
        <v>236</v>
      </c>
      <c r="J903" s="160">
        <v>0</v>
      </c>
      <c r="K903" s="161" t="s">
        <v>374</v>
      </c>
      <c r="L903" s="160">
        <v>249</v>
      </c>
      <c r="M903" s="161" t="s">
        <v>374</v>
      </c>
      <c r="N903" s="160">
        <v>0</v>
      </c>
      <c r="O903" s="160">
        <v>0</v>
      </c>
      <c r="P903" s="160">
        <v>0</v>
      </c>
      <c r="Q903" s="161" t="s">
        <v>237</v>
      </c>
    </row>
    <row r="904" spans="2:17" x14ac:dyDescent="0.3">
      <c r="B904" s="188">
        <v>624964</v>
      </c>
      <c r="C904" s="158" t="s">
        <v>2766</v>
      </c>
      <c r="D904" s="160">
        <v>0</v>
      </c>
      <c r="E904" s="161" t="s">
        <v>237</v>
      </c>
      <c r="F904" s="160">
        <v>425</v>
      </c>
      <c r="G904" s="161" t="s">
        <v>374</v>
      </c>
      <c r="H904" s="161" t="s">
        <v>2752</v>
      </c>
      <c r="I904" s="161" t="s">
        <v>236</v>
      </c>
      <c r="J904" s="160">
        <v>0</v>
      </c>
      <c r="K904" s="161" t="s">
        <v>374</v>
      </c>
      <c r="L904" s="160">
        <v>425</v>
      </c>
      <c r="M904" s="161" t="s">
        <v>374</v>
      </c>
      <c r="N904" s="160">
        <v>0</v>
      </c>
      <c r="O904" s="160">
        <v>0</v>
      </c>
      <c r="P904" s="160">
        <v>0</v>
      </c>
      <c r="Q904" s="161" t="s">
        <v>237</v>
      </c>
    </row>
    <row r="905" spans="2:17" x14ac:dyDescent="0.3">
      <c r="B905" s="188">
        <v>624965</v>
      </c>
      <c r="C905" s="158" t="s">
        <v>2767</v>
      </c>
      <c r="D905" s="160">
        <v>0</v>
      </c>
      <c r="E905" s="161" t="s">
        <v>237</v>
      </c>
      <c r="F905" s="160">
        <v>357</v>
      </c>
      <c r="G905" s="161" t="s">
        <v>374</v>
      </c>
      <c r="H905" s="161" t="s">
        <v>2752</v>
      </c>
      <c r="I905" s="161" t="s">
        <v>236</v>
      </c>
      <c r="J905" s="160">
        <v>0</v>
      </c>
      <c r="K905" s="161" t="s">
        <v>374</v>
      </c>
      <c r="L905" s="160">
        <v>357</v>
      </c>
      <c r="M905" s="161" t="s">
        <v>374</v>
      </c>
      <c r="N905" s="160">
        <v>0</v>
      </c>
      <c r="O905" s="160">
        <v>0</v>
      </c>
      <c r="P905" s="160">
        <v>0</v>
      </c>
      <c r="Q905" s="161" t="s">
        <v>237</v>
      </c>
    </row>
    <row r="906" spans="2:17" x14ac:dyDescent="0.3">
      <c r="B906" s="188">
        <v>624966</v>
      </c>
      <c r="C906" s="158" t="s">
        <v>2768</v>
      </c>
      <c r="D906" s="160">
        <v>0</v>
      </c>
      <c r="E906" s="161" t="s">
        <v>237</v>
      </c>
      <c r="F906" s="160">
        <v>1050</v>
      </c>
      <c r="G906" s="161" t="s">
        <v>374</v>
      </c>
      <c r="H906" s="161" t="s">
        <v>2738</v>
      </c>
      <c r="I906" s="161" t="s">
        <v>236</v>
      </c>
      <c r="J906" s="160">
        <v>0</v>
      </c>
      <c r="K906" s="161" t="s">
        <v>374</v>
      </c>
      <c r="L906" s="160">
        <v>1050</v>
      </c>
      <c r="M906" s="161" t="s">
        <v>374</v>
      </c>
      <c r="N906" s="160">
        <v>0</v>
      </c>
      <c r="O906" s="160">
        <v>0</v>
      </c>
      <c r="P906" s="160">
        <v>0</v>
      </c>
      <c r="Q906" s="161" t="s">
        <v>237</v>
      </c>
    </row>
    <row r="907" spans="2:17" x14ac:dyDescent="0.3">
      <c r="B907" s="188">
        <v>624967</v>
      </c>
      <c r="C907" s="158" t="s">
        <v>2769</v>
      </c>
      <c r="D907" s="160">
        <v>0</v>
      </c>
      <c r="E907" s="161" t="s">
        <v>237</v>
      </c>
      <c r="F907" s="160">
        <v>1487</v>
      </c>
      <c r="G907" s="161" t="s">
        <v>374</v>
      </c>
      <c r="H907" s="161" t="s">
        <v>2752</v>
      </c>
      <c r="I907" s="161" t="s">
        <v>236</v>
      </c>
      <c r="J907" s="160">
        <v>0</v>
      </c>
      <c r="K907" s="161" t="s">
        <v>374</v>
      </c>
      <c r="L907" s="160">
        <v>1487</v>
      </c>
      <c r="M907" s="161" t="s">
        <v>374</v>
      </c>
      <c r="N907" s="160">
        <v>0</v>
      </c>
      <c r="O907" s="160">
        <v>0</v>
      </c>
      <c r="P907" s="160">
        <v>0</v>
      </c>
      <c r="Q907" s="161" t="s">
        <v>237</v>
      </c>
    </row>
    <row r="908" spans="2:17" x14ac:dyDescent="0.3">
      <c r="B908" s="188">
        <v>624968</v>
      </c>
      <c r="C908" s="158" t="s">
        <v>2770</v>
      </c>
      <c r="D908" s="160">
        <v>0</v>
      </c>
      <c r="E908" s="161" t="s">
        <v>237</v>
      </c>
      <c r="F908" s="160">
        <v>67</v>
      </c>
      <c r="G908" s="161" t="s">
        <v>374</v>
      </c>
      <c r="H908" s="161" t="s">
        <v>2752</v>
      </c>
      <c r="I908" s="161" t="s">
        <v>236</v>
      </c>
      <c r="J908" s="160">
        <v>0</v>
      </c>
      <c r="K908" s="161" t="s">
        <v>374</v>
      </c>
      <c r="L908" s="160">
        <v>67</v>
      </c>
      <c r="M908" s="161" t="s">
        <v>374</v>
      </c>
      <c r="N908" s="160">
        <v>0</v>
      </c>
      <c r="O908" s="160">
        <v>0</v>
      </c>
      <c r="P908" s="160">
        <v>0</v>
      </c>
      <c r="Q908" s="161" t="s">
        <v>237</v>
      </c>
    </row>
    <row r="909" spans="2:17" x14ac:dyDescent="0.3">
      <c r="B909" s="188">
        <v>625380</v>
      </c>
      <c r="C909" s="158" t="s">
        <v>2480</v>
      </c>
      <c r="D909" s="160">
        <v>0</v>
      </c>
      <c r="E909" s="161" t="s">
        <v>237</v>
      </c>
      <c r="F909" s="160">
        <v>0</v>
      </c>
      <c r="G909" s="161" t="s">
        <v>380</v>
      </c>
      <c r="H909" s="161" t="s">
        <v>1630</v>
      </c>
      <c r="I909" s="161" t="s">
        <v>1631</v>
      </c>
      <c r="J909" s="160">
        <v>0</v>
      </c>
      <c r="K909" s="161" t="s">
        <v>380</v>
      </c>
      <c r="L909" s="160">
        <v>0</v>
      </c>
      <c r="M909" s="161" t="s">
        <v>380</v>
      </c>
      <c r="N909" s="160">
        <v>0</v>
      </c>
      <c r="O909" s="160">
        <v>0</v>
      </c>
      <c r="P909" s="160">
        <v>0</v>
      </c>
      <c r="Q909" s="161" t="s">
        <v>237</v>
      </c>
    </row>
    <row r="910" spans="2:17" x14ac:dyDescent="0.3">
      <c r="B910" s="188">
        <v>625462</v>
      </c>
      <c r="C910" s="158" t="s">
        <v>2481</v>
      </c>
      <c r="D910" s="160">
        <v>0</v>
      </c>
      <c r="E910" s="161" t="s">
        <v>237</v>
      </c>
      <c r="F910" s="160">
        <v>0</v>
      </c>
      <c r="G910" s="161" t="s">
        <v>380</v>
      </c>
      <c r="H910" s="161" t="s">
        <v>2612</v>
      </c>
      <c r="I910" s="161" t="s">
        <v>2612</v>
      </c>
      <c r="J910" s="160">
        <v>0</v>
      </c>
      <c r="K910" s="161" t="s">
        <v>380</v>
      </c>
      <c r="L910" s="160">
        <v>0</v>
      </c>
      <c r="M910" s="161" t="s">
        <v>380</v>
      </c>
      <c r="N910" s="160">
        <v>0</v>
      </c>
      <c r="O910" s="160">
        <v>0</v>
      </c>
      <c r="P910" s="160">
        <v>0</v>
      </c>
      <c r="Q910" s="161" t="s">
        <v>237</v>
      </c>
    </row>
    <row r="911" spans="2:17" x14ac:dyDescent="0.3">
      <c r="B911" s="188">
        <v>626029</v>
      </c>
      <c r="C911" s="158" t="s">
        <v>2561</v>
      </c>
      <c r="D911" s="160">
        <v>13545.17</v>
      </c>
      <c r="E911" s="161" t="s">
        <v>237</v>
      </c>
      <c r="F911" s="160">
        <v>33037</v>
      </c>
      <c r="G911" s="161" t="s">
        <v>380</v>
      </c>
      <c r="H911" s="161" t="s">
        <v>2800</v>
      </c>
      <c r="I911" s="161" t="s">
        <v>2799</v>
      </c>
      <c r="J911" s="160">
        <v>82630</v>
      </c>
      <c r="K911" s="161" t="s">
        <v>380</v>
      </c>
      <c r="L911" s="160">
        <v>115534</v>
      </c>
      <c r="M911" s="161" t="s">
        <v>380</v>
      </c>
      <c r="N911" s="160">
        <v>82</v>
      </c>
      <c r="O911" s="160">
        <v>2.98</v>
      </c>
      <c r="P911" s="160">
        <v>15218.5</v>
      </c>
      <c r="Q911" s="161" t="s">
        <v>237</v>
      </c>
    </row>
    <row r="912" spans="2:17" x14ac:dyDescent="0.3">
      <c r="B912" s="188">
        <v>626073</v>
      </c>
      <c r="C912" s="158" t="s">
        <v>1987</v>
      </c>
      <c r="D912" s="160">
        <v>13448.79</v>
      </c>
      <c r="E912" s="161" t="s">
        <v>237</v>
      </c>
      <c r="F912" s="160">
        <v>366.07900000000001</v>
      </c>
      <c r="G912" s="161" t="s">
        <v>374</v>
      </c>
      <c r="H912" s="161" t="s">
        <v>2806</v>
      </c>
      <c r="I912" s="161" t="s">
        <v>2808</v>
      </c>
      <c r="J912" s="160">
        <v>339.858</v>
      </c>
      <c r="K912" s="161" t="s">
        <v>374</v>
      </c>
      <c r="L912" s="160">
        <v>569.5</v>
      </c>
      <c r="M912" s="161" t="s">
        <v>374</v>
      </c>
      <c r="N912" s="160">
        <v>207</v>
      </c>
      <c r="O912" s="160">
        <v>0.59</v>
      </c>
      <c r="P912" s="160">
        <v>5970.66</v>
      </c>
      <c r="Q912" s="161" t="s">
        <v>237</v>
      </c>
    </row>
    <row r="913" spans="2:17" x14ac:dyDescent="0.3">
      <c r="B913" s="188">
        <v>626074</v>
      </c>
      <c r="C913" s="158" t="s">
        <v>1988</v>
      </c>
      <c r="D913" s="160">
        <v>5049.0600000000004</v>
      </c>
      <c r="E913" s="161" t="s">
        <v>237</v>
      </c>
      <c r="F913" s="160">
        <v>64.48</v>
      </c>
      <c r="G913" s="161" t="s">
        <v>374</v>
      </c>
      <c r="H913" s="161" t="s">
        <v>2748</v>
      </c>
      <c r="I913" s="161" t="s">
        <v>2798</v>
      </c>
      <c r="J913" s="160">
        <v>59.491</v>
      </c>
      <c r="K913" s="161" t="s">
        <v>374</v>
      </c>
      <c r="L913" s="160">
        <v>29.745999999999999</v>
      </c>
      <c r="M913" s="161" t="s">
        <v>374</v>
      </c>
      <c r="N913" s="160">
        <v>199</v>
      </c>
      <c r="O913" s="160">
        <v>0.37</v>
      </c>
      <c r="P913" s="160">
        <v>2329.16</v>
      </c>
      <c r="Q913" s="161" t="s">
        <v>237</v>
      </c>
    </row>
    <row r="914" spans="2:17" x14ac:dyDescent="0.3">
      <c r="B914" s="188">
        <v>626988</v>
      </c>
      <c r="C914" s="158" t="s">
        <v>1953</v>
      </c>
      <c r="D914" s="160">
        <v>0</v>
      </c>
      <c r="E914" s="161" t="s">
        <v>237</v>
      </c>
      <c r="F914" s="160">
        <v>0</v>
      </c>
      <c r="G914" s="161" t="s">
        <v>380</v>
      </c>
      <c r="H914" s="161" t="s">
        <v>1959</v>
      </c>
      <c r="I914" s="161" t="s">
        <v>1959</v>
      </c>
      <c r="J914" s="160">
        <v>0</v>
      </c>
      <c r="K914" s="161" t="s">
        <v>380</v>
      </c>
      <c r="L914" s="160">
        <v>0</v>
      </c>
      <c r="M914" s="161" t="s">
        <v>380</v>
      </c>
      <c r="N914" s="160">
        <v>0</v>
      </c>
      <c r="O914" s="160">
        <v>0</v>
      </c>
      <c r="P914" s="160">
        <v>0</v>
      </c>
      <c r="Q914" s="161" t="s">
        <v>237</v>
      </c>
    </row>
    <row r="915" spans="2:17" x14ac:dyDescent="0.3">
      <c r="B915" s="188">
        <v>644322</v>
      </c>
      <c r="C915" s="158" t="s">
        <v>2482</v>
      </c>
      <c r="D915" s="160">
        <v>0</v>
      </c>
      <c r="E915" s="161" t="s">
        <v>237</v>
      </c>
      <c r="F915" s="160">
        <v>0</v>
      </c>
      <c r="G915" s="161" t="s">
        <v>380</v>
      </c>
      <c r="H915" s="161" t="s">
        <v>1979</v>
      </c>
      <c r="I915" s="161" t="s">
        <v>1979</v>
      </c>
      <c r="J915" s="160">
        <v>0</v>
      </c>
      <c r="K915" s="161" t="s">
        <v>380</v>
      </c>
      <c r="L915" s="160">
        <v>0</v>
      </c>
      <c r="M915" s="161" t="s">
        <v>380</v>
      </c>
      <c r="N915" s="160">
        <v>0</v>
      </c>
      <c r="O915" s="160">
        <v>0</v>
      </c>
      <c r="P915" s="160">
        <v>0</v>
      </c>
      <c r="Q915" s="161" t="s">
        <v>237</v>
      </c>
    </row>
    <row r="916" spans="2:17" x14ac:dyDescent="0.3">
      <c r="B916" s="188">
        <v>644323</v>
      </c>
      <c r="C916" s="158" t="s">
        <v>2488</v>
      </c>
      <c r="D916" s="160">
        <v>2370.41</v>
      </c>
      <c r="E916" s="161" t="s">
        <v>237</v>
      </c>
      <c r="F916" s="160">
        <v>24000</v>
      </c>
      <c r="G916" s="161" t="s">
        <v>380</v>
      </c>
      <c r="H916" s="161" t="s">
        <v>2499</v>
      </c>
      <c r="I916" s="161" t="s">
        <v>236</v>
      </c>
      <c r="J916" s="160">
        <v>0</v>
      </c>
      <c r="K916" s="161" t="s">
        <v>380</v>
      </c>
      <c r="L916" s="160">
        <v>0</v>
      </c>
      <c r="M916" s="161" t="s">
        <v>380</v>
      </c>
      <c r="N916" s="160">
        <v>99999</v>
      </c>
      <c r="O916" s="160">
        <v>0</v>
      </c>
      <c r="P916" s="160">
        <v>0</v>
      </c>
      <c r="Q916" s="161" t="s">
        <v>237</v>
      </c>
    </row>
    <row r="917" spans="2:17" x14ac:dyDescent="0.3">
      <c r="B917" s="188">
        <v>645095</v>
      </c>
      <c r="C917" s="158" t="s">
        <v>1983</v>
      </c>
      <c r="D917" s="160">
        <v>0</v>
      </c>
      <c r="E917" s="161" t="s">
        <v>237</v>
      </c>
      <c r="F917" s="160">
        <v>0</v>
      </c>
      <c r="G917" s="161" t="s">
        <v>380</v>
      </c>
      <c r="H917" s="161" t="s">
        <v>2680</v>
      </c>
      <c r="I917" s="161" t="s">
        <v>2699</v>
      </c>
      <c r="J917" s="160">
        <v>383</v>
      </c>
      <c r="K917" s="161" t="s">
        <v>380</v>
      </c>
      <c r="L917" s="160">
        <v>0</v>
      </c>
      <c r="M917" s="161" t="s">
        <v>380</v>
      </c>
      <c r="N917" s="160">
        <v>0</v>
      </c>
      <c r="O917" s="160">
        <v>0</v>
      </c>
      <c r="P917" s="160">
        <v>0</v>
      </c>
      <c r="Q917" s="161" t="s">
        <v>237</v>
      </c>
    </row>
    <row r="918" spans="2:17" x14ac:dyDescent="0.3">
      <c r="B918" s="188">
        <v>645097</v>
      </c>
      <c r="C918" s="158" t="s">
        <v>1971</v>
      </c>
      <c r="D918" s="160">
        <v>1397.25</v>
      </c>
      <c r="E918" s="161" t="s">
        <v>237</v>
      </c>
      <c r="F918" s="160">
        <v>675</v>
      </c>
      <c r="G918" s="161" t="s">
        <v>380</v>
      </c>
      <c r="H918" s="161" t="s">
        <v>2543</v>
      </c>
      <c r="I918" s="161" t="s">
        <v>236</v>
      </c>
      <c r="J918" s="160">
        <v>0</v>
      </c>
      <c r="K918" s="161" t="s">
        <v>380</v>
      </c>
      <c r="L918" s="160">
        <v>0</v>
      </c>
      <c r="M918" s="161" t="s">
        <v>380</v>
      </c>
      <c r="N918" s="160">
        <v>99999</v>
      </c>
      <c r="O918" s="160">
        <v>0</v>
      </c>
      <c r="P918" s="160">
        <v>0</v>
      </c>
      <c r="Q918" s="161" t="s">
        <v>237</v>
      </c>
    </row>
    <row r="919" spans="2:17" x14ac:dyDescent="0.3">
      <c r="B919" s="188">
        <v>645098</v>
      </c>
      <c r="C919" s="158" t="s">
        <v>1973</v>
      </c>
      <c r="D919" s="160">
        <v>0</v>
      </c>
      <c r="E919" s="161" t="s">
        <v>237</v>
      </c>
      <c r="F919" s="160">
        <v>0</v>
      </c>
      <c r="G919" s="161" t="s">
        <v>380</v>
      </c>
      <c r="H919" s="161" t="s">
        <v>2801</v>
      </c>
      <c r="I919" s="161" t="s">
        <v>2809</v>
      </c>
      <c r="J919" s="160">
        <v>78840</v>
      </c>
      <c r="K919" s="161" t="s">
        <v>380</v>
      </c>
      <c r="L919" s="160">
        <v>75600</v>
      </c>
      <c r="M919" s="161" t="s">
        <v>380</v>
      </c>
      <c r="N919" s="160">
        <v>0</v>
      </c>
      <c r="O919" s="160">
        <v>48.67</v>
      </c>
      <c r="P919" s="160">
        <v>12582</v>
      </c>
      <c r="Q919" s="161" t="s">
        <v>237</v>
      </c>
    </row>
    <row r="920" spans="2:17" x14ac:dyDescent="0.3">
      <c r="B920" s="188">
        <v>645100</v>
      </c>
      <c r="C920" s="158" t="s">
        <v>1968</v>
      </c>
      <c r="D920" s="160">
        <v>5570.06</v>
      </c>
      <c r="E920" s="161" t="s">
        <v>237</v>
      </c>
      <c r="F920" s="160">
        <v>95.796999999999997</v>
      </c>
      <c r="G920" s="161" t="s">
        <v>374</v>
      </c>
      <c r="H920" s="161" t="s">
        <v>2810</v>
      </c>
      <c r="I920" s="161" t="s">
        <v>2798</v>
      </c>
      <c r="J920" s="160">
        <v>41.701999999999998</v>
      </c>
      <c r="K920" s="161" t="s">
        <v>374</v>
      </c>
      <c r="L920" s="160">
        <v>16.600000000000001</v>
      </c>
      <c r="M920" s="161" t="s">
        <v>374</v>
      </c>
      <c r="N920" s="160">
        <v>351</v>
      </c>
      <c r="O920" s="160">
        <v>0.22</v>
      </c>
      <c r="P920" s="160">
        <v>1459.53</v>
      </c>
      <c r="Q920" s="161" t="s">
        <v>237</v>
      </c>
    </row>
    <row r="921" spans="2:17" x14ac:dyDescent="0.3">
      <c r="B921" s="188">
        <v>645826</v>
      </c>
      <c r="C921" s="158" t="s">
        <v>1989</v>
      </c>
      <c r="D921" s="160">
        <v>2673.27</v>
      </c>
      <c r="E921" s="161" t="s">
        <v>237</v>
      </c>
      <c r="F921" s="160">
        <v>67.507000000000005</v>
      </c>
      <c r="G921" s="161" t="s">
        <v>374</v>
      </c>
      <c r="H921" s="161" t="s">
        <v>2590</v>
      </c>
      <c r="I921" s="161" t="s">
        <v>2625</v>
      </c>
      <c r="J921" s="160">
        <v>0</v>
      </c>
      <c r="K921" s="161" t="s">
        <v>374</v>
      </c>
      <c r="L921" s="160">
        <v>0</v>
      </c>
      <c r="M921" s="161" t="s">
        <v>374</v>
      </c>
      <c r="N921" s="160">
        <v>99999</v>
      </c>
      <c r="O921" s="160">
        <v>0</v>
      </c>
      <c r="P921" s="160">
        <v>0</v>
      </c>
      <c r="Q921" s="161" t="s">
        <v>237</v>
      </c>
    </row>
    <row r="922" spans="2:17" x14ac:dyDescent="0.3">
      <c r="B922" s="188">
        <v>647556</v>
      </c>
      <c r="C922" s="158" t="s">
        <v>2545</v>
      </c>
      <c r="D922" s="160">
        <v>3603.6</v>
      </c>
      <c r="E922" s="161" t="s">
        <v>237</v>
      </c>
      <c r="F922" s="160">
        <v>13860</v>
      </c>
      <c r="G922" s="161" t="s">
        <v>380</v>
      </c>
      <c r="H922" s="161" t="s">
        <v>2753</v>
      </c>
      <c r="I922" s="161" t="s">
        <v>2811</v>
      </c>
      <c r="J922" s="160">
        <v>64680</v>
      </c>
      <c r="K922" s="161" t="s">
        <v>380</v>
      </c>
      <c r="L922" s="160">
        <v>50820</v>
      </c>
      <c r="M922" s="161" t="s">
        <v>380</v>
      </c>
      <c r="N922" s="160">
        <v>21</v>
      </c>
      <c r="O922" s="160">
        <v>2.33</v>
      </c>
      <c r="P922" s="160">
        <v>15800.4</v>
      </c>
      <c r="Q922" s="161" t="s">
        <v>237</v>
      </c>
    </row>
    <row r="923" spans="2:17" x14ac:dyDescent="0.3">
      <c r="B923" s="188">
        <v>647596</v>
      </c>
      <c r="C923" s="158" t="s">
        <v>2522</v>
      </c>
      <c r="D923" s="160">
        <v>14572.8</v>
      </c>
      <c r="E923" s="161" t="s">
        <v>237</v>
      </c>
      <c r="F923" s="160">
        <v>63360</v>
      </c>
      <c r="G923" s="161" t="s">
        <v>380</v>
      </c>
      <c r="H923" s="161" t="s">
        <v>2627</v>
      </c>
      <c r="I923" s="161" t="s">
        <v>2627</v>
      </c>
      <c r="J923" s="160">
        <v>0</v>
      </c>
      <c r="K923" s="161" t="s">
        <v>380</v>
      </c>
      <c r="L923" s="160">
        <v>0</v>
      </c>
      <c r="M923" s="161" t="s">
        <v>380</v>
      </c>
      <c r="N923" s="160">
        <v>99999</v>
      </c>
      <c r="O923" s="160">
        <v>0</v>
      </c>
      <c r="P923" s="160">
        <v>0</v>
      </c>
      <c r="Q923" s="161" t="s">
        <v>237</v>
      </c>
    </row>
    <row r="924" spans="2:17" x14ac:dyDescent="0.3">
      <c r="B924" s="188">
        <v>647640</v>
      </c>
      <c r="C924" s="158" t="s">
        <v>1984</v>
      </c>
      <c r="D924" s="160">
        <v>0</v>
      </c>
      <c r="E924" s="161" t="s">
        <v>237</v>
      </c>
      <c r="F924" s="160">
        <v>0</v>
      </c>
      <c r="G924" s="161" t="s">
        <v>380</v>
      </c>
      <c r="H924" s="161" t="s">
        <v>2502</v>
      </c>
      <c r="I924" s="161" t="s">
        <v>2555</v>
      </c>
      <c r="J924" s="160">
        <v>0</v>
      </c>
      <c r="K924" s="161" t="s">
        <v>380</v>
      </c>
      <c r="L924" s="160">
        <v>0</v>
      </c>
      <c r="M924" s="161" t="s">
        <v>380</v>
      </c>
      <c r="N924" s="160">
        <v>0</v>
      </c>
      <c r="O924" s="160">
        <v>0</v>
      </c>
      <c r="P924" s="160">
        <v>0</v>
      </c>
      <c r="Q924" s="161" t="s">
        <v>237</v>
      </c>
    </row>
    <row r="925" spans="2:17" x14ac:dyDescent="0.3">
      <c r="B925" s="188">
        <v>647684</v>
      </c>
      <c r="C925" s="158" t="s">
        <v>2546</v>
      </c>
      <c r="D925" s="160">
        <v>0</v>
      </c>
      <c r="E925" s="161" t="s">
        <v>237</v>
      </c>
      <c r="F925" s="160">
        <v>0</v>
      </c>
      <c r="G925" s="161" t="s">
        <v>380</v>
      </c>
      <c r="H925" s="161" t="s">
        <v>2803</v>
      </c>
      <c r="I925" s="161" t="s">
        <v>2815</v>
      </c>
      <c r="J925" s="160">
        <v>21560</v>
      </c>
      <c r="K925" s="161" t="s">
        <v>380</v>
      </c>
      <c r="L925" s="160">
        <v>21560</v>
      </c>
      <c r="M925" s="161" t="s">
        <v>380</v>
      </c>
      <c r="N925" s="160">
        <v>0</v>
      </c>
      <c r="O925" s="160">
        <v>99999</v>
      </c>
      <c r="P925" s="160">
        <v>5605.6</v>
      </c>
      <c r="Q925" s="161" t="s">
        <v>237</v>
      </c>
    </row>
    <row r="926" spans="2:17" x14ac:dyDescent="0.3">
      <c r="B926" s="188">
        <v>649108</v>
      </c>
      <c r="C926" s="158" t="s">
        <v>2523</v>
      </c>
      <c r="D926" s="160">
        <v>6000</v>
      </c>
      <c r="E926" s="161" t="s">
        <v>237</v>
      </c>
      <c r="F926" s="160">
        <v>40000</v>
      </c>
      <c r="G926" s="161" t="s">
        <v>380</v>
      </c>
      <c r="H926" s="161" t="s">
        <v>2817</v>
      </c>
      <c r="I926" s="161" t="s">
        <v>2808</v>
      </c>
      <c r="J926" s="160">
        <v>10000</v>
      </c>
      <c r="K926" s="161" t="s">
        <v>380</v>
      </c>
      <c r="L926" s="160">
        <v>14000</v>
      </c>
      <c r="M926" s="161" t="s">
        <v>380</v>
      </c>
      <c r="N926" s="160">
        <v>368</v>
      </c>
      <c r="O926" s="160">
        <v>0.28999999999999998</v>
      </c>
      <c r="P926" s="160">
        <v>1500</v>
      </c>
      <c r="Q926" s="161" t="s">
        <v>237</v>
      </c>
    </row>
    <row r="927" spans="2:17" x14ac:dyDescent="0.3">
      <c r="B927" s="188">
        <v>649201</v>
      </c>
      <c r="C927" s="158" t="s">
        <v>2771</v>
      </c>
      <c r="D927" s="160">
        <v>0</v>
      </c>
      <c r="E927" s="161" t="s">
        <v>237</v>
      </c>
      <c r="F927" s="160">
        <v>6200</v>
      </c>
      <c r="G927" s="161" t="s">
        <v>374</v>
      </c>
      <c r="H927" s="161" t="s">
        <v>2738</v>
      </c>
      <c r="I927" s="161" t="s">
        <v>236</v>
      </c>
      <c r="J927" s="160">
        <v>0</v>
      </c>
      <c r="K927" s="161" t="s">
        <v>374</v>
      </c>
      <c r="L927" s="160">
        <v>6200</v>
      </c>
      <c r="M927" s="161" t="s">
        <v>374</v>
      </c>
      <c r="N927" s="160">
        <v>0</v>
      </c>
      <c r="O927" s="160">
        <v>0</v>
      </c>
      <c r="P927" s="160">
        <v>0</v>
      </c>
      <c r="Q927" s="161" t="s">
        <v>237</v>
      </c>
    </row>
    <row r="928" spans="2:17" x14ac:dyDescent="0.3">
      <c r="B928" s="188">
        <v>649207</v>
      </c>
      <c r="C928" s="158" t="s">
        <v>2772</v>
      </c>
      <c r="D928" s="160">
        <v>0</v>
      </c>
      <c r="E928" s="161" t="s">
        <v>237</v>
      </c>
      <c r="F928" s="160">
        <v>400</v>
      </c>
      <c r="G928" s="161" t="s">
        <v>374</v>
      </c>
      <c r="H928" s="161" t="s">
        <v>2738</v>
      </c>
      <c r="I928" s="161" t="s">
        <v>236</v>
      </c>
      <c r="J928" s="160">
        <v>0</v>
      </c>
      <c r="K928" s="161" t="s">
        <v>374</v>
      </c>
      <c r="L928" s="160">
        <v>400</v>
      </c>
      <c r="M928" s="161" t="s">
        <v>374</v>
      </c>
      <c r="N928" s="160">
        <v>0</v>
      </c>
      <c r="O928" s="160">
        <v>0</v>
      </c>
      <c r="P928" s="160">
        <v>0</v>
      </c>
      <c r="Q928" s="161" t="s">
        <v>237</v>
      </c>
    </row>
    <row r="929" spans="2:17" x14ac:dyDescent="0.3">
      <c r="B929" s="188">
        <v>649222</v>
      </c>
      <c r="C929" s="158" t="s">
        <v>2773</v>
      </c>
      <c r="D929" s="160">
        <v>0</v>
      </c>
      <c r="E929" s="161" t="s">
        <v>237</v>
      </c>
      <c r="F929" s="160">
        <v>425</v>
      </c>
      <c r="G929" s="161" t="s">
        <v>374</v>
      </c>
      <c r="H929" s="161" t="s">
        <v>2752</v>
      </c>
      <c r="I929" s="161" t="s">
        <v>236</v>
      </c>
      <c r="J929" s="160">
        <v>0</v>
      </c>
      <c r="K929" s="161" t="s">
        <v>374</v>
      </c>
      <c r="L929" s="160">
        <v>425</v>
      </c>
      <c r="M929" s="161" t="s">
        <v>374</v>
      </c>
      <c r="N929" s="160">
        <v>0</v>
      </c>
      <c r="O929" s="160">
        <v>0</v>
      </c>
      <c r="P929" s="160">
        <v>0</v>
      </c>
      <c r="Q929" s="161" t="s">
        <v>237</v>
      </c>
    </row>
    <row r="930" spans="2:17" x14ac:dyDescent="0.3">
      <c r="B930" s="188">
        <v>649770</v>
      </c>
      <c r="C930" s="158" t="s">
        <v>2524</v>
      </c>
      <c r="D930" s="160">
        <v>0</v>
      </c>
      <c r="E930" s="161" t="s">
        <v>237</v>
      </c>
      <c r="F930" s="160">
        <v>0</v>
      </c>
      <c r="G930" s="161" t="s">
        <v>380</v>
      </c>
      <c r="H930" s="161" t="s">
        <v>2799</v>
      </c>
      <c r="I930" s="161" t="s">
        <v>2799</v>
      </c>
      <c r="J930" s="160">
        <v>85800</v>
      </c>
      <c r="K930" s="161" t="s">
        <v>380</v>
      </c>
      <c r="L930" s="160">
        <v>41800</v>
      </c>
      <c r="M930" s="161" t="s">
        <v>380</v>
      </c>
      <c r="N930" s="160">
        <v>0</v>
      </c>
      <c r="O930" s="160">
        <v>5.2</v>
      </c>
      <c r="P930" s="160">
        <v>6160.31</v>
      </c>
      <c r="Q930" s="161" t="s">
        <v>237</v>
      </c>
    </row>
    <row r="931" spans="2:17" x14ac:dyDescent="0.3">
      <c r="B931" s="188">
        <v>649771</v>
      </c>
      <c r="C931" s="158" t="s">
        <v>2527</v>
      </c>
      <c r="D931" s="160">
        <v>1018.99</v>
      </c>
      <c r="E931" s="161" t="s">
        <v>237</v>
      </c>
      <c r="F931" s="160">
        <v>20.178000000000001</v>
      </c>
      <c r="G931" s="161" t="s">
        <v>374</v>
      </c>
      <c r="H931" s="161" t="s">
        <v>2815</v>
      </c>
      <c r="I931" s="161" t="s">
        <v>2799</v>
      </c>
      <c r="J931" s="160">
        <v>14.465999999999999</v>
      </c>
      <c r="K931" s="161" t="s">
        <v>374</v>
      </c>
      <c r="L931" s="160">
        <v>9.6440000000000001</v>
      </c>
      <c r="M931" s="161" t="s">
        <v>374</v>
      </c>
      <c r="N931" s="160">
        <v>385</v>
      </c>
      <c r="O931" s="160">
        <v>0.2</v>
      </c>
      <c r="P931" s="160">
        <v>243.51</v>
      </c>
      <c r="Q931" s="161" t="s">
        <v>237</v>
      </c>
    </row>
    <row r="932" spans="2:17" x14ac:dyDescent="0.3">
      <c r="B932" s="188">
        <v>650112</v>
      </c>
      <c r="C932" s="158" t="s">
        <v>2525</v>
      </c>
      <c r="D932" s="160">
        <v>0</v>
      </c>
      <c r="E932" s="161" t="s">
        <v>237</v>
      </c>
      <c r="F932" s="160">
        <v>0</v>
      </c>
      <c r="G932" s="161" t="s">
        <v>380</v>
      </c>
      <c r="H932" s="161" t="s">
        <v>2817</v>
      </c>
      <c r="I932" s="161" t="s">
        <v>2817</v>
      </c>
      <c r="J932" s="160">
        <v>21840</v>
      </c>
      <c r="K932" s="161" t="s">
        <v>380</v>
      </c>
      <c r="L932" s="160">
        <v>21840</v>
      </c>
      <c r="M932" s="161" t="s">
        <v>380</v>
      </c>
      <c r="N932" s="160">
        <v>0</v>
      </c>
      <c r="O932" s="160">
        <v>99999</v>
      </c>
      <c r="P932" s="160">
        <v>5070</v>
      </c>
      <c r="Q932" s="161" t="s">
        <v>237</v>
      </c>
    </row>
    <row r="933" spans="2:17" x14ac:dyDescent="0.3">
      <c r="B933" s="188">
        <v>650289</v>
      </c>
      <c r="C933" s="158" t="s">
        <v>2526</v>
      </c>
      <c r="D933" s="160">
        <v>0</v>
      </c>
      <c r="E933" s="161" t="s">
        <v>237</v>
      </c>
      <c r="F933" s="160">
        <v>31008</v>
      </c>
      <c r="G933" s="161" t="s">
        <v>380</v>
      </c>
      <c r="H933" s="161" t="s">
        <v>2806</v>
      </c>
      <c r="I933" s="161" t="s">
        <v>2817</v>
      </c>
      <c r="J933" s="160">
        <v>34092</v>
      </c>
      <c r="K933" s="161" t="s">
        <v>380</v>
      </c>
      <c r="L933" s="160">
        <v>48500</v>
      </c>
      <c r="M933" s="161" t="s">
        <v>380</v>
      </c>
      <c r="N933" s="160">
        <v>0</v>
      </c>
      <c r="O933" s="160">
        <v>1.58</v>
      </c>
      <c r="P933" s="160">
        <v>0</v>
      </c>
      <c r="Q933" s="161" t="s">
        <v>237</v>
      </c>
    </row>
    <row r="934" spans="2:17" x14ac:dyDescent="0.3">
      <c r="B934" s="188">
        <v>650368</v>
      </c>
      <c r="C934" s="158" t="s">
        <v>2562</v>
      </c>
      <c r="D934" s="160">
        <v>0</v>
      </c>
      <c r="E934" s="161" t="s">
        <v>237</v>
      </c>
      <c r="F934" s="160">
        <v>0</v>
      </c>
      <c r="G934" s="161" t="s">
        <v>380</v>
      </c>
      <c r="H934" s="161" t="s">
        <v>2800</v>
      </c>
      <c r="I934" s="161" t="s">
        <v>2797</v>
      </c>
      <c r="J934" s="160">
        <v>15360</v>
      </c>
      <c r="K934" s="161" t="s">
        <v>380</v>
      </c>
      <c r="L934" s="160">
        <v>7680</v>
      </c>
      <c r="M934" s="161" t="s">
        <v>380</v>
      </c>
      <c r="N934" s="160">
        <v>0</v>
      </c>
      <c r="O934" s="160">
        <v>7.96</v>
      </c>
      <c r="P934" s="160">
        <v>6952.05</v>
      </c>
      <c r="Q934" s="161" t="s">
        <v>237</v>
      </c>
    </row>
    <row r="935" spans="2:17" x14ac:dyDescent="0.3">
      <c r="B935" s="188">
        <v>650369</v>
      </c>
      <c r="C935" s="158" t="s">
        <v>2777</v>
      </c>
      <c r="D935" s="160">
        <v>0</v>
      </c>
      <c r="E935" s="161" t="s">
        <v>237</v>
      </c>
      <c r="F935" s="160">
        <v>0</v>
      </c>
      <c r="G935" s="161" t="s">
        <v>380</v>
      </c>
      <c r="H935" s="161" t="s">
        <v>236</v>
      </c>
      <c r="I935" s="161" t="s">
        <v>236</v>
      </c>
      <c r="J935" s="160">
        <v>3000</v>
      </c>
      <c r="K935" s="161" t="s">
        <v>380</v>
      </c>
      <c r="L935" s="160">
        <v>3000</v>
      </c>
      <c r="M935" s="161" t="s">
        <v>380</v>
      </c>
      <c r="N935" s="160">
        <v>0</v>
      </c>
      <c r="O935" s="160">
        <v>99999</v>
      </c>
      <c r="P935" s="160">
        <v>30</v>
      </c>
      <c r="Q935" s="161" t="s">
        <v>237</v>
      </c>
    </row>
    <row r="936" spans="2:17" x14ac:dyDescent="0.3">
      <c r="B936" s="188">
        <v>650542</v>
      </c>
      <c r="C936" s="158" t="s">
        <v>2780</v>
      </c>
      <c r="D936" s="160">
        <v>0</v>
      </c>
      <c r="E936" s="161" t="s">
        <v>237</v>
      </c>
      <c r="F936" s="160">
        <v>0</v>
      </c>
      <c r="G936" s="161" t="s">
        <v>380</v>
      </c>
      <c r="H936" s="161" t="s">
        <v>236</v>
      </c>
      <c r="I936" s="161" t="s">
        <v>236</v>
      </c>
      <c r="J936" s="160">
        <v>3000</v>
      </c>
      <c r="K936" s="161" t="s">
        <v>380</v>
      </c>
      <c r="L936" s="160">
        <v>3000</v>
      </c>
      <c r="M936" s="161" t="s">
        <v>380</v>
      </c>
      <c r="N936" s="160">
        <v>0</v>
      </c>
      <c r="O936" s="160">
        <v>99999</v>
      </c>
      <c r="P936" s="160">
        <v>30</v>
      </c>
      <c r="Q936" s="161" t="s">
        <v>237</v>
      </c>
    </row>
    <row r="937" spans="2:17" x14ac:dyDescent="0.3">
      <c r="B937" s="188">
        <v>650545</v>
      </c>
      <c r="C937" s="158" t="s">
        <v>2783</v>
      </c>
      <c r="D937" s="160">
        <v>0</v>
      </c>
      <c r="E937" s="161" t="s">
        <v>237</v>
      </c>
      <c r="F937" s="160">
        <v>0</v>
      </c>
      <c r="G937" s="161" t="s">
        <v>380</v>
      </c>
      <c r="H937" s="161" t="s">
        <v>236</v>
      </c>
      <c r="I937" s="161" t="s">
        <v>236</v>
      </c>
      <c r="J937" s="160">
        <v>3000</v>
      </c>
      <c r="K937" s="161" t="s">
        <v>380</v>
      </c>
      <c r="L937" s="160">
        <v>3000</v>
      </c>
      <c r="M937" s="161" t="s">
        <v>380</v>
      </c>
      <c r="N937" s="160">
        <v>0</v>
      </c>
      <c r="O937" s="160">
        <v>99999</v>
      </c>
      <c r="P937" s="160">
        <v>30</v>
      </c>
      <c r="Q937" s="161" t="s">
        <v>237</v>
      </c>
    </row>
    <row r="938" spans="2:17" x14ac:dyDescent="0.3">
      <c r="B938" s="188">
        <v>650582</v>
      </c>
      <c r="C938" s="158" t="s">
        <v>2784</v>
      </c>
      <c r="D938" s="160">
        <v>0</v>
      </c>
      <c r="E938" s="161" t="s">
        <v>237</v>
      </c>
      <c r="F938" s="160">
        <v>0</v>
      </c>
      <c r="G938" s="161" t="s">
        <v>380</v>
      </c>
      <c r="H938" s="161" t="s">
        <v>236</v>
      </c>
      <c r="I938" s="161" t="s">
        <v>236</v>
      </c>
      <c r="J938" s="160">
        <v>3000</v>
      </c>
      <c r="K938" s="161" t="s">
        <v>380</v>
      </c>
      <c r="L938" s="160">
        <v>3000</v>
      </c>
      <c r="M938" s="161" t="s">
        <v>380</v>
      </c>
      <c r="N938" s="160">
        <v>0</v>
      </c>
      <c r="O938" s="160">
        <v>99999</v>
      </c>
      <c r="P938" s="160">
        <v>30</v>
      </c>
      <c r="Q938" s="161" t="s">
        <v>237</v>
      </c>
    </row>
    <row r="939" spans="2:17" x14ac:dyDescent="0.3">
      <c r="B939" s="188">
        <v>650584</v>
      </c>
      <c r="C939" s="158" t="s">
        <v>2785</v>
      </c>
      <c r="D939" s="160">
        <v>0</v>
      </c>
      <c r="E939" s="161" t="s">
        <v>237</v>
      </c>
      <c r="F939" s="160">
        <v>0</v>
      </c>
      <c r="G939" s="161" t="s">
        <v>380</v>
      </c>
      <c r="H939" s="161" t="s">
        <v>236</v>
      </c>
      <c r="I939" s="161" t="s">
        <v>236</v>
      </c>
      <c r="J939" s="160">
        <v>3000</v>
      </c>
      <c r="K939" s="161" t="s">
        <v>380</v>
      </c>
      <c r="L939" s="160">
        <v>3000</v>
      </c>
      <c r="M939" s="161" t="s">
        <v>380</v>
      </c>
      <c r="N939" s="160">
        <v>0</v>
      </c>
      <c r="O939" s="160">
        <v>99999</v>
      </c>
      <c r="P939" s="160">
        <v>30</v>
      </c>
      <c r="Q939" s="161" t="s">
        <v>237</v>
      </c>
    </row>
    <row r="940" spans="2:17" x14ac:dyDescent="0.3">
      <c r="B940" s="188">
        <v>650585</v>
      </c>
      <c r="C940" s="158" t="s">
        <v>2786</v>
      </c>
      <c r="D940" s="160">
        <v>0</v>
      </c>
      <c r="E940" s="161" t="s">
        <v>237</v>
      </c>
      <c r="F940" s="160">
        <v>0</v>
      </c>
      <c r="G940" s="161" t="s">
        <v>380</v>
      </c>
      <c r="H940" s="161" t="s">
        <v>236</v>
      </c>
      <c r="I940" s="161" t="s">
        <v>236</v>
      </c>
      <c r="J940" s="160">
        <v>3000</v>
      </c>
      <c r="K940" s="161" t="s">
        <v>380</v>
      </c>
      <c r="L940" s="160">
        <v>3000</v>
      </c>
      <c r="M940" s="161" t="s">
        <v>380</v>
      </c>
      <c r="N940" s="160">
        <v>0</v>
      </c>
      <c r="O940" s="160">
        <v>99999</v>
      </c>
      <c r="P940" s="160">
        <v>30</v>
      </c>
      <c r="Q940" s="161" t="s">
        <v>237</v>
      </c>
    </row>
    <row r="941" spans="2:17" x14ac:dyDescent="0.3">
      <c r="B941" s="188">
        <v>650606</v>
      </c>
      <c r="C941" s="158" t="s">
        <v>2774</v>
      </c>
      <c r="D941" s="160">
        <v>0</v>
      </c>
      <c r="E941" s="161" t="s">
        <v>237</v>
      </c>
      <c r="F941" s="160">
        <v>339</v>
      </c>
      <c r="G941" s="161" t="s">
        <v>374</v>
      </c>
      <c r="H941" s="161" t="s">
        <v>2752</v>
      </c>
      <c r="I941" s="161" t="s">
        <v>236</v>
      </c>
      <c r="J941" s="160">
        <v>0</v>
      </c>
      <c r="K941" s="161" t="s">
        <v>374</v>
      </c>
      <c r="L941" s="160">
        <v>339</v>
      </c>
      <c r="M941" s="161" t="s">
        <v>374</v>
      </c>
      <c r="N941" s="160">
        <v>0</v>
      </c>
      <c r="O941" s="160">
        <v>0</v>
      </c>
      <c r="P941" s="160">
        <v>0</v>
      </c>
      <c r="Q941" s="161" t="s">
        <v>237</v>
      </c>
    </row>
    <row r="942" spans="2:17" x14ac:dyDescent="0.3">
      <c r="B942" s="188">
        <v>652202</v>
      </c>
      <c r="C942" s="158" t="s">
        <v>2563</v>
      </c>
      <c r="D942" s="160">
        <v>1073.28</v>
      </c>
      <c r="E942" s="161" t="s">
        <v>237</v>
      </c>
      <c r="F942" s="160">
        <v>2496</v>
      </c>
      <c r="G942" s="161" t="s">
        <v>380</v>
      </c>
      <c r="H942" s="161" t="s">
        <v>2810</v>
      </c>
      <c r="I942" s="161" t="s">
        <v>2802</v>
      </c>
      <c r="J942" s="160">
        <v>12480</v>
      </c>
      <c r="K942" s="161" t="s">
        <v>380</v>
      </c>
      <c r="L942" s="160">
        <v>14352</v>
      </c>
      <c r="M942" s="161" t="s">
        <v>380</v>
      </c>
      <c r="N942" s="160">
        <v>20</v>
      </c>
      <c r="O942" s="160">
        <v>6.67</v>
      </c>
      <c r="P942" s="160">
        <v>4942.08</v>
      </c>
      <c r="Q942" s="161" t="s">
        <v>237</v>
      </c>
    </row>
    <row r="943" spans="2:17" x14ac:dyDescent="0.3">
      <c r="B943" s="188">
        <v>652203</v>
      </c>
      <c r="C943" s="158" t="s">
        <v>2564</v>
      </c>
      <c r="D943" s="160">
        <v>1073.28</v>
      </c>
      <c r="E943" s="161" t="s">
        <v>237</v>
      </c>
      <c r="F943" s="160">
        <v>2496</v>
      </c>
      <c r="G943" s="161" t="s">
        <v>380</v>
      </c>
      <c r="H943" s="161" t="s">
        <v>2800</v>
      </c>
      <c r="I943" s="161" t="s">
        <v>2802</v>
      </c>
      <c r="J943" s="160">
        <v>12480</v>
      </c>
      <c r="K943" s="161" t="s">
        <v>380</v>
      </c>
      <c r="L943" s="160">
        <v>14352</v>
      </c>
      <c r="M943" s="161" t="s">
        <v>380</v>
      </c>
      <c r="N943" s="160">
        <v>20</v>
      </c>
      <c r="O943" s="160">
        <v>10</v>
      </c>
      <c r="P943" s="160">
        <v>4917.12</v>
      </c>
      <c r="Q943" s="161" t="s">
        <v>237</v>
      </c>
    </row>
    <row r="944" spans="2:17" x14ac:dyDescent="0.3">
      <c r="B944" s="188">
        <v>652204</v>
      </c>
      <c r="C944" s="158" t="s">
        <v>2565</v>
      </c>
      <c r="D944" s="160">
        <v>1073.28</v>
      </c>
      <c r="E944" s="161" t="s">
        <v>237</v>
      </c>
      <c r="F944" s="160">
        <v>2496</v>
      </c>
      <c r="G944" s="161" t="s">
        <v>380</v>
      </c>
      <c r="H944" s="161" t="s">
        <v>2799</v>
      </c>
      <c r="I944" s="161" t="s">
        <v>2802</v>
      </c>
      <c r="J944" s="160">
        <v>11856</v>
      </c>
      <c r="K944" s="161" t="s">
        <v>380</v>
      </c>
      <c r="L944" s="160">
        <v>13728</v>
      </c>
      <c r="M944" s="161" t="s">
        <v>380</v>
      </c>
      <c r="N944" s="160">
        <v>21</v>
      </c>
      <c r="O944" s="160">
        <v>15.2</v>
      </c>
      <c r="P944" s="160">
        <v>4661.28</v>
      </c>
      <c r="Q944" s="161" t="s">
        <v>237</v>
      </c>
    </row>
    <row r="945" spans="2:17" x14ac:dyDescent="0.3">
      <c r="B945" s="188">
        <v>652333</v>
      </c>
      <c r="C945" s="158" t="s">
        <v>2585</v>
      </c>
      <c r="D945" s="160">
        <v>1574.53</v>
      </c>
      <c r="E945" s="161" t="s">
        <v>237</v>
      </c>
      <c r="F945" s="160">
        <v>108.587</v>
      </c>
      <c r="G945" s="161" t="s">
        <v>374</v>
      </c>
      <c r="H945" s="161" t="s">
        <v>2802</v>
      </c>
      <c r="I945" s="161" t="s">
        <v>2799</v>
      </c>
      <c r="J945" s="160">
        <v>214.41300000000001</v>
      </c>
      <c r="K945" s="161" t="s">
        <v>374</v>
      </c>
      <c r="L945" s="160">
        <v>135</v>
      </c>
      <c r="M945" s="161" t="s">
        <v>374</v>
      </c>
      <c r="N945" s="160">
        <v>7077</v>
      </c>
      <c r="O945" s="160">
        <v>0.01</v>
      </c>
      <c r="P945" s="160">
        <v>20.47</v>
      </c>
      <c r="Q945" s="161" t="s">
        <v>237</v>
      </c>
    </row>
    <row r="946" spans="2:17" x14ac:dyDescent="0.3">
      <c r="B946" s="188">
        <v>652829</v>
      </c>
      <c r="C946" s="158" t="s">
        <v>2566</v>
      </c>
      <c r="D946" s="160">
        <v>0</v>
      </c>
      <c r="E946" s="161" t="s">
        <v>237</v>
      </c>
      <c r="F946" s="160">
        <v>34052</v>
      </c>
      <c r="G946" s="161" t="s">
        <v>380</v>
      </c>
      <c r="H946" s="161" t="s">
        <v>2800</v>
      </c>
      <c r="I946" s="161" t="s">
        <v>2810</v>
      </c>
      <c r="J946" s="160">
        <v>30196</v>
      </c>
      <c r="K946" s="161" t="s">
        <v>380</v>
      </c>
      <c r="L946" s="160">
        <v>49800</v>
      </c>
      <c r="M946" s="161" t="s">
        <v>380</v>
      </c>
      <c r="N946" s="160">
        <v>0</v>
      </c>
      <c r="O946" s="160">
        <v>0.89</v>
      </c>
      <c r="P946" s="160">
        <v>0</v>
      </c>
      <c r="Q946" s="161" t="s">
        <v>237</v>
      </c>
    </row>
    <row r="947" spans="2:17" x14ac:dyDescent="0.3">
      <c r="B947" s="188">
        <v>652843</v>
      </c>
      <c r="C947" s="158" t="s">
        <v>2567</v>
      </c>
      <c r="D947" s="160">
        <v>0</v>
      </c>
      <c r="E947" s="161" t="s">
        <v>237</v>
      </c>
      <c r="F947" s="160">
        <v>36300</v>
      </c>
      <c r="G947" s="161" t="s">
        <v>380</v>
      </c>
      <c r="H947" s="161" t="s">
        <v>2800</v>
      </c>
      <c r="I947" s="161" t="s">
        <v>2800</v>
      </c>
      <c r="J947" s="160">
        <v>27480</v>
      </c>
      <c r="K947" s="161" t="s">
        <v>380</v>
      </c>
      <c r="L947" s="160">
        <v>50000</v>
      </c>
      <c r="M947" s="161" t="s">
        <v>380</v>
      </c>
      <c r="N947" s="160">
        <v>0</v>
      </c>
      <c r="O947" s="160">
        <v>0.79</v>
      </c>
      <c r="P947" s="160">
        <v>0</v>
      </c>
      <c r="Q947" s="161" t="s">
        <v>237</v>
      </c>
    </row>
    <row r="948" spans="2:17" x14ac:dyDescent="0.3">
      <c r="B948" s="188">
        <v>652844</v>
      </c>
      <c r="C948" s="158" t="s">
        <v>2568</v>
      </c>
      <c r="D948" s="160">
        <v>0</v>
      </c>
      <c r="E948" s="161" t="s">
        <v>237</v>
      </c>
      <c r="F948" s="160">
        <v>36477</v>
      </c>
      <c r="G948" s="161" t="s">
        <v>380</v>
      </c>
      <c r="H948" s="161" t="s">
        <v>2800</v>
      </c>
      <c r="I948" s="161" t="s">
        <v>2799</v>
      </c>
      <c r="J948" s="160">
        <v>30336</v>
      </c>
      <c r="K948" s="161" t="s">
        <v>380</v>
      </c>
      <c r="L948" s="160">
        <v>52700</v>
      </c>
      <c r="M948" s="161" t="s">
        <v>380</v>
      </c>
      <c r="N948" s="160">
        <v>0</v>
      </c>
      <c r="O948" s="160">
        <v>0.84</v>
      </c>
      <c r="P948" s="160">
        <v>0</v>
      </c>
      <c r="Q948" s="161" t="s">
        <v>237</v>
      </c>
    </row>
    <row r="949" spans="2:17" x14ac:dyDescent="0.3">
      <c r="B949" s="188">
        <v>653092</v>
      </c>
      <c r="C949" s="158" t="s">
        <v>2584</v>
      </c>
      <c r="D949" s="160">
        <v>7047.39</v>
      </c>
      <c r="E949" s="161" t="s">
        <v>237</v>
      </c>
      <c r="F949" s="160">
        <v>58800</v>
      </c>
      <c r="G949" s="161" t="s">
        <v>380</v>
      </c>
      <c r="H949" s="161" t="s">
        <v>2798</v>
      </c>
      <c r="I949" s="161" t="s">
        <v>2803</v>
      </c>
      <c r="J949" s="160">
        <v>176400</v>
      </c>
      <c r="K949" s="161" t="s">
        <v>380</v>
      </c>
      <c r="L949" s="160">
        <v>210000</v>
      </c>
      <c r="M949" s="161" t="s">
        <v>380</v>
      </c>
      <c r="N949" s="160">
        <v>32</v>
      </c>
      <c r="O949" s="160">
        <v>3.39</v>
      </c>
      <c r="P949" s="160">
        <v>19954.78</v>
      </c>
      <c r="Q949" s="161" t="s">
        <v>237</v>
      </c>
    </row>
    <row r="950" spans="2:17" x14ac:dyDescent="0.3">
      <c r="B950" s="188">
        <v>655799</v>
      </c>
      <c r="C950" s="158" t="s">
        <v>2603</v>
      </c>
      <c r="D950" s="160">
        <v>0</v>
      </c>
      <c r="E950" s="161" t="s">
        <v>237</v>
      </c>
      <c r="F950" s="160">
        <v>0</v>
      </c>
      <c r="G950" s="161" t="s">
        <v>380</v>
      </c>
      <c r="H950" s="161" t="s">
        <v>2607</v>
      </c>
      <c r="I950" s="161" t="s">
        <v>2615</v>
      </c>
      <c r="J950" s="160">
        <v>0</v>
      </c>
      <c r="K950" s="161" t="s">
        <v>380</v>
      </c>
      <c r="L950" s="160">
        <v>0</v>
      </c>
      <c r="M950" s="161" t="s">
        <v>380</v>
      </c>
      <c r="N950" s="160">
        <v>0</v>
      </c>
      <c r="O950" s="160">
        <v>0</v>
      </c>
      <c r="P950" s="160">
        <v>0</v>
      </c>
      <c r="Q950" s="161" t="s">
        <v>237</v>
      </c>
    </row>
    <row r="951" spans="2:17" x14ac:dyDescent="0.3">
      <c r="B951" s="188">
        <v>655801</v>
      </c>
      <c r="C951" s="158" t="s">
        <v>2604</v>
      </c>
      <c r="D951" s="160">
        <v>0</v>
      </c>
      <c r="E951" s="161" t="s">
        <v>237</v>
      </c>
      <c r="F951" s="160">
        <v>0</v>
      </c>
      <c r="G951" s="161" t="s">
        <v>380</v>
      </c>
      <c r="H951" s="161" t="s">
        <v>2614</v>
      </c>
      <c r="I951" s="161" t="s">
        <v>2615</v>
      </c>
      <c r="J951" s="160">
        <v>0</v>
      </c>
      <c r="K951" s="161" t="s">
        <v>380</v>
      </c>
      <c r="L951" s="160">
        <v>0</v>
      </c>
      <c r="M951" s="161" t="s">
        <v>380</v>
      </c>
      <c r="N951" s="160">
        <v>0</v>
      </c>
      <c r="O951" s="160">
        <v>0</v>
      </c>
      <c r="P951" s="160">
        <v>0</v>
      </c>
      <c r="Q951" s="161" t="s">
        <v>237</v>
      </c>
    </row>
    <row r="952" spans="2:17" x14ac:dyDescent="0.3">
      <c r="B952" s="188">
        <v>655990</v>
      </c>
      <c r="C952" s="158" t="s">
        <v>2605</v>
      </c>
      <c r="D952" s="160">
        <v>68684.91</v>
      </c>
      <c r="E952" s="161" t="s">
        <v>237</v>
      </c>
      <c r="F952" s="160">
        <v>9993.3700000000008</v>
      </c>
      <c r="G952" s="161" t="s">
        <v>374</v>
      </c>
      <c r="H952" s="161" t="s">
        <v>2801</v>
      </c>
      <c r="I952" s="161" t="s">
        <v>2816</v>
      </c>
      <c r="J952" s="160">
        <v>10970.983</v>
      </c>
      <c r="K952" s="161" t="s">
        <v>374</v>
      </c>
      <c r="L952" s="160">
        <v>15464.352999999999</v>
      </c>
      <c r="M952" s="161" t="s">
        <v>374</v>
      </c>
      <c r="N952" s="160">
        <v>208</v>
      </c>
      <c r="O952" s="160">
        <v>0.78</v>
      </c>
      <c r="P952" s="160">
        <v>30444.76</v>
      </c>
      <c r="Q952" s="161" t="s">
        <v>237</v>
      </c>
    </row>
    <row r="953" spans="2:17" x14ac:dyDescent="0.3">
      <c r="B953" s="188">
        <v>656090</v>
      </c>
      <c r="C953" s="158" t="s">
        <v>2617</v>
      </c>
      <c r="D953" s="160">
        <v>0</v>
      </c>
      <c r="E953" s="161" t="s">
        <v>237</v>
      </c>
      <c r="F953" s="160">
        <v>0</v>
      </c>
      <c r="G953" s="161" t="s">
        <v>380</v>
      </c>
      <c r="H953" s="161" t="s">
        <v>2608</v>
      </c>
      <c r="I953" s="161" t="s">
        <v>2608</v>
      </c>
      <c r="J953" s="160">
        <v>0</v>
      </c>
      <c r="K953" s="161" t="s">
        <v>380</v>
      </c>
      <c r="L953" s="160">
        <v>0</v>
      </c>
      <c r="M953" s="161" t="s">
        <v>380</v>
      </c>
      <c r="N953" s="160">
        <v>0</v>
      </c>
      <c r="O953" s="160">
        <v>0</v>
      </c>
      <c r="P953" s="160">
        <v>0</v>
      </c>
      <c r="Q953" s="161" t="s">
        <v>237</v>
      </c>
    </row>
    <row r="954" spans="2:17" x14ac:dyDescent="0.3">
      <c r="B954" s="188">
        <v>657111</v>
      </c>
      <c r="C954" s="158" t="s">
        <v>2620</v>
      </c>
      <c r="D954" s="160">
        <v>1128</v>
      </c>
      <c r="E954" s="161" t="s">
        <v>237</v>
      </c>
      <c r="F954" s="160">
        <v>6000</v>
      </c>
      <c r="G954" s="161" t="s">
        <v>380</v>
      </c>
      <c r="H954" s="161" t="s">
        <v>2643</v>
      </c>
      <c r="I954" s="161" t="s">
        <v>236</v>
      </c>
      <c r="J954" s="160">
        <v>0</v>
      </c>
      <c r="K954" s="161" t="s">
        <v>380</v>
      </c>
      <c r="L954" s="160">
        <v>0</v>
      </c>
      <c r="M954" s="161" t="s">
        <v>380</v>
      </c>
      <c r="N954" s="160">
        <v>99999</v>
      </c>
      <c r="O954" s="160">
        <v>0</v>
      </c>
      <c r="P954" s="160">
        <v>0</v>
      </c>
      <c r="Q954" s="161" t="s">
        <v>237</v>
      </c>
    </row>
    <row r="955" spans="2:17" x14ac:dyDescent="0.3">
      <c r="B955" s="188">
        <v>657130</v>
      </c>
      <c r="C955" s="158" t="s">
        <v>2624</v>
      </c>
      <c r="D955" s="160">
        <v>9240</v>
      </c>
      <c r="E955" s="161" t="s">
        <v>237</v>
      </c>
      <c r="F955" s="160">
        <v>2200</v>
      </c>
      <c r="G955" s="161" t="s">
        <v>374</v>
      </c>
      <c r="H955" s="161" t="s">
        <v>2634</v>
      </c>
      <c r="I955" s="161" t="s">
        <v>2741</v>
      </c>
      <c r="J955" s="160">
        <v>1300</v>
      </c>
      <c r="K955" s="161" t="s">
        <v>374</v>
      </c>
      <c r="L955" s="160">
        <v>0</v>
      </c>
      <c r="M955" s="161" t="s">
        <v>374</v>
      </c>
      <c r="N955" s="160">
        <v>99999</v>
      </c>
      <c r="O955" s="160">
        <v>0</v>
      </c>
      <c r="P955" s="160">
        <v>0</v>
      </c>
      <c r="Q955" s="161" t="s">
        <v>237</v>
      </c>
    </row>
    <row r="956" spans="2:17" x14ac:dyDescent="0.3">
      <c r="B956" s="188">
        <v>657222</v>
      </c>
      <c r="C956" s="158" t="s">
        <v>2621</v>
      </c>
      <c r="D956" s="160">
        <v>0</v>
      </c>
      <c r="E956" s="161" t="s">
        <v>237</v>
      </c>
      <c r="F956" s="160">
        <v>0</v>
      </c>
      <c r="G956" s="161" t="s">
        <v>380</v>
      </c>
      <c r="H956" s="161" t="s">
        <v>2668</v>
      </c>
      <c r="I956" s="161" t="s">
        <v>2668</v>
      </c>
      <c r="J956" s="160">
        <v>0</v>
      </c>
      <c r="K956" s="161" t="s">
        <v>380</v>
      </c>
      <c r="L956" s="160">
        <v>0</v>
      </c>
      <c r="M956" s="161" t="s">
        <v>380</v>
      </c>
      <c r="N956" s="160">
        <v>0</v>
      </c>
      <c r="O956" s="160">
        <v>0</v>
      </c>
      <c r="P956" s="160">
        <v>0</v>
      </c>
      <c r="Q956" s="161" t="s">
        <v>237</v>
      </c>
    </row>
    <row r="957" spans="2:17" x14ac:dyDescent="0.3">
      <c r="B957" s="188">
        <v>657223</v>
      </c>
      <c r="C957" s="158" t="s">
        <v>2648</v>
      </c>
      <c r="D957" s="160">
        <v>2385.48</v>
      </c>
      <c r="E957" s="161" t="s">
        <v>237</v>
      </c>
      <c r="F957" s="160">
        <v>18500</v>
      </c>
      <c r="G957" s="161" t="s">
        <v>380</v>
      </c>
      <c r="H957" s="161" t="s">
        <v>2816</v>
      </c>
      <c r="I957" s="161" t="s">
        <v>2807</v>
      </c>
      <c r="J957" s="160">
        <v>13500</v>
      </c>
      <c r="K957" s="161" t="s">
        <v>380</v>
      </c>
      <c r="L957" s="160">
        <v>24000</v>
      </c>
      <c r="M957" s="161" t="s">
        <v>380</v>
      </c>
      <c r="N957" s="160">
        <v>143</v>
      </c>
      <c r="O957" s="160">
        <v>1.57</v>
      </c>
      <c r="P957" s="160">
        <v>1535.93</v>
      </c>
      <c r="Q957" s="161" t="s">
        <v>237</v>
      </c>
    </row>
    <row r="958" spans="2:17" x14ac:dyDescent="0.3">
      <c r="B958" s="188">
        <v>657587</v>
      </c>
      <c r="C958" s="158" t="s">
        <v>2649</v>
      </c>
      <c r="D958" s="160">
        <v>0</v>
      </c>
      <c r="E958" s="161" t="s">
        <v>237</v>
      </c>
      <c r="F958" s="160">
        <v>0</v>
      </c>
      <c r="G958" s="161" t="s">
        <v>380</v>
      </c>
      <c r="H958" s="161" t="s">
        <v>2661</v>
      </c>
      <c r="I958" s="161" t="s">
        <v>2661</v>
      </c>
      <c r="J958" s="160">
        <v>0</v>
      </c>
      <c r="K958" s="161" t="s">
        <v>380</v>
      </c>
      <c r="L958" s="160">
        <v>0</v>
      </c>
      <c r="M958" s="161" t="s">
        <v>380</v>
      </c>
      <c r="N958" s="160">
        <v>0</v>
      </c>
      <c r="O958" s="160">
        <v>0</v>
      </c>
      <c r="P958" s="160">
        <v>0</v>
      </c>
      <c r="Q958" s="161" t="s">
        <v>237</v>
      </c>
    </row>
    <row r="959" spans="2:17" x14ac:dyDescent="0.3">
      <c r="B959" s="188">
        <v>657982</v>
      </c>
      <c r="C959" s="158" t="s">
        <v>2646</v>
      </c>
      <c r="D959" s="160">
        <v>0</v>
      </c>
      <c r="E959" s="161" t="s">
        <v>237</v>
      </c>
      <c r="F959" s="160">
        <v>0</v>
      </c>
      <c r="G959" s="161" t="s">
        <v>380</v>
      </c>
      <c r="H959" s="161" t="s">
        <v>2747</v>
      </c>
      <c r="I959" s="161" t="s">
        <v>2752</v>
      </c>
      <c r="J959" s="160">
        <v>36652</v>
      </c>
      <c r="K959" s="161" t="s">
        <v>380</v>
      </c>
      <c r="L959" s="160">
        <v>26950</v>
      </c>
      <c r="M959" s="161" t="s">
        <v>380</v>
      </c>
      <c r="N959" s="160">
        <v>0</v>
      </c>
      <c r="O959" s="160">
        <v>15.11</v>
      </c>
      <c r="P959" s="160">
        <v>8537.76</v>
      </c>
      <c r="Q959" s="161" t="s">
        <v>237</v>
      </c>
    </row>
    <row r="960" spans="2:17" x14ac:dyDescent="0.3">
      <c r="B960" s="188">
        <v>657983</v>
      </c>
      <c r="C960" s="158" t="s">
        <v>2651</v>
      </c>
      <c r="D960" s="160">
        <v>0</v>
      </c>
      <c r="E960" s="161" t="s">
        <v>237</v>
      </c>
      <c r="F960" s="160">
        <v>42600</v>
      </c>
      <c r="G960" s="161" t="s">
        <v>380</v>
      </c>
      <c r="H960" s="161" t="s">
        <v>2801</v>
      </c>
      <c r="I960" s="161" t="s">
        <v>2747</v>
      </c>
      <c r="J960" s="160">
        <v>54310</v>
      </c>
      <c r="K960" s="161" t="s">
        <v>380</v>
      </c>
      <c r="L960" s="160">
        <v>96800</v>
      </c>
      <c r="M960" s="161" t="s">
        <v>380</v>
      </c>
      <c r="N960" s="160">
        <v>0</v>
      </c>
      <c r="O960" s="160">
        <v>1.62</v>
      </c>
      <c r="P960" s="160">
        <v>0</v>
      </c>
      <c r="Q960" s="161" t="s">
        <v>237</v>
      </c>
    </row>
    <row r="961" spans="2:17" x14ac:dyDescent="0.3">
      <c r="B961" s="188">
        <v>658124</v>
      </c>
      <c r="C961" s="158" t="s">
        <v>2652</v>
      </c>
      <c r="D961" s="160">
        <v>0</v>
      </c>
      <c r="E961" s="161" t="s">
        <v>237</v>
      </c>
      <c r="F961" s="160">
        <v>0</v>
      </c>
      <c r="G961" s="161" t="s">
        <v>380</v>
      </c>
      <c r="H961" s="161" t="s">
        <v>2752</v>
      </c>
      <c r="I961" s="161" t="s">
        <v>2753</v>
      </c>
      <c r="J961" s="160">
        <v>37730</v>
      </c>
      <c r="K961" s="161" t="s">
        <v>380</v>
      </c>
      <c r="L961" s="160">
        <v>37730</v>
      </c>
      <c r="M961" s="161" t="s">
        <v>380</v>
      </c>
      <c r="N961" s="160">
        <v>0</v>
      </c>
      <c r="O961" s="160">
        <v>99999</v>
      </c>
      <c r="P961" s="160">
        <v>8904.2800000000007</v>
      </c>
      <c r="Q961" s="161" t="s">
        <v>237</v>
      </c>
    </row>
    <row r="962" spans="2:17" x14ac:dyDescent="0.3">
      <c r="B962" s="188">
        <v>658125</v>
      </c>
      <c r="C962" s="158" t="s">
        <v>2653</v>
      </c>
      <c r="D962" s="160">
        <v>0</v>
      </c>
      <c r="E962" s="161" t="s">
        <v>237</v>
      </c>
      <c r="F962" s="160">
        <v>36800</v>
      </c>
      <c r="G962" s="161" t="s">
        <v>380</v>
      </c>
      <c r="H962" s="161" t="s">
        <v>2809</v>
      </c>
      <c r="I962" s="161" t="s">
        <v>2744</v>
      </c>
      <c r="J962" s="160">
        <v>66581</v>
      </c>
      <c r="K962" s="161" t="s">
        <v>380</v>
      </c>
      <c r="L962" s="160">
        <v>94200</v>
      </c>
      <c r="M962" s="161" t="s">
        <v>380</v>
      </c>
      <c r="N962" s="160">
        <v>0</v>
      </c>
      <c r="O962" s="160">
        <v>1.96</v>
      </c>
      <c r="P962" s="160">
        <v>0</v>
      </c>
      <c r="Q962" s="161" t="s">
        <v>237</v>
      </c>
    </row>
    <row r="963" spans="2:17" x14ac:dyDescent="0.3">
      <c r="B963" s="188">
        <v>658159</v>
      </c>
      <c r="C963" s="158" t="s">
        <v>2654</v>
      </c>
      <c r="D963" s="160">
        <v>0</v>
      </c>
      <c r="E963" s="161" t="s">
        <v>237</v>
      </c>
      <c r="F963" s="160">
        <v>0</v>
      </c>
      <c r="G963" s="161" t="s">
        <v>380</v>
      </c>
      <c r="H963" s="161" t="s">
        <v>2744</v>
      </c>
      <c r="I963" s="161" t="s">
        <v>2744</v>
      </c>
      <c r="J963" s="160">
        <v>45276</v>
      </c>
      <c r="K963" s="161" t="s">
        <v>380</v>
      </c>
      <c r="L963" s="160">
        <v>45276</v>
      </c>
      <c r="M963" s="161" t="s">
        <v>380</v>
      </c>
      <c r="N963" s="160">
        <v>0</v>
      </c>
      <c r="O963" s="160">
        <v>14</v>
      </c>
      <c r="P963" s="160">
        <v>10715.32</v>
      </c>
      <c r="Q963" s="161" t="s">
        <v>237</v>
      </c>
    </row>
    <row r="964" spans="2:17" x14ac:dyDescent="0.3">
      <c r="B964" s="188">
        <v>658161</v>
      </c>
      <c r="C964" s="158" t="s">
        <v>2655</v>
      </c>
      <c r="D964" s="160">
        <v>1078</v>
      </c>
      <c r="E964" s="161" t="s">
        <v>237</v>
      </c>
      <c r="F964" s="160">
        <v>4312</v>
      </c>
      <c r="G964" s="161" t="s">
        <v>380</v>
      </c>
      <c r="H964" s="161" t="s">
        <v>2798</v>
      </c>
      <c r="I964" s="161" t="s">
        <v>2744</v>
      </c>
      <c r="J964" s="160">
        <v>37730</v>
      </c>
      <c r="K964" s="161" t="s">
        <v>380</v>
      </c>
      <c r="L964" s="160">
        <v>42042</v>
      </c>
      <c r="M964" s="161" t="s">
        <v>380</v>
      </c>
      <c r="N964" s="160">
        <v>11</v>
      </c>
      <c r="O964" s="160">
        <v>35</v>
      </c>
      <c r="P964" s="160">
        <v>8904.2800000000007</v>
      </c>
      <c r="Q964" s="161" t="s">
        <v>237</v>
      </c>
    </row>
    <row r="965" spans="2:17" x14ac:dyDescent="0.3">
      <c r="B965" s="188">
        <v>658162</v>
      </c>
      <c r="C965" s="158" t="s">
        <v>2656</v>
      </c>
      <c r="D965" s="160">
        <v>0</v>
      </c>
      <c r="E965" s="161" t="s">
        <v>237</v>
      </c>
      <c r="F965" s="160">
        <v>31130</v>
      </c>
      <c r="G965" s="161" t="s">
        <v>380</v>
      </c>
      <c r="H965" s="161" t="s">
        <v>2799</v>
      </c>
      <c r="I965" s="161" t="s">
        <v>2798</v>
      </c>
      <c r="J965" s="160">
        <v>77361</v>
      </c>
      <c r="K965" s="161" t="s">
        <v>380</v>
      </c>
      <c r="L965" s="160">
        <v>96846</v>
      </c>
      <c r="M965" s="161" t="s">
        <v>380</v>
      </c>
      <c r="N965" s="160">
        <v>0</v>
      </c>
      <c r="O965" s="160">
        <v>2.31</v>
      </c>
      <c r="P965" s="160">
        <v>0</v>
      </c>
      <c r="Q965" s="161" t="s">
        <v>237</v>
      </c>
    </row>
    <row r="966" spans="2:17" x14ac:dyDescent="0.3">
      <c r="B966" s="188">
        <v>658163</v>
      </c>
      <c r="C966" s="158" t="s">
        <v>2657</v>
      </c>
      <c r="D966" s="160">
        <v>0</v>
      </c>
      <c r="E966" s="161" t="s">
        <v>237</v>
      </c>
      <c r="F966" s="160">
        <v>50609</v>
      </c>
      <c r="G966" s="161" t="s">
        <v>380</v>
      </c>
      <c r="H966" s="161" t="s">
        <v>2809</v>
      </c>
      <c r="I966" s="161" t="s">
        <v>2748</v>
      </c>
      <c r="J966" s="160">
        <v>64094</v>
      </c>
      <c r="K966" s="161" t="s">
        <v>380</v>
      </c>
      <c r="L966" s="160">
        <v>93946</v>
      </c>
      <c r="M966" s="161" t="s">
        <v>380</v>
      </c>
      <c r="N966" s="160">
        <v>0</v>
      </c>
      <c r="O966" s="160">
        <v>1.37</v>
      </c>
      <c r="P966" s="160">
        <v>0</v>
      </c>
      <c r="Q966" s="161" t="s">
        <v>237</v>
      </c>
    </row>
    <row r="967" spans="2:17" x14ac:dyDescent="0.3">
      <c r="B967" s="188">
        <v>661980</v>
      </c>
      <c r="C967" s="158" t="s">
        <v>2697</v>
      </c>
      <c r="D967" s="160">
        <v>0</v>
      </c>
      <c r="E967" s="161" t="s">
        <v>237</v>
      </c>
      <c r="F967" s="160">
        <v>0</v>
      </c>
      <c r="G967" s="161" t="s">
        <v>380</v>
      </c>
      <c r="H967" s="161" t="s">
        <v>2719</v>
      </c>
      <c r="I967" s="161" t="s">
        <v>2741</v>
      </c>
      <c r="J967" s="160">
        <v>15600</v>
      </c>
      <c r="K967" s="161" t="s">
        <v>380</v>
      </c>
      <c r="L967" s="160">
        <v>15600</v>
      </c>
      <c r="M967" s="161" t="s">
        <v>380</v>
      </c>
      <c r="N967" s="160">
        <v>0</v>
      </c>
      <c r="O967" s="160">
        <v>4</v>
      </c>
      <c r="P967" s="160">
        <v>3744</v>
      </c>
      <c r="Q967" s="161" t="s">
        <v>237</v>
      </c>
    </row>
    <row r="968" spans="2:17" x14ac:dyDescent="0.3">
      <c r="B968" s="188">
        <v>663073</v>
      </c>
      <c r="C968" s="158" t="s">
        <v>2735</v>
      </c>
      <c r="D968" s="160">
        <v>32812.5</v>
      </c>
      <c r="E968" s="161" t="s">
        <v>237</v>
      </c>
      <c r="F968" s="160">
        <v>4375</v>
      </c>
      <c r="G968" s="161" t="s">
        <v>374</v>
      </c>
      <c r="H968" s="161" t="s">
        <v>2753</v>
      </c>
      <c r="I968" s="161" t="s">
        <v>2753</v>
      </c>
      <c r="J968" s="160">
        <v>-4375</v>
      </c>
      <c r="K968" s="161" t="s">
        <v>374</v>
      </c>
      <c r="L968" s="160">
        <v>0</v>
      </c>
      <c r="M968" s="161" t="s">
        <v>374</v>
      </c>
      <c r="N968" s="160">
        <v>99999</v>
      </c>
      <c r="O968" s="160">
        <v>0</v>
      </c>
      <c r="P968" s="160">
        <v>0</v>
      </c>
      <c r="Q968" s="161" t="s">
        <v>237</v>
      </c>
    </row>
    <row r="969" spans="2:17" x14ac:dyDescent="0.3">
      <c r="B969" s="188">
        <v>663215</v>
      </c>
      <c r="C969" s="158" t="s">
        <v>2787</v>
      </c>
      <c r="D969" s="160">
        <v>0</v>
      </c>
      <c r="E969" s="161" t="s">
        <v>237</v>
      </c>
      <c r="F969" s="160">
        <v>0</v>
      </c>
      <c r="G969" s="161" t="s">
        <v>380</v>
      </c>
      <c r="H969" s="161" t="s">
        <v>2809</v>
      </c>
      <c r="I969" s="161" t="s">
        <v>2818</v>
      </c>
      <c r="J969" s="160">
        <v>48000</v>
      </c>
      <c r="K969" s="161" t="s">
        <v>380</v>
      </c>
      <c r="L969" s="160">
        <v>48000</v>
      </c>
      <c r="M969" s="161" t="s">
        <v>380</v>
      </c>
      <c r="N969" s="160">
        <v>0</v>
      </c>
      <c r="O969" s="160">
        <v>99999</v>
      </c>
      <c r="P969" s="160">
        <v>11245.05</v>
      </c>
      <c r="Q969" s="161" t="s">
        <v>237</v>
      </c>
    </row>
    <row r="970" spans="2:17" x14ac:dyDescent="0.3">
      <c r="B970" s="188">
        <v>663577</v>
      </c>
      <c r="C970" s="158" t="s">
        <v>2736</v>
      </c>
      <c r="D970" s="160">
        <v>10991.97</v>
      </c>
      <c r="E970" s="161" t="s">
        <v>237</v>
      </c>
      <c r="F970" s="160">
        <v>1300.825</v>
      </c>
      <c r="G970" s="161" t="s">
        <v>374</v>
      </c>
      <c r="H970" s="161" t="s">
        <v>2817</v>
      </c>
      <c r="I970" s="161" t="s">
        <v>2798</v>
      </c>
      <c r="J970" s="160">
        <v>3025.9470000000001</v>
      </c>
      <c r="K970" s="161" t="s">
        <v>374</v>
      </c>
      <c r="L970" s="160">
        <v>4326.7719999999999</v>
      </c>
      <c r="M970" s="161" t="s">
        <v>374</v>
      </c>
      <c r="N970" s="160">
        <v>83</v>
      </c>
      <c r="O970" s="160">
        <v>1.43</v>
      </c>
      <c r="P970" s="160">
        <v>12245.53</v>
      </c>
      <c r="Q970" s="161" t="s">
        <v>237</v>
      </c>
    </row>
    <row r="971" spans="2:17" x14ac:dyDescent="0.3">
      <c r="B971" s="188">
        <v>663634</v>
      </c>
      <c r="C971" s="158" t="s">
        <v>2788</v>
      </c>
      <c r="D971" s="160">
        <v>27500</v>
      </c>
      <c r="E971" s="161" t="s">
        <v>237</v>
      </c>
      <c r="F971" s="160">
        <v>500000</v>
      </c>
      <c r="G971" s="161" t="s">
        <v>380</v>
      </c>
      <c r="H971" s="161" t="s">
        <v>2806</v>
      </c>
      <c r="I971" s="161" t="s">
        <v>236</v>
      </c>
      <c r="J971" s="160">
        <v>0</v>
      </c>
      <c r="K971" s="161" t="s">
        <v>380</v>
      </c>
      <c r="L971" s="160">
        <v>500000</v>
      </c>
      <c r="M971" s="161" t="s">
        <v>380</v>
      </c>
      <c r="N971" s="160">
        <v>99999</v>
      </c>
      <c r="O971" s="160">
        <v>0</v>
      </c>
      <c r="P971" s="160">
        <v>0</v>
      </c>
      <c r="Q971" s="161" t="s">
        <v>237</v>
      </c>
    </row>
    <row r="972" spans="2:17" x14ac:dyDescent="0.3">
      <c r="B972" s="188">
        <v>664457</v>
      </c>
      <c r="C972" s="158" t="s">
        <v>2792</v>
      </c>
      <c r="D972" s="160">
        <v>1583.75</v>
      </c>
      <c r="E972" s="161" t="s">
        <v>237</v>
      </c>
      <c r="F972" s="160">
        <v>25</v>
      </c>
      <c r="G972" s="161" t="s">
        <v>374</v>
      </c>
      <c r="H972" s="161" t="s">
        <v>2797</v>
      </c>
      <c r="I972" s="161" t="s">
        <v>2797</v>
      </c>
      <c r="J972" s="160">
        <v>25</v>
      </c>
      <c r="K972" s="161" t="s">
        <v>374</v>
      </c>
      <c r="L972" s="160">
        <v>50</v>
      </c>
      <c r="M972" s="161" t="s">
        <v>374</v>
      </c>
      <c r="N972" s="160">
        <v>99999</v>
      </c>
      <c r="O972" s="160">
        <v>0</v>
      </c>
      <c r="P972" s="160">
        <v>0</v>
      </c>
      <c r="Q972" s="161" t="s">
        <v>237</v>
      </c>
    </row>
    <row r="973" spans="2:17" x14ac:dyDescent="0.3">
      <c r="B973" s="188">
        <v>664458</v>
      </c>
      <c r="C973" s="158" t="s">
        <v>2793</v>
      </c>
      <c r="D973" s="160">
        <v>1355</v>
      </c>
      <c r="E973" s="161" t="s">
        <v>237</v>
      </c>
      <c r="F973" s="160">
        <v>25</v>
      </c>
      <c r="G973" s="161" t="s">
        <v>374</v>
      </c>
      <c r="H973" s="161" t="s">
        <v>2797</v>
      </c>
      <c r="I973" s="161" t="s">
        <v>2797</v>
      </c>
      <c r="J973" s="160">
        <v>25</v>
      </c>
      <c r="K973" s="161" t="s">
        <v>374</v>
      </c>
      <c r="L973" s="160">
        <v>50</v>
      </c>
      <c r="M973" s="161" t="s">
        <v>374</v>
      </c>
      <c r="N973" s="160">
        <v>99999</v>
      </c>
      <c r="O973" s="160">
        <v>0</v>
      </c>
      <c r="P973" s="160">
        <v>0</v>
      </c>
      <c r="Q973" s="161" t="s">
        <v>237</v>
      </c>
    </row>
    <row r="974" spans="2:17" x14ac:dyDescent="0.3">
      <c r="B974" s="188">
        <v>664786</v>
      </c>
      <c r="C974" s="158" t="s">
        <v>2794</v>
      </c>
      <c r="D974" s="160">
        <v>11550</v>
      </c>
      <c r="E974" s="161" t="s">
        <v>237</v>
      </c>
      <c r="F974" s="160">
        <v>1925</v>
      </c>
      <c r="G974" s="161" t="s">
        <v>374</v>
      </c>
      <c r="H974" s="161" t="s">
        <v>2800</v>
      </c>
      <c r="I974" s="161" t="s">
        <v>236</v>
      </c>
      <c r="J974" s="160">
        <v>0</v>
      </c>
      <c r="K974" s="161" t="s">
        <v>374</v>
      </c>
      <c r="L974" s="160">
        <v>1925</v>
      </c>
      <c r="M974" s="161" t="s">
        <v>374</v>
      </c>
      <c r="N974" s="160">
        <v>99999</v>
      </c>
      <c r="O974" s="160">
        <v>0</v>
      </c>
      <c r="P974" s="160">
        <v>0</v>
      </c>
      <c r="Q974" s="161" t="s">
        <v>237</v>
      </c>
    </row>
  </sheetData>
  <autoFilter ref="A3:Q974" xr:uid="{DAF1BF5B-3A2C-491B-9570-6BB3908232CF}"/>
  <pageMargins left="0.75" right="0.75" top="1" bottom="1" header="0.5" footer="0.5"/>
  <headerFooter alignWithMargins="0"/>
  <customProperties>
    <customPr name="_pios_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3"/>
  <sheetViews>
    <sheetView topLeftCell="A29" workbookViewId="0">
      <selection activeCell="B37" sqref="B37"/>
    </sheetView>
  </sheetViews>
  <sheetFormatPr defaultRowHeight="13" x14ac:dyDescent="0.3"/>
  <cols>
    <col min="1" max="1" width="6.296875" customWidth="1"/>
    <col min="2" max="2" width="14" bestFit="1" customWidth="1"/>
    <col min="3" max="3" width="33.296875" bestFit="1" customWidth="1"/>
    <col min="5" max="5" width="11" bestFit="1" customWidth="1"/>
    <col min="6" max="6" width="28.5" bestFit="1" customWidth="1"/>
    <col min="10" max="10" width="12" customWidth="1"/>
    <col min="13" max="13" width="12.796875" bestFit="1" customWidth="1"/>
    <col min="14" max="14" width="20.796875" bestFit="1" customWidth="1"/>
  </cols>
  <sheetData>
    <row r="1" spans="1:16" hidden="1" x14ac:dyDescent="0.3">
      <c r="A1" s="87" t="s">
        <v>1154</v>
      </c>
      <c r="B1" s="86" t="s">
        <v>362</v>
      </c>
      <c r="C1" s="86" t="s">
        <v>1139</v>
      </c>
      <c r="K1" s="86" t="s">
        <v>362</v>
      </c>
      <c r="L1" s="87" t="s">
        <v>1154</v>
      </c>
      <c r="O1" s="86" t="s">
        <v>362</v>
      </c>
      <c r="P1" s="87" t="s">
        <v>1154</v>
      </c>
    </row>
    <row r="2" spans="1:16" hidden="1" x14ac:dyDescent="0.3">
      <c r="A2" t="s">
        <v>247</v>
      </c>
      <c r="B2" t="s">
        <v>1155</v>
      </c>
      <c r="C2" t="s">
        <v>1131</v>
      </c>
      <c r="K2" s="88" t="s">
        <v>1155</v>
      </c>
      <c r="L2" s="88" t="s">
        <v>1160</v>
      </c>
      <c r="O2" t="s">
        <v>1155</v>
      </c>
      <c r="P2" t="s">
        <v>247</v>
      </c>
    </row>
    <row r="3" spans="1:16" hidden="1" x14ac:dyDescent="0.3">
      <c r="A3" t="s">
        <v>173</v>
      </c>
      <c r="B3" t="s">
        <v>1155</v>
      </c>
      <c r="C3" t="s">
        <v>1131</v>
      </c>
      <c r="K3" s="88" t="s">
        <v>1155</v>
      </c>
      <c r="L3" s="88" t="s">
        <v>288</v>
      </c>
      <c r="O3" t="s">
        <v>1155</v>
      </c>
      <c r="P3" t="s">
        <v>173</v>
      </c>
    </row>
    <row r="4" spans="1:16" hidden="1" x14ac:dyDescent="0.3">
      <c r="A4" t="s">
        <v>241</v>
      </c>
      <c r="B4" t="s">
        <v>1155</v>
      </c>
      <c r="C4" t="s">
        <v>1131</v>
      </c>
      <c r="K4" s="88" t="s">
        <v>1155</v>
      </c>
      <c r="L4" s="88" t="s">
        <v>1161</v>
      </c>
      <c r="O4" t="s">
        <v>1155</v>
      </c>
      <c r="P4" t="s">
        <v>241</v>
      </c>
    </row>
    <row r="5" spans="1:16" hidden="1" x14ac:dyDescent="0.3">
      <c r="A5" t="s">
        <v>175</v>
      </c>
      <c r="B5" t="s">
        <v>1155</v>
      </c>
      <c r="C5" t="s">
        <v>1131</v>
      </c>
      <c r="K5" s="88" t="s">
        <v>1155</v>
      </c>
      <c r="L5" s="88" t="s">
        <v>1162</v>
      </c>
      <c r="O5" t="s">
        <v>1155</v>
      </c>
      <c r="P5" t="s">
        <v>175</v>
      </c>
    </row>
    <row r="6" spans="1:16" hidden="1" x14ac:dyDescent="0.3">
      <c r="A6" t="s">
        <v>226</v>
      </c>
      <c r="B6" t="s">
        <v>1155</v>
      </c>
      <c r="C6" t="s">
        <v>1132</v>
      </c>
      <c r="K6" s="88" t="s">
        <v>1155</v>
      </c>
      <c r="L6" s="88" t="e">
        <v>#N/A</v>
      </c>
      <c r="O6" t="s">
        <v>1155</v>
      </c>
      <c r="P6" t="s">
        <v>226</v>
      </c>
    </row>
    <row r="7" spans="1:16" hidden="1" x14ac:dyDescent="0.3">
      <c r="A7" t="s">
        <v>249</v>
      </c>
      <c r="B7" t="s">
        <v>1155</v>
      </c>
      <c r="C7" t="s">
        <v>1132</v>
      </c>
      <c r="K7" s="88" t="s">
        <v>1155</v>
      </c>
      <c r="L7" s="88" t="s">
        <v>1163</v>
      </c>
      <c r="O7" t="s">
        <v>1155</v>
      </c>
      <c r="P7" t="s">
        <v>249</v>
      </c>
    </row>
    <row r="8" spans="1:16" hidden="1" x14ac:dyDescent="0.3">
      <c r="A8" t="s">
        <v>251</v>
      </c>
      <c r="B8" t="s">
        <v>1155</v>
      </c>
      <c r="C8" t="s">
        <v>1133</v>
      </c>
      <c r="K8" s="88" t="s">
        <v>1155</v>
      </c>
      <c r="L8" s="88" t="s">
        <v>171</v>
      </c>
      <c r="O8" t="s">
        <v>1155</v>
      </c>
      <c r="P8" t="s">
        <v>251</v>
      </c>
    </row>
    <row r="9" spans="1:16" hidden="1" x14ac:dyDescent="0.3">
      <c r="A9" t="s">
        <v>250</v>
      </c>
      <c r="B9" t="s">
        <v>1155</v>
      </c>
      <c r="C9" t="s">
        <v>1133</v>
      </c>
      <c r="K9" s="88" t="s">
        <v>1156</v>
      </c>
      <c r="L9" s="88" t="s">
        <v>1162</v>
      </c>
      <c r="O9" t="s">
        <v>1155</v>
      </c>
      <c r="P9" t="s">
        <v>250</v>
      </c>
    </row>
    <row r="10" spans="1:16" hidden="1" x14ac:dyDescent="0.3">
      <c r="A10" t="s">
        <v>174</v>
      </c>
      <c r="B10" t="s">
        <v>1155</v>
      </c>
      <c r="C10" t="s">
        <v>1133</v>
      </c>
      <c r="K10" s="88" t="s">
        <v>1156</v>
      </c>
      <c r="L10" s="88" t="e">
        <v>#N/A</v>
      </c>
      <c r="O10" t="s">
        <v>1155</v>
      </c>
      <c r="P10" t="s">
        <v>174</v>
      </c>
    </row>
    <row r="11" spans="1:16" hidden="1" x14ac:dyDescent="0.3">
      <c r="A11" t="s">
        <v>165</v>
      </c>
      <c r="B11" t="s">
        <v>1155</v>
      </c>
      <c r="C11" t="s">
        <v>1133</v>
      </c>
      <c r="K11" s="88" t="s">
        <v>1157</v>
      </c>
      <c r="L11" s="88" t="s">
        <v>1162</v>
      </c>
      <c r="O11" t="s">
        <v>1155</v>
      </c>
      <c r="P11" t="s">
        <v>165</v>
      </c>
    </row>
    <row r="12" spans="1:16" hidden="1" x14ac:dyDescent="0.3">
      <c r="A12" t="s">
        <v>248</v>
      </c>
      <c r="B12" t="s">
        <v>1155</v>
      </c>
      <c r="C12" t="s">
        <v>1134</v>
      </c>
      <c r="K12" s="88" t="s">
        <v>1157</v>
      </c>
      <c r="L12" s="88" t="e">
        <v>#N/A</v>
      </c>
      <c r="O12" t="s">
        <v>1155</v>
      </c>
      <c r="P12" t="s">
        <v>248</v>
      </c>
    </row>
    <row r="13" spans="1:16" hidden="1" x14ac:dyDescent="0.3">
      <c r="A13" t="s">
        <v>171</v>
      </c>
      <c r="B13" t="s">
        <v>1155</v>
      </c>
      <c r="C13" t="s">
        <v>1135</v>
      </c>
      <c r="K13" s="88" t="s">
        <v>1158</v>
      </c>
      <c r="L13" s="88" t="s">
        <v>288</v>
      </c>
      <c r="O13" t="s">
        <v>1155</v>
      </c>
      <c r="P13" t="s">
        <v>171</v>
      </c>
    </row>
    <row r="14" spans="1:16" hidden="1" x14ac:dyDescent="0.3">
      <c r="A14" t="s">
        <v>169</v>
      </c>
      <c r="B14" t="s">
        <v>1155</v>
      </c>
      <c r="C14" t="s">
        <v>1137</v>
      </c>
      <c r="K14" s="88" t="s">
        <v>1158</v>
      </c>
      <c r="L14" s="88" t="s">
        <v>1161</v>
      </c>
      <c r="O14" t="s">
        <v>1155</v>
      </c>
      <c r="P14" t="s">
        <v>169</v>
      </c>
    </row>
    <row r="15" spans="1:16" hidden="1" x14ac:dyDescent="0.3">
      <c r="A15" t="s">
        <v>214</v>
      </c>
      <c r="B15" t="s">
        <v>1155</v>
      </c>
      <c r="C15" t="s">
        <v>1135</v>
      </c>
      <c r="K15" s="88" t="s">
        <v>1158</v>
      </c>
      <c r="L15" s="88" t="e">
        <v>#N/A</v>
      </c>
      <c r="O15" t="s">
        <v>1155</v>
      </c>
      <c r="P15" t="s">
        <v>214</v>
      </c>
    </row>
    <row r="16" spans="1:16" hidden="1" x14ac:dyDescent="0.3">
      <c r="A16" t="s">
        <v>219</v>
      </c>
      <c r="B16" t="s">
        <v>1158</v>
      </c>
      <c r="C16" t="s">
        <v>1138</v>
      </c>
      <c r="K16" s="88" t="s">
        <v>1158</v>
      </c>
      <c r="L16" s="88" t="s">
        <v>1162</v>
      </c>
      <c r="O16" t="s">
        <v>1158</v>
      </c>
      <c r="P16" t="s">
        <v>219</v>
      </c>
    </row>
    <row r="17" spans="1:16" hidden="1" x14ac:dyDescent="0.3">
      <c r="A17" t="s">
        <v>172</v>
      </c>
      <c r="B17" t="s">
        <v>1157</v>
      </c>
      <c r="C17" t="s">
        <v>214</v>
      </c>
      <c r="K17" s="88" t="s">
        <v>1159</v>
      </c>
      <c r="L17" s="88" t="s">
        <v>288</v>
      </c>
      <c r="O17" t="s">
        <v>1157</v>
      </c>
      <c r="P17" t="s">
        <v>172</v>
      </c>
    </row>
    <row r="18" spans="1:16" hidden="1" x14ac:dyDescent="0.3">
      <c r="A18" t="s">
        <v>176</v>
      </c>
      <c r="B18" t="s">
        <v>1158</v>
      </c>
      <c r="C18" t="s">
        <v>1138</v>
      </c>
      <c r="K18" s="88" t="s">
        <v>1159</v>
      </c>
      <c r="L18" s="88" t="s">
        <v>1161</v>
      </c>
      <c r="O18" t="s">
        <v>1158</v>
      </c>
      <c r="P18" t="s">
        <v>176</v>
      </c>
    </row>
    <row r="19" spans="1:16" hidden="1" x14ac:dyDescent="0.3">
      <c r="A19" t="s">
        <v>168</v>
      </c>
      <c r="B19" t="s">
        <v>1158</v>
      </c>
      <c r="C19" t="s">
        <v>1138</v>
      </c>
      <c r="K19" s="88" t="s">
        <v>1159</v>
      </c>
      <c r="L19" s="88" t="e">
        <v>#N/A</v>
      </c>
      <c r="O19" t="s">
        <v>1158</v>
      </c>
      <c r="P19" t="s">
        <v>168</v>
      </c>
    </row>
    <row r="20" spans="1:16" hidden="1" x14ac:dyDescent="0.3">
      <c r="A20" t="s">
        <v>166</v>
      </c>
      <c r="B20" t="s">
        <v>1158</v>
      </c>
      <c r="C20" t="s">
        <v>1138</v>
      </c>
      <c r="K20" s="89" t="s">
        <v>330</v>
      </c>
      <c r="L20" s="89" t="e">
        <v>#N/A</v>
      </c>
      <c r="O20" t="s">
        <v>1158</v>
      </c>
      <c r="P20" t="s">
        <v>166</v>
      </c>
    </row>
    <row r="21" spans="1:16" hidden="1" x14ac:dyDescent="0.3">
      <c r="A21" t="s">
        <v>177</v>
      </c>
      <c r="B21" t="s">
        <v>1158</v>
      </c>
      <c r="C21" t="s">
        <v>1138</v>
      </c>
      <c r="O21" t="s">
        <v>1158</v>
      </c>
      <c r="P21" t="s">
        <v>177</v>
      </c>
    </row>
    <row r="22" spans="1:16" hidden="1" x14ac:dyDescent="0.3">
      <c r="A22" t="s">
        <v>223</v>
      </c>
      <c r="B22" t="s">
        <v>1158</v>
      </c>
      <c r="C22" t="s">
        <v>1138</v>
      </c>
      <c r="O22" t="s">
        <v>1158</v>
      </c>
      <c r="P22" t="s">
        <v>223</v>
      </c>
    </row>
    <row r="23" spans="1:16" hidden="1" x14ac:dyDescent="0.3">
      <c r="A23" t="s">
        <v>167</v>
      </c>
      <c r="B23" t="s">
        <v>1158</v>
      </c>
      <c r="C23" t="s">
        <v>1136</v>
      </c>
      <c r="O23" t="s">
        <v>1158</v>
      </c>
      <c r="P23" t="s">
        <v>167</v>
      </c>
    </row>
    <row r="24" spans="1:16" hidden="1" x14ac:dyDescent="0.3">
      <c r="A24" t="s">
        <v>288</v>
      </c>
      <c r="B24" t="s">
        <v>1158</v>
      </c>
      <c r="C24" t="s">
        <v>1138</v>
      </c>
      <c r="O24" t="s">
        <v>1158</v>
      </c>
      <c r="P24" t="s">
        <v>288</v>
      </c>
    </row>
    <row r="25" spans="1:16" hidden="1" x14ac:dyDescent="0.3">
      <c r="A25" t="s">
        <v>170</v>
      </c>
      <c r="B25" t="s">
        <v>1155</v>
      </c>
      <c r="C25" t="s">
        <v>219</v>
      </c>
      <c r="O25" t="s">
        <v>1155</v>
      </c>
      <c r="P25" t="s">
        <v>170</v>
      </c>
    </row>
    <row r="26" spans="1:16" hidden="1" x14ac:dyDescent="0.3">
      <c r="A26" t="s">
        <v>1247</v>
      </c>
      <c r="B26" t="s">
        <v>1155</v>
      </c>
      <c r="C26" t="s">
        <v>1133</v>
      </c>
    </row>
    <row r="27" spans="1:16" hidden="1" x14ac:dyDescent="0.3">
      <c r="A27" t="s">
        <v>1263</v>
      </c>
      <c r="B27" t="s">
        <v>1155</v>
      </c>
      <c r="C27" t="s">
        <v>1133</v>
      </c>
    </row>
    <row r="28" spans="1:16" hidden="1" x14ac:dyDescent="0.3"/>
    <row r="30" spans="1:16" x14ac:dyDescent="0.3">
      <c r="B30" s="157" t="s">
        <v>1436</v>
      </c>
      <c r="C30" s="157" t="s">
        <v>1540</v>
      </c>
      <c r="E30" s="157" t="s">
        <v>1437</v>
      </c>
      <c r="F30" s="157" t="s">
        <v>1548</v>
      </c>
    </row>
    <row r="31" spans="1:16" x14ac:dyDescent="0.3">
      <c r="B31" s="55">
        <v>60104</v>
      </c>
      <c r="C31" t="s">
        <v>1417</v>
      </c>
      <c r="E31" t="s">
        <v>1438</v>
      </c>
      <c r="F31" t="s">
        <v>1421</v>
      </c>
    </row>
    <row r="32" spans="1:16" x14ac:dyDescent="0.3">
      <c r="B32" s="55">
        <v>60105</v>
      </c>
      <c r="C32" t="s">
        <v>1416</v>
      </c>
      <c r="E32" t="s">
        <v>1439</v>
      </c>
      <c r="F32" t="s">
        <v>1424</v>
      </c>
    </row>
    <row r="33" spans="2:6" x14ac:dyDescent="0.3">
      <c r="B33" s="55">
        <v>60106</v>
      </c>
      <c r="C33" t="s">
        <v>1418</v>
      </c>
      <c r="E33" t="s">
        <v>1446</v>
      </c>
      <c r="F33" t="s">
        <v>1425</v>
      </c>
    </row>
    <row r="34" spans="2:6" x14ac:dyDescent="0.3">
      <c r="B34" s="55">
        <v>60200</v>
      </c>
      <c r="C34" t="s">
        <v>1374</v>
      </c>
      <c r="E34" t="s">
        <v>1397</v>
      </c>
      <c r="F34" t="s">
        <v>1398</v>
      </c>
    </row>
    <row r="35" spans="2:6" x14ac:dyDescent="0.3">
      <c r="B35" s="55">
        <v>65000</v>
      </c>
      <c r="C35" t="s">
        <v>1420</v>
      </c>
      <c r="E35" t="s">
        <v>1381</v>
      </c>
      <c r="F35" t="s">
        <v>1376</v>
      </c>
    </row>
    <row r="36" spans="2:6" x14ac:dyDescent="0.3">
      <c r="B36" s="55">
        <v>65400</v>
      </c>
      <c r="C36" t="s">
        <v>1419</v>
      </c>
      <c r="E36" t="s">
        <v>1542</v>
      </c>
      <c r="F36" t="s">
        <v>1543</v>
      </c>
    </row>
    <row r="37" spans="2:6" x14ac:dyDescent="0.3">
      <c r="B37" s="55" t="s">
        <v>1385</v>
      </c>
      <c r="C37" t="s">
        <v>1386</v>
      </c>
      <c r="E37" t="s">
        <v>1443</v>
      </c>
      <c r="F37" t="s">
        <v>1421</v>
      </c>
    </row>
    <row r="38" spans="2:6" x14ac:dyDescent="0.3">
      <c r="B38" s="55">
        <v>60107</v>
      </c>
      <c r="C38" t="s">
        <v>2599</v>
      </c>
      <c r="E38" t="s">
        <v>1441</v>
      </c>
      <c r="F38" t="s">
        <v>1422</v>
      </c>
    </row>
    <row r="39" spans="2:6" x14ac:dyDescent="0.3">
      <c r="E39" t="s">
        <v>1541</v>
      </c>
      <c r="F39" t="s">
        <v>1424</v>
      </c>
    </row>
    <row r="40" spans="2:6" x14ac:dyDescent="0.3">
      <c r="E40" t="s">
        <v>1447</v>
      </c>
      <c r="F40" t="s">
        <v>1423</v>
      </c>
    </row>
    <row r="41" spans="2:6" x14ac:dyDescent="0.3">
      <c r="E41" t="s">
        <v>1377</v>
      </c>
      <c r="F41" t="s">
        <v>1376</v>
      </c>
    </row>
    <row r="42" spans="2:6" x14ac:dyDescent="0.3">
      <c r="E42" t="s">
        <v>1544</v>
      </c>
      <c r="F42" t="s">
        <v>1543</v>
      </c>
    </row>
    <row r="43" spans="2:6" x14ac:dyDescent="0.3">
      <c r="E43" t="s">
        <v>1545</v>
      </c>
      <c r="F43" t="s">
        <v>1398</v>
      </c>
    </row>
    <row r="44" spans="2:6" x14ac:dyDescent="0.3">
      <c r="E44" t="s">
        <v>1445</v>
      </c>
      <c r="F44" t="s">
        <v>1421</v>
      </c>
    </row>
    <row r="45" spans="2:6" x14ac:dyDescent="0.3">
      <c r="E45" t="s">
        <v>1440</v>
      </c>
      <c r="F45" t="s">
        <v>1422</v>
      </c>
    </row>
    <row r="46" spans="2:6" ht="13.5" customHeight="1" x14ac:dyDescent="0.3">
      <c r="E46" t="s">
        <v>1444</v>
      </c>
      <c r="F46" t="s">
        <v>1424</v>
      </c>
    </row>
    <row r="47" spans="2:6" x14ac:dyDescent="0.3">
      <c r="E47" t="s">
        <v>1375</v>
      </c>
      <c r="F47" t="s">
        <v>1376</v>
      </c>
    </row>
    <row r="48" spans="2:6" x14ac:dyDescent="0.3">
      <c r="E48" t="s">
        <v>1546</v>
      </c>
      <c r="F48" t="s">
        <v>1543</v>
      </c>
    </row>
    <row r="49" spans="5:6" x14ac:dyDescent="0.3">
      <c r="E49" t="s">
        <v>1547</v>
      </c>
      <c r="F49" t="s">
        <v>1398</v>
      </c>
    </row>
    <row r="50" spans="5:6" x14ac:dyDescent="0.3">
      <c r="E50" t="s">
        <v>1383</v>
      </c>
      <c r="F50" t="s">
        <v>1427</v>
      </c>
    </row>
    <row r="51" spans="5:6" x14ac:dyDescent="0.3">
      <c r="E51" t="s">
        <v>1378</v>
      </c>
      <c r="F51" t="s">
        <v>1426</v>
      </c>
    </row>
    <row r="52" spans="5:6" x14ac:dyDescent="0.3">
      <c r="E52" t="s">
        <v>2586</v>
      </c>
      <c r="F52" t="s">
        <v>1376</v>
      </c>
    </row>
    <row r="53" spans="5:6" x14ac:dyDescent="0.3">
      <c r="E53" s="48">
        <v>6010720000</v>
      </c>
      <c r="F53" t="s">
        <v>2823</v>
      </c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2.8.2701.102319</Revision>
</Application>
</file>

<file path=customXml/itemProps1.xml><?xml version="1.0" encoding="utf-8"?>
<ds:datastoreItem xmlns:ds="http://schemas.openxmlformats.org/officeDocument/2006/customXml" ds:itemID="{699958B0-482B-40A5-B9A8-BE9532B3A378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SUMMARY2</vt:lpstr>
      <vt:lpstr>Ageing Sum</vt:lpstr>
      <vt:lpstr> Comparisons _working </vt:lpstr>
      <vt:lpstr>working pv</vt:lpstr>
      <vt:lpstr> Comparisons w Prior mth</vt:lpstr>
      <vt:lpstr>summary</vt:lpstr>
      <vt:lpstr>details</vt:lpstr>
      <vt:lpstr>712 MC.5 2024.08</vt:lpstr>
      <vt:lpstr>MC.5</vt:lpstr>
      <vt:lpstr>REF</vt:lpstr>
      <vt:lpstr>SAPCrosstab1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Pek Yin HO</dc:creator>
  <cp:lastModifiedBy>Anis Aifaa NAZLI</cp:lastModifiedBy>
  <dcterms:created xsi:type="dcterms:W3CDTF">2018-02-19T13:26:02Z</dcterms:created>
  <dcterms:modified xsi:type="dcterms:W3CDTF">2026-06-04T02:18:28Z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